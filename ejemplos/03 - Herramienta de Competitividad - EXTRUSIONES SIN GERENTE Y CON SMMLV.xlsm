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ereshumanosrealizados.sharepoint.com/sites/EXTRUSIONES/Documentos compartidos/Estructura Salarial/Técnica/Archivos de trabajo interno/Procesamiento/"/>
    </mc:Choice>
  </mc:AlternateContent>
  <xr:revisionPtr revIDLastSave="38" documentId="13_ncr:1_{9742721A-75AA-443C-B141-58181D0AD5BD}" xr6:coauthVersionLast="47" xr6:coauthVersionMax="47" xr10:uidLastSave="{FC57BBE1-A0D5-4F82-A6AE-98E12E4ECE58}"/>
  <bookViews>
    <workbookView xWindow="-120" yWindow="-120" windowWidth="29040" windowHeight="15720" activeTab="1" xr2:uid="{00000000-000D-0000-FFFF-FFFF00000000}"/>
  </bookViews>
  <sheets>
    <sheet name="Duplas" sheetId="2" r:id="rId1"/>
    <sheet name="Datos" sheetId="4" r:id="rId2"/>
    <sheet name="Estadísticos" sheetId="7" r:id="rId3"/>
    <sheet name="Regresion Md" sheetId="1" r:id="rId4"/>
    <sheet name="Regresion Q1" sheetId="6" r:id="rId5"/>
    <sheet name="Regresion Q3" sheetId="5" r:id="rId6"/>
  </sheets>
  <externalReferences>
    <externalReference r:id="rId7"/>
  </externalReferences>
  <definedNames>
    <definedName name="_xlnm._FilterDatabase" localSheetId="3" hidden="1">'Regresion Md'!$B$42:$E$2188</definedName>
    <definedName name="_xlnm._FilterDatabase" localSheetId="4" hidden="1">'Regresion Q1'!$B$42:$D$2188</definedName>
    <definedName name="_xlnm._FilterDatabase" localSheetId="5" hidden="1">'Regresion Q3'!$B$42:$D$2188</definedName>
    <definedName name="_xleta.T" hidden="1" xlm="1">#NAME?</definedName>
    <definedName name="SerieSize">[1]Variables!$F$42</definedName>
  </definedNames>
  <calcPr calcId="191028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4" l="1"/>
  <c r="W77" i="7"/>
  <c r="V77" i="7"/>
  <c r="V62" i="7"/>
  <c r="W62" i="7"/>
  <c r="B1895" i="2" l="1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F4" i="2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Z128" i="4"/>
  <c r="BZ129" i="4"/>
  <c r="BZ130" i="4"/>
  <c r="BZ131" i="4"/>
  <c r="BZ132" i="4"/>
  <c r="BZ124" i="4"/>
  <c r="CA125" i="4"/>
  <c r="CA126" i="4"/>
  <c r="BZ127" i="4"/>
  <c r="BZ138" i="4"/>
  <c r="BZ139" i="4"/>
  <c r="BZ140" i="4"/>
  <c r="CA141" i="4"/>
  <c r="CA142" i="4"/>
  <c r="BZ143" i="4"/>
  <c r="CA132" i="4"/>
  <c r="CA13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AS124" i="4"/>
  <c r="AS126" i="4"/>
  <c r="AS127" i="4"/>
  <c r="AS128" i="4"/>
  <c r="AS129" i="4"/>
  <c r="AS130" i="4"/>
  <c r="AS131" i="4"/>
  <c r="AS132" i="4"/>
  <c r="AS134" i="4"/>
  <c r="AS135" i="4"/>
  <c r="AS136" i="4"/>
  <c r="AS137" i="4"/>
  <c r="AS138" i="4"/>
  <c r="AS139" i="4"/>
  <c r="AS140" i="4"/>
  <c r="AS143" i="4"/>
  <c r="AT124" i="4"/>
  <c r="AT126" i="4"/>
  <c r="AT127" i="4"/>
  <c r="AT128" i="4"/>
  <c r="AT129" i="4"/>
  <c r="AT130" i="4"/>
  <c r="AT131" i="4"/>
  <c r="AT132" i="4"/>
  <c r="AT134" i="4"/>
  <c r="AT135" i="4"/>
  <c r="AT136" i="4"/>
  <c r="AT137" i="4"/>
  <c r="AT138" i="4"/>
  <c r="AT139" i="4"/>
  <c r="AT140" i="4"/>
  <c r="AT143" i="4"/>
  <c r="AU124" i="4"/>
  <c r="AU126" i="4"/>
  <c r="AU127" i="4"/>
  <c r="AU128" i="4"/>
  <c r="AU129" i="4"/>
  <c r="AU130" i="4"/>
  <c r="AU131" i="4"/>
  <c r="AU132" i="4"/>
  <c r="AU134" i="4"/>
  <c r="AU135" i="4"/>
  <c r="AU136" i="4"/>
  <c r="AU137" i="4"/>
  <c r="AU138" i="4"/>
  <c r="AU139" i="4"/>
  <c r="AU140" i="4"/>
  <c r="AU143" i="4"/>
  <c r="AX124" i="4"/>
  <c r="AX126" i="4"/>
  <c r="AX127" i="4"/>
  <c r="AX128" i="4"/>
  <c r="AX129" i="4"/>
  <c r="AX130" i="4"/>
  <c r="AX131" i="4"/>
  <c r="AX132" i="4"/>
  <c r="AX134" i="4"/>
  <c r="AX135" i="4"/>
  <c r="AX136" i="4"/>
  <c r="AX137" i="4"/>
  <c r="AX138" i="4"/>
  <c r="AX139" i="4"/>
  <c r="AX140" i="4"/>
  <c r="AX143" i="4"/>
  <c r="AY124" i="4"/>
  <c r="AY126" i="4"/>
  <c r="AY127" i="4"/>
  <c r="AY128" i="4"/>
  <c r="AY129" i="4"/>
  <c r="AY130" i="4"/>
  <c r="AY131" i="4"/>
  <c r="AY132" i="4"/>
  <c r="AY134" i="4"/>
  <c r="AY135" i="4"/>
  <c r="AY136" i="4"/>
  <c r="AY137" i="4"/>
  <c r="AY138" i="4"/>
  <c r="AY139" i="4"/>
  <c r="AY140" i="4"/>
  <c r="AY143" i="4"/>
  <c r="AZ124" i="4"/>
  <c r="AZ126" i="4"/>
  <c r="AZ127" i="4"/>
  <c r="AZ128" i="4"/>
  <c r="AZ129" i="4"/>
  <c r="AZ130" i="4"/>
  <c r="AZ131" i="4"/>
  <c r="AZ132" i="4"/>
  <c r="AZ134" i="4"/>
  <c r="AZ135" i="4"/>
  <c r="AZ136" i="4"/>
  <c r="AZ137" i="4"/>
  <c r="AZ138" i="4"/>
  <c r="AZ139" i="4"/>
  <c r="AZ140" i="4"/>
  <c r="AZ143" i="4"/>
  <c r="BC124" i="4"/>
  <c r="BC126" i="4"/>
  <c r="BC127" i="4"/>
  <c r="BC128" i="4"/>
  <c r="BC129" i="4"/>
  <c r="BC130" i="4"/>
  <c r="BC131" i="4"/>
  <c r="BC132" i="4"/>
  <c r="BC134" i="4"/>
  <c r="BC135" i="4"/>
  <c r="BC136" i="4"/>
  <c r="BC137" i="4"/>
  <c r="BC138" i="4"/>
  <c r="BC139" i="4"/>
  <c r="BC140" i="4"/>
  <c r="BC143" i="4"/>
  <c r="BD124" i="4"/>
  <c r="BD126" i="4"/>
  <c r="BD127" i="4"/>
  <c r="BD128" i="4"/>
  <c r="BD129" i="4"/>
  <c r="BD130" i="4"/>
  <c r="BD131" i="4"/>
  <c r="BD132" i="4"/>
  <c r="BD134" i="4"/>
  <c r="BD135" i="4"/>
  <c r="BD136" i="4"/>
  <c r="BD137" i="4"/>
  <c r="BD138" i="4"/>
  <c r="BD139" i="4"/>
  <c r="BD140" i="4"/>
  <c r="BD143" i="4"/>
  <c r="BE124" i="4"/>
  <c r="BE126" i="4"/>
  <c r="BE127" i="4"/>
  <c r="BE128" i="4"/>
  <c r="BE129" i="4"/>
  <c r="BE130" i="4"/>
  <c r="BE131" i="4"/>
  <c r="BE132" i="4"/>
  <c r="BE134" i="4"/>
  <c r="BE135" i="4"/>
  <c r="BE136" i="4"/>
  <c r="BE137" i="4"/>
  <c r="BE138" i="4"/>
  <c r="BE139" i="4"/>
  <c r="BE140" i="4"/>
  <c r="BE143" i="4"/>
  <c r="BY124" i="4"/>
  <c r="BY125" i="4"/>
  <c r="BY126" i="4"/>
  <c r="BY127" i="4"/>
  <c r="BY128" i="4"/>
  <c r="BY129" i="4"/>
  <c r="BY130" i="4"/>
  <c r="BY131" i="4"/>
  <c r="BY132" i="4"/>
  <c r="BY133" i="4"/>
  <c r="BY134" i="4"/>
  <c r="BY135" i="4"/>
  <c r="BY136" i="4"/>
  <c r="BY137" i="4"/>
  <c r="BY138" i="4"/>
  <c r="BY139" i="4"/>
  <c r="BY140" i="4"/>
  <c r="BY141" i="4"/>
  <c r="BY142" i="4"/>
  <c r="BY143" i="4"/>
  <c r="BY144" i="4"/>
  <c r="BZ144" i="4"/>
  <c r="CA124" i="4"/>
  <c r="CA128" i="4"/>
  <c r="CA129" i="4"/>
  <c r="CA144" i="4"/>
  <c r="E15" i="6"/>
  <c r="E19" i="5"/>
  <c r="E15" i="1"/>
  <c r="E15" i="5"/>
  <c r="E19" i="1"/>
  <c r="E19" i="6"/>
  <c r="CA9" i="4"/>
  <c r="CA10" i="4"/>
  <c r="CA11" i="4"/>
  <c r="BZ12" i="4"/>
  <c r="BZ13" i="4"/>
  <c r="CA15" i="4"/>
  <c r="CA16" i="4"/>
  <c r="CA18" i="4"/>
  <c r="CA19" i="4"/>
  <c r="BZ20" i="4"/>
  <c r="CA20" i="4"/>
  <c r="BZ21" i="4"/>
  <c r="CA21" i="4"/>
  <c r="CA22" i="4"/>
  <c r="BZ25" i="4"/>
  <c r="BZ26" i="4"/>
  <c r="BZ27" i="4"/>
  <c r="BZ28" i="4"/>
  <c r="CA30" i="4"/>
  <c r="BZ31" i="4"/>
  <c r="CA31" i="4"/>
  <c r="BZ32" i="4"/>
  <c r="CA32" i="4"/>
  <c r="CA33" i="4"/>
  <c r="CA34" i="4"/>
  <c r="CA35" i="4"/>
  <c r="CA36" i="4"/>
  <c r="CA37" i="4"/>
  <c r="BZ38" i="4"/>
  <c r="CA38" i="4"/>
  <c r="CA41" i="4"/>
  <c r="CA42" i="4"/>
  <c r="CA43" i="4"/>
  <c r="BZ44" i="4"/>
  <c r="BZ45" i="4"/>
  <c r="CA48" i="4"/>
  <c r="CA50" i="4"/>
  <c r="CA51" i="4"/>
  <c r="CA52" i="4"/>
  <c r="CA53" i="4"/>
  <c r="CA54" i="4"/>
  <c r="CA57" i="4"/>
  <c r="CA58" i="4"/>
  <c r="CA59" i="4"/>
  <c r="BZ62" i="4"/>
  <c r="BZ63" i="4"/>
  <c r="CA63" i="4"/>
  <c r="BZ64" i="4"/>
  <c r="CA64" i="4"/>
  <c r="CA65" i="4"/>
  <c r="CA66" i="4"/>
  <c r="CA67" i="4"/>
  <c r="CA68" i="4"/>
  <c r="CA69" i="4"/>
  <c r="BZ70" i="4"/>
  <c r="CA70" i="4"/>
  <c r="BZ73" i="4"/>
  <c r="CA75" i="4"/>
  <c r="BZ76" i="4"/>
  <c r="BZ77" i="4"/>
  <c r="CA79" i="4"/>
  <c r="CA80" i="4"/>
  <c r="CA82" i="4"/>
  <c r="CA83" i="4"/>
  <c r="CA84" i="4"/>
  <c r="BZ85" i="4"/>
  <c r="CA85" i="4"/>
  <c r="CA86" i="4"/>
  <c r="BZ89" i="4"/>
  <c r="BZ90" i="4"/>
  <c r="CA90" i="4"/>
  <c r="BZ91" i="4"/>
  <c r="CA91" i="4"/>
  <c r="BZ92" i="4"/>
  <c r="CA96" i="4"/>
  <c r="CA97" i="4"/>
  <c r="CA98" i="4"/>
  <c r="CA99" i="4"/>
  <c r="CA100" i="4"/>
  <c r="CA101" i="4"/>
  <c r="BZ102" i="4"/>
  <c r="CA102" i="4"/>
  <c r="CA107" i="4"/>
  <c r="BZ108" i="4"/>
  <c r="BZ109" i="4"/>
  <c r="CA110" i="4"/>
  <c r="CA111" i="4"/>
  <c r="CA112" i="4"/>
  <c r="CA114" i="4"/>
  <c r="CA115" i="4"/>
  <c r="BZ116" i="4"/>
  <c r="CA116" i="4"/>
  <c r="BZ117" i="4"/>
  <c r="CA117" i="4"/>
  <c r="CA118" i="4"/>
  <c r="BZ121" i="4"/>
  <c r="BZ122" i="4"/>
  <c r="CA122" i="4"/>
  <c r="BZ123" i="4"/>
  <c r="CA123" i="4"/>
  <c r="C6" i="4"/>
  <c r="D6" i="4"/>
  <c r="BZ6" i="4" s="1"/>
  <c r="E6" i="4"/>
  <c r="CA6" i="4" s="1"/>
  <c r="BZ18" i="4"/>
  <c r="BZ19" i="4"/>
  <c r="BZ34" i="4"/>
  <c r="BZ35" i="4"/>
  <c r="BZ50" i="4"/>
  <c r="BZ51" i="4"/>
  <c r="BZ52" i="4"/>
  <c r="BZ53" i="4"/>
  <c r="BZ66" i="4"/>
  <c r="BZ67" i="4"/>
  <c r="BZ82" i="4"/>
  <c r="BZ83" i="4"/>
  <c r="BZ94" i="4"/>
  <c r="BZ95" i="4"/>
  <c r="BZ98" i="4"/>
  <c r="BZ99" i="4"/>
  <c r="BZ114" i="4"/>
  <c r="BZ11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F83" i="7"/>
  <c r="I83" i="7" s="1"/>
  <c r="E83" i="7"/>
  <c r="D83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CA7" i="4"/>
  <c r="CA8" i="4"/>
  <c r="CA12" i="4"/>
  <c r="CA13" i="4"/>
  <c r="CA14" i="4"/>
  <c r="CA23" i="4"/>
  <c r="CA24" i="4"/>
  <c r="CA25" i="4"/>
  <c r="CA26" i="4"/>
  <c r="CA27" i="4"/>
  <c r="CA28" i="4"/>
  <c r="CA29" i="4"/>
  <c r="CA39" i="4"/>
  <c r="CA40" i="4"/>
  <c r="CA44" i="4"/>
  <c r="CA45" i="4"/>
  <c r="CA46" i="4"/>
  <c r="CA47" i="4"/>
  <c r="CA55" i="4"/>
  <c r="CA56" i="4"/>
  <c r="CA60" i="4"/>
  <c r="CA61" i="4"/>
  <c r="CA71" i="4"/>
  <c r="CA72" i="4"/>
  <c r="CA73" i="4"/>
  <c r="CA74" i="4"/>
  <c r="CA76" i="4"/>
  <c r="CA77" i="4"/>
  <c r="CA78" i="4"/>
  <c r="CA87" i="4"/>
  <c r="CA88" i="4"/>
  <c r="CA92" i="4"/>
  <c r="CA93" i="4"/>
  <c r="CA94" i="4"/>
  <c r="CA95" i="4"/>
  <c r="CA103" i="4"/>
  <c r="CA104" i="4"/>
  <c r="CA105" i="4"/>
  <c r="CA106" i="4"/>
  <c r="CA108" i="4"/>
  <c r="CA109" i="4"/>
  <c r="CA119" i="4"/>
  <c r="CA120" i="4"/>
  <c r="CA121" i="4"/>
  <c r="BZ7" i="4"/>
  <c r="BZ8" i="4"/>
  <c r="BZ9" i="4"/>
  <c r="BZ23" i="4"/>
  <c r="BZ24" i="4"/>
  <c r="BZ29" i="4"/>
  <c r="BZ39" i="4"/>
  <c r="BZ40" i="4"/>
  <c r="BZ41" i="4"/>
  <c r="BZ55" i="4"/>
  <c r="BZ56" i="4"/>
  <c r="BZ57" i="4"/>
  <c r="BZ58" i="4"/>
  <c r="BZ59" i="4"/>
  <c r="BZ60" i="4"/>
  <c r="BZ61" i="4"/>
  <c r="BZ71" i="4"/>
  <c r="BZ72" i="4"/>
  <c r="BZ87" i="4"/>
  <c r="BZ88" i="4"/>
  <c r="BZ93" i="4"/>
  <c r="BZ103" i="4"/>
  <c r="BZ104" i="4"/>
  <c r="BZ105" i="4"/>
  <c r="BZ119" i="4"/>
  <c r="BZ120" i="4"/>
  <c r="BY7" i="4"/>
  <c r="BY8" i="4"/>
  <c r="BY9" i="4"/>
  <c r="BY10" i="4"/>
  <c r="BY11" i="4"/>
  <c r="BY12" i="4"/>
  <c r="BY13" i="4"/>
  <c r="BY14" i="4"/>
  <c r="BY15" i="4"/>
  <c r="BY16" i="4"/>
  <c r="BY17" i="4"/>
  <c r="BY18" i="4"/>
  <c r="BY19" i="4"/>
  <c r="BY20" i="4"/>
  <c r="BY21" i="4"/>
  <c r="BY22" i="4"/>
  <c r="BY23" i="4"/>
  <c r="BY24" i="4"/>
  <c r="BY25" i="4"/>
  <c r="BY26" i="4"/>
  <c r="BY27" i="4"/>
  <c r="BY28" i="4"/>
  <c r="BY29" i="4"/>
  <c r="BY30" i="4"/>
  <c r="BY31" i="4"/>
  <c r="BY32" i="4"/>
  <c r="BY33" i="4"/>
  <c r="BY34" i="4"/>
  <c r="BY35" i="4"/>
  <c r="BY36" i="4"/>
  <c r="BY37" i="4"/>
  <c r="BY38" i="4"/>
  <c r="BY39" i="4"/>
  <c r="BY40" i="4"/>
  <c r="BY41" i="4"/>
  <c r="BY42" i="4"/>
  <c r="BY43" i="4"/>
  <c r="BY44" i="4"/>
  <c r="BY45" i="4"/>
  <c r="BY46" i="4"/>
  <c r="BY47" i="4"/>
  <c r="BY48" i="4"/>
  <c r="BY49" i="4"/>
  <c r="BY50" i="4"/>
  <c r="BY51" i="4"/>
  <c r="BY52" i="4"/>
  <c r="BY53" i="4"/>
  <c r="BY54" i="4"/>
  <c r="BY55" i="4"/>
  <c r="BY56" i="4"/>
  <c r="BY57" i="4"/>
  <c r="BY58" i="4"/>
  <c r="BY59" i="4"/>
  <c r="BY60" i="4"/>
  <c r="BY61" i="4"/>
  <c r="BY62" i="4"/>
  <c r="BY63" i="4"/>
  <c r="BY64" i="4"/>
  <c r="BY65" i="4"/>
  <c r="BY66" i="4"/>
  <c r="BY67" i="4"/>
  <c r="BY68" i="4"/>
  <c r="BY69" i="4"/>
  <c r="BY70" i="4"/>
  <c r="BY71" i="4"/>
  <c r="BY72" i="4"/>
  <c r="BY73" i="4"/>
  <c r="BY74" i="4"/>
  <c r="BY75" i="4"/>
  <c r="BY76" i="4"/>
  <c r="BY77" i="4"/>
  <c r="BY78" i="4"/>
  <c r="BY79" i="4"/>
  <c r="BY80" i="4"/>
  <c r="BY81" i="4"/>
  <c r="BY82" i="4"/>
  <c r="BY83" i="4"/>
  <c r="BY84" i="4"/>
  <c r="BY85" i="4"/>
  <c r="BY86" i="4"/>
  <c r="BY87" i="4"/>
  <c r="BY88" i="4"/>
  <c r="BY89" i="4"/>
  <c r="BY90" i="4"/>
  <c r="BY91" i="4"/>
  <c r="BY92" i="4"/>
  <c r="BY93" i="4"/>
  <c r="BY94" i="4"/>
  <c r="BY95" i="4"/>
  <c r="BY96" i="4"/>
  <c r="BY97" i="4"/>
  <c r="BY98" i="4"/>
  <c r="BY99" i="4"/>
  <c r="BY100" i="4"/>
  <c r="BY101" i="4"/>
  <c r="BY102" i="4"/>
  <c r="BY103" i="4"/>
  <c r="BY104" i="4"/>
  <c r="BY105" i="4"/>
  <c r="BY106" i="4"/>
  <c r="BY107" i="4"/>
  <c r="BY108" i="4"/>
  <c r="BY109" i="4"/>
  <c r="BY110" i="4"/>
  <c r="BY111" i="4"/>
  <c r="BY112" i="4"/>
  <c r="BY113" i="4"/>
  <c r="BY114" i="4"/>
  <c r="BY115" i="4"/>
  <c r="BY116" i="4"/>
  <c r="BY117" i="4"/>
  <c r="BY118" i="4"/>
  <c r="BY119" i="4"/>
  <c r="BY120" i="4"/>
  <c r="BY121" i="4"/>
  <c r="BY122" i="4"/>
  <c r="BY123" i="4"/>
  <c r="BY6" i="4"/>
  <c r="V6" i="7" l="1"/>
  <c r="W6" i="7"/>
  <c r="V19" i="7"/>
  <c r="W19" i="7"/>
  <c r="W4" i="7"/>
  <c r="G83" i="7"/>
  <c r="J83" i="7"/>
  <c r="L83" i="7"/>
  <c r="K83" i="7"/>
  <c r="H83" i="7"/>
  <c r="N83" i="7" s="1"/>
  <c r="W3" i="7" s="1"/>
  <c r="V78" i="7"/>
  <c r="V75" i="7"/>
  <c r="V72" i="7"/>
  <c r="V69" i="7"/>
  <c r="V66" i="7"/>
  <c r="V63" i="7"/>
  <c r="W63" i="7"/>
  <c r="W78" i="7"/>
  <c r="CA136" i="4"/>
  <c r="CA137" i="4"/>
  <c r="BZ136" i="4"/>
  <c r="BZ135" i="4"/>
  <c r="CA135" i="4"/>
  <c r="BZ141" i="4"/>
  <c r="CA131" i="4"/>
  <c r="BZ125" i="4"/>
  <c r="BZ134" i="4"/>
  <c r="CA134" i="4"/>
  <c r="BZ142" i="4"/>
  <c r="V16" i="7" s="1"/>
  <c r="U16" i="7" s="1"/>
  <c r="BZ126" i="4"/>
  <c r="V13" i="7" s="1"/>
  <c r="BZ137" i="4"/>
  <c r="BZ133" i="4"/>
  <c r="CA140" i="4"/>
  <c r="CA139" i="4"/>
  <c r="CA138" i="4"/>
  <c r="CA143" i="4"/>
  <c r="W16" i="7" s="1"/>
  <c r="CA127" i="4"/>
  <c r="W72" i="7" s="1"/>
  <c r="CA130" i="4"/>
  <c r="CA49" i="4"/>
  <c r="BZ49" i="4"/>
  <c r="BZ86" i="4"/>
  <c r="BZ54" i="4"/>
  <c r="BZ97" i="4"/>
  <c r="BZ107" i="4"/>
  <c r="BZ75" i="4"/>
  <c r="BZ43" i="4"/>
  <c r="BZ11" i="4"/>
  <c r="BZ96" i="4"/>
  <c r="BZ69" i="4"/>
  <c r="BZ37" i="4"/>
  <c r="BZ106" i="4"/>
  <c r="BZ74" i="4"/>
  <c r="BZ10" i="4"/>
  <c r="BZ33" i="4"/>
  <c r="BZ111" i="4"/>
  <c r="BZ47" i="4"/>
  <c r="BZ84" i="4"/>
  <c r="BZ68" i="4"/>
  <c r="BZ36" i="4"/>
  <c r="BZ30" i="4"/>
  <c r="BZ110" i="4"/>
  <c r="BZ46" i="4"/>
  <c r="CA89" i="4"/>
  <c r="BZ65" i="4"/>
  <c r="CA113" i="4"/>
  <c r="BZ113" i="4"/>
  <c r="CA81" i="4"/>
  <c r="BZ81" i="4"/>
  <c r="CA17" i="4"/>
  <c r="W7" i="7" s="1"/>
  <c r="BZ17" i="4"/>
  <c r="BZ118" i="4"/>
  <c r="BZ22" i="4"/>
  <c r="BZ112" i="4"/>
  <c r="BZ80" i="4"/>
  <c r="BZ48" i="4"/>
  <c r="BZ16" i="4"/>
  <c r="V7" i="7" s="1"/>
  <c r="BZ101" i="4"/>
  <c r="BZ42" i="4"/>
  <c r="BZ79" i="4"/>
  <c r="BZ15" i="4"/>
  <c r="BZ100" i="4"/>
  <c r="BZ78" i="4"/>
  <c r="BZ14" i="4"/>
  <c r="CA62" i="4"/>
  <c r="U7" i="7" l="1"/>
  <c r="W66" i="7"/>
  <c r="U66" i="7" s="1"/>
  <c r="W75" i="7"/>
  <c r="U19" i="7"/>
  <c r="U6" i="7"/>
  <c r="U63" i="7"/>
  <c r="W13" i="7"/>
  <c r="U13" i="7" s="1"/>
  <c r="V4" i="7"/>
  <c r="U4" i="7" s="1"/>
  <c r="W69" i="7"/>
  <c r="U69" i="7" s="1"/>
  <c r="V10" i="7"/>
  <c r="W10" i="7"/>
  <c r="U72" i="7"/>
  <c r="M83" i="7"/>
  <c r="V3" i="7" s="1"/>
  <c r="U3" i="7" s="1"/>
  <c r="U75" i="7"/>
  <c r="U78" i="7"/>
  <c r="U77" i="7"/>
  <c r="L4" i="2"/>
  <c r="U10" i="7" l="1"/>
  <c r="L5" i="2"/>
  <c r="L6" i="2" s="1"/>
  <c r="L7" i="2" l="1"/>
  <c r="L8" i="2" l="1"/>
  <c r="L9" i="2" l="1"/>
  <c r="L10" i="2" l="1"/>
  <c r="L11" i="2" s="1"/>
  <c r="B1892" i="2"/>
  <c r="B1893" i="2"/>
  <c r="B1894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L12" i="2" l="1"/>
  <c r="L13" i="2" s="1"/>
  <c r="F111" i="4"/>
  <c r="G111" i="4"/>
  <c r="H111" i="4"/>
  <c r="I111" i="4"/>
  <c r="J111" i="4"/>
  <c r="K111" i="4"/>
  <c r="L111" i="4"/>
  <c r="M111" i="4"/>
  <c r="N111" i="4"/>
  <c r="Q111" i="4"/>
  <c r="R111" i="4"/>
  <c r="S111" i="4"/>
  <c r="T111" i="4"/>
  <c r="U111" i="4"/>
  <c r="V111" i="4"/>
  <c r="W111" i="4"/>
  <c r="X111" i="4"/>
  <c r="Y111" i="4"/>
  <c r="Z111" i="4"/>
  <c r="AS111" i="4"/>
  <c r="AT111" i="4"/>
  <c r="AU111" i="4"/>
  <c r="AX111" i="4"/>
  <c r="AY111" i="4"/>
  <c r="AZ111" i="4"/>
  <c r="BC111" i="4"/>
  <c r="BD111" i="4"/>
  <c r="BE111" i="4"/>
  <c r="F112" i="4"/>
  <c r="G112" i="4"/>
  <c r="H112" i="4"/>
  <c r="I112" i="4"/>
  <c r="J112" i="4"/>
  <c r="K112" i="4"/>
  <c r="L112" i="4"/>
  <c r="M112" i="4"/>
  <c r="N112" i="4"/>
  <c r="Q112" i="4"/>
  <c r="R112" i="4"/>
  <c r="S112" i="4"/>
  <c r="T112" i="4"/>
  <c r="U112" i="4"/>
  <c r="V112" i="4"/>
  <c r="W112" i="4"/>
  <c r="X112" i="4"/>
  <c r="Y112" i="4"/>
  <c r="Z112" i="4"/>
  <c r="AS112" i="4"/>
  <c r="AT112" i="4"/>
  <c r="AU112" i="4"/>
  <c r="AX112" i="4"/>
  <c r="AY112" i="4"/>
  <c r="AZ112" i="4"/>
  <c r="BC112" i="4"/>
  <c r="BD112" i="4"/>
  <c r="BE112" i="4"/>
  <c r="F113" i="4"/>
  <c r="G113" i="4"/>
  <c r="H113" i="4"/>
  <c r="I113" i="4"/>
  <c r="J113" i="4"/>
  <c r="K113" i="4"/>
  <c r="L113" i="4"/>
  <c r="M113" i="4"/>
  <c r="N113" i="4"/>
  <c r="Q113" i="4"/>
  <c r="R113" i="4"/>
  <c r="S113" i="4"/>
  <c r="T113" i="4"/>
  <c r="U113" i="4"/>
  <c r="V113" i="4"/>
  <c r="W113" i="4"/>
  <c r="X113" i="4"/>
  <c r="Y113" i="4"/>
  <c r="Z113" i="4"/>
  <c r="F114" i="4"/>
  <c r="G114" i="4"/>
  <c r="H114" i="4"/>
  <c r="I114" i="4"/>
  <c r="J114" i="4"/>
  <c r="K114" i="4"/>
  <c r="L114" i="4"/>
  <c r="M114" i="4"/>
  <c r="N114" i="4"/>
  <c r="Q114" i="4"/>
  <c r="R114" i="4"/>
  <c r="S114" i="4"/>
  <c r="T114" i="4"/>
  <c r="U114" i="4"/>
  <c r="V114" i="4"/>
  <c r="W114" i="4"/>
  <c r="X114" i="4"/>
  <c r="Y114" i="4"/>
  <c r="Z114" i="4"/>
  <c r="F115" i="4"/>
  <c r="G115" i="4"/>
  <c r="H115" i="4"/>
  <c r="I115" i="4"/>
  <c r="J115" i="4"/>
  <c r="K115" i="4"/>
  <c r="L115" i="4"/>
  <c r="M115" i="4"/>
  <c r="N115" i="4"/>
  <c r="Q115" i="4"/>
  <c r="R115" i="4"/>
  <c r="S115" i="4"/>
  <c r="T115" i="4"/>
  <c r="U115" i="4"/>
  <c r="V115" i="4"/>
  <c r="W115" i="4"/>
  <c r="X115" i="4"/>
  <c r="Y115" i="4"/>
  <c r="Z115" i="4"/>
  <c r="F116" i="4"/>
  <c r="G116" i="4"/>
  <c r="H116" i="4"/>
  <c r="I116" i="4"/>
  <c r="J116" i="4"/>
  <c r="K116" i="4"/>
  <c r="L116" i="4"/>
  <c r="M116" i="4"/>
  <c r="N116" i="4"/>
  <c r="Q116" i="4"/>
  <c r="R116" i="4"/>
  <c r="S116" i="4"/>
  <c r="T116" i="4"/>
  <c r="U116" i="4"/>
  <c r="V116" i="4"/>
  <c r="W116" i="4"/>
  <c r="X116" i="4"/>
  <c r="Y116" i="4"/>
  <c r="Z116" i="4"/>
  <c r="AS116" i="4"/>
  <c r="AT116" i="4"/>
  <c r="AU116" i="4"/>
  <c r="AX116" i="4"/>
  <c r="AY116" i="4"/>
  <c r="AZ116" i="4"/>
  <c r="BC116" i="4"/>
  <c r="BD116" i="4"/>
  <c r="BE116" i="4"/>
  <c r="F117" i="4"/>
  <c r="G117" i="4"/>
  <c r="H117" i="4"/>
  <c r="I117" i="4"/>
  <c r="J117" i="4"/>
  <c r="K117" i="4"/>
  <c r="L117" i="4"/>
  <c r="M117" i="4"/>
  <c r="N117" i="4"/>
  <c r="Q117" i="4"/>
  <c r="R117" i="4"/>
  <c r="S117" i="4"/>
  <c r="T117" i="4"/>
  <c r="U117" i="4"/>
  <c r="V117" i="4"/>
  <c r="W117" i="4"/>
  <c r="X117" i="4"/>
  <c r="Y117" i="4"/>
  <c r="Z117" i="4"/>
  <c r="F118" i="4"/>
  <c r="G118" i="4"/>
  <c r="H118" i="4"/>
  <c r="I118" i="4"/>
  <c r="J118" i="4"/>
  <c r="K118" i="4"/>
  <c r="L118" i="4"/>
  <c r="M118" i="4"/>
  <c r="N118" i="4"/>
  <c r="Q118" i="4"/>
  <c r="R118" i="4"/>
  <c r="S118" i="4"/>
  <c r="T118" i="4"/>
  <c r="U118" i="4"/>
  <c r="V118" i="4"/>
  <c r="W118" i="4"/>
  <c r="X118" i="4"/>
  <c r="Y118" i="4"/>
  <c r="Z118" i="4"/>
  <c r="AS118" i="4"/>
  <c r="AT118" i="4"/>
  <c r="AU118" i="4"/>
  <c r="AX118" i="4"/>
  <c r="AY118" i="4"/>
  <c r="AZ118" i="4"/>
  <c r="BC118" i="4"/>
  <c r="BD118" i="4"/>
  <c r="BE118" i="4"/>
  <c r="F119" i="4"/>
  <c r="G119" i="4"/>
  <c r="H119" i="4"/>
  <c r="I119" i="4"/>
  <c r="J119" i="4"/>
  <c r="K119" i="4"/>
  <c r="L119" i="4"/>
  <c r="M119" i="4"/>
  <c r="N119" i="4"/>
  <c r="Q119" i="4"/>
  <c r="R119" i="4"/>
  <c r="S119" i="4"/>
  <c r="T119" i="4"/>
  <c r="U119" i="4"/>
  <c r="V119" i="4"/>
  <c r="W119" i="4"/>
  <c r="X119" i="4"/>
  <c r="Y119" i="4"/>
  <c r="Z119" i="4"/>
  <c r="AS119" i="4"/>
  <c r="AT119" i="4"/>
  <c r="AU119" i="4"/>
  <c r="AX119" i="4"/>
  <c r="AY119" i="4"/>
  <c r="AZ119" i="4"/>
  <c r="BC119" i="4"/>
  <c r="BD119" i="4"/>
  <c r="BE119" i="4"/>
  <c r="F120" i="4"/>
  <c r="G120" i="4"/>
  <c r="H120" i="4"/>
  <c r="I120" i="4"/>
  <c r="J120" i="4"/>
  <c r="K120" i="4"/>
  <c r="L120" i="4"/>
  <c r="M120" i="4"/>
  <c r="N120" i="4"/>
  <c r="Q120" i="4"/>
  <c r="R120" i="4"/>
  <c r="S120" i="4"/>
  <c r="T120" i="4"/>
  <c r="U120" i="4"/>
  <c r="V120" i="4"/>
  <c r="W120" i="4"/>
  <c r="X120" i="4"/>
  <c r="Y120" i="4"/>
  <c r="Z120" i="4"/>
  <c r="AS120" i="4"/>
  <c r="AT120" i="4"/>
  <c r="AU120" i="4"/>
  <c r="AX120" i="4"/>
  <c r="AY120" i="4"/>
  <c r="AZ120" i="4"/>
  <c r="BC120" i="4"/>
  <c r="BD120" i="4"/>
  <c r="BE120" i="4"/>
  <c r="F121" i="4"/>
  <c r="G121" i="4"/>
  <c r="H121" i="4"/>
  <c r="I121" i="4"/>
  <c r="J121" i="4"/>
  <c r="K121" i="4"/>
  <c r="L121" i="4"/>
  <c r="M121" i="4"/>
  <c r="N121" i="4"/>
  <c r="Q121" i="4"/>
  <c r="R121" i="4"/>
  <c r="S121" i="4"/>
  <c r="T121" i="4"/>
  <c r="U121" i="4"/>
  <c r="V121" i="4"/>
  <c r="W121" i="4"/>
  <c r="X121" i="4"/>
  <c r="Y121" i="4"/>
  <c r="Z121" i="4"/>
  <c r="F122" i="4"/>
  <c r="G122" i="4"/>
  <c r="H122" i="4"/>
  <c r="I122" i="4"/>
  <c r="J122" i="4"/>
  <c r="K122" i="4"/>
  <c r="L122" i="4"/>
  <c r="M122" i="4"/>
  <c r="N122" i="4"/>
  <c r="Q122" i="4"/>
  <c r="R122" i="4"/>
  <c r="S122" i="4"/>
  <c r="T122" i="4"/>
  <c r="U122" i="4"/>
  <c r="V122" i="4"/>
  <c r="W122" i="4"/>
  <c r="X122" i="4"/>
  <c r="Y122" i="4"/>
  <c r="Z122" i="4"/>
  <c r="F123" i="4"/>
  <c r="G123" i="4"/>
  <c r="H123" i="4"/>
  <c r="I123" i="4"/>
  <c r="J123" i="4"/>
  <c r="K123" i="4"/>
  <c r="L123" i="4"/>
  <c r="M123" i="4"/>
  <c r="N123" i="4"/>
  <c r="Q123" i="4"/>
  <c r="R123" i="4"/>
  <c r="S123" i="4"/>
  <c r="T123" i="4"/>
  <c r="U123" i="4"/>
  <c r="V123" i="4"/>
  <c r="W123" i="4"/>
  <c r="X123" i="4"/>
  <c r="Y123" i="4"/>
  <c r="Z123" i="4"/>
  <c r="AS7" i="4"/>
  <c r="AT7" i="4"/>
  <c r="AU7" i="4"/>
  <c r="AX7" i="4"/>
  <c r="AY7" i="4"/>
  <c r="AZ7" i="4"/>
  <c r="BC7" i="4"/>
  <c r="BD7" i="4"/>
  <c r="BE7" i="4"/>
  <c r="AS9" i="4"/>
  <c r="AT9" i="4"/>
  <c r="AU9" i="4"/>
  <c r="AX9" i="4"/>
  <c r="AY9" i="4"/>
  <c r="AZ9" i="4"/>
  <c r="BC9" i="4"/>
  <c r="BD9" i="4"/>
  <c r="BE9" i="4"/>
  <c r="AS10" i="4"/>
  <c r="AT10" i="4"/>
  <c r="AU10" i="4"/>
  <c r="AX10" i="4"/>
  <c r="AY10" i="4"/>
  <c r="AZ10" i="4"/>
  <c r="BC10" i="4"/>
  <c r="BD10" i="4"/>
  <c r="BE10" i="4"/>
  <c r="AS11" i="4"/>
  <c r="AT11" i="4"/>
  <c r="AU11" i="4"/>
  <c r="AX11" i="4"/>
  <c r="AY11" i="4"/>
  <c r="AZ11" i="4"/>
  <c r="BC11" i="4"/>
  <c r="BD11" i="4"/>
  <c r="BE11" i="4"/>
  <c r="AS12" i="4"/>
  <c r="AT12" i="4"/>
  <c r="AU12" i="4"/>
  <c r="AX12" i="4"/>
  <c r="AY12" i="4"/>
  <c r="AZ12" i="4"/>
  <c r="BC12" i="4"/>
  <c r="BD12" i="4"/>
  <c r="BE12" i="4"/>
  <c r="AS13" i="4"/>
  <c r="AT13" i="4"/>
  <c r="AU13" i="4"/>
  <c r="AX13" i="4"/>
  <c r="AY13" i="4"/>
  <c r="AZ13" i="4"/>
  <c r="BC13" i="4"/>
  <c r="BD13" i="4"/>
  <c r="BE13" i="4"/>
  <c r="AS14" i="4"/>
  <c r="AT14" i="4"/>
  <c r="AU14" i="4"/>
  <c r="AX14" i="4"/>
  <c r="AY14" i="4"/>
  <c r="AZ14" i="4"/>
  <c r="BC14" i="4"/>
  <c r="BD14" i="4"/>
  <c r="BE14" i="4"/>
  <c r="AS16" i="4"/>
  <c r="AT16" i="4"/>
  <c r="AU16" i="4"/>
  <c r="AX16" i="4"/>
  <c r="AY16" i="4"/>
  <c r="AZ16" i="4"/>
  <c r="BC16" i="4"/>
  <c r="BD16" i="4"/>
  <c r="BE16" i="4"/>
  <c r="AS17" i="4"/>
  <c r="AT17" i="4"/>
  <c r="AU17" i="4"/>
  <c r="AX17" i="4"/>
  <c r="AY17" i="4"/>
  <c r="AZ17" i="4"/>
  <c r="BC17" i="4"/>
  <c r="BD17" i="4"/>
  <c r="BE17" i="4"/>
  <c r="AS18" i="4"/>
  <c r="AT18" i="4"/>
  <c r="AU18" i="4"/>
  <c r="AX18" i="4"/>
  <c r="AY18" i="4"/>
  <c r="AZ18" i="4"/>
  <c r="BC18" i="4"/>
  <c r="BD18" i="4"/>
  <c r="BE18" i="4"/>
  <c r="AS19" i="4"/>
  <c r="AT19" i="4"/>
  <c r="AU19" i="4"/>
  <c r="AX19" i="4"/>
  <c r="AY19" i="4"/>
  <c r="AZ19" i="4"/>
  <c r="BC19" i="4"/>
  <c r="BD19" i="4"/>
  <c r="BE19" i="4"/>
  <c r="AS20" i="4"/>
  <c r="AT20" i="4"/>
  <c r="AU20" i="4"/>
  <c r="AX20" i="4"/>
  <c r="AY20" i="4"/>
  <c r="AZ20" i="4"/>
  <c r="BC20" i="4"/>
  <c r="BD20" i="4"/>
  <c r="BE20" i="4"/>
  <c r="AS21" i="4"/>
  <c r="AT21" i="4"/>
  <c r="AU21" i="4"/>
  <c r="AX21" i="4"/>
  <c r="AY21" i="4"/>
  <c r="AZ21" i="4"/>
  <c r="BC21" i="4"/>
  <c r="BD21" i="4"/>
  <c r="BE21" i="4"/>
  <c r="AS22" i="4"/>
  <c r="AT22" i="4"/>
  <c r="AU22" i="4"/>
  <c r="AX22" i="4"/>
  <c r="AY22" i="4"/>
  <c r="AZ22" i="4"/>
  <c r="BC22" i="4"/>
  <c r="BD22" i="4"/>
  <c r="BE22" i="4"/>
  <c r="AS23" i="4"/>
  <c r="AT23" i="4"/>
  <c r="AU23" i="4"/>
  <c r="AX23" i="4"/>
  <c r="AY23" i="4"/>
  <c r="AZ23" i="4"/>
  <c r="BC23" i="4"/>
  <c r="BD23" i="4"/>
  <c r="BE23" i="4"/>
  <c r="AS24" i="4"/>
  <c r="AT24" i="4"/>
  <c r="AU24" i="4"/>
  <c r="AX24" i="4"/>
  <c r="AY24" i="4"/>
  <c r="AZ24" i="4"/>
  <c r="BC24" i="4"/>
  <c r="BD24" i="4"/>
  <c r="BE24" i="4"/>
  <c r="AS25" i="4"/>
  <c r="AT25" i="4"/>
  <c r="AU25" i="4"/>
  <c r="AX25" i="4"/>
  <c r="AY25" i="4"/>
  <c r="AZ25" i="4"/>
  <c r="BC25" i="4"/>
  <c r="BD25" i="4"/>
  <c r="BE25" i="4"/>
  <c r="AS27" i="4"/>
  <c r="AT27" i="4"/>
  <c r="AU27" i="4"/>
  <c r="AX27" i="4"/>
  <c r="AY27" i="4"/>
  <c r="AZ27" i="4"/>
  <c r="BC27" i="4"/>
  <c r="BD27" i="4"/>
  <c r="BE27" i="4"/>
  <c r="AS28" i="4"/>
  <c r="AT28" i="4"/>
  <c r="AU28" i="4"/>
  <c r="AX28" i="4"/>
  <c r="AY28" i="4"/>
  <c r="AZ28" i="4"/>
  <c r="BC28" i="4"/>
  <c r="BD28" i="4"/>
  <c r="BE28" i="4"/>
  <c r="AS29" i="4"/>
  <c r="AT29" i="4"/>
  <c r="AU29" i="4"/>
  <c r="AX29" i="4"/>
  <c r="AY29" i="4"/>
  <c r="AZ29" i="4"/>
  <c r="BC29" i="4"/>
  <c r="BD29" i="4"/>
  <c r="BE29" i="4"/>
  <c r="AS30" i="4"/>
  <c r="AT30" i="4"/>
  <c r="AU30" i="4"/>
  <c r="AX30" i="4"/>
  <c r="AY30" i="4"/>
  <c r="AZ30" i="4"/>
  <c r="BC30" i="4"/>
  <c r="BD30" i="4"/>
  <c r="BE30" i="4"/>
  <c r="AS31" i="4"/>
  <c r="AT31" i="4"/>
  <c r="AU31" i="4"/>
  <c r="AX31" i="4"/>
  <c r="AY31" i="4"/>
  <c r="AZ31" i="4"/>
  <c r="BC31" i="4"/>
  <c r="BD31" i="4"/>
  <c r="BE31" i="4"/>
  <c r="AS32" i="4"/>
  <c r="AT32" i="4"/>
  <c r="AU32" i="4"/>
  <c r="AX32" i="4"/>
  <c r="AY32" i="4"/>
  <c r="AZ32" i="4"/>
  <c r="BC32" i="4"/>
  <c r="BD32" i="4"/>
  <c r="BE32" i="4"/>
  <c r="AS33" i="4"/>
  <c r="AT33" i="4"/>
  <c r="AU33" i="4"/>
  <c r="AX33" i="4"/>
  <c r="AY33" i="4"/>
  <c r="AZ33" i="4"/>
  <c r="BC33" i="4"/>
  <c r="BD33" i="4"/>
  <c r="BE33" i="4"/>
  <c r="AS34" i="4"/>
  <c r="AT34" i="4"/>
  <c r="AU34" i="4"/>
  <c r="AX34" i="4"/>
  <c r="AY34" i="4"/>
  <c r="AZ34" i="4"/>
  <c r="BC34" i="4"/>
  <c r="BD34" i="4"/>
  <c r="BE34" i="4"/>
  <c r="AS35" i="4"/>
  <c r="AT35" i="4"/>
  <c r="AU35" i="4"/>
  <c r="AX35" i="4"/>
  <c r="AY35" i="4"/>
  <c r="AZ35" i="4"/>
  <c r="BC35" i="4"/>
  <c r="BD35" i="4"/>
  <c r="BE35" i="4"/>
  <c r="AS36" i="4"/>
  <c r="AT36" i="4"/>
  <c r="AU36" i="4"/>
  <c r="AX36" i="4"/>
  <c r="AY36" i="4"/>
  <c r="AZ36" i="4"/>
  <c r="BC36" i="4"/>
  <c r="BD36" i="4"/>
  <c r="BE36" i="4"/>
  <c r="AS37" i="4"/>
  <c r="AT37" i="4"/>
  <c r="AU37" i="4"/>
  <c r="AX37" i="4"/>
  <c r="AY37" i="4"/>
  <c r="AZ37" i="4"/>
  <c r="BC37" i="4"/>
  <c r="BD37" i="4"/>
  <c r="BE37" i="4"/>
  <c r="AS38" i="4"/>
  <c r="AT38" i="4"/>
  <c r="AU38" i="4"/>
  <c r="AX38" i="4"/>
  <c r="AY38" i="4"/>
  <c r="AZ38" i="4"/>
  <c r="BC38" i="4"/>
  <c r="BD38" i="4"/>
  <c r="BE38" i="4"/>
  <c r="AS39" i="4"/>
  <c r="AT39" i="4"/>
  <c r="AU39" i="4"/>
  <c r="AX39" i="4"/>
  <c r="AY39" i="4"/>
  <c r="AZ39" i="4"/>
  <c r="BC39" i="4"/>
  <c r="BD39" i="4"/>
  <c r="BE39" i="4"/>
  <c r="AS40" i="4"/>
  <c r="AT40" i="4"/>
  <c r="AU40" i="4"/>
  <c r="AX40" i="4"/>
  <c r="AY40" i="4"/>
  <c r="AZ40" i="4"/>
  <c r="BC40" i="4"/>
  <c r="BD40" i="4"/>
  <c r="BE40" i="4"/>
  <c r="AS41" i="4"/>
  <c r="AT41" i="4"/>
  <c r="AU41" i="4"/>
  <c r="AX41" i="4"/>
  <c r="AY41" i="4"/>
  <c r="AZ41" i="4"/>
  <c r="BC41" i="4"/>
  <c r="BD41" i="4"/>
  <c r="BE41" i="4"/>
  <c r="AS42" i="4"/>
  <c r="AT42" i="4"/>
  <c r="AU42" i="4"/>
  <c r="AX42" i="4"/>
  <c r="AY42" i="4"/>
  <c r="AZ42" i="4"/>
  <c r="BC42" i="4"/>
  <c r="BD42" i="4"/>
  <c r="BE42" i="4"/>
  <c r="AS43" i="4"/>
  <c r="AT43" i="4"/>
  <c r="AU43" i="4"/>
  <c r="AX43" i="4"/>
  <c r="AY43" i="4"/>
  <c r="AZ43" i="4"/>
  <c r="BC43" i="4"/>
  <c r="BD43" i="4"/>
  <c r="BE43" i="4"/>
  <c r="AS45" i="4"/>
  <c r="AT45" i="4"/>
  <c r="AU45" i="4"/>
  <c r="AX45" i="4"/>
  <c r="AY45" i="4"/>
  <c r="AZ45" i="4"/>
  <c r="BC45" i="4"/>
  <c r="BD45" i="4"/>
  <c r="BE45" i="4"/>
  <c r="AS46" i="4"/>
  <c r="AT46" i="4"/>
  <c r="AU46" i="4"/>
  <c r="AX46" i="4"/>
  <c r="AY46" i="4"/>
  <c r="AZ46" i="4"/>
  <c r="BC46" i="4"/>
  <c r="BD46" i="4"/>
  <c r="BE46" i="4"/>
  <c r="AS47" i="4"/>
  <c r="AT47" i="4"/>
  <c r="AU47" i="4"/>
  <c r="AX47" i="4"/>
  <c r="AY47" i="4"/>
  <c r="AZ47" i="4"/>
  <c r="BC47" i="4"/>
  <c r="BD47" i="4"/>
  <c r="BE47" i="4"/>
  <c r="AS48" i="4"/>
  <c r="AT48" i="4"/>
  <c r="AU48" i="4"/>
  <c r="AX48" i="4"/>
  <c r="AY48" i="4"/>
  <c r="AZ48" i="4"/>
  <c r="BC48" i="4"/>
  <c r="BD48" i="4"/>
  <c r="BE48" i="4"/>
  <c r="AS49" i="4"/>
  <c r="AT49" i="4"/>
  <c r="AU49" i="4"/>
  <c r="AX49" i="4"/>
  <c r="AY49" i="4"/>
  <c r="AZ49" i="4"/>
  <c r="BC49" i="4"/>
  <c r="BD49" i="4"/>
  <c r="BE49" i="4"/>
  <c r="AS50" i="4"/>
  <c r="AT50" i="4"/>
  <c r="AU50" i="4"/>
  <c r="AX50" i="4"/>
  <c r="AY50" i="4"/>
  <c r="AZ50" i="4"/>
  <c r="BC50" i="4"/>
  <c r="BD50" i="4"/>
  <c r="BE50" i="4"/>
  <c r="AS51" i="4"/>
  <c r="AT51" i="4"/>
  <c r="AU51" i="4"/>
  <c r="AX51" i="4"/>
  <c r="AY51" i="4"/>
  <c r="AZ51" i="4"/>
  <c r="BC51" i="4"/>
  <c r="BD51" i="4"/>
  <c r="BE51" i="4"/>
  <c r="AS52" i="4"/>
  <c r="AT52" i="4"/>
  <c r="AU52" i="4"/>
  <c r="AX52" i="4"/>
  <c r="AY52" i="4"/>
  <c r="AZ52" i="4"/>
  <c r="BC52" i="4"/>
  <c r="BD52" i="4"/>
  <c r="BE52" i="4"/>
  <c r="AS53" i="4"/>
  <c r="AT53" i="4"/>
  <c r="AU53" i="4"/>
  <c r="AX53" i="4"/>
  <c r="AY53" i="4"/>
  <c r="AZ53" i="4"/>
  <c r="BC53" i="4"/>
  <c r="BD53" i="4"/>
  <c r="BE53" i="4"/>
  <c r="AS54" i="4"/>
  <c r="AT54" i="4"/>
  <c r="AU54" i="4"/>
  <c r="AX54" i="4"/>
  <c r="AY54" i="4"/>
  <c r="AZ54" i="4"/>
  <c r="BC54" i="4"/>
  <c r="BD54" i="4"/>
  <c r="BE54" i="4"/>
  <c r="AS55" i="4"/>
  <c r="AT55" i="4"/>
  <c r="AU55" i="4"/>
  <c r="AX55" i="4"/>
  <c r="AY55" i="4"/>
  <c r="AZ55" i="4"/>
  <c r="BC55" i="4"/>
  <c r="BD55" i="4"/>
  <c r="BE55" i="4"/>
  <c r="AS56" i="4"/>
  <c r="AT56" i="4"/>
  <c r="AU56" i="4"/>
  <c r="AX56" i="4"/>
  <c r="AY56" i="4"/>
  <c r="AZ56" i="4"/>
  <c r="BC56" i="4"/>
  <c r="BD56" i="4"/>
  <c r="BE56" i="4"/>
  <c r="AS57" i="4"/>
  <c r="AT57" i="4"/>
  <c r="AU57" i="4"/>
  <c r="AX57" i="4"/>
  <c r="AY57" i="4"/>
  <c r="AZ57" i="4"/>
  <c r="BC57" i="4"/>
  <c r="BD57" i="4"/>
  <c r="BE57" i="4"/>
  <c r="AS58" i="4"/>
  <c r="AT58" i="4"/>
  <c r="AU58" i="4"/>
  <c r="AX58" i="4"/>
  <c r="AY58" i="4"/>
  <c r="AZ58" i="4"/>
  <c r="BC58" i="4"/>
  <c r="BD58" i="4"/>
  <c r="BE58" i="4"/>
  <c r="AS59" i="4"/>
  <c r="AT59" i="4"/>
  <c r="AU59" i="4"/>
  <c r="AX59" i="4"/>
  <c r="AY59" i="4"/>
  <c r="AZ59" i="4"/>
  <c r="BC59" i="4"/>
  <c r="BD59" i="4"/>
  <c r="BE59" i="4"/>
  <c r="AS60" i="4"/>
  <c r="AT60" i="4"/>
  <c r="AU60" i="4"/>
  <c r="AX60" i="4"/>
  <c r="AY60" i="4"/>
  <c r="AZ60" i="4"/>
  <c r="BC60" i="4"/>
  <c r="BD60" i="4"/>
  <c r="BE60" i="4"/>
  <c r="AS61" i="4"/>
  <c r="AT61" i="4"/>
  <c r="AU61" i="4"/>
  <c r="AX61" i="4"/>
  <c r="AY61" i="4"/>
  <c r="AZ61" i="4"/>
  <c r="BC61" i="4"/>
  <c r="BD61" i="4"/>
  <c r="BE61" i="4"/>
  <c r="AS63" i="4"/>
  <c r="AT63" i="4"/>
  <c r="AU63" i="4"/>
  <c r="AX63" i="4"/>
  <c r="AY63" i="4"/>
  <c r="AZ63" i="4"/>
  <c r="BC63" i="4"/>
  <c r="BD63" i="4"/>
  <c r="BE63" i="4"/>
  <c r="AS64" i="4"/>
  <c r="AT64" i="4"/>
  <c r="AU64" i="4"/>
  <c r="AX64" i="4"/>
  <c r="AY64" i="4"/>
  <c r="AZ64" i="4"/>
  <c r="BC64" i="4"/>
  <c r="BD64" i="4"/>
  <c r="BE64" i="4"/>
  <c r="AS65" i="4"/>
  <c r="AT65" i="4"/>
  <c r="AU65" i="4"/>
  <c r="AX65" i="4"/>
  <c r="AY65" i="4"/>
  <c r="AZ65" i="4"/>
  <c r="BC65" i="4"/>
  <c r="BD65" i="4"/>
  <c r="BE65" i="4"/>
  <c r="AS66" i="4"/>
  <c r="AT66" i="4"/>
  <c r="AU66" i="4"/>
  <c r="AX66" i="4"/>
  <c r="AY66" i="4"/>
  <c r="AZ66" i="4"/>
  <c r="BC66" i="4"/>
  <c r="BD66" i="4"/>
  <c r="BE66" i="4"/>
  <c r="AS67" i="4"/>
  <c r="AT67" i="4"/>
  <c r="AU67" i="4"/>
  <c r="AX67" i="4"/>
  <c r="AY67" i="4"/>
  <c r="AZ67" i="4"/>
  <c r="BC67" i="4"/>
  <c r="BD67" i="4"/>
  <c r="BE67" i="4"/>
  <c r="AS68" i="4"/>
  <c r="AT68" i="4"/>
  <c r="AU68" i="4"/>
  <c r="AX68" i="4"/>
  <c r="AY68" i="4"/>
  <c r="AZ68" i="4"/>
  <c r="BC68" i="4"/>
  <c r="BD68" i="4"/>
  <c r="BE68" i="4"/>
  <c r="AS69" i="4"/>
  <c r="AT69" i="4"/>
  <c r="AU69" i="4"/>
  <c r="AX69" i="4"/>
  <c r="AY69" i="4"/>
  <c r="AZ69" i="4"/>
  <c r="BC69" i="4"/>
  <c r="BD69" i="4"/>
  <c r="BE69" i="4"/>
  <c r="AS70" i="4"/>
  <c r="AT70" i="4"/>
  <c r="AU70" i="4"/>
  <c r="AX70" i="4"/>
  <c r="AY70" i="4"/>
  <c r="AZ70" i="4"/>
  <c r="BC70" i="4"/>
  <c r="BD70" i="4"/>
  <c r="BE70" i="4"/>
  <c r="AS71" i="4"/>
  <c r="AT71" i="4"/>
  <c r="AU71" i="4"/>
  <c r="AX71" i="4"/>
  <c r="AY71" i="4"/>
  <c r="AZ71" i="4"/>
  <c r="BC71" i="4"/>
  <c r="BD71" i="4"/>
  <c r="BE71" i="4"/>
  <c r="AS72" i="4"/>
  <c r="AT72" i="4"/>
  <c r="AU72" i="4"/>
  <c r="AX72" i="4"/>
  <c r="AY72" i="4"/>
  <c r="AZ72" i="4"/>
  <c r="BC72" i="4"/>
  <c r="BD72" i="4"/>
  <c r="BE72" i="4"/>
  <c r="AS73" i="4"/>
  <c r="AT73" i="4"/>
  <c r="AU73" i="4"/>
  <c r="AX73" i="4"/>
  <c r="AY73" i="4"/>
  <c r="AZ73" i="4"/>
  <c r="BC73" i="4"/>
  <c r="BD73" i="4"/>
  <c r="BE73" i="4"/>
  <c r="AS74" i="4"/>
  <c r="AT74" i="4"/>
  <c r="AU74" i="4"/>
  <c r="AX74" i="4"/>
  <c r="AY74" i="4"/>
  <c r="AZ74" i="4"/>
  <c r="BC74" i="4"/>
  <c r="BD74" i="4"/>
  <c r="BE74" i="4"/>
  <c r="AS75" i="4"/>
  <c r="AT75" i="4"/>
  <c r="AU75" i="4"/>
  <c r="AX75" i="4"/>
  <c r="AY75" i="4"/>
  <c r="AZ75" i="4"/>
  <c r="BC75" i="4"/>
  <c r="BD75" i="4"/>
  <c r="BE75" i="4"/>
  <c r="AS76" i="4"/>
  <c r="AT76" i="4"/>
  <c r="AU76" i="4"/>
  <c r="AX76" i="4"/>
  <c r="AY76" i="4"/>
  <c r="AZ76" i="4"/>
  <c r="BC76" i="4"/>
  <c r="BD76" i="4"/>
  <c r="BE76" i="4"/>
  <c r="AS77" i="4"/>
  <c r="AT77" i="4"/>
  <c r="AU77" i="4"/>
  <c r="AX77" i="4"/>
  <c r="AY77" i="4"/>
  <c r="AZ77" i="4"/>
  <c r="BC77" i="4"/>
  <c r="BD77" i="4"/>
  <c r="BE77" i="4"/>
  <c r="AS78" i="4"/>
  <c r="AT78" i="4"/>
  <c r="AU78" i="4"/>
  <c r="AX78" i="4"/>
  <c r="AY78" i="4"/>
  <c r="AZ78" i="4"/>
  <c r="BC78" i="4"/>
  <c r="BD78" i="4"/>
  <c r="BE78" i="4"/>
  <c r="AS82" i="4"/>
  <c r="AT82" i="4"/>
  <c r="AU82" i="4"/>
  <c r="AX82" i="4"/>
  <c r="AY82" i="4"/>
  <c r="AZ82" i="4"/>
  <c r="BC82" i="4"/>
  <c r="BD82" i="4"/>
  <c r="BE82" i="4"/>
  <c r="AS83" i="4"/>
  <c r="AT83" i="4"/>
  <c r="AU83" i="4"/>
  <c r="AX83" i="4"/>
  <c r="AY83" i="4"/>
  <c r="AZ83" i="4"/>
  <c r="BC83" i="4"/>
  <c r="BD83" i="4"/>
  <c r="BE83" i="4"/>
  <c r="AS85" i="4"/>
  <c r="AT85" i="4"/>
  <c r="AU85" i="4"/>
  <c r="AX85" i="4"/>
  <c r="AY85" i="4"/>
  <c r="AZ85" i="4"/>
  <c r="BC85" i="4"/>
  <c r="BD85" i="4"/>
  <c r="BE85" i="4"/>
  <c r="AS86" i="4"/>
  <c r="AT86" i="4"/>
  <c r="AU86" i="4"/>
  <c r="AX86" i="4"/>
  <c r="AY86" i="4"/>
  <c r="AZ86" i="4"/>
  <c r="BC86" i="4"/>
  <c r="BD86" i="4"/>
  <c r="BE86" i="4"/>
  <c r="AS87" i="4"/>
  <c r="AT87" i="4"/>
  <c r="AU87" i="4"/>
  <c r="AX87" i="4"/>
  <c r="AY87" i="4"/>
  <c r="AZ87" i="4"/>
  <c r="BC87" i="4"/>
  <c r="BD87" i="4"/>
  <c r="BE87" i="4"/>
  <c r="AS88" i="4"/>
  <c r="AT88" i="4"/>
  <c r="AU88" i="4"/>
  <c r="AX88" i="4"/>
  <c r="AY88" i="4"/>
  <c r="AZ88" i="4"/>
  <c r="BC88" i="4"/>
  <c r="BD88" i="4"/>
  <c r="BE88" i="4"/>
  <c r="AS89" i="4"/>
  <c r="AT89" i="4"/>
  <c r="AU89" i="4"/>
  <c r="AX89" i="4"/>
  <c r="AY89" i="4"/>
  <c r="AZ89" i="4"/>
  <c r="BC89" i="4"/>
  <c r="BD89" i="4"/>
  <c r="BE89" i="4"/>
  <c r="AS90" i="4"/>
  <c r="AT90" i="4"/>
  <c r="AU90" i="4"/>
  <c r="AX90" i="4"/>
  <c r="AY90" i="4"/>
  <c r="AZ90" i="4"/>
  <c r="BC90" i="4"/>
  <c r="BD90" i="4"/>
  <c r="BE90" i="4"/>
  <c r="AS91" i="4"/>
  <c r="AT91" i="4"/>
  <c r="AU91" i="4"/>
  <c r="AX91" i="4"/>
  <c r="AY91" i="4"/>
  <c r="AZ91" i="4"/>
  <c r="BC91" i="4"/>
  <c r="BD91" i="4"/>
  <c r="BE91" i="4"/>
  <c r="AS93" i="4"/>
  <c r="AT93" i="4"/>
  <c r="AU93" i="4"/>
  <c r="AX93" i="4"/>
  <c r="AY93" i="4"/>
  <c r="AZ93" i="4"/>
  <c r="BC93" i="4"/>
  <c r="BD93" i="4"/>
  <c r="BE93" i="4"/>
  <c r="AS94" i="4"/>
  <c r="AT94" i="4"/>
  <c r="AU94" i="4"/>
  <c r="AX94" i="4"/>
  <c r="AY94" i="4"/>
  <c r="AZ94" i="4"/>
  <c r="BC94" i="4"/>
  <c r="BD94" i="4"/>
  <c r="BE94" i="4"/>
  <c r="AS95" i="4"/>
  <c r="AT95" i="4"/>
  <c r="AU95" i="4"/>
  <c r="AX95" i="4"/>
  <c r="AY95" i="4"/>
  <c r="AZ95" i="4"/>
  <c r="BC95" i="4"/>
  <c r="BD95" i="4"/>
  <c r="BE95" i="4"/>
  <c r="AS96" i="4"/>
  <c r="AT96" i="4"/>
  <c r="AU96" i="4"/>
  <c r="AX96" i="4"/>
  <c r="AY96" i="4"/>
  <c r="AZ96" i="4"/>
  <c r="BC96" i="4"/>
  <c r="BD96" i="4"/>
  <c r="BE96" i="4"/>
  <c r="AS97" i="4"/>
  <c r="AT97" i="4"/>
  <c r="AU97" i="4"/>
  <c r="AX97" i="4"/>
  <c r="AY97" i="4"/>
  <c r="AZ97" i="4"/>
  <c r="BC97" i="4"/>
  <c r="BD97" i="4"/>
  <c r="BE97" i="4"/>
  <c r="AS98" i="4"/>
  <c r="AT98" i="4"/>
  <c r="AU98" i="4"/>
  <c r="AX98" i="4"/>
  <c r="AY98" i="4"/>
  <c r="AZ98" i="4"/>
  <c r="BC98" i="4"/>
  <c r="BD98" i="4"/>
  <c r="BE98" i="4"/>
  <c r="AS100" i="4"/>
  <c r="AT100" i="4"/>
  <c r="AU100" i="4"/>
  <c r="AX100" i="4"/>
  <c r="AY100" i="4"/>
  <c r="AZ100" i="4"/>
  <c r="BC100" i="4"/>
  <c r="BD100" i="4"/>
  <c r="BE100" i="4"/>
  <c r="AS101" i="4"/>
  <c r="AT101" i="4"/>
  <c r="AU101" i="4"/>
  <c r="AX101" i="4"/>
  <c r="AY101" i="4"/>
  <c r="AZ101" i="4"/>
  <c r="BC101" i="4"/>
  <c r="BD101" i="4"/>
  <c r="BE101" i="4"/>
  <c r="AS102" i="4"/>
  <c r="AT102" i="4"/>
  <c r="AU102" i="4"/>
  <c r="AX102" i="4"/>
  <c r="AY102" i="4"/>
  <c r="AZ102" i="4"/>
  <c r="BC102" i="4"/>
  <c r="BD102" i="4"/>
  <c r="BE102" i="4"/>
  <c r="AS103" i="4"/>
  <c r="AT103" i="4"/>
  <c r="AU103" i="4"/>
  <c r="AX103" i="4"/>
  <c r="AY103" i="4"/>
  <c r="AZ103" i="4"/>
  <c r="BC103" i="4"/>
  <c r="BD103" i="4"/>
  <c r="BE103" i="4"/>
  <c r="AS104" i="4"/>
  <c r="AT104" i="4"/>
  <c r="AU104" i="4"/>
  <c r="AX104" i="4"/>
  <c r="AY104" i="4"/>
  <c r="AZ104" i="4"/>
  <c r="BC104" i="4"/>
  <c r="BD104" i="4"/>
  <c r="BE104" i="4"/>
  <c r="AS105" i="4"/>
  <c r="AT105" i="4"/>
  <c r="AU105" i="4"/>
  <c r="AX105" i="4"/>
  <c r="AY105" i="4"/>
  <c r="AZ105" i="4"/>
  <c r="BC105" i="4"/>
  <c r="BD105" i="4"/>
  <c r="BE105" i="4"/>
  <c r="AS106" i="4"/>
  <c r="AT106" i="4"/>
  <c r="AU106" i="4"/>
  <c r="AX106" i="4"/>
  <c r="AY106" i="4"/>
  <c r="AZ106" i="4"/>
  <c r="BC106" i="4"/>
  <c r="BD106" i="4"/>
  <c r="BE106" i="4"/>
  <c r="AS107" i="4"/>
  <c r="AT107" i="4"/>
  <c r="AU107" i="4"/>
  <c r="AX107" i="4"/>
  <c r="AY107" i="4"/>
  <c r="AZ107" i="4"/>
  <c r="BC107" i="4"/>
  <c r="BD107" i="4"/>
  <c r="BE107" i="4"/>
  <c r="AS108" i="4"/>
  <c r="AT108" i="4"/>
  <c r="AU108" i="4"/>
  <c r="AX108" i="4"/>
  <c r="AY108" i="4"/>
  <c r="AZ108" i="4"/>
  <c r="BC108" i="4"/>
  <c r="BD108" i="4"/>
  <c r="BE108" i="4"/>
  <c r="AS109" i="4"/>
  <c r="AT109" i="4"/>
  <c r="AU109" i="4"/>
  <c r="AX109" i="4"/>
  <c r="AY109" i="4"/>
  <c r="AZ109" i="4"/>
  <c r="BC109" i="4"/>
  <c r="BD109" i="4"/>
  <c r="BE109" i="4"/>
  <c r="AS110" i="4"/>
  <c r="AT110" i="4"/>
  <c r="AU110" i="4"/>
  <c r="AX110" i="4"/>
  <c r="AY110" i="4"/>
  <c r="AZ110" i="4"/>
  <c r="BC110" i="4"/>
  <c r="BD110" i="4"/>
  <c r="BE110" i="4"/>
  <c r="L14" i="2" l="1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F37" i="4"/>
  <c r="F38" i="4"/>
  <c r="F39" i="4"/>
  <c r="F40" i="4"/>
  <c r="F41" i="4"/>
  <c r="F42" i="4"/>
  <c r="F43" i="4"/>
  <c r="F44" i="4"/>
  <c r="F45" i="4"/>
  <c r="F46" i="4"/>
  <c r="F47" i="4"/>
  <c r="F48" i="4"/>
  <c r="G37" i="4"/>
  <c r="G38" i="4"/>
  <c r="G39" i="4"/>
  <c r="G40" i="4"/>
  <c r="G41" i="4"/>
  <c r="G42" i="4"/>
  <c r="G43" i="4"/>
  <c r="G44" i="4"/>
  <c r="G45" i="4"/>
  <c r="G46" i="4"/>
  <c r="G47" i="4"/>
  <c r="G48" i="4"/>
  <c r="H37" i="4"/>
  <c r="H38" i="4"/>
  <c r="H39" i="4"/>
  <c r="H40" i="4"/>
  <c r="H41" i="4"/>
  <c r="H42" i="4"/>
  <c r="H43" i="4"/>
  <c r="H44" i="4"/>
  <c r="H45" i="4"/>
  <c r="H46" i="4"/>
  <c r="H47" i="4"/>
  <c r="H48" i="4"/>
  <c r="I37" i="4"/>
  <c r="I38" i="4"/>
  <c r="I39" i="4"/>
  <c r="I40" i="4"/>
  <c r="I41" i="4"/>
  <c r="I42" i="4"/>
  <c r="I43" i="4"/>
  <c r="I44" i="4"/>
  <c r="I45" i="4"/>
  <c r="I46" i="4"/>
  <c r="I47" i="4"/>
  <c r="I48" i="4"/>
  <c r="J37" i="4"/>
  <c r="J38" i="4"/>
  <c r="J39" i="4"/>
  <c r="J40" i="4"/>
  <c r="J41" i="4"/>
  <c r="J42" i="4"/>
  <c r="J43" i="4"/>
  <c r="J44" i="4"/>
  <c r="J45" i="4"/>
  <c r="J46" i="4"/>
  <c r="J47" i="4"/>
  <c r="J48" i="4"/>
  <c r="K37" i="4"/>
  <c r="K38" i="4"/>
  <c r="K39" i="4"/>
  <c r="K40" i="4"/>
  <c r="K41" i="4"/>
  <c r="K42" i="4"/>
  <c r="K43" i="4"/>
  <c r="K44" i="4"/>
  <c r="K45" i="4"/>
  <c r="K46" i="4"/>
  <c r="K47" i="4"/>
  <c r="K48" i="4"/>
  <c r="L37" i="4"/>
  <c r="L38" i="4"/>
  <c r="L39" i="4"/>
  <c r="L40" i="4"/>
  <c r="L41" i="4"/>
  <c r="L42" i="4"/>
  <c r="L43" i="4"/>
  <c r="L44" i="4"/>
  <c r="L45" i="4"/>
  <c r="L46" i="4"/>
  <c r="L47" i="4"/>
  <c r="L48" i="4"/>
  <c r="M37" i="4"/>
  <c r="M38" i="4"/>
  <c r="M39" i="4"/>
  <c r="M40" i="4"/>
  <c r="M41" i="4"/>
  <c r="M42" i="4"/>
  <c r="M43" i="4"/>
  <c r="M44" i="4"/>
  <c r="M45" i="4"/>
  <c r="M46" i="4"/>
  <c r="M47" i="4"/>
  <c r="M48" i="4"/>
  <c r="N37" i="4"/>
  <c r="N38" i="4"/>
  <c r="N39" i="4"/>
  <c r="N40" i="4"/>
  <c r="N41" i="4"/>
  <c r="N42" i="4"/>
  <c r="N43" i="4"/>
  <c r="N44" i="4"/>
  <c r="N45" i="4"/>
  <c r="N46" i="4"/>
  <c r="N47" i="4"/>
  <c r="N48" i="4"/>
  <c r="Q37" i="4"/>
  <c r="Q38" i="4"/>
  <c r="Q39" i="4"/>
  <c r="Q40" i="4"/>
  <c r="Q41" i="4"/>
  <c r="Q42" i="4"/>
  <c r="Q43" i="4"/>
  <c r="Q44" i="4"/>
  <c r="Q45" i="4"/>
  <c r="Q46" i="4"/>
  <c r="Q47" i="4"/>
  <c r="Q48" i="4"/>
  <c r="R37" i="4"/>
  <c r="R38" i="4"/>
  <c r="R39" i="4"/>
  <c r="R40" i="4"/>
  <c r="R41" i="4"/>
  <c r="R42" i="4"/>
  <c r="R43" i="4"/>
  <c r="R44" i="4"/>
  <c r="R45" i="4"/>
  <c r="R46" i="4"/>
  <c r="R47" i="4"/>
  <c r="R48" i="4"/>
  <c r="S37" i="4"/>
  <c r="S38" i="4"/>
  <c r="S39" i="4"/>
  <c r="S40" i="4"/>
  <c r="S41" i="4"/>
  <c r="S42" i="4"/>
  <c r="S43" i="4"/>
  <c r="S44" i="4"/>
  <c r="S45" i="4"/>
  <c r="S46" i="4"/>
  <c r="S47" i="4"/>
  <c r="S48" i="4"/>
  <c r="T37" i="4"/>
  <c r="T38" i="4"/>
  <c r="T39" i="4"/>
  <c r="T40" i="4"/>
  <c r="T41" i="4"/>
  <c r="T42" i="4"/>
  <c r="T43" i="4"/>
  <c r="T44" i="4"/>
  <c r="T45" i="4"/>
  <c r="T46" i="4"/>
  <c r="T47" i="4"/>
  <c r="T48" i="4"/>
  <c r="U37" i="4"/>
  <c r="U38" i="4"/>
  <c r="U39" i="4"/>
  <c r="U40" i="4"/>
  <c r="U41" i="4"/>
  <c r="U42" i="4"/>
  <c r="U43" i="4"/>
  <c r="U44" i="4"/>
  <c r="U45" i="4"/>
  <c r="U46" i="4"/>
  <c r="U47" i="4"/>
  <c r="U48" i="4"/>
  <c r="V37" i="4"/>
  <c r="V38" i="4"/>
  <c r="V39" i="4"/>
  <c r="V40" i="4"/>
  <c r="V41" i="4"/>
  <c r="V42" i="4"/>
  <c r="V43" i="4"/>
  <c r="V44" i="4"/>
  <c r="V45" i="4"/>
  <c r="V46" i="4"/>
  <c r="V47" i="4"/>
  <c r="V48" i="4"/>
  <c r="W37" i="4"/>
  <c r="W38" i="4"/>
  <c r="W39" i="4"/>
  <c r="W40" i="4"/>
  <c r="W41" i="4"/>
  <c r="W42" i="4"/>
  <c r="W43" i="4"/>
  <c r="W44" i="4"/>
  <c r="W45" i="4"/>
  <c r="W46" i="4"/>
  <c r="W47" i="4"/>
  <c r="W48" i="4"/>
  <c r="X37" i="4"/>
  <c r="X38" i="4"/>
  <c r="X39" i="4"/>
  <c r="X40" i="4"/>
  <c r="X41" i="4"/>
  <c r="X42" i="4"/>
  <c r="X43" i="4"/>
  <c r="X44" i="4"/>
  <c r="X45" i="4"/>
  <c r="X46" i="4"/>
  <c r="X47" i="4"/>
  <c r="X48" i="4"/>
  <c r="Y37" i="4"/>
  <c r="Y38" i="4"/>
  <c r="Y39" i="4"/>
  <c r="Y40" i="4"/>
  <c r="Y41" i="4"/>
  <c r="Y42" i="4"/>
  <c r="Y43" i="4"/>
  <c r="Y44" i="4"/>
  <c r="Y45" i="4"/>
  <c r="Y46" i="4"/>
  <c r="Y47" i="4"/>
  <c r="Y48" i="4"/>
  <c r="Z37" i="4"/>
  <c r="Z38" i="4"/>
  <c r="Z39" i="4"/>
  <c r="Z40" i="4"/>
  <c r="Z41" i="4"/>
  <c r="Z42" i="4"/>
  <c r="Z43" i="4"/>
  <c r="Z44" i="4"/>
  <c r="Z45" i="4"/>
  <c r="Z46" i="4"/>
  <c r="Z47" i="4"/>
  <c r="Z48" i="4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B5" i="2"/>
  <c r="L15" i="2" l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V18" i="7" l="1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W18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W9" i="7" s="1"/>
  <c r="N26" i="7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V15" i="7" l="1"/>
  <c r="W15" i="7"/>
  <c r="V71" i="7"/>
  <c r="V12" i="7"/>
  <c r="W71" i="7"/>
  <c r="V65" i="7"/>
  <c r="V74" i="7"/>
  <c r="W65" i="7"/>
  <c r="W74" i="7"/>
  <c r="V9" i="7"/>
  <c r="U9" i="7" s="1"/>
  <c r="W12" i="7"/>
  <c r="U18" i="7"/>
  <c r="V68" i="7"/>
  <c r="W68" i="7"/>
  <c r="U62" i="7"/>
  <c r="N22" i="4"/>
  <c r="N20" i="4"/>
  <c r="N21" i="4"/>
  <c r="N19" i="4"/>
  <c r="N18" i="4"/>
  <c r="N16" i="4"/>
  <c r="N17" i="4"/>
  <c r="N15" i="4"/>
  <c r="N14" i="4"/>
  <c r="N13" i="4"/>
  <c r="N12" i="4"/>
  <c r="N11" i="4"/>
  <c r="N10" i="4"/>
  <c r="N9" i="4"/>
  <c r="N8" i="4"/>
  <c r="N6" i="4"/>
  <c r="N7" i="4"/>
  <c r="M22" i="4"/>
  <c r="M20" i="4"/>
  <c r="M21" i="4"/>
  <c r="M19" i="4"/>
  <c r="M18" i="4"/>
  <c r="M16" i="4"/>
  <c r="M17" i="4"/>
  <c r="M15" i="4"/>
  <c r="M14" i="4"/>
  <c r="M13" i="4"/>
  <c r="M12" i="4"/>
  <c r="M11" i="4"/>
  <c r="M10" i="4"/>
  <c r="M9" i="4"/>
  <c r="M8" i="4"/>
  <c r="M6" i="4"/>
  <c r="M7" i="4"/>
  <c r="L22" i="4"/>
  <c r="L20" i="4"/>
  <c r="L21" i="4"/>
  <c r="L19" i="4"/>
  <c r="L18" i="4"/>
  <c r="L16" i="4"/>
  <c r="L17" i="4"/>
  <c r="L15" i="4"/>
  <c r="L14" i="4"/>
  <c r="L13" i="4"/>
  <c r="L12" i="4"/>
  <c r="L11" i="4"/>
  <c r="L10" i="4"/>
  <c r="L9" i="4"/>
  <c r="L8" i="4"/>
  <c r="L6" i="4"/>
  <c r="L7" i="4"/>
  <c r="K22" i="4"/>
  <c r="K20" i="4"/>
  <c r="K21" i="4"/>
  <c r="K19" i="4"/>
  <c r="K18" i="4"/>
  <c r="K16" i="4"/>
  <c r="K17" i="4"/>
  <c r="K15" i="4"/>
  <c r="K14" i="4"/>
  <c r="K13" i="4"/>
  <c r="K12" i="4"/>
  <c r="K11" i="4"/>
  <c r="K10" i="4"/>
  <c r="K9" i="4"/>
  <c r="K8" i="4"/>
  <c r="K6" i="4"/>
  <c r="K7" i="4"/>
  <c r="J22" i="4"/>
  <c r="J20" i="4"/>
  <c r="J21" i="4"/>
  <c r="J19" i="4"/>
  <c r="J18" i="4"/>
  <c r="J16" i="4"/>
  <c r="J17" i="4"/>
  <c r="J15" i="4"/>
  <c r="J14" i="4"/>
  <c r="J13" i="4"/>
  <c r="J12" i="4"/>
  <c r="J11" i="4"/>
  <c r="J10" i="4"/>
  <c r="J9" i="4"/>
  <c r="J8" i="4"/>
  <c r="J6" i="4"/>
  <c r="J7" i="4"/>
  <c r="I22" i="4"/>
  <c r="I20" i="4"/>
  <c r="I21" i="4"/>
  <c r="I19" i="4"/>
  <c r="I18" i="4"/>
  <c r="I16" i="4"/>
  <c r="I17" i="4"/>
  <c r="I15" i="4"/>
  <c r="I14" i="4"/>
  <c r="I13" i="4"/>
  <c r="I12" i="4"/>
  <c r="I11" i="4"/>
  <c r="I10" i="4"/>
  <c r="I9" i="4"/>
  <c r="I8" i="4"/>
  <c r="I6" i="4"/>
  <c r="I7" i="4"/>
  <c r="H22" i="4"/>
  <c r="H20" i="4"/>
  <c r="H21" i="4"/>
  <c r="H19" i="4"/>
  <c r="H18" i="4"/>
  <c r="H16" i="4"/>
  <c r="H17" i="4"/>
  <c r="H15" i="4"/>
  <c r="H14" i="4"/>
  <c r="H13" i="4"/>
  <c r="H12" i="4"/>
  <c r="H11" i="4"/>
  <c r="H10" i="4"/>
  <c r="H9" i="4"/>
  <c r="H8" i="4"/>
  <c r="H6" i="4"/>
  <c r="H7" i="4"/>
  <c r="G22" i="4"/>
  <c r="G20" i="4"/>
  <c r="G21" i="4"/>
  <c r="G19" i="4"/>
  <c r="G18" i="4"/>
  <c r="G16" i="4"/>
  <c r="G17" i="4"/>
  <c r="G15" i="4"/>
  <c r="G14" i="4"/>
  <c r="G13" i="4"/>
  <c r="G12" i="4"/>
  <c r="G11" i="4"/>
  <c r="G10" i="4"/>
  <c r="G9" i="4"/>
  <c r="G8" i="4"/>
  <c r="G6" i="4"/>
  <c r="G7" i="4"/>
  <c r="F22" i="4"/>
  <c r="F20" i="4"/>
  <c r="F21" i="4"/>
  <c r="F19" i="4"/>
  <c r="F18" i="4"/>
  <c r="F16" i="4"/>
  <c r="F17" i="4"/>
  <c r="F15" i="4"/>
  <c r="F14" i="4"/>
  <c r="F13" i="4"/>
  <c r="F12" i="4"/>
  <c r="F11" i="4"/>
  <c r="F10" i="4"/>
  <c r="F9" i="4"/>
  <c r="F8" i="4"/>
  <c r="F6" i="4"/>
  <c r="F7" i="4"/>
  <c r="Q18" i="4"/>
  <c r="Q16" i="4"/>
  <c r="Q17" i="4"/>
  <c r="Q15" i="4"/>
  <c r="Q14" i="4"/>
  <c r="Q13" i="4"/>
  <c r="Q12" i="4"/>
  <c r="Q11" i="4"/>
  <c r="Q10" i="4"/>
  <c r="Q9" i="4"/>
  <c r="Q8" i="4"/>
  <c r="Q6" i="4"/>
  <c r="Q7" i="4"/>
  <c r="R18" i="4"/>
  <c r="R16" i="4"/>
  <c r="R17" i="4"/>
  <c r="R15" i="4"/>
  <c r="R14" i="4"/>
  <c r="R13" i="4"/>
  <c r="R12" i="4"/>
  <c r="R11" i="4"/>
  <c r="R10" i="4"/>
  <c r="R8" i="4"/>
  <c r="R6" i="4"/>
  <c r="R7" i="4"/>
  <c r="S18" i="4"/>
  <c r="S16" i="4"/>
  <c r="S17" i="4"/>
  <c r="S15" i="4"/>
  <c r="S14" i="4"/>
  <c r="S13" i="4"/>
  <c r="S12" i="4"/>
  <c r="S11" i="4"/>
  <c r="S10" i="4"/>
  <c r="S9" i="4"/>
  <c r="S8" i="4"/>
  <c r="S6" i="4"/>
  <c r="S7" i="4"/>
  <c r="T18" i="4"/>
  <c r="T16" i="4"/>
  <c r="T17" i="4"/>
  <c r="T15" i="4"/>
  <c r="T14" i="4"/>
  <c r="T13" i="4"/>
  <c r="T12" i="4"/>
  <c r="T11" i="4"/>
  <c r="T10" i="4"/>
  <c r="T9" i="4"/>
  <c r="T8" i="4"/>
  <c r="T6" i="4"/>
  <c r="T7" i="4"/>
  <c r="U18" i="4"/>
  <c r="U16" i="4"/>
  <c r="U17" i="4"/>
  <c r="U15" i="4"/>
  <c r="U14" i="4"/>
  <c r="U13" i="4"/>
  <c r="U12" i="4"/>
  <c r="U11" i="4"/>
  <c r="U10" i="4"/>
  <c r="U9" i="4"/>
  <c r="U8" i="4"/>
  <c r="U6" i="4"/>
  <c r="U7" i="4"/>
  <c r="V18" i="4"/>
  <c r="V16" i="4"/>
  <c r="V17" i="4"/>
  <c r="V15" i="4"/>
  <c r="V14" i="4"/>
  <c r="V13" i="4"/>
  <c r="V12" i="4"/>
  <c r="V11" i="4"/>
  <c r="V10" i="4"/>
  <c r="V9" i="4"/>
  <c r="V8" i="4"/>
  <c r="V6" i="4"/>
  <c r="V7" i="4"/>
  <c r="W18" i="4"/>
  <c r="W16" i="4"/>
  <c r="W17" i="4"/>
  <c r="W15" i="4"/>
  <c r="W14" i="4"/>
  <c r="W13" i="4"/>
  <c r="W12" i="4"/>
  <c r="W11" i="4"/>
  <c r="W10" i="4"/>
  <c r="W9" i="4"/>
  <c r="W8" i="4"/>
  <c r="W6" i="4"/>
  <c r="W7" i="4"/>
  <c r="X18" i="4"/>
  <c r="X16" i="4"/>
  <c r="X17" i="4"/>
  <c r="X15" i="4"/>
  <c r="X14" i="4"/>
  <c r="X13" i="4"/>
  <c r="X12" i="4"/>
  <c r="X11" i="4"/>
  <c r="X10" i="4"/>
  <c r="X9" i="4"/>
  <c r="X8" i="4"/>
  <c r="X6" i="4"/>
  <c r="X7" i="4"/>
  <c r="Y18" i="4"/>
  <c r="Y16" i="4"/>
  <c r="Y17" i="4"/>
  <c r="Y15" i="4"/>
  <c r="Y14" i="4"/>
  <c r="Y13" i="4"/>
  <c r="Y12" i="4"/>
  <c r="Y11" i="4"/>
  <c r="Y10" i="4"/>
  <c r="Y9" i="4"/>
  <c r="Y8" i="4"/>
  <c r="Y6" i="4"/>
  <c r="Y7" i="4"/>
  <c r="Z18" i="4"/>
  <c r="Z16" i="4"/>
  <c r="Z17" i="4"/>
  <c r="Z15" i="4"/>
  <c r="Z14" i="4"/>
  <c r="Z13" i="4"/>
  <c r="Z12" i="4"/>
  <c r="Z11" i="4"/>
  <c r="Z10" i="4"/>
  <c r="Z9" i="4"/>
  <c r="Z8" i="4"/>
  <c r="Z6" i="4"/>
  <c r="Z7" i="4"/>
  <c r="U15" i="7" l="1"/>
  <c r="U71" i="7"/>
  <c r="U65" i="7"/>
  <c r="U68" i="7"/>
  <c r="U74" i="7"/>
  <c r="U12" i="7"/>
  <c r="H21" i="5"/>
  <c r="H16" i="5"/>
  <c r="H21" i="6"/>
  <c r="H16" i="6"/>
  <c r="H21" i="1"/>
  <c r="H16" i="1"/>
  <c r="C3" i="1"/>
  <c r="C3" i="6"/>
  <c r="C3" i="5"/>
  <c r="H17" i="1" l="1"/>
  <c r="H20" i="1"/>
  <c r="H22" i="1"/>
  <c r="H17" i="6"/>
  <c r="H22" i="6"/>
  <c r="H20" i="6"/>
  <c r="H17" i="5"/>
  <c r="H22" i="5"/>
  <c r="H20" i="5"/>
  <c r="N145" i="4"/>
  <c r="H28" i="5" s="1"/>
  <c r="M145" i="4"/>
  <c r="G28" i="5" s="1"/>
  <c r="L145" i="4"/>
  <c r="F28" i="5" s="1"/>
  <c r="K145" i="4"/>
  <c r="H28" i="1" s="1"/>
  <c r="J145" i="4"/>
  <c r="G28" i="1" s="1"/>
  <c r="I145" i="4"/>
  <c r="F28" i="1" s="1"/>
  <c r="Z22" i="4"/>
  <c r="Z20" i="4"/>
  <c r="Z21" i="4"/>
  <c r="Z19" i="4"/>
  <c r="Y22" i="4"/>
  <c r="Y20" i="4"/>
  <c r="Y21" i="4"/>
  <c r="Y19" i="4"/>
  <c r="X22" i="4"/>
  <c r="X20" i="4"/>
  <c r="X21" i="4"/>
  <c r="X19" i="4"/>
  <c r="W22" i="4"/>
  <c r="W20" i="4"/>
  <c r="W21" i="4"/>
  <c r="W19" i="4"/>
  <c r="V22" i="4"/>
  <c r="V20" i="4"/>
  <c r="V21" i="4"/>
  <c r="V19" i="4"/>
  <c r="U22" i="4"/>
  <c r="U20" i="4"/>
  <c r="U21" i="4"/>
  <c r="U19" i="4"/>
  <c r="T22" i="4"/>
  <c r="T20" i="4"/>
  <c r="T21" i="4"/>
  <c r="T19" i="4"/>
  <c r="S22" i="4"/>
  <c r="S20" i="4"/>
  <c r="S21" i="4"/>
  <c r="S19" i="4"/>
  <c r="R22" i="4"/>
  <c r="R20" i="4"/>
  <c r="R21" i="4"/>
  <c r="R19" i="4"/>
  <c r="Q22" i="4"/>
  <c r="Q20" i="4"/>
  <c r="Q21" i="4"/>
  <c r="Q19" i="4"/>
  <c r="B4" i="2"/>
  <c r="H145" i="4"/>
  <c r="H28" i="6" s="1"/>
  <c r="G145" i="4"/>
  <c r="G28" i="6" s="1"/>
  <c r="F145" i="4"/>
  <c r="F28" i="6" s="1"/>
  <c r="I2" i="2"/>
  <c r="D4" i="2" s="1"/>
  <c r="E4" i="2" s="1"/>
  <c r="C5" i="2" l="1"/>
  <c r="F5" i="2" s="1"/>
  <c r="D5" i="2"/>
  <c r="E5" i="2" s="1"/>
  <c r="L3" i="4"/>
  <c r="C7" i="1"/>
  <c r="T7" i="1" s="1"/>
  <c r="C7" i="5"/>
  <c r="O7" i="5" s="1"/>
  <c r="D9" i="5"/>
  <c r="C10" i="5" s="1"/>
  <c r="E10" i="5" s="1"/>
  <c r="C7" i="6"/>
  <c r="J7" i="6" s="1"/>
  <c r="D9" i="1"/>
  <c r="M3" i="4"/>
  <c r="I3" i="4"/>
  <c r="D9" i="6"/>
  <c r="C10" i="6" s="1"/>
  <c r="T10" i="6" s="1"/>
  <c r="J3" i="4"/>
  <c r="F3" i="4"/>
  <c r="G3" i="4"/>
  <c r="F16" i="6" l="1"/>
  <c r="F17" i="6" s="1"/>
  <c r="F21" i="6"/>
  <c r="F16" i="1"/>
  <c r="F17" i="1" s="1"/>
  <c r="F21" i="1"/>
  <c r="G21" i="6"/>
  <c r="G16" i="6"/>
  <c r="G17" i="6" s="1"/>
  <c r="G16" i="1"/>
  <c r="G17" i="1" s="1"/>
  <c r="G21" i="1"/>
  <c r="F16" i="5"/>
  <c r="F17" i="5" s="1"/>
  <c r="F21" i="5"/>
  <c r="G21" i="5"/>
  <c r="G16" i="5"/>
  <c r="G17" i="5" s="1"/>
  <c r="C6" i="2"/>
  <c r="F6" i="2" s="1"/>
  <c r="D6" i="2"/>
  <c r="E6" i="2" s="1"/>
  <c r="J7" i="5"/>
  <c r="W10" i="6"/>
  <c r="O10" i="6"/>
  <c r="E10" i="6"/>
  <c r="J10" i="5"/>
  <c r="Z10" i="5"/>
  <c r="O10" i="5"/>
  <c r="W10" i="5"/>
  <c r="O7" i="6"/>
  <c r="Z7" i="6"/>
  <c r="E7" i="6"/>
  <c r="Z10" i="6"/>
  <c r="T10" i="5"/>
  <c r="J10" i="6"/>
  <c r="T7" i="5"/>
  <c r="E7" i="5"/>
  <c r="Z7" i="5"/>
  <c r="W7" i="5"/>
  <c r="W7" i="6"/>
  <c r="T7" i="6"/>
  <c r="G22" i="1" l="1"/>
  <c r="G20" i="1"/>
  <c r="G22" i="6"/>
  <c r="G20" i="6"/>
  <c r="F20" i="1"/>
  <c r="F22" i="1"/>
  <c r="G20" i="5"/>
  <c r="G22" i="5"/>
  <c r="F20" i="5"/>
  <c r="F22" i="5"/>
  <c r="F20" i="6"/>
  <c r="F22" i="6"/>
  <c r="C7" i="2"/>
  <c r="F7" i="2" s="1"/>
  <c r="D7" i="2"/>
  <c r="E7" i="2" s="1"/>
  <c r="D8" i="2" l="1"/>
  <c r="E8" i="2" s="1"/>
  <c r="C8" i="2"/>
  <c r="F8" i="2" s="1"/>
  <c r="C9" i="2" l="1"/>
  <c r="F9" i="2" s="1"/>
  <c r="D9" i="2"/>
  <c r="E9" i="2" s="1"/>
  <c r="C10" i="1"/>
  <c r="T10" i="1" s="1"/>
  <c r="Z7" i="1"/>
  <c r="W7" i="1"/>
  <c r="O7" i="1"/>
  <c r="J7" i="1"/>
  <c r="E7" i="1"/>
  <c r="C10" i="2" l="1"/>
  <c r="F10" i="2" s="1"/>
  <c r="D10" i="2"/>
  <c r="E10" i="2" s="1"/>
  <c r="Z10" i="1"/>
  <c r="W10" i="1"/>
  <c r="O10" i="1"/>
  <c r="J10" i="1"/>
  <c r="E10" i="1"/>
  <c r="C11" i="2" l="1"/>
  <c r="F11" i="2" s="1"/>
  <c r="D11" i="2"/>
  <c r="E11" i="2" s="1"/>
  <c r="D12" i="2" l="1"/>
  <c r="E12" i="2" s="1"/>
  <c r="C12" i="2"/>
  <c r="F12" i="2" s="1"/>
  <c r="D13" i="2" l="1"/>
  <c r="E13" i="2" s="1"/>
  <c r="C13" i="2"/>
  <c r="F13" i="2" s="1"/>
  <c r="C14" i="2" l="1"/>
  <c r="F14" i="2" s="1"/>
  <c r="D14" i="2"/>
  <c r="E14" i="2" s="1"/>
  <c r="C15" i="2" l="1"/>
  <c r="F15" i="2" s="1"/>
  <c r="D15" i="2"/>
  <c r="E15" i="2" s="1"/>
  <c r="C16" i="2" l="1"/>
  <c r="F16" i="2" s="1"/>
  <c r="D16" i="2"/>
  <c r="E16" i="2" s="1"/>
  <c r="C17" i="2" l="1"/>
  <c r="F17" i="2" s="1"/>
  <c r="D17" i="2"/>
  <c r="E17" i="2" s="1"/>
  <c r="C18" i="2" l="1"/>
  <c r="F18" i="2" s="1"/>
  <c r="D18" i="2"/>
  <c r="E18" i="2" s="1"/>
  <c r="C19" i="2" l="1"/>
  <c r="F19" i="2" s="1"/>
  <c r="D19" i="2"/>
  <c r="E19" i="2" s="1"/>
  <c r="D20" i="2" l="1"/>
  <c r="E20" i="2" s="1"/>
  <c r="C20" i="2"/>
  <c r="F20" i="2" s="1"/>
  <c r="C21" i="2" l="1"/>
  <c r="F21" i="2" s="1"/>
  <c r="D21" i="2"/>
  <c r="E21" i="2" s="1"/>
  <c r="C22" i="2" l="1"/>
  <c r="F22" i="2" s="1"/>
  <c r="D22" i="2"/>
  <c r="E22" i="2" s="1"/>
  <c r="D23" i="2" l="1"/>
  <c r="E23" i="2" s="1"/>
  <c r="C23" i="2"/>
  <c r="F23" i="2" s="1"/>
  <c r="D24" i="2" l="1"/>
  <c r="E24" i="2" s="1"/>
  <c r="C24" i="2"/>
  <c r="F24" i="2" s="1"/>
  <c r="C25" i="2" l="1"/>
  <c r="F25" i="2" s="1"/>
  <c r="D25" i="2"/>
  <c r="E25" i="2" s="1"/>
  <c r="C26" i="2" l="1"/>
  <c r="F26" i="2" s="1"/>
  <c r="D26" i="2"/>
  <c r="E26" i="2" s="1"/>
  <c r="D27" i="2" l="1"/>
  <c r="E27" i="2" s="1"/>
  <c r="C27" i="2"/>
  <c r="F27" i="2" s="1"/>
  <c r="C28" i="2" l="1"/>
  <c r="F28" i="2" s="1"/>
  <c r="D28" i="2"/>
  <c r="E28" i="2" s="1"/>
  <c r="D29" i="2" l="1"/>
  <c r="E29" i="2" s="1"/>
  <c r="C29" i="2"/>
  <c r="F29" i="2" s="1"/>
  <c r="C30" i="2" l="1"/>
  <c r="F30" i="2" s="1"/>
  <c r="D30" i="2"/>
  <c r="E30" i="2" s="1"/>
  <c r="D31" i="2" l="1"/>
  <c r="E31" i="2" s="1"/>
  <c r="C31" i="2"/>
  <c r="F31" i="2" s="1"/>
  <c r="D32" i="2" l="1"/>
  <c r="E32" i="2" s="1"/>
  <c r="C32" i="2"/>
  <c r="F32" i="2" s="1"/>
  <c r="C33" i="2" l="1"/>
  <c r="F33" i="2" s="1"/>
  <c r="D33" i="2"/>
  <c r="E33" i="2" s="1"/>
  <c r="D34" i="2" l="1"/>
  <c r="E34" i="2" s="1"/>
  <c r="C34" i="2"/>
  <c r="F34" i="2" s="1"/>
  <c r="C35" i="2" l="1"/>
  <c r="F35" i="2" s="1"/>
  <c r="D35" i="2"/>
  <c r="E35" i="2" s="1"/>
  <c r="D36" i="2" l="1"/>
  <c r="E36" i="2" s="1"/>
  <c r="C36" i="2"/>
  <c r="F36" i="2" s="1"/>
  <c r="D37" i="2" l="1"/>
  <c r="E37" i="2" s="1"/>
  <c r="C37" i="2"/>
  <c r="F37" i="2" s="1"/>
  <c r="D38" i="2" l="1"/>
  <c r="E38" i="2" s="1"/>
  <c r="C38" i="2"/>
  <c r="F38" i="2" s="1"/>
  <c r="D39" i="2" l="1"/>
  <c r="E39" i="2" s="1"/>
  <c r="C39" i="2"/>
  <c r="F39" i="2" s="1"/>
  <c r="C40" i="2" l="1"/>
  <c r="F40" i="2" s="1"/>
  <c r="D40" i="2"/>
  <c r="E40" i="2" s="1"/>
  <c r="C41" i="2" l="1"/>
  <c r="F41" i="2" s="1"/>
  <c r="D41" i="2"/>
  <c r="E41" i="2" s="1"/>
  <c r="C42" i="2" l="1"/>
  <c r="F42" i="2" s="1"/>
  <c r="D42" i="2"/>
  <c r="E42" i="2" s="1"/>
  <c r="D43" i="2" l="1"/>
  <c r="E43" i="2" s="1"/>
  <c r="C43" i="2"/>
  <c r="F43" i="2" s="1"/>
  <c r="D44" i="2" l="1"/>
  <c r="E44" i="2" s="1"/>
  <c r="C44" i="2"/>
  <c r="F44" i="2" s="1"/>
  <c r="C45" i="2" l="1"/>
  <c r="F45" i="2" s="1"/>
  <c r="D45" i="2"/>
  <c r="E45" i="2" s="1"/>
  <c r="C46" i="2" l="1"/>
  <c r="F46" i="2" s="1"/>
  <c r="D46" i="2"/>
  <c r="E46" i="2" s="1"/>
  <c r="D47" i="2" l="1"/>
  <c r="E47" i="2" s="1"/>
  <c r="C47" i="2"/>
  <c r="F47" i="2" s="1"/>
  <c r="C48" i="2" l="1"/>
  <c r="F48" i="2" s="1"/>
  <c r="D48" i="2"/>
  <c r="E48" i="2" s="1"/>
  <c r="C49" i="2" l="1"/>
  <c r="F49" i="2" s="1"/>
  <c r="D49" i="2"/>
  <c r="E49" i="2" s="1"/>
  <c r="C50" i="2" l="1"/>
  <c r="F50" i="2" s="1"/>
  <c r="D50" i="2"/>
  <c r="E50" i="2" s="1"/>
  <c r="C51" i="2" l="1"/>
  <c r="F51" i="2" s="1"/>
  <c r="D51" i="2"/>
  <c r="E51" i="2" s="1"/>
  <c r="C52" i="2" l="1"/>
  <c r="F52" i="2" s="1"/>
  <c r="D52" i="2"/>
  <c r="E52" i="2" s="1"/>
  <c r="C53" i="2" l="1"/>
  <c r="F53" i="2" s="1"/>
  <c r="D53" i="2"/>
  <c r="E53" i="2" s="1"/>
  <c r="C54" i="2" l="1"/>
  <c r="F54" i="2" s="1"/>
  <c r="D54" i="2"/>
  <c r="E54" i="2" s="1"/>
  <c r="D55" i="2" l="1"/>
  <c r="E55" i="2" s="1"/>
  <c r="C55" i="2"/>
  <c r="F55" i="2" s="1"/>
  <c r="D56" i="2" l="1"/>
  <c r="E56" i="2" s="1"/>
  <c r="C56" i="2"/>
  <c r="F56" i="2" s="1"/>
  <c r="C57" i="2" l="1"/>
  <c r="F57" i="2" s="1"/>
  <c r="D57" i="2"/>
  <c r="E57" i="2" s="1"/>
  <c r="C58" i="2" l="1"/>
  <c r="F58" i="2" s="1"/>
  <c r="D58" i="2"/>
  <c r="E58" i="2" s="1"/>
  <c r="C59" i="2" l="1"/>
  <c r="F59" i="2" s="1"/>
  <c r="D59" i="2"/>
  <c r="E59" i="2" s="1"/>
  <c r="D60" i="2" l="1"/>
  <c r="E60" i="2" s="1"/>
  <c r="C60" i="2"/>
  <c r="F60" i="2" s="1"/>
  <c r="C61" i="2" l="1"/>
  <c r="F61" i="2" s="1"/>
  <c r="D61" i="2"/>
  <c r="E61" i="2" s="1"/>
  <c r="D62" i="2" l="1"/>
  <c r="E62" i="2" s="1"/>
  <c r="C62" i="2"/>
  <c r="F62" i="2" s="1"/>
  <c r="D63" i="2" l="1"/>
  <c r="E63" i="2" s="1"/>
  <c r="C63" i="2"/>
  <c r="F63" i="2" s="1"/>
  <c r="C64" i="2" l="1"/>
  <c r="F64" i="2" s="1"/>
  <c r="D64" i="2"/>
  <c r="E64" i="2" s="1"/>
  <c r="C65" i="2" l="1"/>
  <c r="F65" i="2" s="1"/>
  <c r="D65" i="2"/>
  <c r="E65" i="2" s="1"/>
  <c r="D66" i="2" l="1"/>
  <c r="E66" i="2" s="1"/>
  <c r="C66" i="2"/>
  <c r="F66" i="2" s="1"/>
  <c r="C67" i="2" l="1"/>
  <c r="F67" i="2" s="1"/>
  <c r="D67" i="2"/>
  <c r="E67" i="2" s="1"/>
  <c r="C68" i="2" l="1"/>
  <c r="F68" i="2" s="1"/>
  <c r="D68" i="2"/>
  <c r="E68" i="2" s="1"/>
  <c r="C69" i="2" l="1"/>
  <c r="F69" i="2" s="1"/>
  <c r="D69" i="2"/>
  <c r="E69" i="2" s="1"/>
  <c r="C70" i="2" l="1"/>
  <c r="F70" i="2" s="1"/>
  <c r="D70" i="2"/>
  <c r="E70" i="2" s="1"/>
  <c r="C71" i="2" l="1"/>
  <c r="F71" i="2" s="1"/>
  <c r="D71" i="2"/>
  <c r="E71" i="2" s="1"/>
  <c r="C72" i="2" l="1"/>
  <c r="F72" i="2" s="1"/>
  <c r="D72" i="2"/>
  <c r="E72" i="2" s="1"/>
  <c r="C73" i="2" l="1"/>
  <c r="F73" i="2" s="1"/>
  <c r="D73" i="2"/>
  <c r="E73" i="2" s="1"/>
  <c r="C74" i="2" l="1"/>
  <c r="F74" i="2" s="1"/>
  <c r="D74" i="2"/>
  <c r="E74" i="2" s="1"/>
  <c r="D75" i="2" l="1"/>
  <c r="E75" i="2" s="1"/>
  <c r="C75" i="2"/>
  <c r="F75" i="2" s="1"/>
  <c r="C76" i="2" l="1"/>
  <c r="F76" i="2" s="1"/>
  <c r="D76" i="2"/>
  <c r="E76" i="2" s="1"/>
  <c r="D77" i="2" l="1"/>
  <c r="E77" i="2" s="1"/>
  <c r="C77" i="2"/>
  <c r="F77" i="2" s="1"/>
  <c r="D78" i="2" l="1"/>
  <c r="E78" i="2" s="1"/>
  <c r="C78" i="2"/>
  <c r="F78" i="2" s="1"/>
  <c r="D79" i="2" l="1"/>
  <c r="E79" i="2" s="1"/>
  <c r="C79" i="2"/>
  <c r="F79" i="2" s="1"/>
  <c r="C80" i="2" l="1"/>
  <c r="F80" i="2" s="1"/>
  <c r="D80" i="2"/>
  <c r="E80" i="2" s="1"/>
  <c r="C81" i="2" l="1"/>
  <c r="F81" i="2" s="1"/>
  <c r="D81" i="2"/>
  <c r="E81" i="2" s="1"/>
  <c r="C82" i="2" l="1"/>
  <c r="F82" i="2" s="1"/>
  <c r="D82" i="2"/>
  <c r="E82" i="2" s="1"/>
  <c r="D83" i="2" l="1"/>
  <c r="E83" i="2" s="1"/>
  <c r="C83" i="2"/>
  <c r="F83" i="2" s="1"/>
  <c r="C84" i="2" l="1"/>
  <c r="F84" i="2" s="1"/>
  <c r="D84" i="2"/>
  <c r="E84" i="2" s="1"/>
  <c r="C85" i="2" l="1"/>
  <c r="F85" i="2" s="1"/>
  <c r="D85" i="2"/>
  <c r="E85" i="2" s="1"/>
  <c r="C86" i="2" l="1"/>
  <c r="F86" i="2" s="1"/>
  <c r="D86" i="2"/>
  <c r="E86" i="2" s="1"/>
  <c r="D87" i="2" l="1"/>
  <c r="E87" i="2" s="1"/>
  <c r="C87" i="2"/>
  <c r="F87" i="2" s="1"/>
  <c r="C88" i="2" l="1"/>
  <c r="F88" i="2" s="1"/>
  <c r="D88" i="2"/>
  <c r="E88" i="2" s="1"/>
  <c r="C89" i="2" l="1"/>
  <c r="F89" i="2" s="1"/>
  <c r="D89" i="2"/>
  <c r="E89" i="2" s="1"/>
  <c r="D90" i="2" l="1"/>
  <c r="E90" i="2" s="1"/>
  <c r="C90" i="2"/>
  <c r="F90" i="2" s="1"/>
  <c r="C91" i="2" l="1"/>
  <c r="F91" i="2" s="1"/>
  <c r="D91" i="2"/>
  <c r="E91" i="2" s="1"/>
  <c r="D92" i="2" l="1"/>
  <c r="E92" i="2" s="1"/>
  <c r="C92" i="2"/>
  <c r="F92" i="2" s="1"/>
  <c r="D93" i="2" l="1"/>
  <c r="E93" i="2" s="1"/>
  <c r="C93" i="2"/>
  <c r="F93" i="2" s="1"/>
  <c r="C94" i="2" l="1"/>
  <c r="F94" i="2" s="1"/>
  <c r="D94" i="2"/>
  <c r="E94" i="2" s="1"/>
  <c r="C95" i="2" l="1"/>
  <c r="F95" i="2" s="1"/>
  <c r="D95" i="2"/>
  <c r="E95" i="2" s="1"/>
  <c r="C96" i="2" l="1"/>
  <c r="F96" i="2" s="1"/>
  <c r="D96" i="2"/>
  <c r="E96" i="2" s="1"/>
  <c r="C97" i="2" l="1"/>
  <c r="F97" i="2" s="1"/>
  <c r="D97" i="2"/>
  <c r="E97" i="2" s="1"/>
  <c r="C98" i="2" l="1"/>
  <c r="F98" i="2" s="1"/>
  <c r="D98" i="2"/>
  <c r="E98" i="2" s="1"/>
  <c r="C99" i="2" l="1"/>
  <c r="F99" i="2" s="1"/>
  <c r="D99" i="2"/>
  <c r="E99" i="2" s="1"/>
  <c r="D100" i="2" l="1"/>
  <c r="E100" i="2" s="1"/>
  <c r="C100" i="2"/>
  <c r="F100" i="2" s="1"/>
  <c r="D101" i="2" l="1"/>
  <c r="E101" i="2" s="1"/>
  <c r="C101" i="2"/>
  <c r="F101" i="2" s="1"/>
  <c r="C102" i="2" l="1"/>
  <c r="F102" i="2" s="1"/>
  <c r="D102" i="2"/>
  <c r="E102" i="2" s="1"/>
  <c r="C103" i="2" l="1"/>
  <c r="F103" i="2" s="1"/>
  <c r="D103" i="2"/>
  <c r="E103" i="2" s="1"/>
  <c r="D104" i="2" l="1"/>
  <c r="E104" i="2" s="1"/>
  <c r="C104" i="2"/>
  <c r="F104" i="2" s="1"/>
  <c r="C105" i="2" l="1"/>
  <c r="F105" i="2" s="1"/>
  <c r="D105" i="2"/>
  <c r="E105" i="2" s="1"/>
  <c r="C106" i="2" l="1"/>
  <c r="F106" i="2" s="1"/>
  <c r="D106" i="2"/>
  <c r="E106" i="2" s="1"/>
  <c r="D107" i="2" l="1"/>
  <c r="E107" i="2" s="1"/>
  <c r="C107" i="2"/>
  <c r="F107" i="2" s="1"/>
  <c r="D108" i="2" l="1"/>
  <c r="E108" i="2" s="1"/>
  <c r="C108" i="2"/>
  <c r="F108" i="2" s="1"/>
  <c r="D109" i="2" l="1"/>
  <c r="E109" i="2" s="1"/>
  <c r="C109" i="2"/>
  <c r="F109" i="2" s="1"/>
  <c r="C110" i="2" l="1"/>
  <c r="F110" i="2" s="1"/>
  <c r="D110" i="2"/>
  <c r="E110" i="2" s="1"/>
  <c r="D111" i="2" l="1"/>
  <c r="E111" i="2" s="1"/>
  <c r="C111" i="2"/>
  <c r="F111" i="2" s="1"/>
  <c r="C112" i="2" l="1"/>
  <c r="F112" i="2" s="1"/>
  <c r="D112" i="2"/>
  <c r="E112" i="2" s="1"/>
  <c r="C113" i="2" l="1"/>
  <c r="F113" i="2" s="1"/>
  <c r="D113" i="2"/>
  <c r="E113" i="2" s="1"/>
  <c r="D114" i="2" l="1"/>
  <c r="E114" i="2" s="1"/>
  <c r="C114" i="2"/>
  <c r="F114" i="2" s="1"/>
  <c r="C115" i="2" l="1"/>
  <c r="F115" i="2" s="1"/>
  <c r="D115" i="2"/>
  <c r="E115" i="2" s="1"/>
  <c r="D116" i="2" l="1"/>
  <c r="E116" i="2" s="1"/>
  <c r="C116" i="2"/>
  <c r="F116" i="2" s="1"/>
  <c r="D117" i="2" l="1"/>
  <c r="E117" i="2" s="1"/>
  <c r="C117" i="2"/>
  <c r="F117" i="2" s="1"/>
  <c r="D118" i="2" l="1"/>
  <c r="E118" i="2" s="1"/>
  <c r="C118" i="2"/>
  <c r="F118" i="2" s="1"/>
  <c r="D119" i="2" l="1"/>
  <c r="E119" i="2" s="1"/>
  <c r="C119" i="2"/>
  <c r="F119" i="2" s="1"/>
  <c r="D120" i="2" l="1"/>
  <c r="E120" i="2" s="1"/>
  <c r="C120" i="2"/>
  <c r="F120" i="2" s="1"/>
  <c r="C121" i="2" l="1"/>
  <c r="F121" i="2" s="1"/>
  <c r="D121" i="2"/>
  <c r="E121" i="2" s="1"/>
  <c r="C122" i="2" l="1"/>
  <c r="F122" i="2" s="1"/>
  <c r="D122" i="2"/>
  <c r="E122" i="2" s="1"/>
  <c r="D123" i="2" l="1"/>
  <c r="E123" i="2" s="1"/>
  <c r="C123" i="2"/>
  <c r="F123" i="2" s="1"/>
  <c r="D124" i="2" l="1"/>
  <c r="E124" i="2" s="1"/>
  <c r="C124" i="2"/>
  <c r="F124" i="2" s="1"/>
  <c r="C125" i="2" l="1"/>
  <c r="F125" i="2" s="1"/>
  <c r="D125" i="2"/>
  <c r="E125" i="2" s="1"/>
  <c r="C126" i="2" l="1"/>
  <c r="F126" i="2" s="1"/>
  <c r="D126" i="2"/>
  <c r="E126" i="2" s="1"/>
  <c r="C127" i="2" l="1"/>
  <c r="F127" i="2" s="1"/>
  <c r="D127" i="2"/>
  <c r="E127" i="2" s="1"/>
  <c r="C128" i="2" l="1"/>
  <c r="F128" i="2" s="1"/>
  <c r="D128" i="2"/>
  <c r="E128" i="2" s="1"/>
  <c r="C129" i="2" l="1"/>
  <c r="F129" i="2" s="1"/>
  <c r="D129" i="2"/>
  <c r="E129" i="2" s="1"/>
  <c r="C130" i="2" l="1"/>
  <c r="F130" i="2" s="1"/>
  <c r="D130" i="2"/>
  <c r="E130" i="2" s="1"/>
  <c r="D131" i="2" l="1"/>
  <c r="E131" i="2" s="1"/>
  <c r="C131" i="2"/>
  <c r="F131" i="2" s="1"/>
  <c r="D132" i="2" l="1"/>
  <c r="E132" i="2" s="1"/>
  <c r="C132" i="2"/>
  <c r="F132" i="2" s="1"/>
  <c r="D133" i="2" l="1"/>
  <c r="E133" i="2" s="1"/>
  <c r="C133" i="2"/>
  <c r="F133" i="2" s="1"/>
  <c r="C134" i="2" l="1"/>
  <c r="F134" i="2" s="1"/>
  <c r="D134" i="2"/>
  <c r="E134" i="2" s="1"/>
  <c r="D135" i="2" l="1"/>
  <c r="E135" i="2" s="1"/>
  <c r="C135" i="2"/>
  <c r="F135" i="2" s="1"/>
  <c r="D136" i="2" l="1"/>
  <c r="E136" i="2" s="1"/>
  <c r="C136" i="2"/>
  <c r="F136" i="2" s="1"/>
  <c r="C137" i="2" l="1"/>
  <c r="F137" i="2" s="1"/>
  <c r="D137" i="2"/>
  <c r="E137" i="2" s="1"/>
  <c r="C138" i="2" l="1"/>
  <c r="F138" i="2" s="1"/>
  <c r="D138" i="2"/>
  <c r="E138" i="2" s="1"/>
  <c r="D139" i="2" l="1"/>
  <c r="E139" i="2" s="1"/>
  <c r="C139" i="2"/>
  <c r="F139" i="2" s="1"/>
  <c r="D140" i="2" l="1"/>
  <c r="E140" i="2" s="1"/>
  <c r="C140" i="2"/>
  <c r="F140" i="2" s="1"/>
  <c r="C141" i="2" l="1"/>
  <c r="F141" i="2" s="1"/>
  <c r="D141" i="2"/>
  <c r="E141" i="2" s="1"/>
  <c r="C142" i="2" l="1"/>
  <c r="F142" i="2" s="1"/>
  <c r="D142" i="2"/>
  <c r="E142" i="2" s="1"/>
  <c r="D143" i="2" l="1"/>
  <c r="E143" i="2" s="1"/>
  <c r="C143" i="2"/>
  <c r="F143" i="2" s="1"/>
  <c r="D144" i="2" l="1"/>
  <c r="E144" i="2" s="1"/>
  <c r="C144" i="2"/>
  <c r="F144" i="2" s="1"/>
  <c r="C145" i="2" l="1"/>
  <c r="F145" i="2" s="1"/>
  <c r="D145" i="2"/>
  <c r="E145" i="2" s="1"/>
  <c r="D146" i="2" l="1"/>
  <c r="E146" i="2" s="1"/>
  <c r="C146" i="2"/>
  <c r="F146" i="2" s="1"/>
  <c r="C147" i="2" l="1"/>
  <c r="F147" i="2" s="1"/>
  <c r="D147" i="2"/>
  <c r="E147" i="2" s="1"/>
  <c r="D148" i="2" l="1"/>
  <c r="E148" i="2" s="1"/>
  <c r="C148" i="2"/>
  <c r="F148" i="2" s="1"/>
  <c r="C149" i="2" l="1"/>
  <c r="F149" i="2" s="1"/>
  <c r="D149" i="2"/>
  <c r="E149" i="2" s="1"/>
  <c r="C150" i="2" l="1"/>
  <c r="F150" i="2" s="1"/>
  <c r="D150" i="2"/>
  <c r="E150" i="2" s="1"/>
  <c r="D151" i="2" l="1"/>
  <c r="E151" i="2" s="1"/>
  <c r="C151" i="2"/>
  <c r="F151" i="2" s="1"/>
  <c r="D152" i="2" l="1"/>
  <c r="E152" i="2" s="1"/>
  <c r="C152" i="2"/>
  <c r="F152" i="2" s="1"/>
  <c r="C153" i="2" l="1"/>
  <c r="F153" i="2" s="1"/>
  <c r="D153" i="2"/>
  <c r="E153" i="2" s="1"/>
  <c r="D154" i="2" l="1"/>
  <c r="E154" i="2" s="1"/>
  <c r="C154" i="2"/>
  <c r="F154" i="2" s="1"/>
  <c r="D155" i="2" l="1"/>
  <c r="E155" i="2" s="1"/>
  <c r="C155" i="2"/>
  <c r="F155" i="2" s="1"/>
  <c r="D156" i="2" l="1"/>
  <c r="E156" i="2" s="1"/>
  <c r="C156" i="2"/>
  <c r="F156" i="2" s="1"/>
  <c r="C157" i="2" l="1"/>
  <c r="F157" i="2" s="1"/>
  <c r="D157" i="2"/>
  <c r="E157" i="2" s="1"/>
  <c r="C158" i="2" l="1"/>
  <c r="F158" i="2" s="1"/>
  <c r="D158" i="2"/>
  <c r="E158" i="2" s="1"/>
  <c r="D159" i="2" l="1"/>
  <c r="E159" i="2" s="1"/>
  <c r="C159" i="2"/>
  <c r="F159" i="2" s="1"/>
  <c r="C160" i="2" l="1"/>
  <c r="F160" i="2" s="1"/>
  <c r="D160" i="2"/>
  <c r="E160" i="2" s="1"/>
  <c r="C161" i="2" l="1"/>
  <c r="F161" i="2" s="1"/>
  <c r="D161" i="2"/>
  <c r="E161" i="2" s="1"/>
  <c r="D162" i="2" l="1"/>
  <c r="E162" i="2" s="1"/>
  <c r="C162" i="2"/>
  <c r="F162" i="2" s="1"/>
  <c r="C163" i="2" l="1"/>
  <c r="F163" i="2" s="1"/>
  <c r="D163" i="2"/>
  <c r="E163" i="2" s="1"/>
  <c r="D164" i="2" l="1"/>
  <c r="E164" i="2" s="1"/>
  <c r="C164" i="2"/>
  <c r="F164" i="2" s="1"/>
  <c r="C165" i="2" l="1"/>
  <c r="F165" i="2" s="1"/>
  <c r="D165" i="2"/>
  <c r="E165" i="2" s="1"/>
  <c r="D166" i="2" l="1"/>
  <c r="E166" i="2" s="1"/>
  <c r="C166" i="2"/>
  <c r="F166" i="2" s="1"/>
  <c r="D167" i="2" l="1"/>
  <c r="E167" i="2" s="1"/>
  <c r="C167" i="2"/>
  <c r="F167" i="2" s="1"/>
  <c r="D168" i="2" l="1"/>
  <c r="E168" i="2" s="1"/>
  <c r="C168" i="2"/>
  <c r="F168" i="2" s="1"/>
  <c r="C169" i="2" l="1"/>
  <c r="F169" i="2" s="1"/>
  <c r="D169" i="2"/>
  <c r="E169" i="2" s="1"/>
  <c r="C170" i="2" l="1"/>
  <c r="F170" i="2" s="1"/>
  <c r="D170" i="2"/>
  <c r="E170" i="2" s="1"/>
  <c r="C171" i="2" l="1"/>
  <c r="F171" i="2" s="1"/>
  <c r="D171" i="2"/>
  <c r="E171" i="2" s="1"/>
  <c r="D172" i="2" l="1"/>
  <c r="E172" i="2" s="1"/>
  <c r="C172" i="2"/>
  <c r="F172" i="2" s="1"/>
  <c r="C173" i="2" l="1"/>
  <c r="F173" i="2" s="1"/>
  <c r="D173" i="2"/>
  <c r="E173" i="2" s="1"/>
  <c r="D174" i="2" l="1"/>
  <c r="E174" i="2" s="1"/>
  <c r="C174" i="2"/>
  <c r="F174" i="2" s="1"/>
  <c r="C175" i="2" l="1"/>
  <c r="F175" i="2" s="1"/>
  <c r="D175" i="2"/>
  <c r="E175" i="2" s="1"/>
  <c r="D176" i="2" l="1"/>
  <c r="E176" i="2" s="1"/>
  <c r="C176" i="2"/>
  <c r="F176" i="2" s="1"/>
  <c r="C177" i="2" l="1"/>
  <c r="F177" i="2" s="1"/>
  <c r="D177" i="2"/>
  <c r="E177" i="2" s="1"/>
  <c r="C178" i="2" l="1"/>
  <c r="F178" i="2" s="1"/>
  <c r="D178" i="2"/>
  <c r="E178" i="2" s="1"/>
  <c r="C179" i="2" l="1"/>
  <c r="F179" i="2" s="1"/>
  <c r="D179" i="2"/>
  <c r="E179" i="2" s="1"/>
  <c r="D180" i="2" l="1"/>
  <c r="E180" i="2" s="1"/>
  <c r="C180" i="2"/>
  <c r="F180" i="2" s="1"/>
  <c r="D181" i="2" l="1"/>
  <c r="E181" i="2" s="1"/>
  <c r="C181" i="2"/>
  <c r="F181" i="2" s="1"/>
  <c r="C182" i="2" l="1"/>
  <c r="F182" i="2" s="1"/>
  <c r="D182" i="2"/>
  <c r="E182" i="2" s="1"/>
  <c r="D183" i="2" l="1"/>
  <c r="E183" i="2" s="1"/>
  <c r="C183" i="2"/>
  <c r="F183" i="2" s="1"/>
  <c r="D184" i="2" l="1"/>
  <c r="E184" i="2" s="1"/>
  <c r="C184" i="2"/>
  <c r="F184" i="2" s="1"/>
  <c r="D185" i="2" l="1"/>
  <c r="E185" i="2" s="1"/>
  <c r="C185" i="2"/>
  <c r="F185" i="2" s="1"/>
  <c r="C186" i="2" l="1"/>
  <c r="F186" i="2" s="1"/>
  <c r="D186" i="2"/>
  <c r="E186" i="2" s="1"/>
  <c r="D187" i="2" l="1"/>
  <c r="E187" i="2" s="1"/>
  <c r="C187" i="2"/>
  <c r="F187" i="2" s="1"/>
  <c r="D188" i="2" l="1"/>
  <c r="E188" i="2" s="1"/>
  <c r="C188" i="2"/>
  <c r="F188" i="2" s="1"/>
  <c r="D189" i="2" l="1"/>
  <c r="E189" i="2" s="1"/>
  <c r="C189" i="2"/>
  <c r="F189" i="2" s="1"/>
  <c r="C190" i="2" l="1"/>
  <c r="F190" i="2" s="1"/>
  <c r="D190" i="2"/>
  <c r="E190" i="2" s="1"/>
  <c r="C191" i="2" l="1"/>
  <c r="F191" i="2" s="1"/>
  <c r="D191" i="2"/>
  <c r="E191" i="2" s="1"/>
  <c r="D192" i="2" l="1"/>
  <c r="E192" i="2" s="1"/>
  <c r="C192" i="2"/>
  <c r="F192" i="2" s="1"/>
  <c r="C193" i="2" l="1"/>
  <c r="F193" i="2" s="1"/>
  <c r="D193" i="2"/>
  <c r="E193" i="2" s="1"/>
  <c r="C194" i="2" l="1"/>
  <c r="F194" i="2" s="1"/>
  <c r="D194" i="2"/>
  <c r="E194" i="2" s="1"/>
  <c r="C195" i="2" l="1"/>
  <c r="F195" i="2" s="1"/>
  <c r="D195" i="2"/>
  <c r="E195" i="2" s="1"/>
  <c r="C196" i="2" l="1"/>
  <c r="F196" i="2" s="1"/>
  <c r="D196" i="2"/>
  <c r="E196" i="2" s="1"/>
  <c r="C197" i="2" l="1"/>
  <c r="F197" i="2" s="1"/>
  <c r="D197" i="2"/>
  <c r="E197" i="2" s="1"/>
  <c r="C198" i="2" l="1"/>
  <c r="F198" i="2" s="1"/>
  <c r="D198" i="2"/>
  <c r="E198" i="2" s="1"/>
  <c r="C199" i="2" l="1"/>
  <c r="F199" i="2" s="1"/>
  <c r="D199" i="2"/>
  <c r="E199" i="2" s="1"/>
  <c r="D200" i="2" l="1"/>
  <c r="E200" i="2" s="1"/>
  <c r="C200" i="2"/>
  <c r="F200" i="2" s="1"/>
  <c r="D201" i="2" l="1"/>
  <c r="E201" i="2" s="1"/>
  <c r="C201" i="2"/>
  <c r="F201" i="2" s="1"/>
  <c r="C202" i="2" l="1"/>
  <c r="F202" i="2" s="1"/>
  <c r="D202" i="2"/>
  <c r="E202" i="2" s="1"/>
  <c r="C203" i="2" l="1"/>
  <c r="F203" i="2" s="1"/>
  <c r="D203" i="2"/>
  <c r="E203" i="2" s="1"/>
  <c r="C204" i="2" l="1"/>
  <c r="F204" i="2" s="1"/>
  <c r="D204" i="2"/>
  <c r="E204" i="2" s="1"/>
  <c r="C205" i="2" l="1"/>
  <c r="F205" i="2" s="1"/>
  <c r="D205" i="2"/>
  <c r="E205" i="2" s="1"/>
  <c r="D206" i="2" l="1"/>
  <c r="E206" i="2" s="1"/>
  <c r="C206" i="2"/>
  <c r="F206" i="2" s="1"/>
  <c r="D207" i="2" l="1"/>
  <c r="E207" i="2" s="1"/>
  <c r="C207" i="2"/>
  <c r="F207" i="2" s="1"/>
  <c r="C208" i="2" l="1"/>
  <c r="F208" i="2" s="1"/>
  <c r="D208" i="2"/>
  <c r="E208" i="2" s="1"/>
  <c r="D209" i="2" l="1"/>
  <c r="E209" i="2" s="1"/>
  <c r="C209" i="2"/>
  <c r="F209" i="2" s="1"/>
  <c r="D210" i="2" l="1"/>
  <c r="E210" i="2" s="1"/>
  <c r="C210" i="2"/>
  <c r="F210" i="2" s="1"/>
  <c r="D211" i="2" l="1"/>
  <c r="E211" i="2" s="1"/>
  <c r="C211" i="2"/>
  <c r="F211" i="2" s="1"/>
  <c r="C212" i="2" l="1"/>
  <c r="F212" i="2" s="1"/>
  <c r="D212" i="2"/>
  <c r="E212" i="2" s="1"/>
  <c r="C213" i="2" l="1"/>
  <c r="F213" i="2" s="1"/>
  <c r="D213" i="2"/>
  <c r="E213" i="2" s="1"/>
  <c r="C214" i="2" l="1"/>
  <c r="F214" i="2" s="1"/>
  <c r="D214" i="2"/>
  <c r="E214" i="2" s="1"/>
  <c r="D215" i="2" l="1"/>
  <c r="E215" i="2" s="1"/>
  <c r="C215" i="2"/>
  <c r="F215" i="2" s="1"/>
  <c r="C216" i="2" l="1"/>
  <c r="F216" i="2" s="1"/>
  <c r="D216" i="2"/>
  <c r="E216" i="2" s="1"/>
  <c r="D217" i="2" l="1"/>
  <c r="E217" i="2" s="1"/>
  <c r="C217" i="2"/>
  <c r="F217" i="2" s="1"/>
  <c r="D218" i="2" l="1"/>
  <c r="E218" i="2" s="1"/>
  <c r="C218" i="2"/>
  <c r="F218" i="2" s="1"/>
  <c r="C219" i="2" l="1"/>
  <c r="F219" i="2" s="1"/>
  <c r="D219" i="2"/>
  <c r="E219" i="2" s="1"/>
  <c r="C220" i="2" l="1"/>
  <c r="F220" i="2" s="1"/>
  <c r="D220" i="2"/>
  <c r="E220" i="2" s="1"/>
  <c r="C221" i="2" l="1"/>
  <c r="F221" i="2" s="1"/>
  <c r="D221" i="2"/>
  <c r="E221" i="2" s="1"/>
  <c r="D222" i="2" l="1"/>
  <c r="E222" i="2" s="1"/>
  <c r="C222" i="2"/>
  <c r="F222" i="2" s="1"/>
  <c r="D223" i="2" l="1"/>
  <c r="E223" i="2" s="1"/>
  <c r="C223" i="2"/>
  <c r="F223" i="2" s="1"/>
  <c r="C224" i="2" l="1"/>
  <c r="F224" i="2" s="1"/>
  <c r="D224" i="2"/>
  <c r="E224" i="2" s="1"/>
  <c r="D225" i="2" l="1"/>
  <c r="E225" i="2" s="1"/>
  <c r="C225" i="2"/>
  <c r="F225" i="2" s="1"/>
  <c r="C226" i="2" l="1"/>
  <c r="F226" i="2" s="1"/>
  <c r="D226" i="2"/>
  <c r="E226" i="2" s="1"/>
  <c r="D227" i="2" l="1"/>
  <c r="E227" i="2" s="1"/>
  <c r="C227" i="2"/>
  <c r="F227" i="2" s="1"/>
  <c r="D228" i="2" l="1"/>
  <c r="E228" i="2" s="1"/>
  <c r="C228" i="2"/>
  <c r="F228" i="2" s="1"/>
  <c r="D229" i="2" l="1"/>
  <c r="E229" i="2" s="1"/>
  <c r="C229" i="2"/>
  <c r="F229" i="2" s="1"/>
  <c r="C230" i="2" l="1"/>
  <c r="F230" i="2" s="1"/>
  <c r="D230" i="2"/>
  <c r="E230" i="2" s="1"/>
  <c r="C231" i="2" l="1"/>
  <c r="F231" i="2" s="1"/>
  <c r="D231" i="2"/>
  <c r="E231" i="2" s="1"/>
  <c r="C232" i="2" l="1"/>
  <c r="F232" i="2" s="1"/>
  <c r="D232" i="2"/>
  <c r="E232" i="2" s="1"/>
  <c r="C233" i="2" l="1"/>
  <c r="F233" i="2" s="1"/>
  <c r="D233" i="2"/>
  <c r="E233" i="2" s="1"/>
  <c r="C234" i="2" l="1"/>
  <c r="F234" i="2" s="1"/>
  <c r="D234" i="2"/>
  <c r="E234" i="2" s="1"/>
  <c r="D235" i="2" l="1"/>
  <c r="E235" i="2" s="1"/>
  <c r="C235" i="2"/>
  <c r="F235" i="2" s="1"/>
  <c r="D236" i="2" l="1"/>
  <c r="E236" i="2" s="1"/>
  <c r="C236" i="2"/>
  <c r="F236" i="2" s="1"/>
  <c r="D237" i="2" l="1"/>
  <c r="E237" i="2" s="1"/>
  <c r="C237" i="2"/>
  <c r="F237" i="2" s="1"/>
  <c r="C238" i="2" l="1"/>
  <c r="F238" i="2" s="1"/>
  <c r="D238" i="2"/>
  <c r="E238" i="2" s="1"/>
  <c r="C239" i="2" l="1"/>
  <c r="F239" i="2" s="1"/>
  <c r="D239" i="2"/>
  <c r="E239" i="2" s="1"/>
  <c r="D240" i="2" l="1"/>
  <c r="E240" i="2" s="1"/>
  <c r="C240" i="2"/>
  <c r="F240" i="2" s="1"/>
  <c r="D241" i="2" l="1"/>
  <c r="E241" i="2" s="1"/>
  <c r="C241" i="2"/>
  <c r="F241" i="2" s="1"/>
  <c r="C242" i="2" l="1"/>
  <c r="F242" i="2" s="1"/>
  <c r="D242" i="2"/>
  <c r="E242" i="2" s="1"/>
  <c r="D243" i="2" l="1"/>
  <c r="E243" i="2" s="1"/>
  <c r="C243" i="2"/>
  <c r="F243" i="2" s="1"/>
  <c r="C244" i="2" l="1"/>
  <c r="F244" i="2" s="1"/>
  <c r="D244" i="2"/>
  <c r="E244" i="2" s="1"/>
  <c r="C245" i="2" l="1"/>
  <c r="F245" i="2" s="1"/>
  <c r="D245" i="2"/>
  <c r="E245" i="2" s="1"/>
  <c r="C246" i="2" l="1"/>
  <c r="F246" i="2" s="1"/>
  <c r="D246" i="2"/>
  <c r="E246" i="2" s="1"/>
  <c r="C247" i="2" l="1"/>
  <c r="F247" i="2" s="1"/>
  <c r="D247" i="2"/>
  <c r="E247" i="2" s="1"/>
  <c r="C248" i="2" l="1"/>
  <c r="F248" i="2" s="1"/>
  <c r="D248" i="2"/>
  <c r="E248" i="2" s="1"/>
  <c r="D249" i="2" l="1"/>
  <c r="E249" i="2" s="1"/>
  <c r="C249" i="2"/>
  <c r="F249" i="2" s="1"/>
  <c r="C250" i="2" l="1"/>
  <c r="F250" i="2" s="1"/>
  <c r="D250" i="2"/>
  <c r="E250" i="2" s="1"/>
  <c r="C251" i="2" l="1"/>
  <c r="F251" i="2" s="1"/>
  <c r="D251" i="2"/>
  <c r="E251" i="2" s="1"/>
  <c r="C252" i="2" l="1"/>
  <c r="F252" i="2" s="1"/>
  <c r="D252" i="2"/>
  <c r="E252" i="2" s="1"/>
  <c r="C253" i="2" l="1"/>
  <c r="F253" i="2" s="1"/>
  <c r="D253" i="2"/>
  <c r="E253" i="2" s="1"/>
  <c r="C254" i="2" l="1"/>
  <c r="F254" i="2" s="1"/>
  <c r="D254" i="2"/>
  <c r="E254" i="2" s="1"/>
  <c r="D255" i="2" l="1"/>
  <c r="E255" i="2" s="1"/>
  <c r="C255" i="2"/>
  <c r="F255" i="2" s="1"/>
  <c r="C256" i="2" l="1"/>
  <c r="F256" i="2" s="1"/>
  <c r="D256" i="2"/>
  <c r="E256" i="2" s="1"/>
  <c r="C257" i="2" l="1"/>
  <c r="F257" i="2" s="1"/>
  <c r="D257" i="2"/>
  <c r="E257" i="2" s="1"/>
  <c r="C258" i="2" l="1"/>
  <c r="F258" i="2" s="1"/>
  <c r="D258" i="2"/>
  <c r="E258" i="2" s="1"/>
  <c r="C259" i="2" l="1"/>
  <c r="F259" i="2" s="1"/>
  <c r="D259" i="2"/>
  <c r="E259" i="2" s="1"/>
  <c r="D260" i="2" l="1"/>
  <c r="E260" i="2" s="1"/>
  <c r="C260" i="2"/>
  <c r="F260" i="2" s="1"/>
  <c r="C261" i="2" l="1"/>
  <c r="F261" i="2" s="1"/>
  <c r="D261" i="2"/>
  <c r="E261" i="2" s="1"/>
  <c r="D262" i="2" l="1"/>
  <c r="E262" i="2" s="1"/>
  <c r="C262" i="2"/>
  <c r="F262" i="2" s="1"/>
  <c r="D263" i="2" l="1"/>
  <c r="E263" i="2" s="1"/>
  <c r="C263" i="2"/>
  <c r="F263" i="2" s="1"/>
  <c r="C264" i="2" l="1"/>
  <c r="F264" i="2" s="1"/>
  <c r="D264" i="2"/>
  <c r="E264" i="2" s="1"/>
  <c r="C265" i="2" l="1"/>
  <c r="F265" i="2" s="1"/>
  <c r="D265" i="2"/>
  <c r="E265" i="2" s="1"/>
  <c r="D266" i="2" l="1"/>
  <c r="E266" i="2" s="1"/>
  <c r="C266" i="2"/>
  <c r="F266" i="2" s="1"/>
  <c r="C267" i="2" l="1"/>
  <c r="F267" i="2" s="1"/>
  <c r="D267" i="2"/>
  <c r="E267" i="2" s="1"/>
  <c r="C268" i="2" l="1"/>
  <c r="F268" i="2" s="1"/>
  <c r="D268" i="2"/>
  <c r="E268" i="2" s="1"/>
  <c r="C269" i="2" l="1"/>
  <c r="F269" i="2" s="1"/>
  <c r="D269" i="2"/>
  <c r="E269" i="2" s="1"/>
  <c r="C270" i="2" l="1"/>
  <c r="F270" i="2" s="1"/>
  <c r="D270" i="2"/>
  <c r="E270" i="2" s="1"/>
  <c r="D271" i="2" l="1"/>
  <c r="E271" i="2" s="1"/>
  <c r="C271" i="2"/>
  <c r="F271" i="2" s="1"/>
  <c r="C272" i="2" l="1"/>
  <c r="F272" i="2" s="1"/>
  <c r="D272" i="2"/>
  <c r="E272" i="2" s="1"/>
  <c r="C273" i="2" l="1"/>
  <c r="F273" i="2" s="1"/>
  <c r="D273" i="2"/>
  <c r="E273" i="2" s="1"/>
  <c r="C274" i="2" l="1"/>
  <c r="F274" i="2" s="1"/>
  <c r="D274" i="2"/>
  <c r="E274" i="2" s="1"/>
  <c r="C275" i="2" l="1"/>
  <c r="F275" i="2" s="1"/>
  <c r="D275" i="2"/>
  <c r="E275" i="2" s="1"/>
  <c r="D276" i="2" l="1"/>
  <c r="E276" i="2" s="1"/>
  <c r="C276" i="2"/>
  <c r="F276" i="2" s="1"/>
  <c r="C277" i="2" l="1"/>
  <c r="F277" i="2" s="1"/>
  <c r="D277" i="2"/>
  <c r="E277" i="2" s="1"/>
  <c r="D278" i="2" l="1"/>
  <c r="E278" i="2" s="1"/>
  <c r="C278" i="2"/>
  <c r="F278" i="2" s="1"/>
  <c r="D279" i="2" l="1"/>
  <c r="E279" i="2" s="1"/>
  <c r="C279" i="2"/>
  <c r="F279" i="2" s="1"/>
  <c r="D280" i="2" l="1"/>
  <c r="E280" i="2" s="1"/>
  <c r="C280" i="2"/>
  <c r="F280" i="2" s="1"/>
  <c r="D281" i="2" l="1"/>
  <c r="E281" i="2" s="1"/>
  <c r="C281" i="2"/>
  <c r="F281" i="2" s="1"/>
  <c r="D282" i="2" l="1"/>
  <c r="E282" i="2" s="1"/>
  <c r="C282" i="2"/>
  <c r="F282" i="2" s="1"/>
  <c r="C283" i="2" l="1"/>
  <c r="F283" i="2" s="1"/>
  <c r="D283" i="2"/>
  <c r="E283" i="2" s="1"/>
  <c r="D284" i="2" l="1"/>
  <c r="E284" i="2" s="1"/>
  <c r="C284" i="2"/>
  <c r="F284" i="2" s="1"/>
  <c r="C285" i="2" l="1"/>
  <c r="F285" i="2" s="1"/>
  <c r="D285" i="2"/>
  <c r="E285" i="2" s="1"/>
  <c r="D286" i="2" l="1"/>
  <c r="E286" i="2" s="1"/>
  <c r="C286" i="2"/>
  <c r="F286" i="2" s="1"/>
  <c r="D287" i="2" l="1"/>
  <c r="E287" i="2" s="1"/>
  <c r="C287" i="2"/>
  <c r="F287" i="2" s="1"/>
  <c r="D288" i="2" l="1"/>
  <c r="E288" i="2" s="1"/>
  <c r="C288" i="2"/>
  <c r="F288" i="2" s="1"/>
  <c r="C289" i="2" l="1"/>
  <c r="F289" i="2" s="1"/>
  <c r="D289" i="2"/>
  <c r="E289" i="2" s="1"/>
  <c r="C290" i="2" l="1"/>
  <c r="F290" i="2" s="1"/>
  <c r="D290" i="2"/>
  <c r="E290" i="2" s="1"/>
  <c r="D291" i="2" l="1"/>
  <c r="E291" i="2" s="1"/>
  <c r="C291" i="2"/>
  <c r="F291" i="2" s="1"/>
  <c r="D292" i="2" l="1"/>
  <c r="E292" i="2" s="1"/>
  <c r="C292" i="2"/>
  <c r="F292" i="2" s="1"/>
  <c r="D293" i="2" l="1"/>
  <c r="E293" i="2" s="1"/>
  <c r="C293" i="2"/>
  <c r="F293" i="2" s="1"/>
  <c r="D294" i="2" l="1"/>
  <c r="E294" i="2" s="1"/>
  <c r="C294" i="2"/>
  <c r="F294" i="2" s="1"/>
  <c r="D295" i="2" l="1"/>
  <c r="E295" i="2" s="1"/>
  <c r="C295" i="2"/>
  <c r="F295" i="2" s="1"/>
  <c r="D296" i="2" l="1"/>
  <c r="E296" i="2" s="1"/>
  <c r="C296" i="2"/>
  <c r="F296" i="2" s="1"/>
  <c r="C297" i="2" l="1"/>
  <c r="F297" i="2" s="1"/>
  <c r="D297" i="2"/>
  <c r="E297" i="2" s="1"/>
  <c r="D298" i="2" l="1"/>
  <c r="E298" i="2" s="1"/>
  <c r="C298" i="2"/>
  <c r="F298" i="2" s="1"/>
  <c r="C299" i="2" l="1"/>
  <c r="F299" i="2" s="1"/>
  <c r="D299" i="2"/>
  <c r="E299" i="2" s="1"/>
  <c r="C300" i="2" l="1"/>
  <c r="F300" i="2" s="1"/>
  <c r="D300" i="2"/>
  <c r="E300" i="2" s="1"/>
  <c r="C301" i="2" l="1"/>
  <c r="F301" i="2" s="1"/>
  <c r="D301" i="2"/>
  <c r="E301" i="2" s="1"/>
  <c r="C302" i="2" l="1"/>
  <c r="F302" i="2" s="1"/>
  <c r="D302" i="2"/>
  <c r="E302" i="2" s="1"/>
  <c r="D303" i="2" l="1"/>
  <c r="E303" i="2" s="1"/>
  <c r="C303" i="2"/>
  <c r="F303" i="2" s="1"/>
  <c r="C304" i="2" l="1"/>
  <c r="F304" i="2" s="1"/>
  <c r="D304" i="2"/>
  <c r="E304" i="2" s="1"/>
  <c r="C305" i="2" l="1"/>
  <c r="F305" i="2" s="1"/>
  <c r="D305" i="2"/>
  <c r="E305" i="2" s="1"/>
  <c r="D306" i="2" l="1"/>
  <c r="E306" i="2" s="1"/>
  <c r="C306" i="2"/>
  <c r="F306" i="2" s="1"/>
  <c r="D307" i="2" l="1"/>
  <c r="E307" i="2" s="1"/>
  <c r="C307" i="2"/>
  <c r="F307" i="2" s="1"/>
  <c r="D308" i="2" l="1"/>
  <c r="E308" i="2" s="1"/>
  <c r="C308" i="2"/>
  <c r="F308" i="2" s="1"/>
  <c r="C309" i="2" l="1"/>
  <c r="F309" i="2" s="1"/>
  <c r="D309" i="2"/>
  <c r="E309" i="2" s="1"/>
  <c r="C310" i="2" l="1"/>
  <c r="F310" i="2" s="1"/>
  <c r="D310" i="2"/>
  <c r="E310" i="2" s="1"/>
  <c r="D311" i="2" l="1"/>
  <c r="E311" i="2" s="1"/>
  <c r="C311" i="2"/>
  <c r="F311" i="2" s="1"/>
  <c r="D312" i="2" l="1"/>
  <c r="E312" i="2" s="1"/>
  <c r="C312" i="2"/>
  <c r="F312" i="2" s="1"/>
  <c r="C313" i="2" l="1"/>
  <c r="F313" i="2" s="1"/>
  <c r="D313" i="2"/>
  <c r="E313" i="2" s="1"/>
  <c r="C314" i="2" l="1"/>
  <c r="F314" i="2" s="1"/>
  <c r="D314" i="2"/>
  <c r="E314" i="2" s="1"/>
  <c r="C315" i="2" l="1"/>
  <c r="F315" i="2" s="1"/>
  <c r="D315" i="2"/>
  <c r="E315" i="2" s="1"/>
  <c r="D316" i="2" l="1"/>
  <c r="E316" i="2" s="1"/>
  <c r="C316" i="2"/>
  <c r="F316" i="2" s="1"/>
  <c r="C317" i="2" l="1"/>
  <c r="F317" i="2" s="1"/>
  <c r="D317" i="2"/>
  <c r="E317" i="2" s="1"/>
  <c r="C318" i="2" l="1"/>
  <c r="F318" i="2" s="1"/>
  <c r="D318" i="2"/>
  <c r="E318" i="2" s="1"/>
  <c r="C319" i="2" l="1"/>
  <c r="F319" i="2" s="1"/>
  <c r="D319" i="2"/>
  <c r="E319" i="2" s="1"/>
  <c r="D320" i="2" l="1"/>
  <c r="E320" i="2" s="1"/>
  <c r="C320" i="2"/>
  <c r="F320" i="2" s="1"/>
  <c r="C321" i="2" l="1"/>
  <c r="F321" i="2" s="1"/>
  <c r="D321" i="2"/>
  <c r="E321" i="2" s="1"/>
  <c r="C322" i="2" l="1"/>
  <c r="F322" i="2" s="1"/>
  <c r="D322" i="2"/>
  <c r="E322" i="2" s="1"/>
  <c r="C323" i="2" l="1"/>
  <c r="F323" i="2" s="1"/>
  <c r="D323" i="2"/>
  <c r="E323" i="2" s="1"/>
  <c r="D324" i="2" l="1"/>
  <c r="E324" i="2" s="1"/>
  <c r="C324" i="2"/>
  <c r="F324" i="2" s="1"/>
  <c r="D325" i="2" l="1"/>
  <c r="E325" i="2" s="1"/>
  <c r="C325" i="2"/>
  <c r="F325" i="2" s="1"/>
  <c r="D326" i="2" l="1"/>
  <c r="E326" i="2" s="1"/>
  <c r="C326" i="2"/>
  <c r="F326" i="2" s="1"/>
  <c r="D327" i="2" l="1"/>
  <c r="E327" i="2" s="1"/>
  <c r="C327" i="2"/>
  <c r="F327" i="2" s="1"/>
  <c r="D328" i="2" l="1"/>
  <c r="E328" i="2" s="1"/>
  <c r="C328" i="2"/>
  <c r="F328" i="2" s="1"/>
  <c r="C329" i="2" l="1"/>
  <c r="F329" i="2" s="1"/>
  <c r="D329" i="2"/>
  <c r="E329" i="2" s="1"/>
  <c r="D330" i="2" l="1"/>
  <c r="E330" i="2" s="1"/>
  <c r="C330" i="2"/>
  <c r="F330" i="2" s="1"/>
  <c r="C331" i="2" l="1"/>
  <c r="F331" i="2" s="1"/>
  <c r="D331" i="2"/>
  <c r="E331" i="2" s="1"/>
  <c r="C332" i="2" l="1"/>
  <c r="F332" i="2" s="1"/>
  <c r="D332" i="2"/>
  <c r="E332" i="2" s="1"/>
  <c r="D333" i="2" l="1"/>
  <c r="E333" i="2" s="1"/>
  <c r="C333" i="2"/>
  <c r="F333" i="2" s="1"/>
  <c r="C334" i="2" l="1"/>
  <c r="F334" i="2" s="1"/>
  <c r="D334" i="2"/>
  <c r="E334" i="2" s="1"/>
  <c r="C335" i="2" l="1"/>
  <c r="F335" i="2" s="1"/>
  <c r="D335" i="2"/>
  <c r="E335" i="2" s="1"/>
  <c r="C336" i="2" l="1"/>
  <c r="F336" i="2" s="1"/>
  <c r="D336" i="2"/>
  <c r="E336" i="2" s="1"/>
  <c r="C337" i="2" l="1"/>
  <c r="F337" i="2" s="1"/>
  <c r="D337" i="2"/>
  <c r="E337" i="2" s="1"/>
  <c r="C338" i="2" l="1"/>
  <c r="F338" i="2" s="1"/>
  <c r="D338" i="2"/>
  <c r="E338" i="2" s="1"/>
  <c r="D339" i="2" l="1"/>
  <c r="E339" i="2" s="1"/>
  <c r="C339" i="2"/>
  <c r="F339" i="2" s="1"/>
  <c r="D340" i="2" l="1"/>
  <c r="E340" i="2" s="1"/>
  <c r="C340" i="2"/>
  <c r="F340" i="2" s="1"/>
  <c r="C341" i="2" l="1"/>
  <c r="F341" i="2" s="1"/>
  <c r="D341" i="2"/>
  <c r="E341" i="2" s="1"/>
  <c r="D342" i="2" l="1"/>
  <c r="E342" i="2" s="1"/>
  <c r="C342" i="2"/>
  <c r="F342" i="2" s="1"/>
  <c r="C343" i="2" l="1"/>
  <c r="F343" i="2" s="1"/>
  <c r="D343" i="2"/>
  <c r="E343" i="2" s="1"/>
  <c r="D344" i="2" l="1"/>
  <c r="E344" i="2" s="1"/>
  <c r="C344" i="2"/>
  <c r="F344" i="2" s="1"/>
  <c r="C345" i="2" l="1"/>
  <c r="F345" i="2" s="1"/>
  <c r="D345" i="2"/>
  <c r="E345" i="2" s="1"/>
  <c r="C346" i="2" l="1"/>
  <c r="F346" i="2" s="1"/>
  <c r="D346" i="2"/>
  <c r="E346" i="2" s="1"/>
  <c r="D347" i="2" l="1"/>
  <c r="E347" i="2" s="1"/>
  <c r="C347" i="2"/>
  <c r="F347" i="2" s="1"/>
  <c r="D348" i="2" l="1"/>
  <c r="E348" i="2" s="1"/>
  <c r="C348" i="2"/>
  <c r="F348" i="2" s="1"/>
  <c r="C349" i="2" l="1"/>
  <c r="F349" i="2" s="1"/>
  <c r="D349" i="2"/>
  <c r="E349" i="2" s="1"/>
  <c r="D350" i="2" l="1"/>
  <c r="E350" i="2" s="1"/>
  <c r="C350" i="2"/>
  <c r="F350" i="2" s="1"/>
  <c r="C351" i="2" l="1"/>
  <c r="F351" i="2" s="1"/>
  <c r="D351" i="2"/>
  <c r="E351" i="2" s="1"/>
  <c r="C352" i="2" l="1"/>
  <c r="F352" i="2" s="1"/>
  <c r="D352" i="2"/>
  <c r="E352" i="2" s="1"/>
  <c r="C353" i="2" l="1"/>
  <c r="F353" i="2" s="1"/>
  <c r="D353" i="2"/>
  <c r="E353" i="2" s="1"/>
  <c r="C354" i="2" l="1"/>
  <c r="F354" i="2" s="1"/>
  <c r="D354" i="2"/>
  <c r="E354" i="2" s="1"/>
  <c r="C355" i="2" l="1"/>
  <c r="F355" i="2" s="1"/>
  <c r="D355" i="2"/>
  <c r="E355" i="2" s="1"/>
  <c r="D356" i="2" l="1"/>
  <c r="E356" i="2" s="1"/>
  <c r="C356" i="2"/>
  <c r="F356" i="2" s="1"/>
  <c r="C357" i="2" l="1"/>
  <c r="F357" i="2" s="1"/>
  <c r="D357" i="2"/>
  <c r="E357" i="2" s="1"/>
  <c r="C358" i="2" l="1"/>
  <c r="F358" i="2" s="1"/>
  <c r="D358" i="2"/>
  <c r="E358" i="2" s="1"/>
  <c r="D359" i="2" l="1"/>
  <c r="E359" i="2" s="1"/>
  <c r="C359" i="2"/>
  <c r="F359" i="2" s="1"/>
  <c r="D360" i="2" l="1"/>
  <c r="E360" i="2" s="1"/>
  <c r="C360" i="2"/>
  <c r="F360" i="2" s="1"/>
  <c r="D361" i="2" l="1"/>
  <c r="E361" i="2" s="1"/>
  <c r="C361" i="2"/>
  <c r="F361" i="2" s="1"/>
  <c r="D362" i="2" l="1"/>
  <c r="E362" i="2" s="1"/>
  <c r="C362" i="2"/>
  <c r="F362" i="2" s="1"/>
  <c r="C363" i="2" l="1"/>
  <c r="F363" i="2" s="1"/>
  <c r="D363" i="2"/>
  <c r="E363" i="2" s="1"/>
  <c r="D364" i="2" l="1"/>
  <c r="E364" i="2" s="1"/>
  <c r="C364" i="2"/>
  <c r="F364" i="2" s="1"/>
  <c r="D365" i="2" l="1"/>
  <c r="E365" i="2" s="1"/>
  <c r="C365" i="2"/>
  <c r="F365" i="2" s="1"/>
  <c r="C366" i="2" l="1"/>
  <c r="F366" i="2" s="1"/>
  <c r="D366" i="2"/>
  <c r="E366" i="2" s="1"/>
  <c r="C367" i="2" l="1"/>
  <c r="F367" i="2" s="1"/>
  <c r="D367" i="2"/>
  <c r="E367" i="2" s="1"/>
  <c r="C368" i="2" l="1"/>
  <c r="F368" i="2" s="1"/>
  <c r="D368" i="2"/>
  <c r="E368" i="2" s="1"/>
  <c r="D369" i="2" l="1"/>
  <c r="E369" i="2" s="1"/>
  <c r="C369" i="2"/>
  <c r="F369" i="2" s="1"/>
  <c r="D370" i="2" l="1"/>
  <c r="E370" i="2" s="1"/>
  <c r="C370" i="2"/>
  <c r="F370" i="2" s="1"/>
  <c r="D371" i="2" l="1"/>
  <c r="E371" i="2" s="1"/>
  <c r="C371" i="2"/>
  <c r="F371" i="2" s="1"/>
  <c r="D372" i="2" l="1"/>
  <c r="E372" i="2" s="1"/>
  <c r="C372" i="2"/>
  <c r="F372" i="2" s="1"/>
  <c r="C373" i="2" l="1"/>
  <c r="F373" i="2" s="1"/>
  <c r="D373" i="2"/>
  <c r="E373" i="2" s="1"/>
  <c r="C374" i="2" l="1"/>
  <c r="F374" i="2" s="1"/>
  <c r="D374" i="2"/>
  <c r="E374" i="2" s="1"/>
  <c r="D375" i="2" l="1"/>
  <c r="E375" i="2" s="1"/>
  <c r="C375" i="2"/>
  <c r="F375" i="2" s="1"/>
  <c r="C376" i="2" l="1"/>
  <c r="F376" i="2" s="1"/>
  <c r="D376" i="2"/>
  <c r="E376" i="2" s="1"/>
  <c r="C377" i="2" l="1"/>
  <c r="F377" i="2" s="1"/>
  <c r="D377" i="2"/>
  <c r="E377" i="2" s="1"/>
  <c r="C378" i="2" l="1"/>
  <c r="F378" i="2" s="1"/>
  <c r="D378" i="2"/>
  <c r="E378" i="2" s="1"/>
  <c r="C379" i="2" l="1"/>
  <c r="F379" i="2" s="1"/>
  <c r="D379" i="2"/>
  <c r="E379" i="2" s="1"/>
  <c r="D380" i="2" l="1"/>
  <c r="E380" i="2" s="1"/>
  <c r="C380" i="2"/>
  <c r="F380" i="2" s="1"/>
  <c r="D381" i="2" l="1"/>
  <c r="E381" i="2" s="1"/>
  <c r="C381" i="2"/>
  <c r="F381" i="2" s="1"/>
  <c r="C382" i="2" l="1"/>
  <c r="F382" i="2" s="1"/>
  <c r="D382" i="2"/>
  <c r="E382" i="2" s="1"/>
  <c r="C383" i="2" l="1"/>
  <c r="F383" i="2" s="1"/>
  <c r="D383" i="2"/>
  <c r="E383" i="2" s="1"/>
  <c r="C384" i="2" l="1"/>
  <c r="F384" i="2" s="1"/>
  <c r="D384" i="2"/>
  <c r="E384" i="2" s="1"/>
  <c r="C385" i="2" l="1"/>
  <c r="F385" i="2" s="1"/>
  <c r="D385" i="2"/>
  <c r="E385" i="2" s="1"/>
  <c r="C386" i="2" l="1"/>
  <c r="F386" i="2" s="1"/>
  <c r="D386" i="2"/>
  <c r="E386" i="2" s="1"/>
  <c r="C387" i="2" l="1"/>
  <c r="F387" i="2" s="1"/>
  <c r="D387" i="2"/>
  <c r="E387" i="2" s="1"/>
  <c r="D388" i="2" l="1"/>
  <c r="E388" i="2" s="1"/>
  <c r="C388" i="2"/>
  <c r="F388" i="2" s="1"/>
  <c r="D389" i="2" l="1"/>
  <c r="E389" i="2" s="1"/>
  <c r="C389" i="2"/>
  <c r="F389" i="2" s="1"/>
  <c r="D390" i="2" l="1"/>
  <c r="E390" i="2" s="1"/>
  <c r="C390" i="2"/>
  <c r="F390" i="2" s="1"/>
  <c r="C391" i="2" l="1"/>
  <c r="F391" i="2" s="1"/>
  <c r="D391" i="2"/>
  <c r="E391" i="2" s="1"/>
  <c r="D392" i="2" l="1"/>
  <c r="E392" i="2" s="1"/>
  <c r="C392" i="2"/>
  <c r="F392" i="2" s="1"/>
  <c r="C393" i="2" l="1"/>
  <c r="F393" i="2" s="1"/>
  <c r="D393" i="2"/>
  <c r="E393" i="2" s="1"/>
  <c r="D394" i="2" l="1"/>
  <c r="E394" i="2" s="1"/>
  <c r="C394" i="2"/>
  <c r="F394" i="2" s="1"/>
  <c r="D395" i="2" l="1"/>
  <c r="E395" i="2" s="1"/>
  <c r="C395" i="2"/>
  <c r="F395" i="2" s="1"/>
  <c r="D396" i="2" l="1"/>
  <c r="E396" i="2" s="1"/>
  <c r="C396" i="2"/>
  <c r="F396" i="2" s="1"/>
  <c r="D397" i="2" l="1"/>
  <c r="E397" i="2" s="1"/>
  <c r="C397" i="2"/>
  <c r="F397" i="2" s="1"/>
  <c r="D398" i="2" l="1"/>
  <c r="E398" i="2" s="1"/>
  <c r="C398" i="2"/>
  <c r="F398" i="2" s="1"/>
  <c r="D399" i="2" l="1"/>
  <c r="E399" i="2" s="1"/>
  <c r="C399" i="2"/>
  <c r="F399" i="2" s="1"/>
  <c r="C400" i="2" l="1"/>
  <c r="F400" i="2" s="1"/>
  <c r="D400" i="2"/>
  <c r="E400" i="2" s="1"/>
  <c r="C401" i="2" l="1"/>
  <c r="F401" i="2" s="1"/>
  <c r="D401" i="2"/>
  <c r="E401" i="2" s="1"/>
  <c r="D402" i="2" l="1"/>
  <c r="E402" i="2" s="1"/>
  <c r="C402" i="2"/>
  <c r="F402" i="2" s="1"/>
  <c r="D403" i="2" l="1"/>
  <c r="E403" i="2" s="1"/>
  <c r="C403" i="2"/>
  <c r="F403" i="2" s="1"/>
  <c r="D404" i="2" l="1"/>
  <c r="E404" i="2" s="1"/>
  <c r="C404" i="2"/>
  <c r="F404" i="2" s="1"/>
  <c r="C405" i="2" l="1"/>
  <c r="F405" i="2" s="1"/>
  <c r="D405" i="2"/>
  <c r="E405" i="2" s="1"/>
  <c r="D406" i="2" l="1"/>
  <c r="E406" i="2" s="1"/>
  <c r="C406" i="2"/>
  <c r="F406" i="2" s="1"/>
  <c r="C407" i="2" l="1"/>
  <c r="F407" i="2" s="1"/>
  <c r="D407" i="2"/>
  <c r="E407" i="2" s="1"/>
  <c r="D408" i="2" l="1"/>
  <c r="E408" i="2" s="1"/>
  <c r="C408" i="2"/>
  <c r="F408" i="2" s="1"/>
  <c r="C409" i="2" l="1"/>
  <c r="F409" i="2" s="1"/>
  <c r="D409" i="2"/>
  <c r="E409" i="2" s="1"/>
  <c r="C410" i="2" l="1"/>
  <c r="F410" i="2" s="1"/>
  <c r="D410" i="2"/>
  <c r="E410" i="2" s="1"/>
  <c r="C411" i="2" l="1"/>
  <c r="F411" i="2" s="1"/>
  <c r="D411" i="2"/>
  <c r="E411" i="2" s="1"/>
  <c r="C412" i="2" l="1"/>
  <c r="F412" i="2" s="1"/>
  <c r="D412" i="2"/>
  <c r="E412" i="2" s="1"/>
  <c r="C413" i="2" l="1"/>
  <c r="F413" i="2" s="1"/>
  <c r="D413" i="2"/>
  <c r="E413" i="2" s="1"/>
  <c r="D414" i="2" l="1"/>
  <c r="E414" i="2" s="1"/>
  <c r="C414" i="2"/>
  <c r="F414" i="2" s="1"/>
  <c r="C415" i="2" l="1"/>
  <c r="F415" i="2" s="1"/>
  <c r="D415" i="2"/>
  <c r="E415" i="2" s="1"/>
  <c r="C416" i="2" l="1"/>
  <c r="F416" i="2" s="1"/>
  <c r="D416" i="2"/>
  <c r="E416" i="2" s="1"/>
  <c r="C417" i="2" l="1"/>
  <c r="F417" i="2" s="1"/>
  <c r="D417" i="2"/>
  <c r="E417" i="2" s="1"/>
  <c r="D418" i="2" l="1"/>
  <c r="E418" i="2" s="1"/>
  <c r="C418" i="2"/>
  <c r="F418" i="2" s="1"/>
  <c r="C419" i="2" l="1"/>
  <c r="F419" i="2" s="1"/>
  <c r="D419" i="2"/>
  <c r="E419" i="2" s="1"/>
  <c r="D420" i="2" l="1"/>
  <c r="E420" i="2" s="1"/>
  <c r="C420" i="2"/>
  <c r="F420" i="2" s="1"/>
  <c r="D421" i="2" l="1"/>
  <c r="E421" i="2" s="1"/>
  <c r="C421" i="2"/>
  <c r="F421" i="2" s="1"/>
  <c r="D422" i="2" l="1"/>
  <c r="E422" i="2" s="1"/>
  <c r="C422" i="2"/>
  <c r="F422" i="2" s="1"/>
  <c r="D423" i="2" l="1"/>
  <c r="E423" i="2" s="1"/>
  <c r="C423" i="2"/>
  <c r="F423" i="2" s="1"/>
  <c r="D424" i="2" l="1"/>
  <c r="E424" i="2" s="1"/>
  <c r="C424" i="2"/>
  <c r="F424" i="2" s="1"/>
  <c r="C425" i="2" l="1"/>
  <c r="F425" i="2" s="1"/>
  <c r="D425" i="2"/>
  <c r="E425" i="2" s="1"/>
  <c r="D426" i="2" l="1"/>
  <c r="E426" i="2" s="1"/>
  <c r="C426" i="2"/>
  <c r="F426" i="2" s="1"/>
  <c r="C427" i="2" l="1"/>
  <c r="F427" i="2" s="1"/>
  <c r="D427" i="2"/>
  <c r="E427" i="2" s="1"/>
  <c r="D428" i="2" l="1"/>
  <c r="E428" i="2" s="1"/>
  <c r="C428" i="2"/>
  <c r="F428" i="2" s="1"/>
  <c r="D429" i="2" l="1"/>
  <c r="E429" i="2" s="1"/>
  <c r="C429" i="2"/>
  <c r="F429" i="2" s="1"/>
  <c r="C430" i="2" l="1"/>
  <c r="F430" i="2" s="1"/>
  <c r="D430" i="2"/>
  <c r="E430" i="2" s="1"/>
  <c r="D431" i="2" l="1"/>
  <c r="E431" i="2" s="1"/>
  <c r="C431" i="2"/>
  <c r="F431" i="2" s="1"/>
  <c r="C432" i="2" l="1"/>
  <c r="F432" i="2" s="1"/>
  <c r="D432" i="2"/>
  <c r="E432" i="2" s="1"/>
  <c r="D433" i="2" l="1"/>
  <c r="E433" i="2" s="1"/>
  <c r="C433" i="2"/>
  <c r="F433" i="2" s="1"/>
  <c r="C434" i="2" l="1"/>
  <c r="F434" i="2" s="1"/>
  <c r="D434" i="2"/>
  <c r="E434" i="2" s="1"/>
  <c r="D435" i="2" l="1"/>
  <c r="E435" i="2" s="1"/>
  <c r="C435" i="2"/>
  <c r="F435" i="2" s="1"/>
  <c r="C436" i="2" l="1"/>
  <c r="F436" i="2" s="1"/>
  <c r="D436" i="2"/>
  <c r="E436" i="2" s="1"/>
  <c r="D437" i="2" l="1"/>
  <c r="E437" i="2" s="1"/>
  <c r="C437" i="2"/>
  <c r="F437" i="2" s="1"/>
  <c r="C438" i="2" l="1"/>
  <c r="F438" i="2" s="1"/>
  <c r="D438" i="2"/>
  <c r="E438" i="2" s="1"/>
  <c r="D439" i="2" l="1"/>
  <c r="E439" i="2" s="1"/>
  <c r="C439" i="2"/>
  <c r="F439" i="2" s="1"/>
  <c r="C440" i="2" l="1"/>
  <c r="F440" i="2" s="1"/>
  <c r="D440" i="2"/>
  <c r="E440" i="2" s="1"/>
  <c r="C441" i="2" l="1"/>
  <c r="F441" i="2" s="1"/>
  <c r="D441" i="2"/>
  <c r="E441" i="2" s="1"/>
  <c r="D442" i="2" l="1"/>
  <c r="E442" i="2" s="1"/>
  <c r="C442" i="2"/>
  <c r="F442" i="2" s="1"/>
  <c r="C443" i="2" l="1"/>
  <c r="F443" i="2" s="1"/>
  <c r="D443" i="2"/>
  <c r="E443" i="2" s="1"/>
  <c r="D444" i="2" l="1"/>
  <c r="E444" i="2" s="1"/>
  <c r="C444" i="2"/>
  <c r="F444" i="2" s="1"/>
  <c r="C445" i="2" l="1"/>
  <c r="F445" i="2" s="1"/>
  <c r="D445" i="2"/>
  <c r="E445" i="2" s="1"/>
  <c r="C446" i="2" l="1"/>
  <c r="F446" i="2" s="1"/>
  <c r="D446" i="2"/>
  <c r="E446" i="2" s="1"/>
  <c r="D447" i="2" l="1"/>
  <c r="E447" i="2" s="1"/>
  <c r="C447" i="2"/>
  <c r="F447" i="2" s="1"/>
  <c r="C448" i="2" l="1"/>
  <c r="F448" i="2" s="1"/>
  <c r="D448" i="2"/>
  <c r="E448" i="2" s="1"/>
  <c r="D449" i="2" l="1"/>
  <c r="E449" i="2" s="1"/>
  <c r="C449" i="2"/>
  <c r="F449" i="2" s="1"/>
  <c r="D450" i="2" l="1"/>
  <c r="E450" i="2" s="1"/>
  <c r="C450" i="2"/>
  <c r="F450" i="2" s="1"/>
  <c r="C451" i="2" l="1"/>
  <c r="F451" i="2" s="1"/>
  <c r="D451" i="2"/>
  <c r="E451" i="2" s="1"/>
  <c r="C452" i="2" l="1"/>
  <c r="F452" i="2" s="1"/>
  <c r="D452" i="2"/>
  <c r="E452" i="2" s="1"/>
  <c r="C453" i="2" l="1"/>
  <c r="F453" i="2" s="1"/>
  <c r="D453" i="2"/>
  <c r="E453" i="2" s="1"/>
  <c r="C454" i="2" l="1"/>
  <c r="F454" i="2" s="1"/>
  <c r="D454" i="2"/>
  <c r="E454" i="2" s="1"/>
  <c r="C455" i="2" l="1"/>
  <c r="F455" i="2" s="1"/>
  <c r="D455" i="2"/>
  <c r="E455" i="2" s="1"/>
  <c r="C456" i="2" l="1"/>
  <c r="F456" i="2" s="1"/>
  <c r="D456" i="2"/>
  <c r="E456" i="2" s="1"/>
  <c r="C457" i="2" l="1"/>
  <c r="F457" i="2" s="1"/>
  <c r="D457" i="2"/>
  <c r="E457" i="2" s="1"/>
  <c r="C458" i="2" l="1"/>
  <c r="F458" i="2" s="1"/>
  <c r="D458" i="2"/>
  <c r="E458" i="2" s="1"/>
  <c r="C459" i="2" l="1"/>
  <c r="F459" i="2" s="1"/>
  <c r="D459" i="2"/>
  <c r="E459" i="2" s="1"/>
  <c r="D460" i="2" l="1"/>
  <c r="E460" i="2" s="1"/>
  <c r="C460" i="2"/>
  <c r="F460" i="2" s="1"/>
  <c r="C461" i="2" l="1"/>
  <c r="F461" i="2" s="1"/>
  <c r="D461" i="2"/>
  <c r="E461" i="2" s="1"/>
  <c r="D462" i="2" l="1"/>
  <c r="E462" i="2" s="1"/>
  <c r="C462" i="2"/>
  <c r="F462" i="2" s="1"/>
  <c r="C463" i="2" l="1"/>
  <c r="F463" i="2" s="1"/>
  <c r="D463" i="2"/>
  <c r="E463" i="2" s="1"/>
  <c r="D464" i="2" l="1"/>
  <c r="E464" i="2" s="1"/>
  <c r="C464" i="2"/>
  <c r="F464" i="2" s="1"/>
  <c r="C465" i="2" l="1"/>
  <c r="F465" i="2" s="1"/>
  <c r="D465" i="2"/>
  <c r="E465" i="2" s="1"/>
  <c r="C466" i="2" l="1"/>
  <c r="F466" i="2" s="1"/>
  <c r="D466" i="2"/>
  <c r="E466" i="2" s="1"/>
  <c r="BC115" i="4" l="1"/>
  <c r="AU113" i="4"/>
  <c r="AU117" i="4"/>
  <c r="BC114" i="4"/>
  <c r="AU114" i="4"/>
  <c r="AU115" i="4"/>
  <c r="C467" i="2"/>
  <c r="F467" i="2" s="1"/>
  <c r="D467" i="2"/>
  <c r="E467" i="2" s="1"/>
  <c r="AU144" i="4" l="1"/>
  <c r="BC92" i="4"/>
  <c r="BC84" i="4"/>
  <c r="AU80" i="4"/>
  <c r="AU92" i="4"/>
  <c r="AY92" i="4"/>
  <c r="AZ117" i="4"/>
  <c r="AY84" i="4"/>
  <c r="AX117" i="4"/>
  <c r="AY117" i="4"/>
  <c r="BE117" i="4"/>
  <c r="AY114" i="4"/>
  <c r="AY115" i="4"/>
  <c r="BE114" i="4"/>
  <c r="BE113" i="4"/>
  <c r="AT122" i="4"/>
  <c r="AU122" i="4"/>
  <c r="D468" i="2"/>
  <c r="E468" i="2" s="1"/>
  <c r="C468" i="2"/>
  <c r="F468" i="2" s="1"/>
  <c r="AS144" i="4" l="1"/>
  <c r="AZ144" i="4"/>
  <c r="BC144" i="4"/>
  <c r="AX144" i="4"/>
  <c r="AY144" i="4"/>
  <c r="AT144" i="4"/>
  <c r="BE144" i="4"/>
  <c r="AX84" i="4"/>
  <c r="AS80" i="4"/>
  <c r="AS114" i="4"/>
  <c r="AT115" i="4"/>
  <c r="AT92" i="4"/>
  <c r="AY80" i="4"/>
  <c r="AS84" i="4"/>
  <c r="AY113" i="4"/>
  <c r="BE115" i="4"/>
  <c r="BE92" i="4"/>
  <c r="AZ114" i="4"/>
  <c r="AZ92" i="4"/>
  <c r="AX113" i="4"/>
  <c r="AS113" i="4"/>
  <c r="BE84" i="4"/>
  <c r="AZ80" i="4"/>
  <c r="AZ115" i="4"/>
  <c r="AS115" i="4"/>
  <c r="AX80" i="4"/>
  <c r="AX92" i="4"/>
  <c r="AT80" i="4"/>
  <c r="AT117" i="4"/>
  <c r="AT113" i="4"/>
  <c r="AZ113" i="4"/>
  <c r="AS92" i="4"/>
  <c r="AS117" i="4"/>
  <c r="BE80" i="4"/>
  <c r="AZ84" i="4"/>
  <c r="AT114" i="4"/>
  <c r="AT84" i="4"/>
  <c r="AS122" i="4"/>
  <c r="BE122" i="4"/>
  <c r="AZ122" i="4"/>
  <c r="AX122" i="4"/>
  <c r="C469" i="2"/>
  <c r="F469" i="2" s="1"/>
  <c r="D469" i="2"/>
  <c r="E469" i="2" s="1"/>
  <c r="BD144" i="4" l="1"/>
  <c r="BD92" i="4"/>
  <c r="BD114" i="4"/>
  <c r="BD117" i="4"/>
  <c r="BD80" i="4"/>
  <c r="BD84" i="4"/>
  <c r="BD115" i="4"/>
  <c r="BD113" i="4"/>
  <c r="BD122" i="4"/>
  <c r="D470" i="2"/>
  <c r="E470" i="2" s="1"/>
  <c r="C470" i="2"/>
  <c r="F470" i="2" s="1"/>
  <c r="D471" i="2" l="1"/>
  <c r="E471" i="2" s="1"/>
  <c r="C471" i="2"/>
  <c r="F471" i="2" s="1"/>
  <c r="D472" i="2" l="1"/>
  <c r="E472" i="2" s="1"/>
  <c r="C472" i="2"/>
  <c r="F472" i="2" s="1"/>
  <c r="C473" i="2" l="1"/>
  <c r="F473" i="2" s="1"/>
  <c r="D473" i="2"/>
  <c r="E473" i="2" s="1"/>
  <c r="C474" i="2" l="1"/>
  <c r="F474" i="2" s="1"/>
  <c r="D474" i="2"/>
  <c r="E474" i="2" s="1"/>
  <c r="C475" i="2" l="1"/>
  <c r="F475" i="2" s="1"/>
  <c r="D475" i="2"/>
  <c r="E475" i="2" s="1"/>
  <c r="D476" i="2" l="1"/>
  <c r="E476" i="2" s="1"/>
  <c r="C476" i="2"/>
  <c r="F476" i="2" s="1"/>
  <c r="C477" i="2" l="1"/>
  <c r="F477" i="2" s="1"/>
  <c r="D477" i="2"/>
  <c r="E477" i="2" s="1"/>
  <c r="C478" i="2" l="1"/>
  <c r="F478" i="2" s="1"/>
  <c r="D478" i="2"/>
  <c r="E478" i="2" s="1"/>
  <c r="C479" i="2" l="1"/>
  <c r="F479" i="2" s="1"/>
  <c r="D479" i="2"/>
  <c r="E479" i="2" s="1"/>
  <c r="C480" i="2" l="1"/>
  <c r="F480" i="2" s="1"/>
  <c r="D480" i="2"/>
  <c r="E480" i="2" s="1"/>
  <c r="C481" i="2" l="1"/>
  <c r="F481" i="2" s="1"/>
  <c r="D481" i="2"/>
  <c r="E481" i="2" s="1"/>
  <c r="D482" i="2" l="1"/>
  <c r="E482" i="2" s="1"/>
  <c r="C482" i="2"/>
  <c r="F482" i="2" s="1"/>
  <c r="C483" i="2" l="1"/>
  <c r="F483" i="2" s="1"/>
  <c r="D483" i="2"/>
  <c r="E483" i="2" s="1"/>
  <c r="D484" i="2" l="1"/>
  <c r="E484" i="2" s="1"/>
  <c r="C484" i="2"/>
  <c r="F484" i="2" s="1"/>
  <c r="D485" i="2" l="1"/>
  <c r="E485" i="2" s="1"/>
  <c r="C485" i="2"/>
  <c r="F485" i="2" s="1"/>
  <c r="D486" i="2" l="1"/>
  <c r="E486" i="2" s="1"/>
  <c r="C486" i="2"/>
  <c r="F486" i="2" s="1"/>
  <c r="D487" i="2" l="1"/>
  <c r="E487" i="2" s="1"/>
  <c r="C487" i="2"/>
  <c r="F487" i="2" s="1"/>
  <c r="D488" i="2" l="1"/>
  <c r="E488" i="2" s="1"/>
  <c r="C488" i="2"/>
  <c r="F488" i="2" s="1"/>
  <c r="C489" i="2" l="1"/>
  <c r="F489" i="2" s="1"/>
  <c r="D489" i="2"/>
  <c r="E489" i="2" s="1"/>
  <c r="C490" i="2" l="1"/>
  <c r="F490" i="2" s="1"/>
  <c r="D490" i="2"/>
  <c r="E490" i="2" s="1"/>
  <c r="C491" i="2" l="1"/>
  <c r="F491" i="2" s="1"/>
  <c r="D491" i="2"/>
  <c r="E491" i="2" s="1"/>
  <c r="D492" i="2" l="1"/>
  <c r="E492" i="2" s="1"/>
  <c r="C492" i="2"/>
  <c r="F492" i="2" s="1"/>
  <c r="D493" i="2" l="1"/>
  <c r="E493" i="2" s="1"/>
  <c r="C493" i="2"/>
  <c r="F493" i="2" s="1"/>
  <c r="D494" i="2" l="1"/>
  <c r="E494" i="2" s="1"/>
  <c r="C494" i="2"/>
  <c r="F494" i="2" s="1"/>
  <c r="C495" i="2" l="1"/>
  <c r="F495" i="2" s="1"/>
  <c r="D495" i="2"/>
  <c r="E495" i="2" s="1"/>
  <c r="C496" i="2" l="1"/>
  <c r="F496" i="2" s="1"/>
  <c r="D496" i="2"/>
  <c r="E496" i="2" s="1"/>
  <c r="C497" i="2" l="1"/>
  <c r="F497" i="2" s="1"/>
  <c r="D497" i="2"/>
  <c r="E497" i="2" s="1"/>
  <c r="C498" i="2" l="1"/>
  <c r="F498" i="2" s="1"/>
  <c r="D498" i="2"/>
  <c r="E498" i="2" s="1"/>
  <c r="C499" i="2" l="1"/>
  <c r="F499" i="2" s="1"/>
  <c r="D499" i="2"/>
  <c r="E499" i="2" s="1"/>
  <c r="C500" i="2" l="1"/>
  <c r="F500" i="2" s="1"/>
  <c r="D500" i="2"/>
  <c r="E500" i="2" s="1"/>
  <c r="D501" i="2" l="1"/>
  <c r="E501" i="2" s="1"/>
  <c r="C501" i="2"/>
  <c r="F501" i="2" s="1"/>
  <c r="C502" i="2" l="1"/>
  <c r="F502" i="2" s="1"/>
  <c r="D502" i="2"/>
  <c r="E502" i="2" s="1"/>
  <c r="C503" i="2" l="1"/>
  <c r="F503" i="2" s="1"/>
  <c r="D503" i="2"/>
  <c r="E503" i="2" s="1"/>
  <c r="C504" i="2" l="1"/>
  <c r="F504" i="2" s="1"/>
  <c r="D504" i="2"/>
  <c r="E504" i="2" s="1"/>
  <c r="C505" i="2" l="1"/>
  <c r="F505" i="2" s="1"/>
  <c r="D505" i="2"/>
  <c r="E505" i="2" s="1"/>
  <c r="D506" i="2" l="1"/>
  <c r="E506" i="2" s="1"/>
  <c r="C506" i="2"/>
  <c r="F506" i="2" s="1"/>
  <c r="C507" i="2" l="1"/>
  <c r="F507" i="2" s="1"/>
  <c r="D507" i="2"/>
  <c r="E507" i="2" s="1"/>
  <c r="C508" i="2" l="1"/>
  <c r="F508" i="2" s="1"/>
  <c r="D508" i="2"/>
  <c r="E508" i="2" s="1"/>
  <c r="C509" i="2" l="1"/>
  <c r="F509" i="2" s="1"/>
  <c r="D509" i="2"/>
  <c r="E509" i="2" s="1"/>
  <c r="D510" i="2" l="1"/>
  <c r="E510" i="2" s="1"/>
  <c r="C510" i="2"/>
  <c r="F510" i="2" s="1"/>
  <c r="D511" i="2" l="1"/>
  <c r="E511" i="2" s="1"/>
  <c r="C511" i="2"/>
  <c r="F511" i="2" s="1"/>
  <c r="D512" i="2" l="1"/>
  <c r="E512" i="2" s="1"/>
  <c r="C512" i="2"/>
  <c r="F512" i="2" s="1"/>
  <c r="C513" i="2" l="1"/>
  <c r="F513" i="2" s="1"/>
  <c r="D513" i="2"/>
  <c r="E513" i="2" s="1"/>
  <c r="D514" i="2" l="1"/>
  <c r="E514" i="2" s="1"/>
  <c r="C514" i="2"/>
  <c r="F514" i="2" s="1"/>
  <c r="C515" i="2" l="1"/>
  <c r="F515" i="2" s="1"/>
  <c r="D515" i="2"/>
  <c r="E515" i="2" s="1"/>
  <c r="C516" i="2" l="1"/>
  <c r="F516" i="2" s="1"/>
  <c r="D516" i="2"/>
  <c r="E516" i="2" s="1"/>
  <c r="C517" i="2" l="1"/>
  <c r="F517" i="2" s="1"/>
  <c r="D517" i="2"/>
  <c r="E517" i="2" s="1"/>
  <c r="C518" i="2" l="1"/>
  <c r="F518" i="2" s="1"/>
  <c r="D518" i="2"/>
  <c r="E518" i="2" s="1"/>
  <c r="C519" i="2" l="1"/>
  <c r="F519" i="2" s="1"/>
  <c r="D519" i="2"/>
  <c r="E519" i="2" s="1"/>
  <c r="C520" i="2" l="1"/>
  <c r="F520" i="2" s="1"/>
  <c r="D520" i="2"/>
  <c r="E520" i="2" s="1"/>
  <c r="C521" i="2" l="1"/>
  <c r="F521" i="2" s="1"/>
  <c r="D521" i="2"/>
  <c r="E521" i="2" s="1"/>
  <c r="D522" i="2" l="1"/>
  <c r="E522" i="2" s="1"/>
  <c r="C522" i="2"/>
  <c r="F522" i="2" s="1"/>
  <c r="C523" i="2" l="1"/>
  <c r="F523" i="2" s="1"/>
  <c r="D523" i="2"/>
  <c r="E523" i="2" s="1"/>
  <c r="C524" i="2" l="1"/>
  <c r="F524" i="2" s="1"/>
  <c r="D524" i="2"/>
  <c r="E524" i="2" s="1"/>
  <c r="C525" i="2" l="1"/>
  <c r="F525" i="2" s="1"/>
  <c r="D525" i="2"/>
  <c r="E525" i="2" s="1"/>
  <c r="C526" i="2" l="1"/>
  <c r="F526" i="2" s="1"/>
  <c r="D526" i="2"/>
  <c r="E526" i="2" s="1"/>
  <c r="C527" i="2" l="1"/>
  <c r="F527" i="2" s="1"/>
  <c r="D527" i="2"/>
  <c r="E527" i="2" s="1"/>
  <c r="C528" i="2" l="1"/>
  <c r="F528" i="2" s="1"/>
  <c r="D528" i="2"/>
  <c r="E528" i="2" s="1"/>
  <c r="C529" i="2" l="1"/>
  <c r="F529" i="2" s="1"/>
  <c r="D529" i="2"/>
  <c r="E529" i="2" s="1"/>
  <c r="D530" i="2" l="1"/>
  <c r="E530" i="2" s="1"/>
  <c r="C530" i="2"/>
  <c r="F530" i="2" s="1"/>
  <c r="C531" i="2" l="1"/>
  <c r="F531" i="2" s="1"/>
  <c r="D531" i="2"/>
  <c r="E531" i="2" s="1"/>
  <c r="C532" i="2" l="1"/>
  <c r="F532" i="2" s="1"/>
  <c r="D532" i="2"/>
  <c r="E532" i="2" s="1"/>
  <c r="C533" i="2" l="1"/>
  <c r="F533" i="2" s="1"/>
  <c r="D533" i="2"/>
  <c r="E533" i="2" s="1"/>
  <c r="C534" i="2" l="1"/>
  <c r="F534" i="2" s="1"/>
  <c r="D534" i="2"/>
  <c r="E534" i="2" s="1"/>
  <c r="C535" i="2" l="1"/>
  <c r="F535" i="2" s="1"/>
  <c r="D535" i="2"/>
  <c r="E535" i="2" s="1"/>
  <c r="C536" i="2" l="1"/>
  <c r="F536" i="2" s="1"/>
  <c r="D536" i="2"/>
  <c r="E536" i="2" s="1"/>
  <c r="C537" i="2" l="1"/>
  <c r="F537" i="2" s="1"/>
  <c r="D537" i="2"/>
  <c r="E537" i="2" s="1"/>
  <c r="D538" i="2" l="1"/>
  <c r="E538" i="2" s="1"/>
  <c r="C538" i="2"/>
  <c r="F538" i="2" s="1"/>
  <c r="C539" i="2" l="1"/>
  <c r="F539" i="2" s="1"/>
  <c r="D539" i="2"/>
  <c r="E539" i="2" s="1"/>
  <c r="C540" i="2" l="1"/>
  <c r="F540" i="2" s="1"/>
  <c r="D540" i="2"/>
  <c r="E540" i="2" s="1"/>
  <c r="C541" i="2" l="1"/>
  <c r="F541" i="2" s="1"/>
  <c r="D541" i="2"/>
  <c r="E541" i="2" s="1"/>
  <c r="C542" i="2" l="1"/>
  <c r="F542" i="2" s="1"/>
  <c r="D542" i="2"/>
  <c r="E542" i="2" s="1"/>
  <c r="C543" i="2" l="1"/>
  <c r="F543" i="2" s="1"/>
  <c r="D543" i="2"/>
  <c r="E543" i="2" s="1"/>
  <c r="C544" i="2" l="1"/>
  <c r="F544" i="2" s="1"/>
  <c r="D544" i="2"/>
  <c r="E544" i="2" s="1"/>
  <c r="C545" i="2" l="1"/>
  <c r="F545" i="2" s="1"/>
  <c r="D545" i="2"/>
  <c r="E545" i="2" s="1"/>
  <c r="D546" i="2" l="1"/>
  <c r="E546" i="2" s="1"/>
  <c r="C546" i="2"/>
  <c r="F546" i="2" s="1"/>
  <c r="C547" i="2" l="1"/>
  <c r="F547" i="2" s="1"/>
  <c r="D547" i="2"/>
  <c r="E547" i="2" s="1"/>
  <c r="C548" i="2" l="1"/>
  <c r="F548" i="2" s="1"/>
  <c r="D548" i="2"/>
  <c r="E548" i="2" s="1"/>
  <c r="C549" i="2" l="1"/>
  <c r="F549" i="2" s="1"/>
  <c r="D549" i="2"/>
  <c r="E549" i="2" s="1"/>
  <c r="C550" i="2" l="1"/>
  <c r="F550" i="2" s="1"/>
  <c r="D550" i="2"/>
  <c r="E550" i="2" s="1"/>
  <c r="C551" i="2" l="1"/>
  <c r="F551" i="2" s="1"/>
  <c r="D551" i="2"/>
  <c r="E551" i="2" s="1"/>
  <c r="C552" i="2" l="1"/>
  <c r="F552" i="2" s="1"/>
  <c r="D552" i="2"/>
  <c r="E552" i="2" s="1"/>
  <c r="C553" i="2" l="1"/>
  <c r="F553" i="2" s="1"/>
  <c r="D553" i="2"/>
  <c r="E553" i="2" s="1"/>
  <c r="D554" i="2" l="1"/>
  <c r="E554" i="2" s="1"/>
  <c r="C554" i="2"/>
  <c r="F554" i="2" s="1"/>
  <c r="C555" i="2" l="1"/>
  <c r="F555" i="2" s="1"/>
  <c r="D555" i="2"/>
  <c r="E555" i="2" s="1"/>
  <c r="C556" i="2" l="1"/>
  <c r="F556" i="2" s="1"/>
  <c r="D556" i="2"/>
  <c r="E556" i="2" s="1"/>
  <c r="C557" i="2" l="1"/>
  <c r="F557" i="2" s="1"/>
  <c r="D557" i="2"/>
  <c r="E557" i="2" s="1"/>
  <c r="C558" i="2" l="1"/>
  <c r="F558" i="2" s="1"/>
  <c r="D558" i="2"/>
  <c r="E558" i="2" s="1"/>
  <c r="C559" i="2" l="1"/>
  <c r="F559" i="2" s="1"/>
  <c r="D559" i="2"/>
  <c r="E559" i="2" s="1"/>
  <c r="C560" i="2" l="1"/>
  <c r="F560" i="2" s="1"/>
  <c r="D560" i="2"/>
  <c r="E560" i="2" s="1"/>
  <c r="C561" i="2" l="1"/>
  <c r="F561" i="2" s="1"/>
  <c r="D561" i="2"/>
  <c r="E561" i="2" s="1"/>
  <c r="D562" i="2" l="1"/>
  <c r="E562" i="2" s="1"/>
  <c r="C562" i="2"/>
  <c r="F562" i="2" s="1"/>
  <c r="C563" i="2" l="1"/>
  <c r="F563" i="2" s="1"/>
  <c r="D563" i="2"/>
  <c r="E563" i="2" s="1"/>
  <c r="C564" i="2" l="1"/>
  <c r="F564" i="2" s="1"/>
  <c r="D564" i="2"/>
  <c r="E564" i="2" s="1"/>
  <c r="C565" i="2" l="1"/>
  <c r="F565" i="2" s="1"/>
  <c r="D565" i="2"/>
  <c r="E565" i="2" s="1"/>
  <c r="C566" i="2" l="1"/>
  <c r="F566" i="2" s="1"/>
  <c r="D566" i="2"/>
  <c r="E566" i="2" s="1"/>
  <c r="C567" i="2" l="1"/>
  <c r="F567" i="2" s="1"/>
  <c r="D567" i="2"/>
  <c r="E567" i="2" s="1"/>
  <c r="C568" i="2" l="1"/>
  <c r="F568" i="2" s="1"/>
  <c r="D568" i="2"/>
  <c r="E568" i="2" s="1"/>
  <c r="C569" i="2" l="1"/>
  <c r="F569" i="2" s="1"/>
  <c r="D569" i="2"/>
  <c r="E569" i="2" s="1"/>
  <c r="D570" i="2" l="1"/>
  <c r="E570" i="2" s="1"/>
  <c r="C570" i="2"/>
  <c r="F570" i="2" s="1"/>
  <c r="C571" i="2" l="1"/>
  <c r="F571" i="2" s="1"/>
  <c r="D571" i="2"/>
  <c r="E571" i="2" s="1"/>
  <c r="C572" i="2" l="1"/>
  <c r="F572" i="2" s="1"/>
  <c r="D572" i="2"/>
  <c r="E572" i="2" s="1"/>
  <c r="C573" i="2" l="1"/>
  <c r="F573" i="2" s="1"/>
  <c r="D573" i="2"/>
  <c r="E573" i="2" s="1"/>
  <c r="C574" i="2" l="1"/>
  <c r="F574" i="2" s="1"/>
  <c r="D574" i="2"/>
  <c r="E574" i="2" s="1"/>
  <c r="C575" i="2" l="1"/>
  <c r="F575" i="2" s="1"/>
  <c r="D575" i="2"/>
  <c r="E575" i="2" s="1"/>
  <c r="C576" i="2" l="1"/>
  <c r="F576" i="2" s="1"/>
  <c r="D576" i="2"/>
  <c r="E576" i="2" s="1"/>
  <c r="C577" i="2" l="1"/>
  <c r="F577" i="2" s="1"/>
  <c r="D577" i="2"/>
  <c r="E577" i="2" s="1"/>
  <c r="D578" i="2" l="1"/>
  <c r="E578" i="2" s="1"/>
  <c r="C578" i="2"/>
  <c r="F578" i="2" s="1"/>
  <c r="C579" i="2" l="1"/>
  <c r="F579" i="2" s="1"/>
  <c r="D579" i="2"/>
  <c r="E579" i="2" s="1"/>
  <c r="C580" i="2" l="1"/>
  <c r="F580" i="2" s="1"/>
  <c r="D580" i="2"/>
  <c r="E580" i="2" s="1"/>
  <c r="C581" i="2" l="1"/>
  <c r="F581" i="2" s="1"/>
  <c r="D581" i="2"/>
  <c r="E581" i="2" s="1"/>
  <c r="C582" i="2" l="1"/>
  <c r="F582" i="2" s="1"/>
  <c r="D582" i="2"/>
  <c r="E582" i="2" s="1"/>
  <c r="C583" i="2" l="1"/>
  <c r="F583" i="2" s="1"/>
  <c r="D583" i="2"/>
  <c r="E583" i="2" s="1"/>
  <c r="C584" i="2" l="1"/>
  <c r="F584" i="2" s="1"/>
  <c r="D584" i="2"/>
  <c r="E584" i="2" s="1"/>
  <c r="C585" i="2" l="1"/>
  <c r="F585" i="2" s="1"/>
  <c r="D585" i="2"/>
  <c r="E585" i="2" s="1"/>
  <c r="D586" i="2" l="1"/>
  <c r="E586" i="2" s="1"/>
  <c r="C586" i="2"/>
  <c r="F586" i="2" s="1"/>
  <c r="C587" i="2" l="1"/>
  <c r="F587" i="2" s="1"/>
  <c r="D587" i="2"/>
  <c r="E587" i="2" s="1"/>
  <c r="C588" i="2" l="1"/>
  <c r="F588" i="2" s="1"/>
  <c r="D588" i="2"/>
  <c r="E588" i="2" s="1"/>
  <c r="C589" i="2" l="1"/>
  <c r="F589" i="2" s="1"/>
  <c r="D589" i="2"/>
  <c r="E589" i="2" s="1"/>
  <c r="C590" i="2" l="1"/>
  <c r="F590" i="2" s="1"/>
  <c r="D590" i="2"/>
  <c r="E590" i="2" s="1"/>
  <c r="C591" i="2" l="1"/>
  <c r="F591" i="2" s="1"/>
  <c r="D591" i="2"/>
  <c r="E591" i="2" s="1"/>
  <c r="C592" i="2" l="1"/>
  <c r="F592" i="2" s="1"/>
  <c r="D592" i="2"/>
  <c r="E592" i="2" s="1"/>
  <c r="C593" i="2" l="1"/>
  <c r="F593" i="2" s="1"/>
  <c r="D593" i="2"/>
  <c r="E593" i="2" s="1"/>
  <c r="D594" i="2" l="1"/>
  <c r="E594" i="2" s="1"/>
  <c r="C594" i="2"/>
  <c r="F594" i="2" s="1"/>
  <c r="C595" i="2" l="1"/>
  <c r="F595" i="2" s="1"/>
  <c r="D595" i="2"/>
  <c r="E595" i="2" s="1"/>
  <c r="C596" i="2" l="1"/>
  <c r="F596" i="2" s="1"/>
  <c r="D596" i="2"/>
  <c r="E596" i="2" s="1"/>
  <c r="C597" i="2" l="1"/>
  <c r="F597" i="2" s="1"/>
  <c r="D597" i="2"/>
  <c r="E597" i="2" s="1"/>
  <c r="C598" i="2" l="1"/>
  <c r="F598" i="2" s="1"/>
  <c r="D598" i="2"/>
  <c r="E598" i="2" s="1"/>
  <c r="C599" i="2" l="1"/>
  <c r="F599" i="2" s="1"/>
  <c r="D599" i="2"/>
  <c r="E599" i="2" s="1"/>
  <c r="C600" i="2" l="1"/>
  <c r="F600" i="2" s="1"/>
  <c r="D600" i="2"/>
  <c r="E600" i="2" s="1"/>
  <c r="C601" i="2" l="1"/>
  <c r="F601" i="2" s="1"/>
  <c r="D601" i="2"/>
  <c r="E601" i="2" s="1"/>
  <c r="D602" i="2" l="1"/>
  <c r="E602" i="2" s="1"/>
  <c r="C602" i="2"/>
  <c r="F602" i="2" s="1"/>
  <c r="C603" i="2" l="1"/>
  <c r="F603" i="2" s="1"/>
  <c r="D603" i="2"/>
  <c r="E603" i="2" s="1"/>
  <c r="C604" i="2" l="1"/>
  <c r="F604" i="2" s="1"/>
  <c r="D604" i="2"/>
  <c r="E604" i="2" s="1"/>
  <c r="C605" i="2" l="1"/>
  <c r="F605" i="2" s="1"/>
  <c r="D605" i="2"/>
  <c r="E605" i="2" s="1"/>
  <c r="C606" i="2" l="1"/>
  <c r="F606" i="2" s="1"/>
  <c r="D606" i="2"/>
  <c r="E606" i="2" s="1"/>
  <c r="C607" i="2" l="1"/>
  <c r="F607" i="2" s="1"/>
  <c r="D607" i="2"/>
  <c r="E607" i="2" s="1"/>
  <c r="C608" i="2" l="1"/>
  <c r="F608" i="2" s="1"/>
  <c r="D608" i="2"/>
  <c r="E608" i="2" s="1"/>
  <c r="C609" i="2" l="1"/>
  <c r="F609" i="2" s="1"/>
  <c r="D609" i="2"/>
  <c r="E609" i="2" s="1"/>
  <c r="D610" i="2" l="1"/>
  <c r="E610" i="2" s="1"/>
  <c r="C610" i="2"/>
  <c r="F610" i="2" s="1"/>
  <c r="C611" i="2" l="1"/>
  <c r="F611" i="2" s="1"/>
  <c r="D611" i="2"/>
  <c r="E611" i="2" s="1"/>
  <c r="C612" i="2" l="1"/>
  <c r="F612" i="2" s="1"/>
  <c r="D612" i="2"/>
  <c r="E612" i="2" s="1"/>
  <c r="C613" i="2" l="1"/>
  <c r="F613" i="2" s="1"/>
  <c r="D613" i="2"/>
  <c r="E613" i="2" s="1"/>
  <c r="C614" i="2" l="1"/>
  <c r="F614" i="2" s="1"/>
  <c r="D614" i="2"/>
  <c r="E614" i="2" s="1"/>
  <c r="C615" i="2" l="1"/>
  <c r="F615" i="2" s="1"/>
  <c r="D615" i="2"/>
  <c r="E615" i="2" s="1"/>
  <c r="C616" i="2" l="1"/>
  <c r="F616" i="2" s="1"/>
  <c r="D616" i="2"/>
  <c r="E616" i="2" s="1"/>
  <c r="C617" i="2" l="1"/>
  <c r="F617" i="2" s="1"/>
  <c r="D617" i="2"/>
  <c r="E617" i="2" s="1"/>
  <c r="D618" i="2" l="1"/>
  <c r="E618" i="2" s="1"/>
  <c r="C618" i="2"/>
  <c r="F618" i="2" s="1"/>
  <c r="C619" i="2" l="1"/>
  <c r="F619" i="2" s="1"/>
  <c r="D619" i="2"/>
  <c r="E619" i="2" s="1"/>
  <c r="C620" i="2" l="1"/>
  <c r="F620" i="2" s="1"/>
  <c r="D620" i="2"/>
  <c r="E620" i="2" s="1"/>
  <c r="C621" i="2" l="1"/>
  <c r="F621" i="2" s="1"/>
  <c r="D621" i="2"/>
  <c r="E621" i="2" s="1"/>
  <c r="C622" i="2" l="1"/>
  <c r="F622" i="2" s="1"/>
  <c r="D622" i="2"/>
  <c r="E622" i="2" s="1"/>
  <c r="C623" i="2" l="1"/>
  <c r="F623" i="2" s="1"/>
  <c r="D623" i="2"/>
  <c r="E623" i="2" s="1"/>
  <c r="C624" i="2" l="1"/>
  <c r="F624" i="2" s="1"/>
  <c r="D624" i="2"/>
  <c r="E624" i="2" s="1"/>
  <c r="C625" i="2" l="1"/>
  <c r="F625" i="2" s="1"/>
  <c r="D625" i="2"/>
  <c r="E625" i="2" s="1"/>
  <c r="D626" i="2" l="1"/>
  <c r="E626" i="2" s="1"/>
  <c r="C626" i="2"/>
  <c r="F626" i="2" s="1"/>
  <c r="C627" i="2" l="1"/>
  <c r="F627" i="2" s="1"/>
  <c r="D627" i="2"/>
  <c r="E627" i="2" s="1"/>
  <c r="C628" i="2" l="1"/>
  <c r="F628" i="2" s="1"/>
  <c r="D628" i="2"/>
  <c r="E628" i="2" s="1"/>
  <c r="C629" i="2" l="1"/>
  <c r="F629" i="2" s="1"/>
  <c r="D629" i="2"/>
  <c r="E629" i="2" s="1"/>
  <c r="C630" i="2" l="1"/>
  <c r="F630" i="2" s="1"/>
  <c r="D630" i="2"/>
  <c r="E630" i="2" s="1"/>
  <c r="C631" i="2" l="1"/>
  <c r="F631" i="2" s="1"/>
  <c r="D631" i="2"/>
  <c r="E631" i="2" s="1"/>
  <c r="C632" i="2" l="1"/>
  <c r="F632" i="2" s="1"/>
  <c r="D632" i="2"/>
  <c r="E632" i="2" s="1"/>
  <c r="C633" i="2" l="1"/>
  <c r="F633" i="2" s="1"/>
  <c r="D633" i="2"/>
  <c r="E633" i="2" s="1"/>
  <c r="D634" i="2" l="1"/>
  <c r="E634" i="2" s="1"/>
  <c r="C634" i="2"/>
  <c r="F634" i="2" s="1"/>
  <c r="C635" i="2" l="1"/>
  <c r="F635" i="2" s="1"/>
  <c r="D635" i="2"/>
  <c r="E635" i="2" s="1"/>
  <c r="C636" i="2" l="1"/>
  <c r="F636" i="2" s="1"/>
  <c r="D636" i="2"/>
  <c r="E636" i="2" s="1"/>
  <c r="C637" i="2" l="1"/>
  <c r="F637" i="2" s="1"/>
  <c r="D637" i="2"/>
  <c r="E637" i="2" s="1"/>
  <c r="C638" i="2" l="1"/>
  <c r="F638" i="2" s="1"/>
  <c r="D638" i="2"/>
  <c r="E638" i="2" s="1"/>
  <c r="C639" i="2" l="1"/>
  <c r="F639" i="2" s="1"/>
  <c r="D639" i="2"/>
  <c r="E639" i="2" s="1"/>
  <c r="C640" i="2" l="1"/>
  <c r="F640" i="2" s="1"/>
  <c r="D640" i="2"/>
  <c r="E640" i="2" s="1"/>
  <c r="C641" i="2" l="1"/>
  <c r="F641" i="2" s="1"/>
  <c r="D641" i="2"/>
  <c r="E641" i="2" s="1"/>
  <c r="D642" i="2" l="1"/>
  <c r="E642" i="2" s="1"/>
  <c r="C642" i="2"/>
  <c r="F642" i="2" s="1"/>
  <c r="C643" i="2" l="1"/>
  <c r="F643" i="2" s="1"/>
  <c r="D643" i="2"/>
  <c r="E643" i="2" s="1"/>
  <c r="C644" i="2" l="1"/>
  <c r="F644" i="2" s="1"/>
  <c r="D644" i="2"/>
  <c r="E644" i="2" s="1"/>
  <c r="C645" i="2" l="1"/>
  <c r="F645" i="2" s="1"/>
  <c r="D645" i="2"/>
  <c r="E645" i="2" s="1"/>
  <c r="C646" i="2" l="1"/>
  <c r="F646" i="2" s="1"/>
  <c r="D646" i="2"/>
  <c r="E646" i="2" s="1"/>
  <c r="C647" i="2" l="1"/>
  <c r="F647" i="2" s="1"/>
  <c r="D647" i="2"/>
  <c r="E647" i="2" s="1"/>
  <c r="C648" i="2" l="1"/>
  <c r="F648" i="2" s="1"/>
  <c r="D648" i="2"/>
  <c r="E648" i="2" s="1"/>
  <c r="C649" i="2" l="1"/>
  <c r="F649" i="2" s="1"/>
  <c r="D649" i="2"/>
  <c r="E649" i="2" s="1"/>
  <c r="D650" i="2" l="1"/>
  <c r="E650" i="2" s="1"/>
  <c r="C650" i="2"/>
  <c r="F650" i="2" s="1"/>
  <c r="C651" i="2" l="1"/>
  <c r="F651" i="2" s="1"/>
  <c r="D651" i="2"/>
  <c r="E651" i="2" s="1"/>
  <c r="C652" i="2" l="1"/>
  <c r="F652" i="2" s="1"/>
  <c r="D652" i="2"/>
  <c r="E652" i="2" s="1"/>
  <c r="C653" i="2" l="1"/>
  <c r="F653" i="2" s="1"/>
  <c r="D653" i="2"/>
  <c r="E653" i="2" s="1"/>
  <c r="C654" i="2" l="1"/>
  <c r="F654" i="2" s="1"/>
  <c r="D654" i="2"/>
  <c r="E654" i="2" s="1"/>
  <c r="C655" i="2" l="1"/>
  <c r="F655" i="2" s="1"/>
  <c r="D655" i="2"/>
  <c r="E655" i="2" s="1"/>
  <c r="C656" i="2" l="1"/>
  <c r="F656" i="2" s="1"/>
  <c r="D656" i="2"/>
  <c r="E656" i="2" s="1"/>
  <c r="C657" i="2" l="1"/>
  <c r="F657" i="2" s="1"/>
  <c r="D657" i="2"/>
  <c r="E657" i="2" s="1"/>
  <c r="D658" i="2" l="1"/>
  <c r="E658" i="2" s="1"/>
  <c r="C658" i="2"/>
  <c r="F658" i="2" s="1"/>
  <c r="C659" i="2" l="1"/>
  <c r="F659" i="2" s="1"/>
  <c r="D659" i="2"/>
  <c r="E659" i="2" s="1"/>
  <c r="C660" i="2" l="1"/>
  <c r="F660" i="2" s="1"/>
  <c r="D660" i="2"/>
  <c r="E660" i="2" s="1"/>
  <c r="C661" i="2" l="1"/>
  <c r="F661" i="2" s="1"/>
  <c r="D661" i="2"/>
  <c r="E661" i="2" s="1"/>
  <c r="C662" i="2" l="1"/>
  <c r="F662" i="2" s="1"/>
  <c r="D662" i="2"/>
  <c r="E662" i="2" s="1"/>
  <c r="C663" i="2" l="1"/>
  <c r="F663" i="2" s="1"/>
  <c r="D663" i="2"/>
  <c r="E663" i="2" s="1"/>
  <c r="C664" i="2" l="1"/>
  <c r="F664" i="2" s="1"/>
  <c r="D664" i="2"/>
  <c r="E664" i="2" s="1"/>
  <c r="C665" i="2" l="1"/>
  <c r="F665" i="2" s="1"/>
  <c r="D665" i="2"/>
  <c r="E665" i="2" s="1"/>
  <c r="D666" i="2" l="1"/>
  <c r="E666" i="2" s="1"/>
  <c r="C666" i="2"/>
  <c r="F666" i="2" s="1"/>
  <c r="C667" i="2" l="1"/>
  <c r="F667" i="2" s="1"/>
  <c r="D667" i="2"/>
  <c r="E667" i="2" s="1"/>
  <c r="C668" i="2" l="1"/>
  <c r="F668" i="2" s="1"/>
  <c r="D668" i="2"/>
  <c r="E668" i="2" s="1"/>
  <c r="C669" i="2" l="1"/>
  <c r="F669" i="2" s="1"/>
  <c r="D669" i="2"/>
  <c r="E669" i="2" s="1"/>
  <c r="C670" i="2" l="1"/>
  <c r="F670" i="2" s="1"/>
  <c r="D670" i="2"/>
  <c r="E670" i="2" s="1"/>
  <c r="C671" i="2" l="1"/>
  <c r="F671" i="2" s="1"/>
  <c r="D671" i="2"/>
  <c r="E671" i="2" s="1"/>
  <c r="D672" i="2" l="1"/>
  <c r="E672" i="2" s="1"/>
  <c r="C672" i="2"/>
  <c r="F672" i="2" s="1"/>
  <c r="C673" i="2" l="1"/>
  <c r="F673" i="2" s="1"/>
  <c r="D673" i="2"/>
  <c r="E673" i="2" s="1"/>
  <c r="D674" i="2" l="1"/>
  <c r="E674" i="2" s="1"/>
  <c r="C674" i="2"/>
  <c r="F674" i="2" s="1"/>
  <c r="C675" i="2" l="1"/>
  <c r="F675" i="2" s="1"/>
  <c r="D675" i="2"/>
  <c r="E675" i="2" s="1"/>
  <c r="D676" i="2" l="1"/>
  <c r="E676" i="2" s="1"/>
  <c r="C676" i="2"/>
  <c r="F676" i="2" s="1"/>
  <c r="C677" i="2" l="1"/>
  <c r="F677" i="2" s="1"/>
  <c r="D677" i="2"/>
  <c r="E677" i="2" s="1"/>
  <c r="C678" i="2" l="1"/>
  <c r="F678" i="2" s="1"/>
  <c r="D678" i="2"/>
  <c r="E678" i="2" s="1"/>
  <c r="C679" i="2" l="1"/>
  <c r="F679" i="2" s="1"/>
  <c r="D679" i="2"/>
  <c r="E679" i="2" s="1"/>
  <c r="D680" i="2" l="1"/>
  <c r="E680" i="2" s="1"/>
  <c r="C680" i="2"/>
  <c r="F680" i="2" s="1"/>
  <c r="C681" i="2" l="1"/>
  <c r="F681" i="2" s="1"/>
  <c r="D681" i="2"/>
  <c r="E681" i="2" s="1"/>
  <c r="D682" i="2" l="1"/>
  <c r="E682" i="2" s="1"/>
  <c r="C682" i="2"/>
  <c r="F682" i="2" s="1"/>
  <c r="C683" i="2" l="1"/>
  <c r="F683" i="2" s="1"/>
  <c r="D683" i="2"/>
  <c r="E683" i="2" s="1"/>
  <c r="D684" i="2" l="1"/>
  <c r="E684" i="2" s="1"/>
  <c r="C684" i="2"/>
  <c r="F684" i="2" s="1"/>
  <c r="C685" i="2" l="1"/>
  <c r="F685" i="2" s="1"/>
  <c r="D685" i="2"/>
  <c r="E685" i="2" s="1"/>
  <c r="C686" i="2" l="1"/>
  <c r="F686" i="2" s="1"/>
  <c r="D686" i="2"/>
  <c r="E686" i="2" s="1"/>
  <c r="C687" i="2" l="1"/>
  <c r="F687" i="2" s="1"/>
  <c r="D687" i="2"/>
  <c r="E687" i="2" s="1"/>
  <c r="D688" i="2" l="1"/>
  <c r="E688" i="2" s="1"/>
  <c r="C688" i="2"/>
  <c r="F688" i="2" s="1"/>
  <c r="C689" i="2" l="1"/>
  <c r="F689" i="2" s="1"/>
  <c r="D689" i="2"/>
  <c r="E689" i="2" s="1"/>
  <c r="D690" i="2" l="1"/>
  <c r="E690" i="2" s="1"/>
  <c r="C690" i="2"/>
  <c r="F690" i="2" s="1"/>
  <c r="C691" i="2" l="1"/>
  <c r="F691" i="2" s="1"/>
  <c r="D691" i="2"/>
  <c r="E691" i="2" s="1"/>
  <c r="D692" i="2" l="1"/>
  <c r="E692" i="2" s="1"/>
  <c r="C692" i="2"/>
  <c r="F692" i="2" s="1"/>
  <c r="C693" i="2" l="1"/>
  <c r="F693" i="2" s="1"/>
  <c r="D693" i="2"/>
  <c r="E693" i="2" s="1"/>
  <c r="C694" i="2" l="1"/>
  <c r="F694" i="2" s="1"/>
  <c r="D694" i="2"/>
  <c r="E694" i="2" s="1"/>
  <c r="C695" i="2" l="1"/>
  <c r="F695" i="2" s="1"/>
  <c r="D695" i="2"/>
  <c r="E695" i="2" s="1"/>
  <c r="D696" i="2" l="1"/>
  <c r="E696" i="2" s="1"/>
  <c r="C696" i="2"/>
  <c r="F696" i="2" s="1"/>
  <c r="C697" i="2" l="1"/>
  <c r="F697" i="2" s="1"/>
  <c r="D697" i="2"/>
  <c r="E697" i="2" s="1"/>
  <c r="D698" i="2" l="1"/>
  <c r="E698" i="2" s="1"/>
  <c r="C698" i="2"/>
  <c r="F698" i="2" s="1"/>
  <c r="C699" i="2" l="1"/>
  <c r="F699" i="2" s="1"/>
  <c r="D699" i="2"/>
  <c r="E699" i="2" s="1"/>
  <c r="D700" i="2" l="1"/>
  <c r="E700" i="2" s="1"/>
  <c r="C700" i="2"/>
  <c r="F700" i="2" s="1"/>
  <c r="C701" i="2" l="1"/>
  <c r="F701" i="2" s="1"/>
  <c r="D701" i="2"/>
  <c r="E701" i="2" s="1"/>
  <c r="D702" i="2" l="1"/>
  <c r="E702" i="2" s="1"/>
  <c r="C702" i="2"/>
  <c r="F702" i="2" s="1"/>
  <c r="C703" i="2" l="1"/>
  <c r="F703" i="2" s="1"/>
  <c r="D703" i="2"/>
  <c r="E703" i="2" s="1"/>
  <c r="D704" i="2" l="1"/>
  <c r="E704" i="2" s="1"/>
  <c r="C704" i="2"/>
  <c r="F704" i="2" s="1"/>
  <c r="C705" i="2" l="1"/>
  <c r="F705" i="2" s="1"/>
  <c r="D705" i="2"/>
  <c r="E705" i="2" s="1"/>
  <c r="D706" i="2" l="1"/>
  <c r="E706" i="2" s="1"/>
  <c r="C706" i="2"/>
  <c r="F706" i="2" s="1"/>
  <c r="C707" i="2" l="1"/>
  <c r="F707" i="2" s="1"/>
  <c r="D707" i="2"/>
  <c r="E707" i="2" s="1"/>
  <c r="D708" i="2" l="1"/>
  <c r="E708" i="2" s="1"/>
  <c r="C708" i="2"/>
  <c r="F708" i="2" s="1"/>
  <c r="C709" i="2" l="1"/>
  <c r="F709" i="2" s="1"/>
  <c r="D709" i="2"/>
  <c r="E709" i="2" s="1"/>
  <c r="C710" i="2" l="1"/>
  <c r="F710" i="2" s="1"/>
  <c r="D710" i="2"/>
  <c r="E710" i="2" s="1"/>
  <c r="C711" i="2" l="1"/>
  <c r="F711" i="2" s="1"/>
  <c r="D711" i="2"/>
  <c r="E711" i="2" s="1"/>
  <c r="D712" i="2" l="1"/>
  <c r="E712" i="2" s="1"/>
  <c r="C712" i="2"/>
  <c r="F712" i="2" s="1"/>
  <c r="C713" i="2" l="1"/>
  <c r="F713" i="2" s="1"/>
  <c r="D713" i="2"/>
  <c r="E713" i="2" s="1"/>
  <c r="D714" i="2" l="1"/>
  <c r="E714" i="2" s="1"/>
  <c r="C714" i="2"/>
  <c r="F714" i="2" s="1"/>
  <c r="C715" i="2" l="1"/>
  <c r="F715" i="2" s="1"/>
  <c r="D715" i="2"/>
  <c r="E715" i="2" s="1"/>
  <c r="D716" i="2" l="1"/>
  <c r="E716" i="2" s="1"/>
  <c r="C716" i="2"/>
  <c r="F716" i="2" s="1"/>
  <c r="C717" i="2" l="1"/>
  <c r="F717" i="2" s="1"/>
  <c r="D717" i="2"/>
  <c r="E717" i="2" s="1"/>
  <c r="C718" i="2" l="1"/>
  <c r="F718" i="2" s="1"/>
  <c r="D718" i="2"/>
  <c r="E718" i="2" s="1"/>
  <c r="C719" i="2" l="1"/>
  <c r="F719" i="2" s="1"/>
  <c r="D719" i="2"/>
  <c r="E719" i="2" s="1"/>
  <c r="D720" i="2" l="1"/>
  <c r="E720" i="2" s="1"/>
  <c r="C720" i="2"/>
  <c r="F720" i="2" s="1"/>
  <c r="C721" i="2" l="1"/>
  <c r="F721" i="2" s="1"/>
  <c r="D721" i="2"/>
  <c r="E721" i="2" s="1"/>
  <c r="D722" i="2" l="1"/>
  <c r="E722" i="2" s="1"/>
  <c r="C722" i="2"/>
  <c r="F722" i="2" s="1"/>
  <c r="C723" i="2" l="1"/>
  <c r="F723" i="2" s="1"/>
  <c r="D723" i="2"/>
  <c r="E723" i="2" s="1"/>
  <c r="D724" i="2" l="1"/>
  <c r="E724" i="2" s="1"/>
  <c r="C724" i="2"/>
  <c r="F724" i="2" s="1"/>
  <c r="C725" i="2" l="1"/>
  <c r="F725" i="2" s="1"/>
  <c r="D725" i="2"/>
  <c r="E725" i="2" s="1"/>
  <c r="C726" i="2" l="1"/>
  <c r="F726" i="2" s="1"/>
  <c r="D726" i="2"/>
  <c r="E726" i="2" s="1"/>
  <c r="C727" i="2" l="1"/>
  <c r="F727" i="2" s="1"/>
  <c r="D727" i="2"/>
  <c r="E727" i="2" s="1"/>
  <c r="D728" i="2" l="1"/>
  <c r="E728" i="2" s="1"/>
  <c r="C728" i="2"/>
  <c r="F728" i="2" s="1"/>
  <c r="C729" i="2" l="1"/>
  <c r="F729" i="2" s="1"/>
  <c r="D729" i="2"/>
  <c r="E729" i="2" s="1"/>
  <c r="D730" i="2" l="1"/>
  <c r="E730" i="2" s="1"/>
  <c r="C730" i="2"/>
  <c r="F730" i="2" s="1"/>
  <c r="C731" i="2" l="1"/>
  <c r="F731" i="2" s="1"/>
  <c r="D731" i="2"/>
  <c r="E731" i="2" s="1"/>
  <c r="D732" i="2" l="1"/>
  <c r="E732" i="2" s="1"/>
  <c r="C732" i="2"/>
  <c r="F732" i="2" s="1"/>
  <c r="C733" i="2" l="1"/>
  <c r="F733" i="2" s="1"/>
  <c r="D733" i="2"/>
  <c r="E733" i="2" s="1"/>
  <c r="D734" i="2" l="1"/>
  <c r="E734" i="2" s="1"/>
  <c r="C734" i="2"/>
  <c r="F734" i="2" s="1"/>
  <c r="C735" i="2" l="1"/>
  <c r="F735" i="2" s="1"/>
  <c r="D735" i="2"/>
  <c r="E735" i="2" s="1"/>
  <c r="D736" i="2" l="1"/>
  <c r="E736" i="2" s="1"/>
  <c r="C736" i="2"/>
  <c r="F736" i="2" s="1"/>
  <c r="C737" i="2" l="1"/>
  <c r="F737" i="2" s="1"/>
  <c r="D737" i="2"/>
  <c r="E737" i="2" s="1"/>
  <c r="D738" i="2" l="1"/>
  <c r="E738" i="2" s="1"/>
  <c r="C738" i="2"/>
  <c r="F738" i="2" s="1"/>
  <c r="C739" i="2" l="1"/>
  <c r="F739" i="2" s="1"/>
  <c r="D739" i="2"/>
  <c r="E739" i="2" s="1"/>
  <c r="D740" i="2" l="1"/>
  <c r="E740" i="2" s="1"/>
  <c r="C740" i="2"/>
  <c r="F740" i="2" s="1"/>
  <c r="C741" i="2" l="1"/>
  <c r="F741" i="2" s="1"/>
  <c r="D741" i="2"/>
  <c r="E741" i="2" s="1"/>
  <c r="C742" i="2" l="1"/>
  <c r="F742" i="2" s="1"/>
  <c r="D742" i="2"/>
  <c r="E742" i="2" s="1"/>
  <c r="C743" i="2" l="1"/>
  <c r="F743" i="2" s="1"/>
  <c r="D743" i="2"/>
  <c r="E743" i="2" s="1"/>
  <c r="D744" i="2" l="1"/>
  <c r="E744" i="2" s="1"/>
  <c r="C744" i="2"/>
  <c r="F744" i="2" s="1"/>
  <c r="C745" i="2" l="1"/>
  <c r="F745" i="2" s="1"/>
  <c r="D745" i="2"/>
  <c r="E745" i="2" s="1"/>
  <c r="D746" i="2" l="1"/>
  <c r="E746" i="2" s="1"/>
  <c r="C746" i="2"/>
  <c r="F746" i="2" s="1"/>
  <c r="C747" i="2" l="1"/>
  <c r="F747" i="2" s="1"/>
  <c r="D747" i="2"/>
  <c r="E747" i="2" s="1"/>
  <c r="D748" i="2" l="1"/>
  <c r="E748" i="2" s="1"/>
  <c r="C748" i="2"/>
  <c r="F748" i="2" s="1"/>
  <c r="C749" i="2" l="1"/>
  <c r="F749" i="2" s="1"/>
  <c r="D749" i="2"/>
  <c r="E749" i="2" s="1"/>
  <c r="D750" i="2" l="1"/>
  <c r="E750" i="2" s="1"/>
  <c r="C750" i="2"/>
  <c r="F750" i="2" s="1"/>
  <c r="C751" i="2" l="1"/>
  <c r="F751" i="2" s="1"/>
  <c r="D751" i="2"/>
  <c r="E751" i="2" s="1"/>
  <c r="D752" i="2" l="1"/>
  <c r="E752" i="2" s="1"/>
  <c r="C752" i="2"/>
  <c r="F752" i="2" s="1"/>
  <c r="C753" i="2" l="1"/>
  <c r="F753" i="2" s="1"/>
  <c r="D753" i="2"/>
  <c r="E753" i="2" s="1"/>
  <c r="D754" i="2" l="1"/>
  <c r="E754" i="2" s="1"/>
  <c r="C754" i="2"/>
  <c r="F754" i="2" s="1"/>
  <c r="C755" i="2" l="1"/>
  <c r="F755" i="2" s="1"/>
  <c r="D755" i="2"/>
  <c r="E755" i="2" s="1"/>
  <c r="D756" i="2" l="1"/>
  <c r="E756" i="2" s="1"/>
  <c r="C756" i="2"/>
  <c r="F756" i="2" s="1"/>
  <c r="C757" i="2" l="1"/>
  <c r="F757" i="2" s="1"/>
  <c r="D757" i="2"/>
  <c r="E757" i="2" s="1"/>
  <c r="D758" i="2" l="1"/>
  <c r="E758" i="2" s="1"/>
  <c r="C758" i="2"/>
  <c r="F758" i="2" s="1"/>
  <c r="C759" i="2" l="1"/>
  <c r="F759" i="2" s="1"/>
  <c r="D759" i="2"/>
  <c r="E759" i="2" s="1"/>
  <c r="D760" i="2" l="1"/>
  <c r="E760" i="2" s="1"/>
  <c r="C760" i="2"/>
  <c r="F760" i="2" s="1"/>
  <c r="C761" i="2" l="1"/>
  <c r="F761" i="2" s="1"/>
  <c r="D761" i="2"/>
  <c r="E761" i="2" s="1"/>
  <c r="D762" i="2" l="1"/>
  <c r="E762" i="2" s="1"/>
  <c r="C762" i="2"/>
  <c r="F762" i="2" s="1"/>
  <c r="C763" i="2" l="1"/>
  <c r="F763" i="2" s="1"/>
  <c r="D763" i="2"/>
  <c r="E763" i="2" s="1"/>
  <c r="D764" i="2" l="1"/>
  <c r="E764" i="2" s="1"/>
  <c r="C764" i="2"/>
  <c r="F764" i="2" s="1"/>
  <c r="C765" i="2" l="1"/>
  <c r="F765" i="2" s="1"/>
  <c r="D765" i="2"/>
  <c r="E765" i="2" s="1"/>
  <c r="D766" i="2" l="1"/>
  <c r="E766" i="2" s="1"/>
  <c r="C766" i="2"/>
  <c r="F766" i="2" s="1"/>
  <c r="C767" i="2" l="1"/>
  <c r="F767" i="2" s="1"/>
  <c r="D767" i="2"/>
  <c r="E767" i="2" s="1"/>
  <c r="D768" i="2" l="1"/>
  <c r="E768" i="2" s="1"/>
  <c r="C768" i="2"/>
  <c r="F768" i="2" s="1"/>
  <c r="C769" i="2" l="1"/>
  <c r="F769" i="2" s="1"/>
  <c r="D769" i="2"/>
  <c r="E769" i="2" s="1"/>
  <c r="D770" i="2" l="1"/>
  <c r="E770" i="2" s="1"/>
  <c r="C770" i="2"/>
  <c r="F770" i="2" s="1"/>
  <c r="C771" i="2" l="1"/>
  <c r="F771" i="2" s="1"/>
  <c r="D771" i="2"/>
  <c r="E771" i="2" s="1"/>
  <c r="D772" i="2" l="1"/>
  <c r="E772" i="2" s="1"/>
  <c r="C772" i="2"/>
  <c r="F772" i="2" s="1"/>
  <c r="C773" i="2" l="1"/>
  <c r="F773" i="2" s="1"/>
  <c r="D773" i="2"/>
  <c r="E773" i="2" s="1"/>
  <c r="D774" i="2" l="1"/>
  <c r="E774" i="2" s="1"/>
  <c r="C774" i="2"/>
  <c r="F774" i="2" s="1"/>
  <c r="C775" i="2" l="1"/>
  <c r="F775" i="2" s="1"/>
  <c r="D775" i="2"/>
  <c r="E775" i="2" s="1"/>
  <c r="D776" i="2" l="1"/>
  <c r="E776" i="2" s="1"/>
  <c r="C776" i="2"/>
  <c r="F776" i="2" s="1"/>
  <c r="C777" i="2" l="1"/>
  <c r="F777" i="2" s="1"/>
  <c r="D777" i="2"/>
  <c r="E777" i="2" s="1"/>
  <c r="D778" i="2" l="1"/>
  <c r="E778" i="2" s="1"/>
  <c r="C778" i="2"/>
  <c r="F778" i="2" s="1"/>
  <c r="C779" i="2" l="1"/>
  <c r="F779" i="2" s="1"/>
  <c r="D779" i="2"/>
  <c r="E779" i="2" s="1"/>
  <c r="D780" i="2" l="1"/>
  <c r="E780" i="2" s="1"/>
  <c r="C780" i="2"/>
  <c r="F780" i="2" s="1"/>
  <c r="C781" i="2" l="1"/>
  <c r="F781" i="2" s="1"/>
  <c r="D781" i="2"/>
  <c r="E781" i="2" s="1"/>
  <c r="D782" i="2" l="1"/>
  <c r="E782" i="2" s="1"/>
  <c r="C782" i="2"/>
  <c r="F782" i="2" s="1"/>
  <c r="C783" i="2" l="1"/>
  <c r="F783" i="2" s="1"/>
  <c r="D783" i="2"/>
  <c r="E783" i="2" s="1"/>
  <c r="D784" i="2" l="1"/>
  <c r="E784" i="2" s="1"/>
  <c r="C784" i="2"/>
  <c r="F784" i="2" s="1"/>
  <c r="C785" i="2" l="1"/>
  <c r="F785" i="2" s="1"/>
  <c r="D785" i="2"/>
  <c r="E785" i="2" s="1"/>
  <c r="D786" i="2" l="1"/>
  <c r="E786" i="2" s="1"/>
  <c r="C786" i="2"/>
  <c r="F786" i="2" s="1"/>
  <c r="C787" i="2" l="1"/>
  <c r="F787" i="2" s="1"/>
  <c r="D787" i="2"/>
  <c r="E787" i="2" s="1"/>
  <c r="D788" i="2" l="1"/>
  <c r="E788" i="2" s="1"/>
  <c r="C788" i="2"/>
  <c r="F788" i="2" s="1"/>
  <c r="C789" i="2" l="1"/>
  <c r="F789" i="2" s="1"/>
  <c r="D789" i="2"/>
  <c r="E789" i="2" s="1"/>
  <c r="D790" i="2" l="1"/>
  <c r="E790" i="2" s="1"/>
  <c r="C790" i="2"/>
  <c r="F790" i="2" s="1"/>
  <c r="C791" i="2" l="1"/>
  <c r="F791" i="2" s="1"/>
  <c r="D791" i="2"/>
  <c r="E791" i="2" s="1"/>
  <c r="D792" i="2" l="1"/>
  <c r="E792" i="2" s="1"/>
  <c r="C792" i="2"/>
  <c r="F792" i="2" s="1"/>
  <c r="C793" i="2" l="1"/>
  <c r="F793" i="2" s="1"/>
  <c r="D793" i="2"/>
  <c r="E793" i="2" s="1"/>
  <c r="D794" i="2" l="1"/>
  <c r="E794" i="2" s="1"/>
  <c r="C794" i="2"/>
  <c r="F794" i="2" s="1"/>
  <c r="C795" i="2" l="1"/>
  <c r="F795" i="2" s="1"/>
  <c r="D795" i="2"/>
  <c r="E795" i="2" s="1"/>
  <c r="D796" i="2" l="1"/>
  <c r="E796" i="2" s="1"/>
  <c r="C796" i="2"/>
  <c r="F796" i="2" s="1"/>
  <c r="C797" i="2" l="1"/>
  <c r="F797" i="2" s="1"/>
  <c r="D797" i="2"/>
  <c r="E797" i="2" s="1"/>
  <c r="D798" i="2" l="1"/>
  <c r="E798" i="2" s="1"/>
  <c r="C798" i="2"/>
  <c r="F798" i="2" s="1"/>
  <c r="C799" i="2" l="1"/>
  <c r="F799" i="2" s="1"/>
  <c r="D799" i="2"/>
  <c r="E799" i="2" s="1"/>
  <c r="D800" i="2" l="1"/>
  <c r="E800" i="2" s="1"/>
  <c r="C800" i="2"/>
  <c r="F800" i="2" s="1"/>
  <c r="C801" i="2" l="1"/>
  <c r="F801" i="2" s="1"/>
  <c r="D801" i="2"/>
  <c r="E801" i="2" s="1"/>
  <c r="D802" i="2" l="1"/>
  <c r="E802" i="2" s="1"/>
  <c r="C802" i="2"/>
  <c r="F802" i="2" s="1"/>
  <c r="C803" i="2" l="1"/>
  <c r="F803" i="2" s="1"/>
  <c r="D803" i="2"/>
  <c r="E803" i="2" s="1"/>
  <c r="D804" i="2" l="1"/>
  <c r="E804" i="2" s="1"/>
  <c r="C804" i="2"/>
  <c r="F804" i="2" s="1"/>
  <c r="C805" i="2" l="1"/>
  <c r="F805" i="2" s="1"/>
  <c r="D805" i="2"/>
  <c r="E805" i="2" s="1"/>
  <c r="D806" i="2" l="1"/>
  <c r="E806" i="2" s="1"/>
  <c r="C806" i="2"/>
  <c r="F806" i="2" s="1"/>
  <c r="C807" i="2" l="1"/>
  <c r="F807" i="2" s="1"/>
  <c r="D807" i="2"/>
  <c r="E807" i="2" s="1"/>
  <c r="D808" i="2" l="1"/>
  <c r="E808" i="2" s="1"/>
  <c r="C808" i="2"/>
  <c r="F808" i="2" s="1"/>
  <c r="C809" i="2" l="1"/>
  <c r="F809" i="2" s="1"/>
  <c r="D809" i="2"/>
  <c r="E809" i="2" s="1"/>
  <c r="D810" i="2" l="1"/>
  <c r="E810" i="2" s="1"/>
  <c r="C810" i="2"/>
  <c r="F810" i="2" s="1"/>
  <c r="C811" i="2" l="1"/>
  <c r="F811" i="2" s="1"/>
  <c r="D811" i="2"/>
  <c r="E811" i="2" s="1"/>
  <c r="D812" i="2" l="1"/>
  <c r="E812" i="2" s="1"/>
  <c r="C812" i="2"/>
  <c r="F812" i="2" s="1"/>
  <c r="C813" i="2" l="1"/>
  <c r="F813" i="2" s="1"/>
  <c r="D813" i="2"/>
  <c r="E813" i="2" s="1"/>
  <c r="C814" i="2" l="1"/>
  <c r="F814" i="2" s="1"/>
  <c r="D814" i="2"/>
  <c r="E814" i="2" s="1"/>
  <c r="C815" i="2" l="1"/>
  <c r="F815" i="2" s="1"/>
  <c r="D815" i="2"/>
  <c r="E815" i="2" s="1"/>
  <c r="D816" i="2" l="1"/>
  <c r="E816" i="2" s="1"/>
  <c r="C816" i="2"/>
  <c r="F816" i="2" s="1"/>
  <c r="C817" i="2" l="1"/>
  <c r="F817" i="2" s="1"/>
  <c r="D817" i="2"/>
  <c r="E817" i="2" s="1"/>
  <c r="C818" i="2" l="1"/>
  <c r="F818" i="2" s="1"/>
  <c r="D818" i="2"/>
  <c r="E818" i="2" s="1"/>
  <c r="C819" i="2" l="1"/>
  <c r="F819" i="2" s="1"/>
  <c r="D819" i="2"/>
  <c r="E819" i="2" s="1"/>
  <c r="D820" i="2" l="1"/>
  <c r="E820" i="2" s="1"/>
  <c r="C820" i="2"/>
  <c r="F820" i="2" s="1"/>
  <c r="C821" i="2" l="1"/>
  <c r="F821" i="2" s="1"/>
  <c r="D821" i="2"/>
  <c r="E821" i="2" s="1"/>
  <c r="C822" i="2" l="1"/>
  <c r="F822" i="2" s="1"/>
  <c r="D822" i="2"/>
  <c r="E822" i="2" s="1"/>
  <c r="C823" i="2" l="1"/>
  <c r="F823" i="2" s="1"/>
  <c r="D823" i="2"/>
  <c r="E823" i="2" s="1"/>
  <c r="C824" i="2" l="1"/>
  <c r="F824" i="2" s="1"/>
  <c r="D824" i="2"/>
  <c r="E824" i="2" s="1"/>
  <c r="D825" i="2" l="1"/>
  <c r="E825" i="2" s="1"/>
  <c r="C825" i="2"/>
  <c r="F825" i="2" s="1"/>
  <c r="C826" i="2" l="1"/>
  <c r="F826" i="2" s="1"/>
  <c r="D826" i="2"/>
  <c r="E826" i="2" s="1"/>
  <c r="D827" i="2" l="1"/>
  <c r="E827" i="2" s="1"/>
  <c r="C827" i="2"/>
  <c r="F827" i="2" s="1"/>
  <c r="C828" i="2" l="1"/>
  <c r="F828" i="2" s="1"/>
  <c r="D828" i="2"/>
  <c r="E828" i="2" s="1"/>
  <c r="D829" i="2" l="1"/>
  <c r="E829" i="2" s="1"/>
  <c r="C829" i="2"/>
  <c r="F829" i="2" s="1"/>
  <c r="C830" i="2" l="1"/>
  <c r="F830" i="2" s="1"/>
  <c r="D830" i="2"/>
  <c r="E830" i="2" s="1"/>
  <c r="C831" i="2" l="1"/>
  <c r="F831" i="2" s="1"/>
  <c r="D831" i="2"/>
  <c r="E831" i="2" s="1"/>
  <c r="C832" i="2" l="1"/>
  <c r="F832" i="2" s="1"/>
  <c r="D832" i="2"/>
  <c r="E832" i="2" s="1"/>
  <c r="D833" i="2" l="1"/>
  <c r="E833" i="2" s="1"/>
  <c r="C833" i="2"/>
  <c r="F833" i="2" s="1"/>
  <c r="C834" i="2" l="1"/>
  <c r="F834" i="2" s="1"/>
  <c r="D834" i="2"/>
  <c r="E834" i="2" s="1"/>
  <c r="D835" i="2" l="1"/>
  <c r="E835" i="2" s="1"/>
  <c r="C835" i="2"/>
  <c r="F835" i="2" s="1"/>
  <c r="D836" i="2" l="1"/>
  <c r="E836" i="2" s="1"/>
  <c r="C836" i="2"/>
  <c r="F836" i="2" s="1"/>
  <c r="D837" i="2" l="1"/>
  <c r="E837" i="2" s="1"/>
  <c r="C837" i="2"/>
  <c r="F837" i="2" s="1"/>
  <c r="C838" i="2" l="1"/>
  <c r="F838" i="2" s="1"/>
  <c r="D838" i="2"/>
  <c r="E838" i="2" s="1"/>
  <c r="C839" i="2" l="1"/>
  <c r="F839" i="2" s="1"/>
  <c r="D839" i="2"/>
  <c r="E839" i="2" s="1"/>
  <c r="C840" i="2" l="1"/>
  <c r="F840" i="2" s="1"/>
  <c r="D840" i="2"/>
  <c r="E840" i="2" s="1"/>
  <c r="D841" i="2" l="1"/>
  <c r="E841" i="2" s="1"/>
  <c r="C841" i="2"/>
  <c r="F841" i="2" s="1"/>
  <c r="C842" i="2" l="1"/>
  <c r="F842" i="2" s="1"/>
  <c r="D842" i="2"/>
  <c r="E842" i="2" s="1"/>
  <c r="D843" i="2" l="1"/>
  <c r="E843" i="2" s="1"/>
  <c r="C843" i="2"/>
  <c r="F843" i="2" s="1"/>
  <c r="C844" i="2" l="1"/>
  <c r="F844" i="2" s="1"/>
  <c r="D844" i="2"/>
  <c r="E844" i="2" s="1"/>
  <c r="D845" i="2" l="1"/>
  <c r="E845" i="2" s="1"/>
  <c r="C845" i="2"/>
  <c r="F845" i="2" s="1"/>
  <c r="C846" i="2" l="1"/>
  <c r="F846" i="2" s="1"/>
  <c r="D846" i="2"/>
  <c r="E846" i="2" s="1"/>
  <c r="D847" i="2" l="1"/>
  <c r="E847" i="2" s="1"/>
  <c r="C847" i="2"/>
  <c r="F847" i="2" s="1"/>
  <c r="C848" i="2" l="1"/>
  <c r="F848" i="2" s="1"/>
  <c r="D848" i="2"/>
  <c r="E848" i="2" s="1"/>
  <c r="D849" i="2" l="1"/>
  <c r="E849" i="2" s="1"/>
  <c r="C849" i="2"/>
  <c r="F849" i="2" s="1"/>
  <c r="C850" i="2" l="1"/>
  <c r="F850" i="2" s="1"/>
  <c r="D850" i="2"/>
  <c r="E850" i="2" s="1"/>
  <c r="D851" i="2" l="1"/>
  <c r="E851" i="2" s="1"/>
  <c r="C851" i="2"/>
  <c r="F851" i="2" s="1"/>
  <c r="D852" i="2" l="1"/>
  <c r="E852" i="2" s="1"/>
  <c r="C852" i="2"/>
  <c r="F852" i="2" s="1"/>
  <c r="D853" i="2" l="1"/>
  <c r="E853" i="2" s="1"/>
  <c r="C853" i="2"/>
  <c r="F853" i="2" s="1"/>
  <c r="C854" i="2" l="1"/>
  <c r="F854" i="2" s="1"/>
  <c r="D854" i="2"/>
  <c r="E854" i="2" s="1"/>
  <c r="C855" i="2" l="1"/>
  <c r="F855" i="2" s="1"/>
  <c r="D855" i="2"/>
  <c r="E855" i="2" s="1"/>
  <c r="C856" i="2" l="1"/>
  <c r="F856" i="2" s="1"/>
  <c r="D856" i="2"/>
  <c r="E856" i="2" s="1"/>
  <c r="D857" i="2" l="1"/>
  <c r="E857" i="2" s="1"/>
  <c r="C857" i="2"/>
  <c r="F857" i="2" s="1"/>
  <c r="C858" i="2" l="1"/>
  <c r="F858" i="2" s="1"/>
  <c r="D858" i="2"/>
  <c r="E858" i="2" s="1"/>
  <c r="D859" i="2" l="1"/>
  <c r="E859" i="2" s="1"/>
  <c r="C859" i="2"/>
  <c r="F859" i="2" s="1"/>
  <c r="D860" i="2" l="1"/>
  <c r="E860" i="2" s="1"/>
  <c r="C860" i="2"/>
  <c r="F860" i="2" s="1"/>
  <c r="D861" i="2" l="1"/>
  <c r="E861" i="2" s="1"/>
  <c r="C861" i="2"/>
  <c r="F861" i="2" s="1"/>
  <c r="C862" i="2" l="1"/>
  <c r="F862" i="2" s="1"/>
  <c r="D862" i="2"/>
  <c r="E862" i="2" s="1"/>
  <c r="C863" i="2" l="1"/>
  <c r="F863" i="2" s="1"/>
  <c r="D863" i="2"/>
  <c r="E863" i="2" s="1"/>
  <c r="C864" i="2" l="1"/>
  <c r="F864" i="2" s="1"/>
  <c r="D864" i="2"/>
  <c r="E864" i="2" s="1"/>
  <c r="D865" i="2" l="1"/>
  <c r="E865" i="2" s="1"/>
  <c r="C865" i="2"/>
  <c r="F865" i="2" s="1"/>
  <c r="C866" i="2" l="1"/>
  <c r="F866" i="2" s="1"/>
  <c r="D866" i="2"/>
  <c r="E866" i="2" s="1"/>
  <c r="D867" i="2" l="1"/>
  <c r="E867" i="2" s="1"/>
  <c r="C867" i="2"/>
  <c r="F867" i="2" s="1"/>
  <c r="D868" i="2" l="1"/>
  <c r="E868" i="2" s="1"/>
  <c r="C868" i="2"/>
  <c r="F868" i="2" s="1"/>
  <c r="D869" i="2" l="1"/>
  <c r="E869" i="2" s="1"/>
  <c r="C869" i="2"/>
  <c r="F869" i="2" s="1"/>
  <c r="C870" i="2" l="1"/>
  <c r="F870" i="2" s="1"/>
  <c r="D870" i="2"/>
  <c r="E870" i="2" s="1"/>
  <c r="C871" i="2" l="1"/>
  <c r="F871" i="2" s="1"/>
  <c r="D871" i="2"/>
  <c r="E871" i="2" s="1"/>
  <c r="C872" i="2" l="1"/>
  <c r="F872" i="2" s="1"/>
  <c r="D872" i="2"/>
  <c r="E872" i="2" s="1"/>
  <c r="D873" i="2" l="1"/>
  <c r="E873" i="2" s="1"/>
  <c r="C873" i="2"/>
  <c r="F873" i="2" s="1"/>
  <c r="C874" i="2" l="1"/>
  <c r="F874" i="2" s="1"/>
  <c r="D874" i="2"/>
  <c r="E874" i="2" s="1"/>
  <c r="D875" i="2" l="1"/>
  <c r="E875" i="2" s="1"/>
  <c r="C875" i="2"/>
  <c r="F875" i="2" s="1"/>
  <c r="C876" i="2" l="1"/>
  <c r="F876" i="2" s="1"/>
  <c r="D876" i="2"/>
  <c r="E876" i="2" s="1"/>
  <c r="D877" i="2" l="1"/>
  <c r="E877" i="2" s="1"/>
  <c r="C877" i="2"/>
  <c r="F877" i="2" s="1"/>
  <c r="C878" i="2" l="1"/>
  <c r="F878" i="2" s="1"/>
  <c r="D878" i="2"/>
  <c r="E878" i="2" s="1"/>
  <c r="C879" i="2" l="1"/>
  <c r="F879" i="2" s="1"/>
  <c r="D879" i="2"/>
  <c r="E879" i="2" s="1"/>
  <c r="C880" i="2" l="1"/>
  <c r="F880" i="2" s="1"/>
  <c r="D880" i="2"/>
  <c r="E880" i="2" s="1"/>
  <c r="D881" i="2" l="1"/>
  <c r="E881" i="2" s="1"/>
  <c r="C881" i="2"/>
  <c r="F881" i="2" s="1"/>
  <c r="C882" i="2" l="1"/>
  <c r="F882" i="2" s="1"/>
  <c r="D882" i="2"/>
  <c r="E882" i="2" s="1"/>
  <c r="D883" i="2" l="1"/>
  <c r="E883" i="2" s="1"/>
  <c r="C883" i="2"/>
  <c r="F883" i="2" s="1"/>
  <c r="D884" i="2" l="1"/>
  <c r="E884" i="2" s="1"/>
  <c r="C884" i="2"/>
  <c r="F884" i="2" s="1"/>
  <c r="D885" i="2" l="1"/>
  <c r="E885" i="2" s="1"/>
  <c r="C885" i="2"/>
  <c r="F885" i="2" s="1"/>
  <c r="C886" i="2" l="1"/>
  <c r="F886" i="2" s="1"/>
  <c r="D886" i="2"/>
  <c r="E886" i="2" s="1"/>
  <c r="C887" i="2" l="1"/>
  <c r="F887" i="2" s="1"/>
  <c r="D887" i="2"/>
  <c r="E887" i="2" s="1"/>
  <c r="C888" i="2" l="1"/>
  <c r="F888" i="2" s="1"/>
  <c r="D888" i="2"/>
  <c r="E888" i="2" s="1"/>
  <c r="D889" i="2" l="1"/>
  <c r="E889" i="2" s="1"/>
  <c r="C889" i="2"/>
  <c r="F889" i="2" s="1"/>
  <c r="C890" i="2" l="1"/>
  <c r="F890" i="2" s="1"/>
  <c r="D890" i="2"/>
  <c r="E890" i="2" s="1"/>
  <c r="D891" i="2" l="1"/>
  <c r="E891" i="2" s="1"/>
  <c r="C891" i="2"/>
  <c r="F891" i="2" s="1"/>
  <c r="C892" i="2" l="1"/>
  <c r="F892" i="2" s="1"/>
  <c r="D892" i="2"/>
  <c r="E892" i="2" s="1"/>
  <c r="D893" i="2" l="1"/>
  <c r="E893" i="2" s="1"/>
  <c r="C893" i="2"/>
  <c r="F893" i="2" s="1"/>
  <c r="C894" i="2" l="1"/>
  <c r="F894" i="2" s="1"/>
  <c r="D894" i="2"/>
  <c r="E894" i="2" s="1"/>
  <c r="C895" i="2" l="1"/>
  <c r="F895" i="2" s="1"/>
  <c r="D895" i="2"/>
  <c r="E895" i="2" s="1"/>
  <c r="C896" i="2" l="1"/>
  <c r="F896" i="2" s="1"/>
  <c r="D896" i="2"/>
  <c r="E896" i="2" s="1"/>
  <c r="D897" i="2" l="1"/>
  <c r="E897" i="2" s="1"/>
  <c r="C897" i="2"/>
  <c r="F897" i="2" s="1"/>
  <c r="C898" i="2" l="1"/>
  <c r="F898" i="2" s="1"/>
  <c r="D898" i="2"/>
  <c r="E898" i="2" s="1"/>
  <c r="D899" i="2" l="1"/>
  <c r="E899" i="2" s="1"/>
  <c r="C899" i="2"/>
  <c r="F899" i="2" s="1"/>
  <c r="D900" i="2" l="1"/>
  <c r="E900" i="2" s="1"/>
  <c r="C900" i="2"/>
  <c r="F900" i="2" s="1"/>
  <c r="D901" i="2" l="1"/>
  <c r="E901" i="2" s="1"/>
  <c r="C901" i="2"/>
  <c r="F901" i="2" s="1"/>
  <c r="D902" i="2" l="1"/>
  <c r="E902" i="2" s="1"/>
  <c r="C902" i="2"/>
  <c r="F902" i="2" s="1"/>
  <c r="C903" i="2" l="1"/>
  <c r="F903" i="2" s="1"/>
  <c r="D903" i="2"/>
  <c r="E903" i="2" s="1"/>
  <c r="D904" i="2" l="1"/>
  <c r="E904" i="2" s="1"/>
  <c r="C904" i="2"/>
  <c r="F904" i="2" s="1"/>
  <c r="D905" i="2" l="1"/>
  <c r="E905" i="2" s="1"/>
  <c r="C905" i="2"/>
  <c r="F905" i="2" s="1"/>
  <c r="C906" i="2" l="1"/>
  <c r="F906" i="2" s="1"/>
  <c r="D906" i="2"/>
  <c r="E906" i="2" s="1"/>
  <c r="D907" i="2" l="1"/>
  <c r="E907" i="2" s="1"/>
  <c r="C907" i="2"/>
  <c r="F907" i="2" s="1"/>
  <c r="C908" i="2" l="1"/>
  <c r="F908" i="2" s="1"/>
  <c r="D908" i="2"/>
  <c r="E908" i="2" s="1"/>
  <c r="D909" i="2" l="1"/>
  <c r="E909" i="2" s="1"/>
  <c r="C909" i="2"/>
  <c r="F909" i="2" s="1"/>
  <c r="C910" i="2" l="1"/>
  <c r="F910" i="2" s="1"/>
  <c r="D910" i="2"/>
  <c r="E910" i="2" s="1"/>
  <c r="C911" i="2" l="1"/>
  <c r="F911" i="2" s="1"/>
  <c r="D911" i="2"/>
  <c r="E911" i="2" s="1"/>
  <c r="D912" i="2" l="1"/>
  <c r="E912" i="2" s="1"/>
  <c r="C912" i="2"/>
  <c r="F912" i="2" s="1"/>
  <c r="D913" i="2" l="1"/>
  <c r="E913" i="2" s="1"/>
  <c r="C913" i="2"/>
  <c r="F913" i="2" s="1"/>
  <c r="D914" i="2" l="1"/>
  <c r="E914" i="2" s="1"/>
  <c r="C914" i="2"/>
  <c r="F914" i="2" s="1"/>
  <c r="C915" i="2" l="1"/>
  <c r="F915" i="2" s="1"/>
  <c r="D915" i="2"/>
  <c r="E915" i="2" s="1"/>
  <c r="D916" i="2" l="1"/>
  <c r="E916" i="2" s="1"/>
  <c r="C916" i="2"/>
  <c r="F916" i="2" s="1"/>
  <c r="D917" i="2" l="1"/>
  <c r="E917" i="2" s="1"/>
  <c r="C917" i="2"/>
  <c r="F917" i="2" s="1"/>
  <c r="C918" i="2" l="1"/>
  <c r="F918" i="2" s="1"/>
  <c r="D918" i="2"/>
  <c r="E918" i="2" s="1"/>
  <c r="C919" i="2" l="1"/>
  <c r="F919" i="2" s="1"/>
  <c r="D919" i="2"/>
  <c r="E919" i="2" s="1"/>
  <c r="C920" i="2" l="1"/>
  <c r="F920" i="2" s="1"/>
  <c r="D920" i="2"/>
  <c r="E920" i="2" s="1"/>
  <c r="D921" i="2" l="1"/>
  <c r="E921" i="2" s="1"/>
  <c r="C921" i="2"/>
  <c r="F921" i="2" s="1"/>
  <c r="C922" i="2" l="1"/>
  <c r="F922" i="2" s="1"/>
  <c r="D922" i="2"/>
  <c r="E922" i="2" s="1"/>
  <c r="D923" i="2" l="1"/>
  <c r="E923" i="2" s="1"/>
  <c r="C923" i="2"/>
  <c r="F923" i="2" s="1"/>
  <c r="C924" i="2" l="1"/>
  <c r="F924" i="2" s="1"/>
  <c r="D924" i="2"/>
  <c r="E924" i="2" s="1"/>
  <c r="C925" i="2" l="1"/>
  <c r="F925" i="2" s="1"/>
  <c r="D925" i="2"/>
  <c r="E925" i="2" s="1"/>
  <c r="C926" i="2" l="1"/>
  <c r="F926" i="2" s="1"/>
  <c r="D926" i="2"/>
  <c r="E926" i="2" s="1"/>
  <c r="C927" i="2" l="1"/>
  <c r="F927" i="2" s="1"/>
  <c r="D927" i="2"/>
  <c r="E927" i="2" s="1"/>
  <c r="C928" i="2" l="1"/>
  <c r="F928" i="2" s="1"/>
  <c r="D928" i="2"/>
  <c r="E928" i="2" s="1"/>
  <c r="C929" i="2" l="1"/>
  <c r="F929" i="2" s="1"/>
  <c r="D929" i="2"/>
  <c r="E929" i="2" s="1"/>
  <c r="D930" i="2" l="1"/>
  <c r="E930" i="2" s="1"/>
  <c r="C930" i="2"/>
  <c r="F930" i="2" s="1"/>
  <c r="D931" i="2" l="1"/>
  <c r="E931" i="2" s="1"/>
  <c r="C931" i="2"/>
  <c r="F931" i="2" s="1"/>
  <c r="D932" i="2" l="1"/>
  <c r="E932" i="2" s="1"/>
  <c r="C932" i="2"/>
  <c r="F932" i="2" s="1"/>
  <c r="D933" i="2" l="1"/>
  <c r="E933" i="2" s="1"/>
  <c r="C933" i="2"/>
  <c r="F933" i="2" s="1"/>
  <c r="C934" i="2" l="1"/>
  <c r="F934" i="2" s="1"/>
  <c r="D934" i="2"/>
  <c r="E934" i="2" s="1"/>
  <c r="C935" i="2" l="1"/>
  <c r="F935" i="2" s="1"/>
  <c r="D935" i="2"/>
  <c r="E935" i="2" s="1"/>
  <c r="C936" i="2" l="1"/>
  <c r="F936" i="2" s="1"/>
  <c r="D936" i="2"/>
  <c r="E936" i="2" s="1"/>
  <c r="D937" i="2" l="1"/>
  <c r="E937" i="2" s="1"/>
  <c r="C937" i="2"/>
  <c r="F937" i="2" s="1"/>
  <c r="C938" i="2" l="1"/>
  <c r="F938" i="2" s="1"/>
  <c r="D938" i="2"/>
  <c r="E938" i="2" s="1"/>
  <c r="D939" i="2" l="1"/>
  <c r="E939" i="2" s="1"/>
  <c r="C939" i="2"/>
  <c r="F939" i="2" s="1"/>
  <c r="C940" i="2" l="1"/>
  <c r="F940" i="2" s="1"/>
  <c r="D940" i="2"/>
  <c r="E940" i="2" s="1"/>
  <c r="D941" i="2" l="1"/>
  <c r="E941" i="2" s="1"/>
  <c r="C941" i="2"/>
  <c r="F941" i="2" s="1"/>
  <c r="C942" i="2" l="1"/>
  <c r="F942" i="2" s="1"/>
  <c r="D942" i="2"/>
  <c r="E942" i="2" s="1"/>
  <c r="C943" i="2" l="1"/>
  <c r="F943" i="2" s="1"/>
  <c r="D943" i="2"/>
  <c r="E943" i="2" s="1"/>
  <c r="C944" i="2" l="1"/>
  <c r="F944" i="2" s="1"/>
  <c r="D944" i="2"/>
  <c r="E944" i="2" s="1"/>
  <c r="D945" i="2" l="1"/>
  <c r="E945" i="2" s="1"/>
  <c r="C945" i="2"/>
  <c r="F945" i="2" s="1"/>
  <c r="C946" i="2" l="1"/>
  <c r="F946" i="2" s="1"/>
  <c r="D946" i="2"/>
  <c r="E946" i="2" s="1"/>
  <c r="D947" i="2" l="1"/>
  <c r="E947" i="2" s="1"/>
  <c r="C947" i="2"/>
  <c r="F947" i="2" s="1"/>
  <c r="D948" i="2" l="1"/>
  <c r="E948" i="2" s="1"/>
  <c r="C948" i="2"/>
  <c r="F948" i="2" s="1"/>
  <c r="D949" i="2" l="1"/>
  <c r="E949" i="2" s="1"/>
  <c r="C949" i="2"/>
  <c r="F949" i="2" s="1"/>
  <c r="C950" i="2" l="1"/>
  <c r="F950" i="2" s="1"/>
  <c r="D950" i="2"/>
  <c r="E950" i="2" s="1"/>
  <c r="C951" i="2" l="1"/>
  <c r="F951" i="2" s="1"/>
  <c r="D951" i="2"/>
  <c r="E951" i="2" s="1"/>
  <c r="C952" i="2" l="1"/>
  <c r="F952" i="2" s="1"/>
  <c r="D952" i="2"/>
  <c r="E952" i="2" s="1"/>
  <c r="D953" i="2" l="1"/>
  <c r="E953" i="2" s="1"/>
  <c r="C953" i="2"/>
  <c r="F953" i="2" s="1"/>
  <c r="C954" i="2" l="1"/>
  <c r="F954" i="2" s="1"/>
  <c r="D954" i="2"/>
  <c r="E954" i="2" s="1"/>
  <c r="D955" i="2" l="1"/>
  <c r="E955" i="2" s="1"/>
  <c r="C955" i="2"/>
  <c r="F955" i="2" s="1"/>
  <c r="C956" i="2" l="1"/>
  <c r="F956" i="2" s="1"/>
  <c r="D956" i="2"/>
  <c r="E956" i="2" s="1"/>
  <c r="D957" i="2" l="1"/>
  <c r="E957" i="2" s="1"/>
  <c r="C957" i="2"/>
  <c r="F957" i="2" s="1"/>
  <c r="C958" i="2" l="1"/>
  <c r="F958" i="2" s="1"/>
  <c r="D958" i="2"/>
  <c r="E958" i="2" s="1"/>
  <c r="C959" i="2" l="1"/>
  <c r="F959" i="2" s="1"/>
  <c r="D959" i="2"/>
  <c r="E959" i="2" s="1"/>
  <c r="C960" i="2" l="1"/>
  <c r="F960" i="2" s="1"/>
  <c r="D960" i="2"/>
  <c r="E960" i="2" s="1"/>
  <c r="D961" i="2" l="1"/>
  <c r="E961" i="2" s="1"/>
  <c r="C961" i="2"/>
  <c r="F961" i="2" s="1"/>
  <c r="C962" i="2" l="1"/>
  <c r="F962" i="2" s="1"/>
  <c r="D962" i="2"/>
  <c r="E962" i="2" s="1"/>
  <c r="D963" i="2" l="1"/>
  <c r="E963" i="2" s="1"/>
  <c r="C963" i="2"/>
  <c r="F963" i="2" s="1"/>
  <c r="D964" i="2" l="1"/>
  <c r="E964" i="2" s="1"/>
  <c r="C964" i="2"/>
  <c r="F964" i="2" s="1"/>
  <c r="D965" i="2" l="1"/>
  <c r="E965" i="2" s="1"/>
  <c r="C965" i="2"/>
  <c r="F965" i="2" s="1"/>
  <c r="C966" i="2" l="1"/>
  <c r="F966" i="2" s="1"/>
  <c r="D966" i="2"/>
  <c r="E966" i="2" s="1"/>
  <c r="C967" i="2" l="1"/>
  <c r="F967" i="2" s="1"/>
  <c r="D967" i="2"/>
  <c r="E967" i="2" s="1"/>
  <c r="D968" i="2" l="1"/>
  <c r="E968" i="2" s="1"/>
  <c r="C968" i="2"/>
  <c r="F968" i="2" s="1"/>
  <c r="D969" i="2" l="1"/>
  <c r="E969" i="2" s="1"/>
  <c r="C969" i="2"/>
  <c r="F969" i="2" s="1"/>
  <c r="D970" i="2" l="1"/>
  <c r="E970" i="2" s="1"/>
  <c r="C970" i="2"/>
  <c r="F970" i="2" s="1"/>
  <c r="D971" i="2" l="1"/>
  <c r="E971" i="2" s="1"/>
  <c r="C971" i="2"/>
  <c r="F971" i="2" s="1"/>
  <c r="C972" i="2" l="1"/>
  <c r="F972" i="2" s="1"/>
  <c r="D972" i="2"/>
  <c r="E972" i="2" s="1"/>
  <c r="D973" i="2" l="1"/>
  <c r="E973" i="2" s="1"/>
  <c r="C973" i="2"/>
  <c r="F973" i="2" s="1"/>
  <c r="D974" i="2" l="1"/>
  <c r="E974" i="2" s="1"/>
  <c r="C974" i="2"/>
  <c r="F974" i="2" s="1"/>
  <c r="D975" i="2" l="1"/>
  <c r="E975" i="2" s="1"/>
  <c r="C975" i="2"/>
  <c r="F975" i="2" s="1"/>
  <c r="D976" i="2" l="1"/>
  <c r="E976" i="2" s="1"/>
  <c r="C976" i="2"/>
  <c r="F976" i="2" s="1"/>
  <c r="D977" i="2" l="1"/>
  <c r="E977" i="2" s="1"/>
  <c r="C977" i="2"/>
  <c r="F977" i="2" s="1"/>
  <c r="C978" i="2" l="1"/>
  <c r="F978" i="2" s="1"/>
  <c r="D978" i="2"/>
  <c r="E978" i="2" s="1"/>
  <c r="D979" i="2" l="1"/>
  <c r="E979" i="2" s="1"/>
  <c r="C979" i="2"/>
  <c r="F979" i="2" s="1"/>
  <c r="D980" i="2" l="1"/>
  <c r="E980" i="2" s="1"/>
  <c r="C980" i="2"/>
  <c r="F980" i="2" s="1"/>
  <c r="D981" i="2" l="1"/>
  <c r="E981" i="2" s="1"/>
  <c r="C981" i="2"/>
  <c r="F981" i="2" s="1"/>
  <c r="D982" i="2" l="1"/>
  <c r="E982" i="2" s="1"/>
  <c r="C982" i="2"/>
  <c r="F982" i="2" s="1"/>
  <c r="C983" i="2" l="1"/>
  <c r="F983" i="2" s="1"/>
  <c r="D983" i="2"/>
  <c r="E983" i="2" s="1"/>
  <c r="C984" i="2" l="1"/>
  <c r="F984" i="2" s="1"/>
  <c r="D984" i="2"/>
  <c r="E984" i="2" s="1"/>
  <c r="C985" i="2" l="1"/>
  <c r="F985" i="2" s="1"/>
  <c r="D985" i="2"/>
  <c r="E985" i="2" s="1"/>
  <c r="C986" i="2" l="1"/>
  <c r="F986" i="2" s="1"/>
  <c r="D986" i="2"/>
  <c r="E986" i="2" s="1"/>
  <c r="C987" i="2" l="1"/>
  <c r="F987" i="2" s="1"/>
  <c r="D987" i="2"/>
  <c r="E987" i="2" s="1"/>
  <c r="D988" i="2" l="1"/>
  <c r="E988" i="2" s="1"/>
  <c r="C988" i="2"/>
  <c r="F988" i="2" s="1"/>
  <c r="D989" i="2" l="1"/>
  <c r="E989" i="2" s="1"/>
  <c r="C989" i="2"/>
  <c r="F989" i="2" s="1"/>
  <c r="C990" i="2" l="1"/>
  <c r="F990" i="2" s="1"/>
  <c r="D990" i="2"/>
  <c r="E990" i="2" s="1"/>
  <c r="C991" i="2" l="1"/>
  <c r="F991" i="2" s="1"/>
  <c r="D991" i="2"/>
  <c r="E991" i="2" s="1"/>
  <c r="D992" i="2" l="1"/>
  <c r="E992" i="2" s="1"/>
  <c r="C992" i="2"/>
  <c r="F992" i="2" s="1"/>
  <c r="C993" i="2" l="1"/>
  <c r="F993" i="2" s="1"/>
  <c r="D993" i="2"/>
  <c r="E993" i="2" s="1"/>
  <c r="C994" i="2" l="1"/>
  <c r="F994" i="2" s="1"/>
  <c r="D994" i="2"/>
  <c r="E994" i="2" s="1"/>
  <c r="D995" i="2" l="1"/>
  <c r="E995" i="2" s="1"/>
  <c r="C995" i="2"/>
  <c r="F995" i="2" s="1"/>
  <c r="D996" i="2" l="1"/>
  <c r="E996" i="2" s="1"/>
  <c r="C996" i="2"/>
  <c r="F996" i="2" s="1"/>
  <c r="D997" i="2" l="1"/>
  <c r="E997" i="2" s="1"/>
  <c r="C997" i="2"/>
  <c r="F997" i="2" s="1"/>
  <c r="C998" i="2" l="1"/>
  <c r="F998" i="2" s="1"/>
  <c r="D998" i="2"/>
  <c r="E998" i="2" s="1"/>
  <c r="C999" i="2" l="1"/>
  <c r="F999" i="2" s="1"/>
  <c r="D999" i="2"/>
  <c r="E999" i="2" s="1"/>
  <c r="C1000" i="2" l="1"/>
  <c r="F1000" i="2" s="1"/>
  <c r="E3" i="1" s="1"/>
  <c r="C9" i="1" s="1"/>
  <c r="D1000" i="2"/>
  <c r="E1000" i="2" s="1"/>
  <c r="D3" i="1" s="1"/>
  <c r="C8" i="1" s="1"/>
  <c r="O8" i="1" l="1"/>
  <c r="Z8" i="1"/>
  <c r="J8" i="1"/>
  <c r="D7" i="1"/>
  <c r="T8" i="1"/>
  <c r="W8" i="1"/>
  <c r="E8" i="1"/>
  <c r="L9" i="1"/>
  <c r="L10" i="1" s="1"/>
  <c r="T9" i="1"/>
  <c r="D8" i="1"/>
  <c r="Q8" i="1" s="1"/>
  <c r="E9" i="1"/>
  <c r="K9" i="1"/>
  <c r="F9" i="1"/>
  <c r="J9" i="1"/>
  <c r="W9" i="1"/>
  <c r="G9" i="1"/>
  <c r="G10" i="1" s="1"/>
  <c r="Z9" i="1"/>
  <c r="O9" i="1"/>
  <c r="P9" i="1"/>
  <c r="Q9" i="1"/>
  <c r="Q10" i="1" s="1"/>
  <c r="D1001" i="2"/>
  <c r="E1001" i="2" s="1"/>
  <c r="C1001" i="2"/>
  <c r="F1001" i="2" s="1"/>
  <c r="P8" i="1" l="1"/>
  <c r="L8" i="1"/>
  <c r="K8" i="1"/>
  <c r="P10" i="1"/>
  <c r="F8" i="1"/>
  <c r="G8" i="1"/>
  <c r="P7" i="1"/>
  <c r="F7" i="1"/>
  <c r="G7" i="1"/>
  <c r="K7" i="1"/>
  <c r="L7" i="1"/>
  <c r="Q7" i="1"/>
  <c r="K10" i="1"/>
  <c r="F10" i="1"/>
  <c r="C1002" i="2"/>
  <c r="F1002" i="2" s="1"/>
  <c r="D1002" i="2"/>
  <c r="E1002" i="2" s="1"/>
  <c r="S7" i="1"/>
  <c r="I8" i="1"/>
  <c r="N10" i="1"/>
  <c r="I7" i="1"/>
  <c r="H8" i="1"/>
  <c r="M8" i="1"/>
  <c r="R8" i="1"/>
  <c r="N7" i="1"/>
  <c r="H7" i="1"/>
  <c r="R7" i="1"/>
  <c r="M7" i="1"/>
  <c r="S10" i="1"/>
  <c r="AD114" i="4" l="1"/>
  <c r="AD112" i="4"/>
  <c r="AD120" i="4"/>
  <c r="AD126" i="4"/>
  <c r="AD115" i="4"/>
  <c r="AD121" i="4"/>
  <c r="AD130" i="4"/>
  <c r="AD103" i="4"/>
  <c r="AD102" i="4"/>
  <c r="AD127" i="4"/>
  <c r="AD123" i="4"/>
  <c r="AD104" i="4"/>
  <c r="AD124" i="4"/>
  <c r="AD110" i="4"/>
  <c r="AD125" i="4"/>
  <c r="AD129" i="4"/>
  <c r="AD101" i="4"/>
  <c r="AD105" i="4"/>
  <c r="AD131" i="4"/>
  <c r="AD100" i="4"/>
  <c r="AD107" i="4"/>
  <c r="AD128" i="4"/>
  <c r="AD108" i="4"/>
  <c r="AD122" i="4"/>
  <c r="AD116" i="4"/>
  <c r="AD109" i="4"/>
  <c r="AD119" i="4"/>
  <c r="AD113" i="4"/>
  <c r="AD117" i="4"/>
  <c r="AD111" i="4"/>
  <c r="AD118" i="4"/>
  <c r="AD106" i="4"/>
  <c r="AD93" i="4"/>
  <c r="AD86" i="4"/>
  <c r="AD78" i="4"/>
  <c r="AD75" i="4"/>
  <c r="AD74" i="4"/>
  <c r="AD97" i="4"/>
  <c r="AD98" i="4"/>
  <c r="AD64" i="4"/>
  <c r="AD62" i="4"/>
  <c r="AD94" i="4"/>
  <c r="AD73" i="4"/>
  <c r="AD96" i="4"/>
  <c r="AD63" i="4"/>
  <c r="AD72" i="4"/>
  <c r="AD85" i="4"/>
  <c r="AD77" i="4"/>
  <c r="AD53" i="4"/>
  <c r="AD55" i="4"/>
  <c r="AD76" i="4"/>
  <c r="AD61" i="4"/>
  <c r="AD79" i="4"/>
  <c r="AD67" i="4"/>
  <c r="AD59" i="4"/>
  <c r="AD65" i="4"/>
  <c r="AD71" i="4"/>
  <c r="AD54" i="4"/>
  <c r="AD91" i="4"/>
  <c r="AD56" i="4"/>
  <c r="AD80" i="4"/>
  <c r="AD69" i="4"/>
  <c r="AD90" i="4"/>
  <c r="AD99" i="4"/>
  <c r="AD58" i="4"/>
  <c r="AD83" i="4"/>
  <c r="AD52" i="4"/>
  <c r="AD87" i="4"/>
  <c r="AD82" i="4"/>
  <c r="AD84" i="4"/>
  <c r="AD70" i="4"/>
  <c r="AD68" i="4"/>
  <c r="AD60" i="4"/>
  <c r="AD81" i="4"/>
  <c r="AD88" i="4"/>
  <c r="AD95" i="4"/>
  <c r="AD89" i="4"/>
  <c r="AD57" i="4"/>
  <c r="AD92" i="4"/>
  <c r="AD66" i="4"/>
  <c r="AD12" i="4"/>
  <c r="AD46" i="4"/>
  <c r="AD39" i="4"/>
  <c r="AD27" i="4"/>
  <c r="AD15" i="4"/>
  <c r="AD21" i="4"/>
  <c r="AD49" i="4"/>
  <c r="AD47" i="4"/>
  <c r="AD42" i="4"/>
  <c r="AD22" i="4"/>
  <c r="AD37" i="4"/>
  <c r="AD35" i="4"/>
  <c r="AD8" i="4"/>
  <c r="AD6" i="4"/>
  <c r="AD32" i="4"/>
  <c r="AD11" i="4"/>
  <c r="AD18" i="4"/>
  <c r="AD17" i="4"/>
  <c r="AD28" i="4"/>
  <c r="AD43" i="4"/>
  <c r="AD25" i="4"/>
  <c r="AD38" i="4"/>
  <c r="AD30" i="4"/>
  <c r="AD16" i="4"/>
  <c r="AD36" i="4"/>
  <c r="AD34" i="4"/>
  <c r="AD23" i="4"/>
  <c r="AD51" i="4"/>
  <c r="AD20" i="4"/>
  <c r="AD29" i="4"/>
  <c r="AD14" i="4"/>
  <c r="AD44" i="4"/>
  <c r="AD7" i="4"/>
  <c r="AD13" i="4"/>
  <c r="AD40" i="4"/>
  <c r="AD45" i="4"/>
  <c r="AD9" i="4"/>
  <c r="AD50" i="4"/>
  <c r="AD10" i="4"/>
  <c r="AD33" i="4"/>
  <c r="AD41" i="4"/>
  <c r="AD26" i="4"/>
  <c r="F15" i="1"/>
  <c r="F18" i="1" s="1"/>
  <c r="AC7" i="1" s="1"/>
  <c r="AC8" i="1" s="1"/>
  <c r="AD24" i="4"/>
  <c r="AD19" i="4"/>
  <c r="AD31" i="4"/>
  <c r="AD48" i="4"/>
  <c r="AE36" i="4"/>
  <c r="AE14" i="4"/>
  <c r="AE9" i="4"/>
  <c r="AE35" i="4"/>
  <c r="AE18" i="4"/>
  <c r="AE16" i="4"/>
  <c r="AE6" i="4"/>
  <c r="AE22" i="4"/>
  <c r="AE30" i="4"/>
  <c r="AE31" i="4"/>
  <c r="AE21" i="4"/>
  <c r="AE27" i="4"/>
  <c r="AE13" i="4"/>
  <c r="AE10" i="4"/>
  <c r="AE20" i="4"/>
  <c r="AE23" i="4"/>
  <c r="AE29" i="4"/>
  <c r="AE24" i="4"/>
  <c r="AE33" i="4"/>
  <c r="AE19" i="4"/>
  <c r="AE12" i="4"/>
  <c r="AE28" i="4"/>
  <c r="G15" i="1"/>
  <c r="G18" i="1" s="1"/>
  <c r="AD7" i="1" s="1"/>
  <c r="AE34" i="4"/>
  <c r="AE7" i="4"/>
  <c r="AE17" i="4"/>
  <c r="AE11" i="4"/>
  <c r="AE32" i="4"/>
  <c r="AE8" i="4"/>
  <c r="AE25" i="4"/>
  <c r="AE15" i="4"/>
  <c r="AE26" i="4"/>
  <c r="AF6" i="4"/>
  <c r="AF23" i="4"/>
  <c r="AF25" i="4"/>
  <c r="AF24" i="4"/>
  <c r="AF33" i="4"/>
  <c r="AF9" i="4"/>
  <c r="AF16" i="4"/>
  <c r="AF35" i="4"/>
  <c r="AF34" i="4"/>
  <c r="AF30" i="4"/>
  <c r="AF21" i="4"/>
  <c r="AF27" i="4"/>
  <c r="AF10" i="4"/>
  <c r="AF20" i="4"/>
  <c r="AF11" i="4"/>
  <c r="AF7" i="4"/>
  <c r="AF26" i="4"/>
  <c r="AF14" i="4"/>
  <c r="AF36" i="4"/>
  <c r="AF22" i="4"/>
  <c r="AF8" i="4"/>
  <c r="AF19" i="4"/>
  <c r="AF32" i="4"/>
  <c r="AF12" i="4"/>
  <c r="AF18" i="4"/>
  <c r="AF15" i="4"/>
  <c r="H15" i="1"/>
  <c r="H18" i="1" s="1"/>
  <c r="AE7" i="1" s="1"/>
  <c r="AF28" i="4"/>
  <c r="AF17" i="4"/>
  <c r="AF31" i="4"/>
  <c r="AF29" i="4"/>
  <c r="AF13" i="4"/>
  <c r="D1003" i="2"/>
  <c r="E1003" i="2" s="1"/>
  <c r="C1003" i="2"/>
  <c r="F1003" i="2" s="1"/>
  <c r="H9" i="1"/>
  <c r="R9" i="1"/>
  <c r="N8" i="1"/>
  <c r="M9" i="1"/>
  <c r="S8" i="1"/>
  <c r="I9" i="1"/>
  <c r="AF125" i="4" l="1"/>
  <c r="AF128" i="4"/>
  <c r="AF74" i="4"/>
  <c r="AF70" i="4"/>
  <c r="AF75" i="4"/>
  <c r="AF51" i="4"/>
  <c r="AF48" i="4"/>
  <c r="AF52" i="4"/>
  <c r="AF88" i="4"/>
  <c r="AF100" i="4"/>
  <c r="AF78" i="4"/>
  <c r="AF129" i="4"/>
  <c r="AF72" i="4"/>
  <c r="AF68" i="4"/>
  <c r="AF40" i="4"/>
  <c r="AF55" i="4"/>
  <c r="AF117" i="4"/>
  <c r="AF61" i="4"/>
  <c r="AF97" i="4"/>
  <c r="AF114" i="4"/>
  <c r="AF73" i="4"/>
  <c r="AF101" i="4"/>
  <c r="AF110" i="4"/>
  <c r="AF76" i="4"/>
  <c r="AF87" i="4"/>
  <c r="AF91" i="4"/>
  <c r="AF45" i="4"/>
  <c r="AF130" i="4"/>
  <c r="AF84" i="4"/>
  <c r="AF67" i="4"/>
  <c r="AF95" i="4"/>
  <c r="AF38" i="4"/>
  <c r="AF53" i="4"/>
  <c r="AF47" i="4"/>
  <c r="AF102" i="4"/>
  <c r="AF71" i="4"/>
  <c r="AF113" i="4"/>
  <c r="AF124" i="4"/>
  <c r="AF65" i="4"/>
  <c r="AF57" i="4"/>
  <c r="AF42" i="4"/>
  <c r="AF122" i="4"/>
  <c r="AF118" i="4"/>
  <c r="AE8" i="1"/>
  <c r="AF93" i="4"/>
  <c r="AF85" i="4"/>
  <c r="AF50" i="4"/>
  <c r="AF120" i="4"/>
  <c r="AF123" i="4"/>
  <c r="AF111" i="4"/>
  <c r="AF83" i="4"/>
  <c r="AF63" i="4"/>
  <c r="AF131" i="4"/>
  <c r="AF81" i="4"/>
  <c r="AF119" i="4"/>
  <c r="AF108" i="4"/>
  <c r="AF127" i="4"/>
  <c r="AF98" i="4"/>
  <c r="AF69" i="4"/>
  <c r="AF90" i="4"/>
  <c r="AF44" i="4"/>
  <c r="AF37" i="4"/>
  <c r="AF105" i="4"/>
  <c r="AF80" i="4"/>
  <c r="AF106" i="4"/>
  <c r="AF89" i="4"/>
  <c r="AF104" i="4"/>
  <c r="AF79" i="4"/>
  <c r="AF56" i="4"/>
  <c r="AF115" i="4"/>
  <c r="AF94" i="4"/>
  <c r="AF126" i="4"/>
  <c r="AF103" i="4"/>
  <c r="AF82" i="4"/>
  <c r="AF59" i="4"/>
  <c r="AF54" i="4"/>
  <c r="AF109" i="4"/>
  <c r="AF77" i="4"/>
  <c r="AF49" i="4"/>
  <c r="AF58" i="4"/>
  <c r="AF46" i="4"/>
  <c r="AF107" i="4"/>
  <c r="AF121" i="4"/>
  <c r="AF62" i="4"/>
  <c r="AF96" i="4"/>
  <c r="AF66" i="4"/>
  <c r="AF43" i="4"/>
  <c r="AF64" i="4"/>
  <c r="AF39" i="4"/>
  <c r="AF99" i="4"/>
  <c r="AF92" i="4"/>
  <c r="AF116" i="4"/>
  <c r="AF112" i="4"/>
  <c r="AF86" i="4"/>
  <c r="AF60" i="4"/>
  <c r="AF41" i="4"/>
  <c r="AE123" i="4"/>
  <c r="AE102" i="4"/>
  <c r="AE82" i="4"/>
  <c r="AE73" i="4"/>
  <c r="AE75" i="4"/>
  <c r="AE51" i="4"/>
  <c r="AE108" i="4"/>
  <c r="AE117" i="4"/>
  <c r="AE127" i="4"/>
  <c r="AE42" i="4"/>
  <c r="AE122" i="4"/>
  <c r="AE67" i="4"/>
  <c r="AE124" i="4"/>
  <c r="AE116" i="4"/>
  <c r="AE90" i="4"/>
  <c r="AE54" i="4"/>
  <c r="AE76" i="4"/>
  <c r="AE38" i="4"/>
  <c r="AE40" i="4"/>
  <c r="AE112" i="4"/>
  <c r="AE129" i="4"/>
  <c r="AE96" i="4"/>
  <c r="AE107" i="4"/>
  <c r="AE64" i="4"/>
  <c r="AE126" i="4"/>
  <c r="AE94" i="4"/>
  <c r="AE100" i="4"/>
  <c r="AE106" i="4"/>
  <c r="AD8" i="1"/>
  <c r="X7" i="1" s="1"/>
  <c r="AE72" i="4"/>
  <c r="AE71" i="4"/>
  <c r="AE41" i="4"/>
  <c r="AE43" i="4"/>
  <c r="AE84" i="4"/>
  <c r="AE110" i="4"/>
  <c r="AE66" i="4"/>
  <c r="AE61" i="4"/>
  <c r="AE78" i="4"/>
  <c r="AE119" i="4"/>
  <c r="AE93" i="4"/>
  <c r="AE55" i="4"/>
  <c r="AE48" i="4"/>
  <c r="AE91" i="4"/>
  <c r="AE45" i="4"/>
  <c r="AE104" i="4"/>
  <c r="AE114" i="4"/>
  <c r="AE70" i="4"/>
  <c r="AE58" i="4"/>
  <c r="AE52" i="4"/>
  <c r="AE101" i="4"/>
  <c r="AE50" i="4"/>
  <c r="AE79" i="4"/>
  <c r="AE120" i="4"/>
  <c r="AE44" i="4"/>
  <c r="AE130" i="4"/>
  <c r="AE74" i="4"/>
  <c r="AE121" i="4"/>
  <c r="AE81" i="4"/>
  <c r="AE68" i="4"/>
  <c r="AE105" i="4"/>
  <c r="AE113" i="4"/>
  <c r="AE86" i="4"/>
  <c r="AE63" i="4"/>
  <c r="AE92" i="4"/>
  <c r="AE49" i="4"/>
  <c r="AE103" i="4"/>
  <c r="AE95" i="4"/>
  <c r="AE88" i="4"/>
  <c r="AE131" i="4"/>
  <c r="AE99" i="4"/>
  <c r="AE65" i="4"/>
  <c r="AE97" i="4"/>
  <c r="AE98" i="4"/>
  <c r="AE69" i="4"/>
  <c r="AE128" i="4"/>
  <c r="AE85" i="4"/>
  <c r="AE59" i="4"/>
  <c r="AE109" i="4"/>
  <c r="AE60" i="4"/>
  <c r="AE37" i="4"/>
  <c r="AE125" i="4"/>
  <c r="AE111" i="4"/>
  <c r="AE77" i="4"/>
  <c r="AE53" i="4"/>
  <c r="AE57" i="4"/>
  <c r="AE83" i="4"/>
  <c r="AE39" i="4"/>
  <c r="AE118" i="4"/>
  <c r="AE62" i="4"/>
  <c r="AE46" i="4"/>
  <c r="AE87" i="4"/>
  <c r="AE47" i="4"/>
  <c r="AE80" i="4"/>
  <c r="AE56" i="4"/>
  <c r="AE115" i="4"/>
  <c r="AE89" i="4"/>
  <c r="AD137" i="4"/>
  <c r="AD140" i="4"/>
  <c r="AD143" i="4"/>
  <c r="AD141" i="4"/>
  <c r="AD136" i="4"/>
  <c r="AD132" i="4"/>
  <c r="AD135" i="4"/>
  <c r="AD142" i="4"/>
  <c r="AD139" i="4"/>
  <c r="AD138" i="4"/>
  <c r="AD134" i="4"/>
  <c r="AD133" i="4"/>
  <c r="U7" i="1"/>
  <c r="V7" i="1" s="1"/>
  <c r="AC9" i="1"/>
  <c r="C1004" i="2"/>
  <c r="F1004" i="2" s="1"/>
  <c r="D1004" i="2"/>
  <c r="E1004" i="2" s="1"/>
  <c r="S9" i="1"/>
  <c r="N9" i="1"/>
  <c r="H10" i="1"/>
  <c r="R10" i="1"/>
  <c r="M10" i="1"/>
  <c r="I10" i="1"/>
  <c r="AD9" i="1" l="1"/>
  <c r="AE143" i="4"/>
  <c r="AE138" i="4"/>
  <c r="AE139" i="4"/>
  <c r="AE133" i="4"/>
  <c r="AE140" i="4"/>
  <c r="AE132" i="4"/>
  <c r="AE142" i="4"/>
  <c r="AE134" i="4"/>
  <c r="AE141" i="4"/>
  <c r="AE135" i="4"/>
  <c r="AE137" i="4"/>
  <c r="AE136" i="4"/>
  <c r="AD144" i="4"/>
  <c r="F19" i="1"/>
  <c r="F23" i="1" s="1"/>
  <c r="AC10" i="1" s="1"/>
  <c r="U9" i="1" s="1"/>
  <c r="G19" i="1"/>
  <c r="G23" i="1" s="1"/>
  <c r="AD10" i="1" s="1"/>
  <c r="AE144" i="4"/>
  <c r="H19" i="1"/>
  <c r="H23" i="1" s="1"/>
  <c r="AE10" i="1" s="1"/>
  <c r="AF144" i="4"/>
  <c r="AF139" i="4"/>
  <c r="AF141" i="4"/>
  <c r="AF134" i="4"/>
  <c r="AF133" i="4"/>
  <c r="AE9" i="1"/>
  <c r="AA8" i="1" s="1"/>
  <c r="AF143" i="4"/>
  <c r="AF140" i="4"/>
  <c r="AF135" i="4"/>
  <c r="AF137" i="4"/>
  <c r="AF138" i="4"/>
  <c r="AF132" i="4"/>
  <c r="AF136" i="4"/>
  <c r="AF142" i="4"/>
  <c r="AA7" i="1"/>
  <c r="AB7" i="1" s="1"/>
  <c r="X8" i="1"/>
  <c r="Y7" i="1"/>
  <c r="U8" i="1"/>
  <c r="D1005" i="2"/>
  <c r="E1005" i="2" s="1"/>
  <c r="C1005" i="2"/>
  <c r="F1005" i="2" s="1"/>
  <c r="AB8" i="1" l="1"/>
  <c r="BT30" i="4" s="1"/>
  <c r="BX30" i="4" s="1"/>
  <c r="M50" i="1"/>
  <c r="BT43" i="4"/>
  <c r="BX43" i="4" s="1"/>
  <c r="BT35" i="4"/>
  <c r="BX35" i="4" s="1"/>
  <c r="M45" i="1"/>
  <c r="M48" i="1"/>
  <c r="BT8" i="4"/>
  <c r="BX8" i="4" s="1"/>
  <c r="BT22" i="4"/>
  <c r="BX22" i="4" s="1"/>
  <c r="BT17" i="4"/>
  <c r="BX17" i="4" s="1"/>
  <c r="AO7" i="4"/>
  <c r="BT15" i="4"/>
  <c r="BX15" i="4" s="1"/>
  <c r="AO13" i="4"/>
  <c r="AO6" i="4"/>
  <c r="BT18" i="4"/>
  <c r="BX18" i="4" s="1"/>
  <c r="M47" i="1"/>
  <c r="BT26" i="4"/>
  <c r="BX26" i="4" s="1"/>
  <c r="BT13" i="4"/>
  <c r="BX13" i="4" s="1"/>
  <c r="AO16" i="4"/>
  <c r="BT14" i="4"/>
  <c r="BX14" i="4" s="1"/>
  <c r="M46" i="1"/>
  <c r="BT6" i="4"/>
  <c r="BX6" i="4" s="1"/>
  <c r="AO10" i="4"/>
  <c r="AO15" i="4"/>
  <c r="M49" i="1"/>
  <c r="AO18" i="4"/>
  <c r="BT10" i="4"/>
  <c r="BX10" i="4" s="1"/>
  <c r="BT25" i="4"/>
  <c r="BX25" i="4" s="1"/>
  <c r="BT20" i="4"/>
  <c r="BX20" i="4" s="1"/>
  <c r="BT21" i="4"/>
  <c r="BX21" i="4" s="1"/>
  <c r="AO32" i="4"/>
  <c r="BT24" i="4"/>
  <c r="BX24" i="4" s="1"/>
  <c r="BT11" i="4"/>
  <c r="BX11" i="4" s="1"/>
  <c r="BT9" i="4"/>
  <c r="X9" i="1"/>
  <c r="AO8" i="4"/>
  <c r="BT23" i="4"/>
  <c r="BX23" i="4" s="1"/>
  <c r="BR15" i="4"/>
  <c r="BT16" i="4"/>
  <c r="BX16" i="4" s="1"/>
  <c r="BT38" i="4"/>
  <c r="BX38" i="4" s="1"/>
  <c r="BT19" i="4"/>
  <c r="BX19" i="4" s="1"/>
  <c r="BT7" i="4"/>
  <c r="BX7" i="4" s="1"/>
  <c r="AO12" i="4"/>
  <c r="AO14" i="4"/>
  <c r="AM6" i="4"/>
  <c r="AO9" i="4"/>
  <c r="AO11" i="4"/>
  <c r="AO21" i="4"/>
  <c r="AO35" i="4"/>
  <c r="AO31" i="4"/>
  <c r="AO17" i="4"/>
  <c r="BT12" i="4"/>
  <c r="BX12" i="4" s="1"/>
  <c r="AO34" i="4"/>
  <c r="BT41" i="4"/>
  <c r="BX41" i="4" s="1"/>
  <c r="AO39" i="4"/>
  <c r="AO25" i="4"/>
  <c r="AO22" i="4"/>
  <c r="AO40" i="4"/>
  <c r="AO41" i="4"/>
  <c r="BT27" i="4"/>
  <c r="BX27" i="4" s="1"/>
  <c r="BT37" i="4"/>
  <c r="BX37" i="4" s="1"/>
  <c r="BT40" i="4"/>
  <c r="BX40" i="4" s="1"/>
  <c r="BT29" i="4"/>
  <c r="BX29" i="4" s="1"/>
  <c r="BT33" i="4"/>
  <c r="BX33" i="4" s="1"/>
  <c r="AO20" i="4"/>
  <c r="AO28" i="4"/>
  <c r="BT36" i="4"/>
  <c r="BX36" i="4" s="1"/>
  <c r="AO27" i="4"/>
  <c r="BT39" i="4"/>
  <c r="BX39" i="4" s="1"/>
  <c r="AO43" i="4"/>
  <c r="AO37" i="4"/>
  <c r="BT31" i="4"/>
  <c r="BX31" i="4" s="1"/>
  <c r="BT34" i="4"/>
  <c r="BX34" i="4" s="1"/>
  <c r="BT28" i="4"/>
  <c r="BX28" i="4" s="1"/>
  <c r="AO30" i="4"/>
  <c r="BT44" i="4"/>
  <c r="BX44" i="4" s="1"/>
  <c r="AO29" i="4"/>
  <c r="AO23" i="4"/>
  <c r="AO42" i="4"/>
  <c r="AO24" i="4"/>
  <c r="AO19" i="4"/>
  <c r="BT32" i="4"/>
  <c r="BX32" i="4" s="1"/>
  <c r="AO36" i="4"/>
  <c r="AO26" i="4"/>
  <c r="AO38" i="4"/>
  <c r="BT42" i="4"/>
  <c r="BX42" i="4" s="1"/>
  <c r="AO33" i="4"/>
  <c r="X10" i="1"/>
  <c r="AA9" i="1"/>
  <c r="AO47" i="4"/>
  <c r="AO45" i="4"/>
  <c r="AO48" i="4"/>
  <c r="AO44" i="4"/>
  <c r="AO49" i="4"/>
  <c r="AO51" i="4"/>
  <c r="Y8" i="1"/>
  <c r="AN66" i="4" s="1"/>
  <c r="AN14" i="4"/>
  <c r="BS22" i="4"/>
  <c r="BT120" i="4"/>
  <c r="BX120" i="4" s="1"/>
  <c r="AO50" i="4"/>
  <c r="AO46" i="4"/>
  <c r="BT133" i="4"/>
  <c r="BX133" i="4" s="1"/>
  <c r="BT104" i="4"/>
  <c r="BX104" i="4" s="1"/>
  <c r="AO112" i="4"/>
  <c r="AO125" i="4"/>
  <c r="BT130" i="4"/>
  <c r="BX130" i="4" s="1"/>
  <c r="BT106" i="4"/>
  <c r="BX106" i="4" s="1"/>
  <c r="AO118" i="4"/>
  <c r="BT123" i="4"/>
  <c r="BX123" i="4" s="1"/>
  <c r="AO110" i="4"/>
  <c r="BT127" i="4"/>
  <c r="BX127" i="4" s="1"/>
  <c r="AN6" i="4"/>
  <c r="BS25" i="4"/>
  <c r="AO111" i="4"/>
  <c r="AO127" i="4"/>
  <c r="BT119" i="4"/>
  <c r="BX119" i="4" s="1"/>
  <c r="BS18" i="4"/>
  <c r="BS15" i="4"/>
  <c r="BS10" i="4"/>
  <c r="BS26" i="4"/>
  <c r="AO121" i="4"/>
  <c r="AO119" i="4"/>
  <c r="AN8" i="4"/>
  <c r="AO102" i="4"/>
  <c r="BT131" i="4"/>
  <c r="BX131" i="4" s="1"/>
  <c r="AO123" i="4"/>
  <c r="BT110" i="4"/>
  <c r="BT121" i="4"/>
  <c r="BT126" i="4"/>
  <c r="BX126" i="4" s="1"/>
  <c r="AO104" i="4"/>
  <c r="AO122" i="4"/>
  <c r="AO113" i="4"/>
  <c r="AO115" i="4"/>
  <c r="BT102" i="4"/>
  <c r="AO107" i="4"/>
  <c r="AO114" i="4"/>
  <c r="BT117" i="4"/>
  <c r="AO131" i="4"/>
  <c r="BT109" i="4"/>
  <c r="M55" i="1"/>
  <c r="AO116" i="4"/>
  <c r="BT114" i="4"/>
  <c r="AO105" i="4"/>
  <c r="AN15" i="4"/>
  <c r="AN18" i="4"/>
  <c r="AO103" i="4"/>
  <c r="BT124" i="4"/>
  <c r="BT129" i="4"/>
  <c r="BX129" i="4" s="1"/>
  <c r="AO128" i="4"/>
  <c r="BT128" i="4"/>
  <c r="BX128" i="4" s="1"/>
  <c r="AO91" i="4"/>
  <c r="BT95" i="4"/>
  <c r="BT88" i="4"/>
  <c r="AO72" i="4"/>
  <c r="BT56" i="4"/>
  <c r="AO83" i="4"/>
  <c r="BT78" i="4"/>
  <c r="AO73" i="4"/>
  <c r="BT49" i="4"/>
  <c r="BT73" i="4"/>
  <c r="BT55" i="4"/>
  <c r="M52" i="1"/>
  <c r="BT61" i="4"/>
  <c r="AO76" i="4"/>
  <c r="AO56" i="4"/>
  <c r="AO97" i="4"/>
  <c r="AO53" i="4"/>
  <c r="BT89" i="4"/>
  <c r="BT70" i="4"/>
  <c r="BT50" i="4"/>
  <c r="AO55" i="4"/>
  <c r="BT64" i="4"/>
  <c r="M51" i="1"/>
  <c r="N51" i="1" s="1"/>
  <c r="BT72" i="4"/>
  <c r="BT52" i="4"/>
  <c r="AO52" i="4"/>
  <c r="AO75" i="4"/>
  <c r="AO87" i="4"/>
  <c r="AO79" i="4"/>
  <c r="BT99" i="4"/>
  <c r="AO60" i="4"/>
  <c r="BT53" i="4"/>
  <c r="BT68" i="4"/>
  <c r="AO59" i="4"/>
  <c r="BT48" i="4"/>
  <c r="AO95" i="4"/>
  <c r="BT47" i="4"/>
  <c r="AO57" i="4"/>
  <c r="BT54" i="4"/>
  <c r="BT86" i="4"/>
  <c r="AO92" i="4"/>
  <c r="BT45" i="4"/>
  <c r="AO77" i="4"/>
  <c r="AO86" i="4"/>
  <c r="AO94" i="4"/>
  <c r="BT79" i="4"/>
  <c r="AO84" i="4"/>
  <c r="BT74" i="4"/>
  <c r="AO66" i="4"/>
  <c r="BT84" i="4"/>
  <c r="AO74" i="4"/>
  <c r="BT71" i="4"/>
  <c r="AO99" i="4"/>
  <c r="AO68" i="4"/>
  <c r="AO90" i="4"/>
  <c r="BT58" i="4"/>
  <c r="BT57" i="4"/>
  <c r="BT80" i="4"/>
  <c r="BT93" i="4"/>
  <c r="BT76" i="4"/>
  <c r="BT91" i="4"/>
  <c r="AO67" i="4"/>
  <c r="AO98" i="4"/>
  <c r="BT92" i="4"/>
  <c r="BT87" i="4"/>
  <c r="BT69" i="4"/>
  <c r="BT66" i="4"/>
  <c r="AO63" i="4"/>
  <c r="BT98" i="4"/>
  <c r="AO65" i="4"/>
  <c r="AO81" i="4"/>
  <c r="BT46" i="4"/>
  <c r="AO80" i="4"/>
  <c r="AO64" i="4"/>
  <c r="BT51" i="4"/>
  <c r="AO58" i="4"/>
  <c r="AO54" i="4"/>
  <c r="AO69" i="4"/>
  <c r="BT65" i="4"/>
  <c r="AO71" i="4"/>
  <c r="BT77" i="4"/>
  <c r="BT59" i="4"/>
  <c r="BT62" i="4"/>
  <c r="BT75" i="4"/>
  <c r="AO85" i="4"/>
  <c r="BT85" i="4"/>
  <c r="BT83" i="4"/>
  <c r="M53" i="1"/>
  <c r="BT90" i="4"/>
  <c r="BT97" i="4"/>
  <c r="AO88" i="4"/>
  <c r="AO61" i="4"/>
  <c r="BT67" i="4"/>
  <c r="BT94" i="4"/>
  <c r="AO93" i="4"/>
  <c r="AO89" i="4"/>
  <c r="BT63" i="4"/>
  <c r="M54" i="1"/>
  <c r="AO82" i="4"/>
  <c r="BT81" i="4"/>
  <c r="BT82" i="4"/>
  <c r="BT96" i="4"/>
  <c r="AO78" i="4"/>
  <c r="AO96" i="4"/>
  <c r="AO70" i="4"/>
  <c r="AO62" i="4"/>
  <c r="BT60" i="4"/>
  <c r="BS24" i="4"/>
  <c r="BS11" i="4"/>
  <c r="AN16" i="4"/>
  <c r="AN11" i="4"/>
  <c r="AO129" i="4"/>
  <c r="BT101" i="4"/>
  <c r="BT118" i="4"/>
  <c r="BT105" i="4"/>
  <c r="AO101" i="4"/>
  <c r="M57" i="1"/>
  <c r="AO106" i="4"/>
  <c r="BT112" i="4"/>
  <c r="AO130" i="4"/>
  <c r="AO126" i="4"/>
  <c r="AO108" i="4"/>
  <c r="BT108" i="4"/>
  <c r="U10" i="1"/>
  <c r="BT111" i="4"/>
  <c r="BX9" i="4"/>
  <c r="BS6" i="4"/>
  <c r="BS23" i="4"/>
  <c r="AO100" i="4"/>
  <c r="BS14" i="4"/>
  <c r="AN13" i="4"/>
  <c r="AN10" i="4"/>
  <c r="BT113" i="4"/>
  <c r="BT125" i="4"/>
  <c r="BT103" i="4"/>
  <c r="AO120" i="4"/>
  <c r="BT107" i="4"/>
  <c r="AO109" i="4"/>
  <c r="BT116" i="4"/>
  <c r="M56" i="1"/>
  <c r="BT122" i="4"/>
  <c r="V8" i="1"/>
  <c r="BR21" i="4" s="1"/>
  <c r="BS13" i="4"/>
  <c r="AO124" i="4"/>
  <c r="BT132" i="4"/>
  <c r="BX132" i="4" s="1"/>
  <c r="AN9" i="4"/>
  <c r="AN20" i="4"/>
  <c r="AN34" i="4"/>
  <c r="BT100" i="4"/>
  <c r="BT115" i="4"/>
  <c r="AO117" i="4"/>
  <c r="C1006" i="2"/>
  <c r="F1006" i="2" s="1"/>
  <c r="D1006" i="2"/>
  <c r="E1006" i="2" s="1"/>
  <c r="N47" i="1" l="1"/>
  <c r="AZ8" i="4"/>
  <c r="N46" i="1"/>
  <c r="BB26" i="4"/>
  <c r="N49" i="1"/>
  <c r="BS30" i="4"/>
  <c r="BB30" i="4" s="1"/>
  <c r="N50" i="1"/>
  <c r="AZ15" i="4"/>
  <c r="AZ6" i="4"/>
  <c r="N48" i="1"/>
  <c r="AZ26" i="4"/>
  <c r="BS27" i="4"/>
  <c r="BB27" i="4" s="1"/>
  <c r="BR20" i="4"/>
  <c r="AM10" i="4"/>
  <c r="BS21" i="4"/>
  <c r="BB21" i="4" s="1"/>
  <c r="BS9" i="4"/>
  <c r="BS19" i="4"/>
  <c r="BR12" i="4"/>
  <c r="AM13" i="4"/>
  <c r="AM17" i="4"/>
  <c r="BR6" i="4"/>
  <c r="BA6" i="4" s="1"/>
  <c r="BR35" i="4"/>
  <c r="BR17" i="4"/>
  <c r="BR7" i="4"/>
  <c r="BR14" i="4"/>
  <c r="BA14" i="4" s="1"/>
  <c r="BA15" i="4"/>
  <c r="AM32" i="4"/>
  <c r="BR24" i="4"/>
  <c r="BA24" i="4" s="1"/>
  <c r="BR9" i="4"/>
  <c r="BS16" i="4"/>
  <c r="BB16" i="4" s="1"/>
  <c r="BS17" i="4"/>
  <c r="BB17" i="4" s="1"/>
  <c r="BR43" i="4"/>
  <c r="BR11" i="4"/>
  <c r="BA11" i="4" s="1"/>
  <c r="BR28" i="4"/>
  <c r="AM40" i="4"/>
  <c r="BR13" i="4"/>
  <c r="BA13" i="4" s="1"/>
  <c r="BR22" i="4"/>
  <c r="BA22" i="4" s="1"/>
  <c r="BS12" i="4"/>
  <c r="BB12" i="4" s="1"/>
  <c r="AM27" i="4"/>
  <c r="BR38" i="4"/>
  <c r="BR8" i="4"/>
  <c r="AM16" i="4"/>
  <c r="AM8" i="4"/>
  <c r="BS8" i="4"/>
  <c r="BB8" i="4" s="1"/>
  <c r="AM9" i="4"/>
  <c r="AM7" i="4"/>
  <c r="AM30" i="4"/>
  <c r="BR18" i="4"/>
  <c r="BA18" i="4" s="1"/>
  <c r="AM11" i="4"/>
  <c r="BS20" i="4"/>
  <c r="BB20" i="4" s="1"/>
  <c r="AN17" i="4"/>
  <c r="BR26" i="4"/>
  <c r="BA26" i="4" s="1"/>
  <c r="BR25" i="4"/>
  <c r="BA25" i="4" s="1"/>
  <c r="AM18" i="4"/>
  <c r="AM12" i="4"/>
  <c r="AM26" i="4"/>
  <c r="BR16" i="4"/>
  <c r="AX15" i="4" s="1"/>
  <c r="BR10" i="4"/>
  <c r="BA10" i="4" s="1"/>
  <c r="AM14" i="4"/>
  <c r="AM43" i="4"/>
  <c r="AM20" i="4"/>
  <c r="AN7" i="4"/>
  <c r="BS7" i="4"/>
  <c r="BB7" i="4" s="1"/>
  <c r="AN12" i="4"/>
  <c r="AN27" i="4"/>
  <c r="AM15" i="4"/>
  <c r="BR23" i="4"/>
  <c r="BA23" i="4" s="1"/>
  <c r="BR19" i="4"/>
  <c r="BS32" i="4"/>
  <c r="BB32" i="4" s="1"/>
  <c r="BS37" i="4"/>
  <c r="AN29" i="4"/>
  <c r="BS33" i="4"/>
  <c r="BB33" i="4" s="1"/>
  <c r="BS31" i="4"/>
  <c r="BB31" i="4" s="1"/>
  <c r="BR37" i="4"/>
  <c r="AN35" i="4"/>
  <c r="BS29" i="4"/>
  <c r="BB29" i="4" s="1"/>
  <c r="AN39" i="4"/>
  <c r="AN38" i="4"/>
  <c r="AM28" i="4"/>
  <c r="BS39" i="4"/>
  <c r="BB39" i="4" s="1"/>
  <c r="BS34" i="4"/>
  <c r="BB34" i="4" s="1"/>
  <c r="BS43" i="4"/>
  <c r="BB43" i="4" s="1"/>
  <c r="AN36" i="4"/>
  <c r="AN31" i="4"/>
  <c r="BS36" i="4"/>
  <c r="BB36" i="4" s="1"/>
  <c r="AN33" i="4"/>
  <c r="AN41" i="4"/>
  <c r="BS40" i="4"/>
  <c r="AN43" i="4"/>
  <c r="AN28" i="4"/>
  <c r="AN21" i="4"/>
  <c r="AN32" i="4"/>
  <c r="AN37" i="4"/>
  <c r="AN23" i="4"/>
  <c r="BS38" i="4"/>
  <c r="BB38" i="4" s="1"/>
  <c r="AM33" i="4"/>
  <c r="AN111" i="4"/>
  <c r="AN103" i="4"/>
  <c r="AN22" i="4"/>
  <c r="AN19" i="4"/>
  <c r="AM22" i="4"/>
  <c r="AM39" i="4"/>
  <c r="BR31" i="4"/>
  <c r="BS44" i="4"/>
  <c r="BB44" i="4" s="1"/>
  <c r="AM29" i="4"/>
  <c r="BR44" i="4"/>
  <c r="BR32" i="4"/>
  <c r="AM41" i="4"/>
  <c r="BR30" i="4"/>
  <c r="BR34" i="4"/>
  <c r="AM23" i="4"/>
  <c r="BR36" i="4"/>
  <c r="AM37" i="4"/>
  <c r="BS41" i="4"/>
  <c r="BS35" i="4"/>
  <c r="BB35" i="4" s="1"/>
  <c r="BR41" i="4"/>
  <c r="AM35" i="4"/>
  <c r="AM36" i="4"/>
  <c r="BR27" i="4"/>
  <c r="AM24" i="4"/>
  <c r="BR40" i="4"/>
  <c r="AM19" i="4"/>
  <c r="AM42" i="4"/>
  <c r="BS28" i="4"/>
  <c r="BB28" i="4" s="1"/>
  <c r="BR42" i="4"/>
  <c r="AN30" i="4"/>
  <c r="AZ44" i="4"/>
  <c r="V9" i="1"/>
  <c r="BR135" i="4" s="1"/>
  <c r="BR33" i="4"/>
  <c r="BR39" i="4"/>
  <c r="AM38" i="4"/>
  <c r="AM25" i="4"/>
  <c r="AN25" i="4"/>
  <c r="AN24" i="4"/>
  <c r="AN26" i="4"/>
  <c r="AM31" i="4"/>
  <c r="AM34" i="4"/>
  <c r="AN42" i="4"/>
  <c r="AN40" i="4"/>
  <c r="BS42" i="4"/>
  <c r="BB42" i="4" s="1"/>
  <c r="AM21" i="4"/>
  <c r="BR29" i="4"/>
  <c r="AN121" i="4"/>
  <c r="BS127" i="4"/>
  <c r="BB127" i="4" s="1"/>
  <c r="BS131" i="4"/>
  <c r="BB131" i="4" s="1"/>
  <c r="AA10" i="1"/>
  <c r="AB9" i="1"/>
  <c r="AO136" i="4" s="1"/>
  <c r="Y9" i="1"/>
  <c r="AN134" i="4" s="1"/>
  <c r="BS70" i="4"/>
  <c r="BB70" i="4" s="1"/>
  <c r="BS75" i="4"/>
  <c r="BB75" i="4" s="1"/>
  <c r="BR132" i="4"/>
  <c r="N52" i="1"/>
  <c r="AN75" i="4"/>
  <c r="BS90" i="4"/>
  <c r="BB90" i="4" s="1"/>
  <c r="BS78" i="4"/>
  <c r="BB78" i="4" s="1"/>
  <c r="AN73" i="4"/>
  <c r="BS66" i="4"/>
  <c r="BB66" i="4" s="1"/>
  <c r="AN81" i="4"/>
  <c r="AN51" i="4"/>
  <c r="BR133" i="4"/>
  <c r="AN86" i="4"/>
  <c r="AN89" i="4"/>
  <c r="AM109" i="4"/>
  <c r="AN84" i="4"/>
  <c r="AM126" i="4"/>
  <c r="AM116" i="4"/>
  <c r="BS97" i="4"/>
  <c r="BB97" i="4" s="1"/>
  <c r="BR123" i="4"/>
  <c r="AM118" i="4"/>
  <c r="BS73" i="4"/>
  <c r="BB73" i="4" s="1"/>
  <c r="BS71" i="4"/>
  <c r="BB71" i="4" s="1"/>
  <c r="AN113" i="4"/>
  <c r="BS116" i="4"/>
  <c r="BB116" i="4" s="1"/>
  <c r="AM50" i="4"/>
  <c r="BR108" i="4"/>
  <c r="AM44" i="4"/>
  <c r="BR129" i="4"/>
  <c r="BS48" i="4"/>
  <c r="BB48" i="4" s="1"/>
  <c r="AN56" i="4"/>
  <c r="BS115" i="4"/>
  <c r="BB115" i="4" s="1"/>
  <c r="AN118" i="4"/>
  <c r="BS104" i="4"/>
  <c r="BB104" i="4" s="1"/>
  <c r="BR122" i="4"/>
  <c r="AM125" i="4"/>
  <c r="AN109" i="4"/>
  <c r="BS133" i="4"/>
  <c r="BS85" i="4"/>
  <c r="BB85" i="4" s="1"/>
  <c r="BS49" i="4"/>
  <c r="BB49" i="4" s="1"/>
  <c r="AN110" i="4"/>
  <c r="BR130" i="4"/>
  <c r="BS108" i="4"/>
  <c r="BS123" i="4"/>
  <c r="BB123" i="4" s="1"/>
  <c r="AN92" i="4"/>
  <c r="BS68" i="4"/>
  <c r="BB68" i="4" s="1"/>
  <c r="AM107" i="4"/>
  <c r="AN49" i="4"/>
  <c r="AN82" i="4"/>
  <c r="BS62" i="4"/>
  <c r="BB62" i="4" s="1"/>
  <c r="AN128" i="4"/>
  <c r="BS120" i="4"/>
  <c r="BB120" i="4" s="1"/>
  <c r="BS113" i="4"/>
  <c r="BB113" i="4" s="1"/>
  <c r="BR110" i="4"/>
  <c r="AM105" i="4"/>
  <c r="AM85" i="4"/>
  <c r="BS47" i="4"/>
  <c r="BB47" i="4" s="1"/>
  <c r="AN98" i="4"/>
  <c r="BB18" i="4"/>
  <c r="BR107" i="4"/>
  <c r="AM111" i="4"/>
  <c r="AN45" i="4"/>
  <c r="BR125" i="4"/>
  <c r="BR101" i="4"/>
  <c r="AM121" i="4"/>
  <c r="AM100" i="4"/>
  <c r="AN114" i="4"/>
  <c r="AM114" i="4"/>
  <c r="BR99" i="4"/>
  <c r="BS61" i="4"/>
  <c r="BB61" i="4" s="1"/>
  <c r="BS64" i="4"/>
  <c r="BB64" i="4" s="1"/>
  <c r="BS110" i="4"/>
  <c r="BB110" i="4" s="1"/>
  <c r="AM47" i="4"/>
  <c r="AN126" i="4"/>
  <c r="BR103" i="4"/>
  <c r="BR94" i="4"/>
  <c r="BS105" i="4"/>
  <c r="BB105" i="4" s="1"/>
  <c r="BS121" i="4"/>
  <c r="BB121" i="4" s="1"/>
  <c r="AM77" i="4"/>
  <c r="BR128" i="4"/>
  <c r="BR60" i="4"/>
  <c r="AN79" i="4"/>
  <c r="BS82" i="4"/>
  <c r="BB82" i="4" s="1"/>
  <c r="AN50" i="4"/>
  <c r="AM45" i="4"/>
  <c r="AN125" i="4"/>
  <c r="BS77" i="4"/>
  <c r="BB77" i="4" s="1"/>
  <c r="AN85" i="4"/>
  <c r="BS130" i="4"/>
  <c r="BR112" i="4"/>
  <c r="BR51" i="4"/>
  <c r="AM48" i="4"/>
  <c r="BS124" i="4"/>
  <c r="BB124" i="4" s="1"/>
  <c r="AN101" i="4"/>
  <c r="BS84" i="4"/>
  <c r="BB84" i="4" s="1"/>
  <c r="AN107" i="4"/>
  <c r="AN76" i="4"/>
  <c r="AN95" i="4"/>
  <c r="BS128" i="4"/>
  <c r="BB128" i="4" s="1"/>
  <c r="AN59" i="4"/>
  <c r="BS106" i="4"/>
  <c r="BB106" i="4" s="1"/>
  <c r="AN119" i="4"/>
  <c r="BR113" i="4"/>
  <c r="BS111" i="4"/>
  <c r="BB111" i="4" s="1"/>
  <c r="AM63" i="4"/>
  <c r="AN100" i="4"/>
  <c r="BS98" i="4"/>
  <c r="BB98" i="4" s="1"/>
  <c r="BS99" i="4"/>
  <c r="BB99" i="4" s="1"/>
  <c r="AN60" i="4"/>
  <c r="AN90" i="4"/>
  <c r="BS87" i="4"/>
  <c r="BB87" i="4" s="1"/>
  <c r="BS59" i="4"/>
  <c r="BB59" i="4" s="1"/>
  <c r="BS80" i="4"/>
  <c r="BB80" i="4" s="1"/>
  <c r="AN120" i="4"/>
  <c r="BS101" i="4"/>
  <c r="BB101" i="4" s="1"/>
  <c r="BS129" i="4"/>
  <c r="BB129" i="4" s="1"/>
  <c r="AM49" i="4"/>
  <c r="AM51" i="4"/>
  <c r="AN65" i="4"/>
  <c r="AN46" i="4"/>
  <c r="AN131" i="4"/>
  <c r="BS58" i="4"/>
  <c r="BB58" i="4" s="1"/>
  <c r="AN124" i="4"/>
  <c r="BS69" i="4"/>
  <c r="BB69" i="4" s="1"/>
  <c r="BS72" i="4"/>
  <c r="BB72" i="4" s="1"/>
  <c r="BS67" i="4"/>
  <c r="BB67" i="4" s="1"/>
  <c r="AN99" i="4"/>
  <c r="AN61" i="4"/>
  <c r="BS86" i="4"/>
  <c r="BB86" i="4" s="1"/>
  <c r="AN57" i="4"/>
  <c r="BS107" i="4"/>
  <c r="BS122" i="4"/>
  <c r="AM46" i="4"/>
  <c r="AN44" i="4"/>
  <c r="BB22" i="4"/>
  <c r="AN122" i="4"/>
  <c r="BS89" i="4"/>
  <c r="BB89" i="4" s="1"/>
  <c r="AN71" i="4"/>
  <c r="BS93" i="4"/>
  <c r="BB93" i="4" s="1"/>
  <c r="AN80" i="4"/>
  <c r="AN70" i="4"/>
  <c r="AN55" i="4"/>
  <c r="BS96" i="4"/>
  <c r="BB96" i="4" s="1"/>
  <c r="BS132" i="4"/>
  <c r="BB132" i="4" s="1"/>
  <c r="BS118" i="4"/>
  <c r="BB118" i="4" s="1"/>
  <c r="BB10" i="4"/>
  <c r="AN116" i="4"/>
  <c r="AN108" i="4"/>
  <c r="AM104" i="4"/>
  <c r="BB15" i="4"/>
  <c r="BR95" i="4"/>
  <c r="BS92" i="4"/>
  <c r="BB92" i="4" s="1"/>
  <c r="BS94" i="4"/>
  <c r="BB94" i="4" s="1"/>
  <c r="BS76" i="4"/>
  <c r="BB76" i="4" s="1"/>
  <c r="AN72" i="4"/>
  <c r="BS45" i="4"/>
  <c r="AN87" i="4"/>
  <c r="AN112" i="4"/>
  <c r="BS117" i="4"/>
  <c r="BB117" i="4" s="1"/>
  <c r="BS95" i="4"/>
  <c r="BB95" i="4" s="1"/>
  <c r="BS103" i="4"/>
  <c r="AM90" i="4"/>
  <c r="AN54" i="4"/>
  <c r="AN52" i="4"/>
  <c r="AN83" i="4"/>
  <c r="BS55" i="4"/>
  <c r="BB55" i="4" s="1"/>
  <c r="BS57" i="4"/>
  <c r="BB57" i="4" s="1"/>
  <c r="BS88" i="4"/>
  <c r="BB88" i="4" s="1"/>
  <c r="BS119" i="4"/>
  <c r="BB119" i="4" s="1"/>
  <c r="AN97" i="4"/>
  <c r="AN58" i="4"/>
  <c r="AN117" i="4"/>
  <c r="BS60" i="4"/>
  <c r="BB60" i="4" s="1"/>
  <c r="AN67" i="4"/>
  <c r="BS102" i="4"/>
  <c r="BB102" i="4" s="1"/>
  <c r="AN96" i="4"/>
  <c r="AN127" i="4"/>
  <c r="AN123" i="4"/>
  <c r="AN104" i="4"/>
  <c r="BR127" i="4"/>
  <c r="AM122" i="4"/>
  <c r="AM131" i="4"/>
  <c r="BS114" i="4"/>
  <c r="BB114" i="4" s="1"/>
  <c r="AN129" i="4"/>
  <c r="AM99" i="4"/>
  <c r="BS79" i="4"/>
  <c r="BS54" i="4"/>
  <c r="BB54" i="4" s="1"/>
  <c r="BS83" i="4"/>
  <c r="BB83" i="4" s="1"/>
  <c r="BS52" i="4"/>
  <c r="BB52" i="4" s="1"/>
  <c r="BS74" i="4"/>
  <c r="BB74" i="4" s="1"/>
  <c r="BS53" i="4"/>
  <c r="BB53" i="4" s="1"/>
  <c r="AN115" i="4"/>
  <c r="AN105" i="4"/>
  <c r="BS112" i="4"/>
  <c r="BB112" i="4" s="1"/>
  <c r="AN88" i="4"/>
  <c r="BS56" i="4"/>
  <c r="BB56" i="4" s="1"/>
  <c r="AN94" i="4"/>
  <c r="AN69" i="4"/>
  <c r="BS100" i="4"/>
  <c r="BB100" i="4" s="1"/>
  <c r="BS51" i="4"/>
  <c r="BB51" i="4" s="1"/>
  <c r="AN91" i="4"/>
  <c r="BS125" i="4"/>
  <c r="BB125" i="4" s="1"/>
  <c r="N56" i="1"/>
  <c r="AM113" i="4"/>
  <c r="BR114" i="4"/>
  <c r="AN102" i="4"/>
  <c r="N57" i="1"/>
  <c r="BR90" i="4"/>
  <c r="AN62" i="4"/>
  <c r="AN78" i="4"/>
  <c r="BS50" i="4"/>
  <c r="BB50" i="4" s="1"/>
  <c r="BS63" i="4"/>
  <c r="AN64" i="4"/>
  <c r="BS46" i="4"/>
  <c r="BB46" i="4" s="1"/>
  <c r="BS126" i="4"/>
  <c r="BB126" i="4" s="1"/>
  <c r="AN68" i="4"/>
  <c r="AN48" i="4"/>
  <c r="BS65" i="4"/>
  <c r="BB65" i="4" s="1"/>
  <c r="AN74" i="4"/>
  <c r="AN130" i="4"/>
  <c r="AM108" i="4"/>
  <c r="AN106" i="4"/>
  <c r="BR86" i="4"/>
  <c r="BS109" i="4"/>
  <c r="BB109" i="4" s="1"/>
  <c r="AN93" i="4"/>
  <c r="BS81" i="4"/>
  <c r="AN77" i="4"/>
  <c r="AN63" i="4"/>
  <c r="AN53" i="4"/>
  <c r="BS91" i="4"/>
  <c r="BB91" i="4" s="1"/>
  <c r="AN47" i="4"/>
  <c r="BR93" i="4"/>
  <c r="AM84" i="4"/>
  <c r="AM83" i="4"/>
  <c r="AM93" i="4"/>
  <c r="AM91" i="4"/>
  <c r="BR50" i="4"/>
  <c r="AM78" i="4"/>
  <c r="BR73" i="4"/>
  <c r="BR79" i="4"/>
  <c r="N54" i="1"/>
  <c r="BR48" i="4"/>
  <c r="AM74" i="4"/>
  <c r="BB25" i="4"/>
  <c r="BR66" i="4"/>
  <c r="BR84" i="4"/>
  <c r="AM127" i="4"/>
  <c r="AM92" i="4"/>
  <c r="BR85" i="4"/>
  <c r="BR74" i="4"/>
  <c r="AM72" i="4"/>
  <c r="AM128" i="4"/>
  <c r="AM124" i="4"/>
  <c r="BR88" i="4"/>
  <c r="AM62" i="4"/>
  <c r="AM60" i="4"/>
  <c r="BR120" i="4"/>
  <c r="AM61" i="4"/>
  <c r="BR78" i="4"/>
  <c r="BX96" i="4"/>
  <c r="BX105" i="4"/>
  <c r="BX81" i="4"/>
  <c r="AZ81" i="4"/>
  <c r="BB6" i="4"/>
  <c r="BR109" i="4"/>
  <c r="BR102" i="4"/>
  <c r="BR115" i="4"/>
  <c r="BR100" i="4"/>
  <c r="AM101" i="4"/>
  <c r="BX118" i="4"/>
  <c r="AM79" i="4"/>
  <c r="BR69" i="4"/>
  <c r="BR96" i="4"/>
  <c r="AM82" i="4"/>
  <c r="BR62" i="4"/>
  <c r="AM53" i="4"/>
  <c r="BR68" i="4"/>
  <c r="AZ62" i="4"/>
  <c r="BX62" i="4"/>
  <c r="BX66" i="4"/>
  <c r="BX48" i="4"/>
  <c r="BX70" i="4"/>
  <c r="BX88" i="4"/>
  <c r="BX82" i="4"/>
  <c r="AX114" i="4"/>
  <c r="BX75" i="4"/>
  <c r="BX71" i="4"/>
  <c r="BX50" i="4"/>
  <c r="BB13" i="4"/>
  <c r="AM52" i="4"/>
  <c r="BR57" i="4"/>
  <c r="BR98" i="4"/>
  <c r="BR54" i="4"/>
  <c r="BR61" i="4"/>
  <c r="AM65" i="4"/>
  <c r="AM98" i="4"/>
  <c r="BX59" i="4"/>
  <c r="BX69" i="4"/>
  <c r="BX84" i="4"/>
  <c r="BX89" i="4"/>
  <c r="BX95" i="4"/>
  <c r="N55" i="1"/>
  <c r="BX102" i="4"/>
  <c r="BX87" i="4"/>
  <c r="BR47" i="4"/>
  <c r="BR58" i="4"/>
  <c r="BX79" i="4"/>
  <c r="AZ79" i="4"/>
  <c r="AZ121" i="4"/>
  <c r="BX121" i="4"/>
  <c r="BX122" i="4"/>
  <c r="BR126" i="4"/>
  <c r="AM112" i="4"/>
  <c r="AM110" i="4"/>
  <c r="BR111" i="4"/>
  <c r="AM64" i="4"/>
  <c r="AM86" i="4"/>
  <c r="BR75" i="4"/>
  <c r="AM69" i="4"/>
  <c r="AM89" i="4"/>
  <c r="AM54" i="4"/>
  <c r="BX67" i="4"/>
  <c r="BX91" i="4"/>
  <c r="BX61" i="4"/>
  <c r="BX110" i="4"/>
  <c r="BX114" i="4"/>
  <c r="BX101" i="4"/>
  <c r="BX77" i="4"/>
  <c r="BX74" i="4"/>
  <c r="AM55" i="4"/>
  <c r="BX65" i="4"/>
  <c r="BR83" i="4"/>
  <c r="BX107" i="4"/>
  <c r="BR81" i="4"/>
  <c r="AM103" i="4"/>
  <c r="BR89" i="4"/>
  <c r="BR64" i="4"/>
  <c r="BX51" i="4"/>
  <c r="BX115" i="4"/>
  <c r="BX103" i="4"/>
  <c r="BX111" i="4"/>
  <c r="BR118" i="4"/>
  <c r="BR117" i="4"/>
  <c r="BR106" i="4"/>
  <c r="AM130" i="4"/>
  <c r="BR116" i="4"/>
  <c r="BX108" i="4"/>
  <c r="BR87" i="4"/>
  <c r="BR45" i="4"/>
  <c r="BR76" i="4"/>
  <c r="AM66" i="4"/>
  <c r="AM75" i="4"/>
  <c r="BR65" i="4"/>
  <c r="BX97" i="4"/>
  <c r="BX80" i="4"/>
  <c r="BX45" i="4"/>
  <c r="BX73" i="4"/>
  <c r="BX109" i="4"/>
  <c r="BB23" i="4"/>
  <c r="BX56" i="4"/>
  <c r="BX68" i="4"/>
  <c r="AM97" i="4"/>
  <c r="AM68" i="4"/>
  <c r="AM120" i="4"/>
  <c r="BR70" i="4"/>
  <c r="BX124" i="4"/>
  <c r="AM117" i="4"/>
  <c r="BR63" i="4"/>
  <c r="BX49" i="4"/>
  <c r="BX64" i="4"/>
  <c r="BX47" i="4"/>
  <c r="BB14" i="4"/>
  <c r="BX92" i="4"/>
  <c r="BR53" i="4"/>
  <c r="BR77" i="4"/>
  <c r="AM87" i="4"/>
  <c r="BX94" i="4"/>
  <c r="BX99" i="4"/>
  <c r="AZ99" i="4"/>
  <c r="AM71" i="4"/>
  <c r="BR67" i="4"/>
  <c r="BX76" i="4"/>
  <c r="BR121" i="4"/>
  <c r="AM129" i="4"/>
  <c r="BB11" i="4"/>
  <c r="AM67" i="4"/>
  <c r="BX55" i="4"/>
  <c r="BR105" i="4"/>
  <c r="AM115" i="4"/>
  <c r="AM56" i="4"/>
  <c r="AM57" i="4"/>
  <c r="AM58" i="4"/>
  <c r="BX90" i="4"/>
  <c r="BX52" i="4"/>
  <c r="AM119" i="4"/>
  <c r="BR104" i="4"/>
  <c r="AM106" i="4"/>
  <c r="BX112" i="4"/>
  <c r="AY122" i="4"/>
  <c r="BB24" i="4"/>
  <c r="BR46" i="4"/>
  <c r="BR55" i="4"/>
  <c r="BR92" i="4"/>
  <c r="BR52" i="4"/>
  <c r="AM59" i="4"/>
  <c r="AM88" i="4"/>
  <c r="N53" i="1"/>
  <c r="BX46" i="4"/>
  <c r="BX58" i="4"/>
  <c r="BX86" i="4"/>
  <c r="BX72" i="4"/>
  <c r="BX117" i="4"/>
  <c r="BX85" i="4"/>
  <c r="BX98" i="4"/>
  <c r="BX63" i="4"/>
  <c r="BX53" i="4"/>
  <c r="AM70" i="4"/>
  <c r="AM73" i="4"/>
  <c r="BR82" i="4"/>
  <c r="BR97" i="4"/>
  <c r="BR80" i="4"/>
  <c r="AM81" i="4"/>
  <c r="BR59" i="4"/>
  <c r="AM80" i="4"/>
  <c r="BX60" i="4"/>
  <c r="BX93" i="4"/>
  <c r="BX100" i="4"/>
  <c r="BX116" i="4"/>
  <c r="BX125" i="4"/>
  <c r="AZ125" i="4"/>
  <c r="AM123" i="4"/>
  <c r="BR91" i="4"/>
  <c r="BR72" i="4"/>
  <c r="BX57" i="4"/>
  <c r="BX113" i="4"/>
  <c r="BR131" i="4"/>
  <c r="BR124" i="4"/>
  <c r="AM102" i="4"/>
  <c r="BR71" i="4"/>
  <c r="AM76" i="4"/>
  <c r="AM96" i="4"/>
  <c r="BR56" i="4"/>
  <c r="BR49" i="4"/>
  <c r="AM94" i="4"/>
  <c r="AM95" i="4"/>
  <c r="BX83" i="4"/>
  <c r="BX54" i="4"/>
  <c r="BX78" i="4"/>
  <c r="C1007" i="2"/>
  <c r="F1007" i="2" s="1"/>
  <c r="D1007" i="2"/>
  <c r="E1007" i="2" s="1"/>
  <c r="BA30" i="4" l="1"/>
  <c r="AY26" i="4"/>
  <c r="AY15" i="4"/>
  <c r="AY8" i="4"/>
  <c r="AY6" i="4"/>
  <c r="BA39" i="4"/>
  <c r="BB9" i="4"/>
  <c r="BA9" i="4"/>
  <c r="BA7" i="4"/>
  <c r="BA21" i="4"/>
  <c r="AX26" i="4"/>
  <c r="BA17" i="4"/>
  <c r="AX8" i="4"/>
  <c r="BA37" i="4"/>
  <c r="AN132" i="4"/>
  <c r="AM132" i="4"/>
  <c r="BA40" i="4"/>
  <c r="BA31" i="4"/>
  <c r="BA16" i="4"/>
  <c r="BB37" i="4"/>
  <c r="BA42" i="4"/>
  <c r="BA12" i="4"/>
  <c r="AO132" i="4"/>
  <c r="BB40" i="4"/>
  <c r="BA29" i="4"/>
  <c r="BA38" i="4"/>
  <c r="BA41" i="4"/>
  <c r="BA19" i="4"/>
  <c r="BA36" i="4"/>
  <c r="BA32" i="4"/>
  <c r="BA44" i="4"/>
  <c r="BA27" i="4"/>
  <c r="AX6" i="4"/>
  <c r="AN137" i="4"/>
  <c r="BA20" i="4"/>
  <c r="BA8" i="4"/>
  <c r="BA33" i="4"/>
  <c r="AY44" i="4"/>
  <c r="BB19" i="4"/>
  <c r="BR138" i="4"/>
  <c r="BA66" i="4"/>
  <c r="BA43" i="4"/>
  <c r="AM138" i="4"/>
  <c r="BA34" i="4"/>
  <c r="BA127" i="4"/>
  <c r="AN135" i="4"/>
  <c r="AM133" i="4"/>
  <c r="AN133" i="4"/>
  <c r="BS134" i="4"/>
  <c r="AY133" i="4" s="1"/>
  <c r="V10" i="1"/>
  <c r="BR119" i="4" s="1"/>
  <c r="BA119" i="4" s="1"/>
  <c r="BS143" i="4"/>
  <c r="AN139" i="4"/>
  <c r="AN140" i="4"/>
  <c r="BA28" i="4"/>
  <c r="BS135" i="4"/>
  <c r="BA135" i="4" s="1"/>
  <c r="AM139" i="4"/>
  <c r="AN136" i="4"/>
  <c r="BS138" i="4"/>
  <c r="AM137" i="4"/>
  <c r="BR141" i="4"/>
  <c r="BR140" i="4"/>
  <c r="BR139" i="4"/>
  <c r="BR137" i="4"/>
  <c r="BS142" i="4"/>
  <c r="BR136" i="4"/>
  <c r="BA35" i="4"/>
  <c r="AM141" i="4"/>
  <c r="AM135" i="4"/>
  <c r="BR142" i="4"/>
  <c r="AM134" i="4"/>
  <c r="BR144" i="4"/>
  <c r="BB41" i="4"/>
  <c r="AO135" i="4"/>
  <c r="AO133" i="4"/>
  <c r="AO137" i="4"/>
  <c r="BR134" i="4"/>
  <c r="AX133" i="4" s="1"/>
  <c r="BS141" i="4"/>
  <c r="AM140" i="4"/>
  <c r="AM143" i="4"/>
  <c r="AM142" i="4"/>
  <c r="BR143" i="4"/>
  <c r="AM136" i="4"/>
  <c r="AO134" i="4"/>
  <c r="AN143" i="4"/>
  <c r="AN141" i="4"/>
  <c r="AN138" i="4"/>
  <c r="BS140" i="4"/>
  <c r="BS139" i="4"/>
  <c r="BS136" i="4"/>
  <c r="BS137" i="4"/>
  <c r="AO140" i="4"/>
  <c r="AO141" i="4"/>
  <c r="M60" i="1"/>
  <c r="BT137" i="4"/>
  <c r="BX137" i="4" s="1"/>
  <c r="BT144" i="4"/>
  <c r="BX144" i="4" s="1"/>
  <c r="M59" i="1"/>
  <c r="BT142" i="4"/>
  <c r="AO142" i="4"/>
  <c r="AO138" i="4"/>
  <c r="M58" i="1"/>
  <c r="N58" i="1" s="1"/>
  <c r="BT140" i="4"/>
  <c r="BX140" i="4" s="1"/>
  <c r="BT143" i="4"/>
  <c r="BT141" i="4"/>
  <c r="AO139" i="4"/>
  <c r="BT139" i="4"/>
  <c r="BX139" i="4" s="1"/>
  <c r="M61" i="1"/>
  <c r="BT138" i="4"/>
  <c r="BX138" i="4" s="1"/>
  <c r="BT136" i="4"/>
  <c r="BX136" i="4" s="1"/>
  <c r="BT134" i="4"/>
  <c r="BT135" i="4"/>
  <c r="AN142" i="4"/>
  <c r="AB10" i="1"/>
  <c r="M63" i="1" s="1"/>
  <c r="AO143" i="4"/>
  <c r="BA132" i="4"/>
  <c r="BS144" i="4"/>
  <c r="Y10" i="1"/>
  <c r="AN144" i="4" s="1"/>
  <c r="BA84" i="4"/>
  <c r="BA51" i="4"/>
  <c r="AY62" i="4"/>
  <c r="AY99" i="4"/>
  <c r="BA133" i="4"/>
  <c r="BA73" i="4"/>
  <c r="BA108" i="4"/>
  <c r="BA130" i="4"/>
  <c r="BB108" i="4"/>
  <c r="BB133" i="4"/>
  <c r="BA74" i="4"/>
  <c r="BA120" i="4"/>
  <c r="BA86" i="4"/>
  <c r="AY79" i="4"/>
  <c r="BA50" i="4"/>
  <c r="BB45" i="4"/>
  <c r="BA90" i="4"/>
  <c r="BA123" i="4"/>
  <c r="BB63" i="4"/>
  <c r="BA85" i="4"/>
  <c r="AY81" i="4"/>
  <c r="AY125" i="4"/>
  <c r="BA122" i="4"/>
  <c r="BA93" i="4"/>
  <c r="BA101" i="4"/>
  <c r="BA114" i="4"/>
  <c r="BA78" i="4"/>
  <c r="BA99" i="4"/>
  <c r="AX79" i="4"/>
  <c r="BA48" i="4"/>
  <c r="BA107" i="4"/>
  <c r="BA129" i="4"/>
  <c r="BA128" i="4"/>
  <c r="BB130" i="4"/>
  <c r="BB81" i="4"/>
  <c r="BA95" i="4"/>
  <c r="BB79" i="4"/>
  <c r="BA88" i="4"/>
  <c r="BA94" i="4"/>
  <c r="BA113" i="4"/>
  <c r="AX125" i="4"/>
  <c r="BA79" i="4"/>
  <c r="AX99" i="4"/>
  <c r="BB107" i="4"/>
  <c r="BA103" i="4"/>
  <c r="BA110" i="4"/>
  <c r="BA60" i="4"/>
  <c r="BA125" i="4"/>
  <c r="BB103" i="4"/>
  <c r="AY121" i="4"/>
  <c r="BB122" i="4"/>
  <c r="BA112" i="4"/>
  <c r="BA75" i="4"/>
  <c r="BA57" i="4"/>
  <c r="BA124" i="4"/>
  <c r="BA81" i="4"/>
  <c r="AX81" i="4"/>
  <c r="BA70" i="4"/>
  <c r="BA46" i="4"/>
  <c r="BA121" i="4"/>
  <c r="AX121" i="4"/>
  <c r="BA116" i="4"/>
  <c r="BA131" i="4"/>
  <c r="BA100" i="4"/>
  <c r="BA106" i="4"/>
  <c r="BA111" i="4"/>
  <c r="BA68" i="4"/>
  <c r="AX115" i="4"/>
  <c r="BA115" i="4"/>
  <c r="BA76" i="4"/>
  <c r="BA69" i="4"/>
  <c r="BA55" i="4"/>
  <c r="BA63" i="4"/>
  <c r="BA126" i="4"/>
  <c r="BA91" i="4"/>
  <c r="BA87" i="4"/>
  <c r="BA64" i="4"/>
  <c r="BA62" i="4"/>
  <c r="AX62" i="4"/>
  <c r="BA59" i="4"/>
  <c r="BA89" i="4"/>
  <c r="BA117" i="4"/>
  <c r="BA56" i="4"/>
  <c r="BA105" i="4"/>
  <c r="BA58" i="4"/>
  <c r="BA98" i="4"/>
  <c r="BA77" i="4"/>
  <c r="BA102" i="4"/>
  <c r="BA49" i="4"/>
  <c r="BA65" i="4"/>
  <c r="BA53" i="4"/>
  <c r="BA97" i="4"/>
  <c r="BA82" i="4"/>
  <c r="BA104" i="4"/>
  <c r="BA83" i="4"/>
  <c r="BA47" i="4"/>
  <c r="BA61" i="4"/>
  <c r="BA118" i="4"/>
  <c r="BA109" i="4"/>
  <c r="BA67" i="4"/>
  <c r="BA96" i="4"/>
  <c r="BA72" i="4"/>
  <c r="BA71" i="4"/>
  <c r="BA45" i="4"/>
  <c r="AX44" i="4"/>
  <c r="BA52" i="4"/>
  <c r="BA80" i="4"/>
  <c r="BA92" i="4"/>
  <c r="BA54" i="4"/>
  <c r="C1008" i="2"/>
  <c r="F1008" i="2" s="1"/>
  <c r="D1008" i="2"/>
  <c r="E1008" i="2" s="1"/>
  <c r="AO144" i="4" l="1"/>
  <c r="BB142" i="4"/>
  <c r="BA144" i="4"/>
  <c r="BA136" i="4"/>
  <c r="BA137" i="4"/>
  <c r="BA140" i="4"/>
  <c r="AX142" i="4"/>
  <c r="M68" i="1"/>
  <c r="AM144" i="4"/>
  <c r="BA143" i="4"/>
  <c r="BA142" i="4"/>
  <c r="BA141" i="4"/>
  <c r="M66" i="1"/>
  <c r="BB138" i="4"/>
  <c r="BA138" i="4"/>
  <c r="BA134" i="4"/>
  <c r="AY142" i="4"/>
  <c r="BR145" i="4"/>
  <c r="F29" i="1" s="1"/>
  <c r="F30" i="1" s="1"/>
  <c r="N60" i="1"/>
  <c r="AX141" i="4"/>
  <c r="F31" i="1"/>
  <c r="AY141" i="4"/>
  <c r="N61" i="1"/>
  <c r="BX141" i="4"/>
  <c r="AZ141" i="4"/>
  <c r="BB136" i="4"/>
  <c r="BB143" i="4"/>
  <c r="BX143" i="4"/>
  <c r="BB139" i="4"/>
  <c r="BB144" i="4"/>
  <c r="BB140" i="4"/>
  <c r="AZ133" i="4"/>
  <c r="BX134" i="4"/>
  <c r="BT145" i="4"/>
  <c r="H31" i="1"/>
  <c r="BS145" i="4"/>
  <c r="G29" i="1" s="1"/>
  <c r="G30" i="1" s="1"/>
  <c r="BX142" i="4"/>
  <c r="AZ142" i="4"/>
  <c r="BA139" i="4"/>
  <c r="BB135" i="4"/>
  <c r="BX135" i="4"/>
  <c r="BB137" i="4"/>
  <c r="BB141" i="4"/>
  <c r="N59" i="1"/>
  <c r="BB134" i="4"/>
  <c r="M44" i="1"/>
  <c r="N45" i="1" s="1"/>
  <c r="M67" i="1"/>
  <c r="G31" i="1"/>
  <c r="M64" i="1"/>
  <c r="N64" i="1" s="1"/>
  <c r="M62" i="1"/>
  <c r="N62" i="1" s="1"/>
  <c r="M65" i="1"/>
  <c r="D1009" i="2"/>
  <c r="E1009" i="2" s="1"/>
  <c r="C1009" i="2"/>
  <c r="F1009" i="2" s="1"/>
  <c r="N67" i="1" l="1"/>
  <c r="N65" i="1"/>
  <c r="N68" i="1"/>
  <c r="AX123" i="4"/>
  <c r="N66" i="1"/>
  <c r="E37" i="1"/>
  <c r="E43" i="1" s="1"/>
  <c r="E36" i="1"/>
  <c r="BX145" i="4"/>
  <c r="E38" i="1"/>
  <c r="AZ123" i="4"/>
  <c r="H29" i="1"/>
  <c r="H30" i="1" s="1"/>
  <c r="E30" i="1" s="1"/>
  <c r="E35" i="1"/>
  <c r="D43" i="1" s="1"/>
  <c r="AY123" i="4"/>
  <c r="N63" i="1"/>
  <c r="N43" i="1" s="1"/>
  <c r="C1010" i="2"/>
  <c r="F1010" i="2" s="1"/>
  <c r="D1010" i="2"/>
  <c r="E1010" i="2" s="1"/>
  <c r="E34" i="1" l="1"/>
  <c r="C43" i="1" s="1"/>
  <c r="D1011" i="2"/>
  <c r="E1011" i="2" s="1"/>
  <c r="C1011" i="2"/>
  <c r="F1011" i="2" s="1"/>
  <c r="D1012" i="2" l="1"/>
  <c r="E1012" i="2" s="1"/>
  <c r="C1012" i="2"/>
  <c r="F1012" i="2" s="1"/>
  <c r="D1013" i="2" l="1"/>
  <c r="E1013" i="2" s="1"/>
  <c r="C1013" i="2"/>
  <c r="F1013" i="2" s="1"/>
  <c r="C1014" i="2" l="1"/>
  <c r="F1014" i="2" s="1"/>
  <c r="D1014" i="2"/>
  <c r="E1014" i="2" s="1"/>
  <c r="C1015" i="2" l="1"/>
  <c r="F1015" i="2" s="1"/>
  <c r="D1015" i="2"/>
  <c r="E1015" i="2" s="1"/>
  <c r="C1016" i="2" l="1"/>
  <c r="F1016" i="2" s="1"/>
  <c r="D1016" i="2"/>
  <c r="E1016" i="2" s="1"/>
  <c r="D1017" i="2" l="1"/>
  <c r="E1017" i="2" s="1"/>
  <c r="C1017" i="2"/>
  <c r="F1017" i="2" s="1"/>
  <c r="C1018" i="2" l="1"/>
  <c r="F1018" i="2" s="1"/>
  <c r="D1018" i="2"/>
  <c r="E1018" i="2" s="1"/>
  <c r="C1019" i="2" l="1"/>
  <c r="F1019" i="2" s="1"/>
  <c r="D1019" i="2"/>
  <c r="E1019" i="2" s="1"/>
  <c r="C1020" i="2" l="1"/>
  <c r="F1020" i="2" s="1"/>
  <c r="D1020" i="2"/>
  <c r="E1020" i="2" s="1"/>
  <c r="D1021" i="2" l="1"/>
  <c r="E1021" i="2" s="1"/>
  <c r="C1021" i="2"/>
  <c r="F1021" i="2" s="1"/>
  <c r="C1022" i="2" l="1"/>
  <c r="F1022" i="2" s="1"/>
  <c r="D1022" i="2"/>
  <c r="E1022" i="2" s="1"/>
  <c r="C1023" i="2" l="1"/>
  <c r="F1023" i="2" s="1"/>
  <c r="D1023" i="2"/>
  <c r="E1023" i="2" s="1"/>
  <c r="C1024" i="2" l="1"/>
  <c r="F1024" i="2" s="1"/>
  <c r="D1024" i="2"/>
  <c r="E1024" i="2" s="1"/>
  <c r="D1025" i="2" l="1"/>
  <c r="E1025" i="2" s="1"/>
  <c r="C1025" i="2"/>
  <c r="F1025" i="2" s="1"/>
  <c r="C1026" i="2" l="1"/>
  <c r="F1026" i="2" s="1"/>
  <c r="D1026" i="2"/>
  <c r="E1026" i="2" s="1"/>
  <c r="C1027" i="2" l="1"/>
  <c r="F1027" i="2" s="1"/>
  <c r="D1027" i="2"/>
  <c r="E1027" i="2" s="1"/>
  <c r="C1028" i="2" l="1"/>
  <c r="F1028" i="2" s="1"/>
  <c r="D1028" i="2"/>
  <c r="E1028" i="2" s="1"/>
  <c r="D1029" i="2" l="1"/>
  <c r="E1029" i="2" s="1"/>
  <c r="C1029" i="2"/>
  <c r="F1029" i="2" s="1"/>
  <c r="C1030" i="2" l="1"/>
  <c r="F1030" i="2" s="1"/>
  <c r="D1030" i="2"/>
  <c r="E1030" i="2" s="1"/>
  <c r="C1031" i="2" l="1"/>
  <c r="F1031" i="2" s="1"/>
  <c r="D1031" i="2"/>
  <c r="E1031" i="2" s="1"/>
  <c r="D1032" i="2" l="1"/>
  <c r="E1032" i="2" s="1"/>
  <c r="C1032" i="2"/>
  <c r="F1032" i="2" s="1"/>
  <c r="D1033" i="2" l="1"/>
  <c r="E1033" i="2" s="1"/>
  <c r="C1033" i="2"/>
  <c r="F1033" i="2" s="1"/>
  <c r="C1034" i="2" l="1"/>
  <c r="F1034" i="2" s="1"/>
  <c r="D1034" i="2"/>
  <c r="E1034" i="2" s="1"/>
  <c r="C1035" i="2" l="1"/>
  <c r="F1035" i="2" s="1"/>
  <c r="D1035" i="2"/>
  <c r="E1035" i="2" s="1"/>
  <c r="C1036" i="2" l="1"/>
  <c r="F1036" i="2" s="1"/>
  <c r="D1036" i="2"/>
  <c r="E1036" i="2" s="1"/>
  <c r="D1037" i="2" l="1"/>
  <c r="E1037" i="2" s="1"/>
  <c r="C1037" i="2"/>
  <c r="F1037" i="2" s="1"/>
  <c r="C1038" i="2" l="1"/>
  <c r="F1038" i="2" s="1"/>
  <c r="D1038" i="2"/>
  <c r="E1038" i="2" s="1"/>
  <c r="C1039" i="2" l="1"/>
  <c r="F1039" i="2" s="1"/>
  <c r="D1039" i="2"/>
  <c r="E1039" i="2" s="1"/>
  <c r="C1040" i="2" l="1"/>
  <c r="F1040" i="2" s="1"/>
  <c r="D1040" i="2"/>
  <c r="E1040" i="2" s="1"/>
  <c r="D1041" i="2" l="1"/>
  <c r="E1041" i="2" s="1"/>
  <c r="C1041" i="2"/>
  <c r="F1041" i="2" s="1"/>
  <c r="C1042" i="2" l="1"/>
  <c r="F1042" i="2" s="1"/>
  <c r="D1042" i="2"/>
  <c r="E1042" i="2" s="1"/>
  <c r="C1043" i="2" l="1"/>
  <c r="F1043" i="2" s="1"/>
  <c r="D1043" i="2"/>
  <c r="E1043" i="2" s="1"/>
  <c r="C1044" i="2" l="1"/>
  <c r="F1044" i="2" s="1"/>
  <c r="D1044" i="2"/>
  <c r="E1044" i="2" s="1"/>
  <c r="C1045" i="2" l="1"/>
  <c r="F1045" i="2" s="1"/>
  <c r="D1045" i="2"/>
  <c r="E1045" i="2" s="1"/>
  <c r="C1046" i="2" l="1"/>
  <c r="F1046" i="2" s="1"/>
  <c r="D1046" i="2"/>
  <c r="E1046" i="2" s="1"/>
  <c r="C1047" i="2" l="1"/>
  <c r="F1047" i="2" s="1"/>
  <c r="D1047" i="2"/>
  <c r="E1047" i="2" s="1"/>
  <c r="C1048" i="2" l="1"/>
  <c r="F1048" i="2" s="1"/>
  <c r="D1048" i="2"/>
  <c r="E1048" i="2" s="1"/>
  <c r="D1049" i="2" l="1"/>
  <c r="E1049" i="2" s="1"/>
  <c r="C1049" i="2"/>
  <c r="F1049" i="2" s="1"/>
  <c r="C1050" i="2" l="1"/>
  <c r="F1050" i="2" s="1"/>
  <c r="D1050" i="2"/>
  <c r="E1050" i="2" s="1"/>
  <c r="C1051" i="2" l="1"/>
  <c r="F1051" i="2" s="1"/>
  <c r="D1051" i="2"/>
  <c r="E1051" i="2" s="1"/>
  <c r="C1052" i="2" l="1"/>
  <c r="F1052" i="2" s="1"/>
  <c r="D1052" i="2"/>
  <c r="E1052" i="2" s="1"/>
  <c r="C1053" i="2" l="1"/>
  <c r="F1053" i="2" s="1"/>
  <c r="D1053" i="2"/>
  <c r="E1053" i="2" s="1"/>
  <c r="C1054" i="2" l="1"/>
  <c r="F1054" i="2" s="1"/>
  <c r="D1054" i="2"/>
  <c r="E1054" i="2" s="1"/>
  <c r="C1055" i="2" l="1"/>
  <c r="F1055" i="2" s="1"/>
  <c r="D1055" i="2"/>
  <c r="E1055" i="2" s="1"/>
  <c r="C1056" i="2" l="1"/>
  <c r="F1056" i="2" s="1"/>
  <c r="D1056" i="2"/>
  <c r="E1056" i="2" s="1"/>
  <c r="D1057" i="2" l="1"/>
  <c r="E1057" i="2" s="1"/>
  <c r="C1057" i="2"/>
  <c r="F1057" i="2" s="1"/>
  <c r="C1058" i="2" l="1"/>
  <c r="F1058" i="2" s="1"/>
  <c r="D1058" i="2"/>
  <c r="E1058" i="2" s="1"/>
  <c r="C1059" i="2" l="1"/>
  <c r="F1059" i="2" s="1"/>
  <c r="D1059" i="2"/>
  <c r="E1059" i="2" s="1"/>
  <c r="C1060" i="2" l="1"/>
  <c r="F1060" i="2" s="1"/>
  <c r="D1060" i="2"/>
  <c r="E1060" i="2" s="1"/>
  <c r="C1061" i="2" l="1"/>
  <c r="F1061" i="2" s="1"/>
  <c r="D1061" i="2"/>
  <c r="E1061" i="2" s="1"/>
  <c r="D1062" i="2" l="1"/>
  <c r="E1062" i="2" s="1"/>
  <c r="C1062" i="2"/>
  <c r="F1062" i="2" s="1"/>
  <c r="C1063" i="2" l="1"/>
  <c r="F1063" i="2" s="1"/>
  <c r="D1063" i="2"/>
  <c r="E1063" i="2" s="1"/>
  <c r="C1064" i="2" l="1"/>
  <c r="F1064" i="2" s="1"/>
  <c r="D1064" i="2"/>
  <c r="E1064" i="2" s="1"/>
  <c r="C1065" i="2" l="1"/>
  <c r="F1065" i="2" s="1"/>
  <c r="D1065" i="2"/>
  <c r="E1065" i="2" s="1"/>
  <c r="C1066" i="2" l="1"/>
  <c r="F1066" i="2" s="1"/>
  <c r="D1066" i="2"/>
  <c r="E1066" i="2" s="1"/>
  <c r="C1067" i="2" l="1"/>
  <c r="F1067" i="2" s="1"/>
  <c r="D1067" i="2"/>
  <c r="E1067" i="2" s="1"/>
  <c r="C1068" i="2" l="1"/>
  <c r="F1068" i="2" s="1"/>
  <c r="D1068" i="2"/>
  <c r="E1068" i="2" s="1"/>
  <c r="C1069" i="2" l="1"/>
  <c r="F1069" i="2" s="1"/>
  <c r="D1069" i="2"/>
  <c r="E1069" i="2" s="1"/>
  <c r="D1070" i="2" l="1"/>
  <c r="E1070" i="2" s="1"/>
  <c r="C1070" i="2"/>
  <c r="F1070" i="2" s="1"/>
  <c r="C1071" i="2" l="1"/>
  <c r="F1071" i="2" s="1"/>
  <c r="D1071" i="2"/>
  <c r="E1071" i="2" s="1"/>
  <c r="C1072" i="2" l="1"/>
  <c r="F1072" i="2" s="1"/>
  <c r="D1072" i="2"/>
  <c r="E1072" i="2" s="1"/>
  <c r="C1073" i="2" l="1"/>
  <c r="F1073" i="2" s="1"/>
  <c r="D1073" i="2"/>
  <c r="E1073" i="2" s="1"/>
  <c r="C1074" i="2" l="1"/>
  <c r="F1074" i="2" s="1"/>
  <c r="D1074" i="2"/>
  <c r="E1074" i="2" s="1"/>
  <c r="C1075" i="2" l="1"/>
  <c r="F1075" i="2" s="1"/>
  <c r="D1075" i="2"/>
  <c r="E1075" i="2" s="1"/>
  <c r="C1076" i="2" l="1"/>
  <c r="F1076" i="2" s="1"/>
  <c r="D1076" i="2"/>
  <c r="E1076" i="2" s="1"/>
  <c r="C1077" i="2" l="1"/>
  <c r="F1077" i="2" s="1"/>
  <c r="D1077" i="2"/>
  <c r="E1077" i="2" s="1"/>
  <c r="D1078" i="2" l="1"/>
  <c r="E1078" i="2" s="1"/>
  <c r="C1078" i="2"/>
  <c r="F1078" i="2" s="1"/>
  <c r="C1079" i="2" l="1"/>
  <c r="F1079" i="2" s="1"/>
  <c r="D1079" i="2"/>
  <c r="E1079" i="2" s="1"/>
  <c r="C1080" i="2" l="1"/>
  <c r="F1080" i="2" s="1"/>
  <c r="D1080" i="2"/>
  <c r="E1080" i="2" s="1"/>
  <c r="C1081" i="2" l="1"/>
  <c r="F1081" i="2" s="1"/>
  <c r="D1081" i="2"/>
  <c r="E1081" i="2" s="1"/>
  <c r="C1082" i="2" l="1"/>
  <c r="F1082" i="2" s="1"/>
  <c r="D1082" i="2"/>
  <c r="E1082" i="2" s="1"/>
  <c r="C1083" i="2" l="1"/>
  <c r="F1083" i="2" s="1"/>
  <c r="D1083" i="2"/>
  <c r="E1083" i="2" s="1"/>
  <c r="C1084" i="2" l="1"/>
  <c r="F1084" i="2" s="1"/>
  <c r="D1084" i="2"/>
  <c r="E1084" i="2" s="1"/>
  <c r="C1085" i="2" l="1"/>
  <c r="F1085" i="2" s="1"/>
  <c r="D1085" i="2"/>
  <c r="E1085" i="2" s="1"/>
  <c r="D1086" i="2" l="1"/>
  <c r="E1086" i="2" s="1"/>
  <c r="C1086" i="2"/>
  <c r="F1086" i="2" s="1"/>
  <c r="C1087" i="2" l="1"/>
  <c r="F1087" i="2" s="1"/>
  <c r="D1087" i="2"/>
  <c r="E1087" i="2" s="1"/>
  <c r="C1088" i="2" l="1"/>
  <c r="F1088" i="2" s="1"/>
  <c r="D1088" i="2"/>
  <c r="E1088" i="2" s="1"/>
  <c r="C1089" i="2" l="1"/>
  <c r="F1089" i="2" s="1"/>
  <c r="D1089" i="2"/>
  <c r="E1089" i="2" s="1"/>
  <c r="C1090" i="2" l="1"/>
  <c r="F1090" i="2" s="1"/>
  <c r="D1090" i="2"/>
  <c r="E1090" i="2" s="1"/>
  <c r="D1091" i="2" l="1"/>
  <c r="E1091" i="2" s="1"/>
  <c r="C1091" i="2"/>
  <c r="F1091" i="2" s="1"/>
  <c r="C1092" i="2" l="1"/>
  <c r="F1092" i="2" s="1"/>
  <c r="D1092" i="2"/>
  <c r="E1092" i="2" s="1"/>
  <c r="D1093" i="2" l="1"/>
  <c r="E1093" i="2" s="1"/>
  <c r="C1093" i="2"/>
  <c r="F1093" i="2" s="1"/>
  <c r="D1094" i="2" l="1"/>
  <c r="E1094" i="2" s="1"/>
  <c r="C1094" i="2"/>
  <c r="F1094" i="2" s="1"/>
  <c r="C1095" i="2" l="1"/>
  <c r="F1095" i="2" s="1"/>
  <c r="D1095" i="2"/>
  <c r="E1095" i="2" s="1"/>
  <c r="C1096" i="2" l="1"/>
  <c r="F1096" i="2" s="1"/>
  <c r="D1096" i="2"/>
  <c r="E1096" i="2" s="1"/>
  <c r="C1097" i="2" l="1"/>
  <c r="F1097" i="2" s="1"/>
  <c r="D1097" i="2"/>
  <c r="E1097" i="2" s="1"/>
  <c r="C1098" i="2" l="1"/>
  <c r="F1098" i="2" s="1"/>
  <c r="D1098" i="2"/>
  <c r="E1098" i="2" s="1"/>
  <c r="C1099" i="2" l="1"/>
  <c r="F1099" i="2" s="1"/>
  <c r="D1099" i="2"/>
  <c r="E1099" i="2" s="1"/>
  <c r="C1100" i="2" l="1"/>
  <c r="F1100" i="2" s="1"/>
  <c r="D1100" i="2"/>
  <c r="E1100" i="2" s="1"/>
  <c r="C1101" i="2" l="1"/>
  <c r="F1101" i="2" s="1"/>
  <c r="D1101" i="2"/>
  <c r="E1101" i="2" s="1"/>
  <c r="D1102" i="2" l="1"/>
  <c r="E1102" i="2" s="1"/>
  <c r="C1102" i="2"/>
  <c r="F1102" i="2" s="1"/>
  <c r="C1103" i="2" l="1"/>
  <c r="F1103" i="2" s="1"/>
  <c r="D1103" i="2"/>
  <c r="E1103" i="2" s="1"/>
  <c r="C1104" i="2" l="1"/>
  <c r="F1104" i="2" s="1"/>
  <c r="D1104" i="2"/>
  <c r="E1104" i="2" s="1"/>
  <c r="C1105" i="2" l="1"/>
  <c r="F1105" i="2" s="1"/>
  <c r="D1105" i="2"/>
  <c r="E1105" i="2" s="1"/>
  <c r="D1106" i="2" l="1"/>
  <c r="E1106" i="2" s="1"/>
  <c r="C1106" i="2"/>
  <c r="F1106" i="2" s="1"/>
  <c r="C1107" i="2" l="1"/>
  <c r="F1107" i="2" s="1"/>
  <c r="D1107" i="2"/>
  <c r="E1107" i="2" s="1"/>
  <c r="C1108" i="2" l="1"/>
  <c r="F1108" i="2" s="1"/>
  <c r="D1108" i="2"/>
  <c r="E1108" i="2" s="1"/>
  <c r="C1109" i="2" l="1"/>
  <c r="F1109" i="2" s="1"/>
  <c r="D1109" i="2"/>
  <c r="E1109" i="2" s="1"/>
  <c r="D1110" i="2" l="1"/>
  <c r="E1110" i="2" s="1"/>
  <c r="C1110" i="2"/>
  <c r="F1110" i="2" s="1"/>
  <c r="C1111" i="2" l="1"/>
  <c r="F1111" i="2" s="1"/>
  <c r="D1111" i="2"/>
  <c r="E1111" i="2" s="1"/>
  <c r="C1112" i="2" l="1"/>
  <c r="F1112" i="2" s="1"/>
  <c r="D1112" i="2"/>
  <c r="E1112" i="2" s="1"/>
  <c r="C1113" i="2" l="1"/>
  <c r="F1113" i="2" s="1"/>
  <c r="D1113" i="2"/>
  <c r="E1113" i="2" s="1"/>
  <c r="C1114" i="2" l="1"/>
  <c r="F1114" i="2" s="1"/>
  <c r="D1114" i="2"/>
  <c r="E1114" i="2" s="1"/>
  <c r="C1115" i="2" l="1"/>
  <c r="F1115" i="2" s="1"/>
  <c r="D1115" i="2"/>
  <c r="E1115" i="2" s="1"/>
  <c r="C1116" i="2" l="1"/>
  <c r="F1116" i="2" s="1"/>
  <c r="D1116" i="2"/>
  <c r="E1116" i="2" s="1"/>
  <c r="C1117" i="2" l="1"/>
  <c r="F1117" i="2" s="1"/>
  <c r="D1117" i="2"/>
  <c r="E1117" i="2" s="1"/>
  <c r="D1118" i="2" l="1"/>
  <c r="E1118" i="2" s="1"/>
  <c r="C1118" i="2"/>
  <c r="F1118" i="2" s="1"/>
  <c r="C1119" i="2" l="1"/>
  <c r="F1119" i="2" s="1"/>
  <c r="D1119" i="2"/>
  <c r="E1119" i="2" s="1"/>
  <c r="C1120" i="2" l="1"/>
  <c r="F1120" i="2" s="1"/>
  <c r="D1120" i="2"/>
  <c r="E1120" i="2" s="1"/>
  <c r="C1121" i="2" l="1"/>
  <c r="F1121" i="2" s="1"/>
  <c r="D1121" i="2"/>
  <c r="E1121" i="2" s="1"/>
  <c r="C1122" i="2" l="1"/>
  <c r="F1122" i="2" s="1"/>
  <c r="D1122" i="2"/>
  <c r="E1122" i="2" s="1"/>
  <c r="C1123" i="2" l="1"/>
  <c r="F1123" i="2" s="1"/>
  <c r="D1123" i="2"/>
  <c r="E1123" i="2" s="1"/>
  <c r="C1124" i="2" l="1"/>
  <c r="F1124" i="2" s="1"/>
  <c r="D1124" i="2"/>
  <c r="E1124" i="2" s="1"/>
  <c r="C1125" i="2" l="1"/>
  <c r="F1125" i="2" s="1"/>
  <c r="D1125" i="2"/>
  <c r="E1125" i="2" s="1"/>
  <c r="D1126" i="2" l="1"/>
  <c r="E1126" i="2" s="1"/>
  <c r="C1126" i="2"/>
  <c r="F1126" i="2" s="1"/>
  <c r="C1127" i="2" l="1"/>
  <c r="F1127" i="2" s="1"/>
  <c r="D1127" i="2"/>
  <c r="E1127" i="2" s="1"/>
  <c r="C1128" i="2" l="1"/>
  <c r="F1128" i="2" s="1"/>
  <c r="D1128" i="2"/>
  <c r="E1128" i="2" s="1"/>
  <c r="C1129" i="2" l="1"/>
  <c r="F1129" i="2" s="1"/>
  <c r="D1129" i="2"/>
  <c r="E1129" i="2" s="1"/>
  <c r="C1130" i="2" l="1"/>
  <c r="F1130" i="2" s="1"/>
  <c r="D1130" i="2"/>
  <c r="E1130" i="2" s="1"/>
  <c r="C1131" i="2" l="1"/>
  <c r="F1131" i="2" s="1"/>
  <c r="D1131" i="2"/>
  <c r="E1131" i="2" s="1"/>
  <c r="C1132" i="2" l="1"/>
  <c r="F1132" i="2" s="1"/>
  <c r="D1132" i="2"/>
  <c r="E1132" i="2" s="1"/>
  <c r="C1133" i="2" l="1"/>
  <c r="F1133" i="2" s="1"/>
  <c r="D1133" i="2"/>
  <c r="E1133" i="2" s="1"/>
  <c r="D1134" i="2" l="1"/>
  <c r="E1134" i="2" s="1"/>
  <c r="C1134" i="2"/>
  <c r="F1134" i="2" s="1"/>
  <c r="C1135" i="2" l="1"/>
  <c r="F1135" i="2" s="1"/>
  <c r="D1135" i="2"/>
  <c r="E1135" i="2" s="1"/>
  <c r="C1136" i="2" l="1"/>
  <c r="F1136" i="2" s="1"/>
  <c r="D1136" i="2"/>
  <c r="E1136" i="2" s="1"/>
  <c r="C1137" i="2" l="1"/>
  <c r="F1137" i="2" s="1"/>
  <c r="D1137" i="2"/>
  <c r="E1137" i="2" s="1"/>
  <c r="C1138" i="2" l="1"/>
  <c r="F1138" i="2" s="1"/>
  <c r="D1138" i="2"/>
  <c r="E1138" i="2" s="1"/>
  <c r="C1139" i="2" l="1"/>
  <c r="F1139" i="2" s="1"/>
  <c r="D1139" i="2"/>
  <c r="E1139" i="2" s="1"/>
  <c r="C1140" i="2" l="1"/>
  <c r="F1140" i="2" s="1"/>
  <c r="D1140" i="2"/>
  <c r="E1140" i="2" s="1"/>
  <c r="C1141" i="2" l="1"/>
  <c r="F1141" i="2" s="1"/>
  <c r="D1141" i="2"/>
  <c r="E1141" i="2" s="1"/>
  <c r="D1142" i="2" l="1"/>
  <c r="E1142" i="2" s="1"/>
  <c r="C1142" i="2"/>
  <c r="F1142" i="2" s="1"/>
  <c r="C1143" i="2" l="1"/>
  <c r="F1143" i="2" s="1"/>
  <c r="D1143" i="2"/>
  <c r="E1143" i="2" s="1"/>
  <c r="C1144" i="2" l="1"/>
  <c r="F1144" i="2" s="1"/>
  <c r="D1144" i="2"/>
  <c r="E1144" i="2" s="1"/>
  <c r="C1145" i="2" l="1"/>
  <c r="F1145" i="2" s="1"/>
  <c r="D1145" i="2"/>
  <c r="E1145" i="2" s="1"/>
  <c r="C1146" i="2" l="1"/>
  <c r="F1146" i="2" s="1"/>
  <c r="D1146" i="2"/>
  <c r="E1146" i="2" s="1"/>
  <c r="C1147" i="2" l="1"/>
  <c r="F1147" i="2" s="1"/>
  <c r="D1147" i="2"/>
  <c r="E1147" i="2" s="1"/>
  <c r="C1148" i="2" l="1"/>
  <c r="F1148" i="2" s="1"/>
  <c r="D1148" i="2"/>
  <c r="E1148" i="2" s="1"/>
  <c r="C1149" i="2" l="1"/>
  <c r="F1149" i="2" s="1"/>
  <c r="D1149" i="2"/>
  <c r="E1149" i="2" s="1"/>
  <c r="D1150" i="2" l="1"/>
  <c r="E1150" i="2" s="1"/>
  <c r="C1150" i="2"/>
  <c r="F1150" i="2" s="1"/>
  <c r="C1151" i="2" l="1"/>
  <c r="F1151" i="2" s="1"/>
  <c r="D1151" i="2"/>
  <c r="E1151" i="2" s="1"/>
  <c r="C1152" i="2" l="1"/>
  <c r="F1152" i="2" s="1"/>
  <c r="D1152" i="2"/>
  <c r="E1152" i="2" s="1"/>
  <c r="C1153" i="2" l="1"/>
  <c r="F1153" i="2" s="1"/>
  <c r="D1153" i="2"/>
  <c r="E1153" i="2" s="1"/>
  <c r="C1154" i="2" l="1"/>
  <c r="F1154" i="2" s="1"/>
  <c r="D1154" i="2"/>
  <c r="E1154" i="2" s="1"/>
  <c r="C1155" i="2" l="1"/>
  <c r="F1155" i="2" s="1"/>
  <c r="D1155" i="2"/>
  <c r="E1155" i="2" s="1"/>
  <c r="C1156" i="2" l="1"/>
  <c r="F1156" i="2" s="1"/>
  <c r="D1156" i="2"/>
  <c r="E1156" i="2" s="1"/>
  <c r="C1157" i="2" l="1"/>
  <c r="F1157" i="2" s="1"/>
  <c r="D1157" i="2"/>
  <c r="E1157" i="2" s="1"/>
  <c r="D1158" i="2" l="1"/>
  <c r="E1158" i="2" s="1"/>
  <c r="C1158" i="2"/>
  <c r="F1158" i="2" s="1"/>
  <c r="C1159" i="2" l="1"/>
  <c r="F1159" i="2" s="1"/>
  <c r="D1159" i="2"/>
  <c r="E1159" i="2" s="1"/>
  <c r="C1160" i="2" l="1"/>
  <c r="F1160" i="2" s="1"/>
  <c r="D1160" i="2"/>
  <c r="E1160" i="2" s="1"/>
  <c r="C1161" i="2" l="1"/>
  <c r="F1161" i="2" s="1"/>
  <c r="D1161" i="2"/>
  <c r="E1161" i="2" s="1"/>
  <c r="C1162" i="2" l="1"/>
  <c r="F1162" i="2" s="1"/>
  <c r="D1162" i="2"/>
  <c r="E1162" i="2" s="1"/>
  <c r="C1163" i="2" l="1"/>
  <c r="F1163" i="2" s="1"/>
  <c r="D1163" i="2"/>
  <c r="E1163" i="2" s="1"/>
  <c r="C1164" i="2" l="1"/>
  <c r="F1164" i="2" s="1"/>
  <c r="D1164" i="2"/>
  <c r="E1164" i="2" s="1"/>
  <c r="C1165" i="2" l="1"/>
  <c r="F1165" i="2" s="1"/>
  <c r="D1165" i="2"/>
  <c r="E1165" i="2" s="1"/>
  <c r="D1166" i="2" l="1"/>
  <c r="E1166" i="2" s="1"/>
  <c r="C1166" i="2"/>
  <c r="F1166" i="2" s="1"/>
  <c r="C1167" i="2" l="1"/>
  <c r="F1167" i="2" s="1"/>
  <c r="D1167" i="2"/>
  <c r="E1167" i="2" s="1"/>
  <c r="C1168" i="2" l="1"/>
  <c r="F1168" i="2" s="1"/>
  <c r="D1168" i="2"/>
  <c r="E1168" i="2" s="1"/>
  <c r="C1169" i="2" l="1"/>
  <c r="F1169" i="2" s="1"/>
  <c r="D1169" i="2"/>
  <c r="E1169" i="2" s="1"/>
  <c r="C1170" i="2" l="1"/>
  <c r="F1170" i="2" s="1"/>
  <c r="D1170" i="2"/>
  <c r="E1170" i="2" s="1"/>
  <c r="C1171" i="2" l="1"/>
  <c r="F1171" i="2" s="1"/>
  <c r="D1171" i="2"/>
  <c r="E1171" i="2" s="1"/>
  <c r="C1172" i="2" l="1"/>
  <c r="F1172" i="2" s="1"/>
  <c r="D1172" i="2"/>
  <c r="E1172" i="2" s="1"/>
  <c r="C1173" i="2" l="1"/>
  <c r="F1173" i="2" s="1"/>
  <c r="D1173" i="2"/>
  <c r="E1173" i="2" s="1"/>
  <c r="D1174" i="2" l="1"/>
  <c r="E1174" i="2" s="1"/>
  <c r="C1174" i="2"/>
  <c r="F1174" i="2" s="1"/>
  <c r="C1175" i="2" l="1"/>
  <c r="F1175" i="2" s="1"/>
  <c r="D1175" i="2"/>
  <c r="E1175" i="2" s="1"/>
  <c r="C1176" i="2" l="1"/>
  <c r="F1176" i="2" s="1"/>
  <c r="D1176" i="2"/>
  <c r="E1176" i="2" s="1"/>
  <c r="C1177" i="2" l="1"/>
  <c r="F1177" i="2" s="1"/>
  <c r="D1177" i="2"/>
  <c r="E1177" i="2" s="1"/>
  <c r="C1178" i="2" l="1"/>
  <c r="F1178" i="2" s="1"/>
  <c r="D1178" i="2"/>
  <c r="E1178" i="2" s="1"/>
  <c r="C1179" i="2" l="1"/>
  <c r="F1179" i="2" s="1"/>
  <c r="D1179" i="2"/>
  <c r="E1179" i="2" s="1"/>
  <c r="C1180" i="2" l="1"/>
  <c r="F1180" i="2" s="1"/>
  <c r="D1180" i="2"/>
  <c r="E1180" i="2" s="1"/>
  <c r="C1181" i="2" l="1"/>
  <c r="F1181" i="2" s="1"/>
  <c r="D1181" i="2"/>
  <c r="E1181" i="2" s="1"/>
  <c r="D1182" i="2" l="1"/>
  <c r="E1182" i="2" s="1"/>
  <c r="C1182" i="2"/>
  <c r="F1182" i="2" s="1"/>
  <c r="C1183" i="2" l="1"/>
  <c r="F1183" i="2" s="1"/>
  <c r="D1183" i="2"/>
  <c r="E1183" i="2" s="1"/>
  <c r="C1184" i="2" l="1"/>
  <c r="F1184" i="2" s="1"/>
  <c r="D1184" i="2"/>
  <c r="E1184" i="2" s="1"/>
  <c r="C1185" i="2" l="1"/>
  <c r="F1185" i="2" s="1"/>
  <c r="D1185" i="2"/>
  <c r="E1185" i="2" s="1"/>
  <c r="C1186" i="2" l="1"/>
  <c r="F1186" i="2" s="1"/>
  <c r="D1186" i="2"/>
  <c r="E1186" i="2" s="1"/>
  <c r="C1187" i="2" l="1"/>
  <c r="F1187" i="2" s="1"/>
  <c r="D1187" i="2"/>
  <c r="E1187" i="2" s="1"/>
  <c r="C1188" i="2" l="1"/>
  <c r="F1188" i="2" s="1"/>
  <c r="D1188" i="2"/>
  <c r="E1188" i="2" s="1"/>
  <c r="C1189" i="2" l="1"/>
  <c r="F1189" i="2" s="1"/>
  <c r="D1189" i="2"/>
  <c r="E1189" i="2" s="1"/>
  <c r="D1190" i="2" l="1"/>
  <c r="E1190" i="2" s="1"/>
  <c r="C1190" i="2"/>
  <c r="F1190" i="2" s="1"/>
  <c r="C1191" i="2" l="1"/>
  <c r="F1191" i="2" s="1"/>
  <c r="D1191" i="2"/>
  <c r="E1191" i="2" s="1"/>
  <c r="C1192" i="2" l="1"/>
  <c r="F1192" i="2" s="1"/>
  <c r="D1192" i="2"/>
  <c r="E1192" i="2" s="1"/>
  <c r="C1193" i="2" l="1"/>
  <c r="F1193" i="2" s="1"/>
  <c r="D1193" i="2"/>
  <c r="E1193" i="2" s="1"/>
  <c r="C1194" i="2" l="1"/>
  <c r="F1194" i="2" s="1"/>
  <c r="D1194" i="2"/>
  <c r="E1194" i="2" s="1"/>
  <c r="C1195" i="2" l="1"/>
  <c r="F1195" i="2" s="1"/>
  <c r="D1195" i="2"/>
  <c r="E1195" i="2" s="1"/>
  <c r="C1196" i="2" l="1"/>
  <c r="F1196" i="2" s="1"/>
  <c r="D1196" i="2"/>
  <c r="E1196" i="2" s="1"/>
  <c r="C1197" i="2" l="1"/>
  <c r="F1197" i="2" s="1"/>
  <c r="D1197" i="2"/>
  <c r="E1197" i="2" s="1"/>
  <c r="D1198" i="2" l="1"/>
  <c r="E1198" i="2" s="1"/>
  <c r="C1198" i="2"/>
  <c r="F1198" i="2" s="1"/>
  <c r="C1199" i="2" l="1"/>
  <c r="F1199" i="2" s="1"/>
  <c r="D1199" i="2"/>
  <c r="E1199" i="2" s="1"/>
  <c r="C1200" i="2" l="1"/>
  <c r="F1200" i="2" s="1"/>
  <c r="D1200" i="2"/>
  <c r="E1200" i="2" s="1"/>
  <c r="C1201" i="2" l="1"/>
  <c r="F1201" i="2" s="1"/>
  <c r="D1201" i="2"/>
  <c r="E1201" i="2" s="1"/>
  <c r="C1202" i="2" l="1"/>
  <c r="F1202" i="2" s="1"/>
  <c r="D1202" i="2"/>
  <c r="E1202" i="2" s="1"/>
  <c r="C1203" i="2" l="1"/>
  <c r="F1203" i="2" s="1"/>
  <c r="D1203" i="2"/>
  <c r="E1203" i="2" s="1"/>
  <c r="C1204" i="2" l="1"/>
  <c r="F1204" i="2" s="1"/>
  <c r="D1204" i="2"/>
  <c r="E1204" i="2" s="1"/>
  <c r="C1205" i="2" l="1"/>
  <c r="F1205" i="2" s="1"/>
  <c r="D1205" i="2"/>
  <c r="E1205" i="2" s="1"/>
  <c r="D1206" i="2" l="1"/>
  <c r="E1206" i="2" s="1"/>
  <c r="C1206" i="2"/>
  <c r="F1206" i="2" s="1"/>
  <c r="C1207" i="2" l="1"/>
  <c r="F1207" i="2" s="1"/>
  <c r="D1207" i="2"/>
  <c r="E1207" i="2" s="1"/>
  <c r="C1208" i="2" l="1"/>
  <c r="F1208" i="2" s="1"/>
  <c r="D1208" i="2"/>
  <c r="E1208" i="2" s="1"/>
  <c r="C1209" i="2" l="1"/>
  <c r="F1209" i="2" s="1"/>
  <c r="D1209" i="2"/>
  <c r="E1209" i="2" s="1"/>
  <c r="C1210" i="2" l="1"/>
  <c r="F1210" i="2" s="1"/>
  <c r="D1210" i="2"/>
  <c r="E1210" i="2" s="1"/>
  <c r="C1211" i="2" l="1"/>
  <c r="F1211" i="2" s="1"/>
  <c r="D1211" i="2"/>
  <c r="E1211" i="2" s="1"/>
  <c r="C1212" i="2" l="1"/>
  <c r="F1212" i="2" s="1"/>
  <c r="D1212" i="2"/>
  <c r="E1212" i="2" s="1"/>
  <c r="C1213" i="2" l="1"/>
  <c r="F1213" i="2" s="1"/>
  <c r="D1213" i="2"/>
  <c r="E1213" i="2" s="1"/>
  <c r="D1214" i="2" l="1"/>
  <c r="E1214" i="2" s="1"/>
  <c r="C1214" i="2"/>
  <c r="F1214" i="2" s="1"/>
  <c r="C1215" i="2" l="1"/>
  <c r="F1215" i="2" s="1"/>
  <c r="D1215" i="2"/>
  <c r="E1215" i="2" s="1"/>
  <c r="C1216" i="2" l="1"/>
  <c r="F1216" i="2" s="1"/>
  <c r="D1216" i="2"/>
  <c r="E1216" i="2" s="1"/>
  <c r="C1217" i="2" l="1"/>
  <c r="F1217" i="2" s="1"/>
  <c r="D1217" i="2"/>
  <c r="E1217" i="2" s="1"/>
  <c r="C1218" i="2" l="1"/>
  <c r="F1218" i="2" s="1"/>
  <c r="D1218" i="2"/>
  <c r="E1218" i="2" s="1"/>
  <c r="C1219" i="2" l="1"/>
  <c r="F1219" i="2" s="1"/>
  <c r="D1219" i="2"/>
  <c r="E1219" i="2" s="1"/>
  <c r="C1220" i="2" l="1"/>
  <c r="F1220" i="2" s="1"/>
  <c r="D1220" i="2"/>
  <c r="E1220" i="2" s="1"/>
  <c r="C1221" i="2" l="1"/>
  <c r="F1221" i="2" s="1"/>
  <c r="D1221" i="2"/>
  <c r="E1221" i="2" s="1"/>
  <c r="D1222" i="2" l="1"/>
  <c r="E1222" i="2" s="1"/>
  <c r="C1222" i="2"/>
  <c r="F1222" i="2" s="1"/>
  <c r="C1223" i="2" l="1"/>
  <c r="F1223" i="2" s="1"/>
  <c r="D1223" i="2"/>
  <c r="E1223" i="2" s="1"/>
  <c r="C1224" i="2" l="1"/>
  <c r="F1224" i="2" s="1"/>
  <c r="D1224" i="2"/>
  <c r="E1224" i="2" s="1"/>
  <c r="C1225" i="2" l="1"/>
  <c r="F1225" i="2" s="1"/>
  <c r="D1225" i="2"/>
  <c r="E1225" i="2" s="1"/>
  <c r="C1226" i="2" l="1"/>
  <c r="F1226" i="2" s="1"/>
  <c r="D1226" i="2"/>
  <c r="E1226" i="2" s="1"/>
  <c r="C1227" i="2" l="1"/>
  <c r="F1227" i="2" s="1"/>
  <c r="D1227" i="2"/>
  <c r="E1227" i="2" s="1"/>
  <c r="C1228" i="2" l="1"/>
  <c r="F1228" i="2" s="1"/>
  <c r="D1228" i="2"/>
  <c r="E1228" i="2" s="1"/>
  <c r="C1229" i="2" l="1"/>
  <c r="F1229" i="2" s="1"/>
  <c r="D1229" i="2"/>
  <c r="E1229" i="2" s="1"/>
  <c r="D1230" i="2" l="1"/>
  <c r="E1230" i="2" s="1"/>
  <c r="C1230" i="2"/>
  <c r="F1230" i="2" s="1"/>
  <c r="C1231" i="2" l="1"/>
  <c r="F1231" i="2" s="1"/>
  <c r="D1231" i="2"/>
  <c r="E1231" i="2" s="1"/>
  <c r="C1232" i="2" l="1"/>
  <c r="F1232" i="2" s="1"/>
  <c r="D1232" i="2"/>
  <c r="E1232" i="2" s="1"/>
  <c r="C1233" i="2" l="1"/>
  <c r="F1233" i="2" s="1"/>
  <c r="D1233" i="2"/>
  <c r="E1233" i="2" s="1"/>
  <c r="C1234" i="2" l="1"/>
  <c r="F1234" i="2" s="1"/>
  <c r="D1234" i="2"/>
  <c r="E1234" i="2" s="1"/>
  <c r="C1235" i="2" l="1"/>
  <c r="F1235" i="2" s="1"/>
  <c r="D1235" i="2"/>
  <c r="E1235" i="2" s="1"/>
  <c r="C1236" i="2" l="1"/>
  <c r="F1236" i="2" s="1"/>
  <c r="D1236" i="2"/>
  <c r="E1236" i="2" s="1"/>
  <c r="C1237" i="2" l="1"/>
  <c r="F1237" i="2" s="1"/>
  <c r="D1237" i="2"/>
  <c r="E1237" i="2" s="1"/>
  <c r="D1238" i="2" l="1"/>
  <c r="E1238" i="2" s="1"/>
  <c r="C1238" i="2"/>
  <c r="F1238" i="2" s="1"/>
  <c r="C1239" i="2" l="1"/>
  <c r="F1239" i="2" s="1"/>
  <c r="D1239" i="2"/>
  <c r="E1239" i="2" s="1"/>
  <c r="C1240" i="2" l="1"/>
  <c r="F1240" i="2" s="1"/>
  <c r="D1240" i="2"/>
  <c r="E1240" i="2" s="1"/>
  <c r="C1241" i="2" l="1"/>
  <c r="F1241" i="2" s="1"/>
  <c r="D1241" i="2"/>
  <c r="E1241" i="2" s="1"/>
  <c r="C1242" i="2" l="1"/>
  <c r="F1242" i="2" s="1"/>
  <c r="D1242" i="2"/>
  <c r="E1242" i="2" s="1"/>
  <c r="C1243" i="2" l="1"/>
  <c r="F1243" i="2" s="1"/>
  <c r="D1243" i="2"/>
  <c r="E1243" i="2" s="1"/>
  <c r="C1244" i="2" l="1"/>
  <c r="F1244" i="2" s="1"/>
  <c r="D1244" i="2"/>
  <c r="E1244" i="2" s="1"/>
  <c r="C1245" i="2" l="1"/>
  <c r="F1245" i="2" s="1"/>
  <c r="D1245" i="2"/>
  <c r="E1245" i="2" s="1"/>
  <c r="D1246" i="2" l="1"/>
  <c r="E1246" i="2" s="1"/>
  <c r="C1246" i="2"/>
  <c r="F1246" i="2" s="1"/>
  <c r="C1247" i="2" l="1"/>
  <c r="F1247" i="2" s="1"/>
  <c r="D1247" i="2"/>
  <c r="E1247" i="2" s="1"/>
  <c r="C1248" i="2" l="1"/>
  <c r="F1248" i="2" s="1"/>
  <c r="D1248" i="2"/>
  <c r="E1248" i="2" s="1"/>
  <c r="C1249" i="2" l="1"/>
  <c r="F1249" i="2" s="1"/>
  <c r="D1249" i="2"/>
  <c r="E1249" i="2" s="1"/>
  <c r="C1250" i="2" l="1"/>
  <c r="F1250" i="2" s="1"/>
  <c r="D1250" i="2"/>
  <c r="E1250" i="2" s="1"/>
  <c r="C1251" i="2" l="1"/>
  <c r="F1251" i="2" s="1"/>
  <c r="D1251" i="2"/>
  <c r="E1251" i="2" s="1"/>
  <c r="C1252" i="2" l="1"/>
  <c r="F1252" i="2" s="1"/>
  <c r="D1252" i="2"/>
  <c r="E1252" i="2" s="1"/>
  <c r="C1253" i="2" l="1"/>
  <c r="F1253" i="2" s="1"/>
  <c r="D1253" i="2"/>
  <c r="E1253" i="2" s="1"/>
  <c r="D1254" i="2" l="1"/>
  <c r="E1254" i="2" s="1"/>
  <c r="C1254" i="2"/>
  <c r="F1254" i="2" s="1"/>
  <c r="C1255" i="2" l="1"/>
  <c r="F1255" i="2" s="1"/>
  <c r="D1255" i="2"/>
  <c r="E1255" i="2" s="1"/>
  <c r="C1256" i="2" l="1"/>
  <c r="F1256" i="2" s="1"/>
  <c r="D1256" i="2"/>
  <c r="E1256" i="2" s="1"/>
  <c r="C1257" i="2" l="1"/>
  <c r="F1257" i="2" s="1"/>
  <c r="D1257" i="2"/>
  <c r="E1257" i="2" s="1"/>
  <c r="C1258" i="2" l="1"/>
  <c r="F1258" i="2" s="1"/>
  <c r="D1258" i="2"/>
  <c r="E1258" i="2" s="1"/>
  <c r="C1259" i="2" l="1"/>
  <c r="F1259" i="2" s="1"/>
  <c r="D1259" i="2"/>
  <c r="E1259" i="2" s="1"/>
  <c r="C1260" i="2" l="1"/>
  <c r="F1260" i="2" s="1"/>
  <c r="D1260" i="2"/>
  <c r="E1260" i="2" s="1"/>
  <c r="C1261" i="2" l="1"/>
  <c r="F1261" i="2" s="1"/>
  <c r="D1261" i="2"/>
  <c r="E1261" i="2" s="1"/>
  <c r="C1262" i="2" l="1"/>
  <c r="F1262" i="2" s="1"/>
  <c r="D1262" i="2"/>
  <c r="E1262" i="2" s="1"/>
  <c r="C1263" i="2" l="1"/>
  <c r="F1263" i="2" s="1"/>
  <c r="D1263" i="2"/>
  <c r="E1263" i="2" s="1"/>
  <c r="C1264" i="2" l="1"/>
  <c r="F1264" i="2" s="1"/>
  <c r="D1264" i="2"/>
  <c r="E1264" i="2" s="1"/>
  <c r="C1265" i="2" l="1"/>
  <c r="F1265" i="2" s="1"/>
  <c r="D1265" i="2"/>
  <c r="E1265" i="2" s="1"/>
  <c r="C1266" i="2" l="1"/>
  <c r="F1266" i="2" s="1"/>
  <c r="D1266" i="2"/>
  <c r="E1266" i="2" s="1"/>
  <c r="D1267" i="2" l="1"/>
  <c r="E1267" i="2" s="1"/>
  <c r="C1267" i="2"/>
  <c r="F1267" i="2" s="1"/>
  <c r="C1268" i="2" l="1"/>
  <c r="F1268" i="2" s="1"/>
  <c r="D1268" i="2"/>
  <c r="E1268" i="2" s="1"/>
  <c r="C1269" i="2" l="1"/>
  <c r="F1269" i="2" s="1"/>
  <c r="D1269" i="2"/>
  <c r="E1269" i="2" s="1"/>
  <c r="C1270" i="2" l="1"/>
  <c r="F1270" i="2" s="1"/>
  <c r="D1270" i="2"/>
  <c r="E1270" i="2" s="1"/>
  <c r="C1271" i="2" l="1"/>
  <c r="F1271" i="2" s="1"/>
  <c r="D1271" i="2"/>
  <c r="E1271" i="2" s="1"/>
  <c r="C1272" i="2" l="1"/>
  <c r="F1272" i="2" s="1"/>
  <c r="D1272" i="2"/>
  <c r="E1272" i="2" s="1"/>
  <c r="C1273" i="2" l="1"/>
  <c r="F1273" i="2" s="1"/>
  <c r="D1273" i="2"/>
  <c r="E1273" i="2" s="1"/>
  <c r="C1274" i="2" l="1"/>
  <c r="F1274" i="2" s="1"/>
  <c r="D1274" i="2"/>
  <c r="E1274" i="2" s="1"/>
  <c r="C1275" i="2" l="1"/>
  <c r="F1275" i="2" s="1"/>
  <c r="D1275" i="2"/>
  <c r="E1275" i="2" s="1"/>
  <c r="C1276" i="2" l="1"/>
  <c r="F1276" i="2" s="1"/>
  <c r="D1276" i="2"/>
  <c r="E1276" i="2" s="1"/>
  <c r="C1277" i="2" l="1"/>
  <c r="F1277" i="2" s="1"/>
  <c r="D1277" i="2"/>
  <c r="E1277" i="2" s="1"/>
  <c r="D1278" i="2" l="1"/>
  <c r="E1278" i="2" s="1"/>
  <c r="C1278" i="2"/>
  <c r="F1278" i="2" s="1"/>
  <c r="C1279" i="2" l="1"/>
  <c r="F1279" i="2" s="1"/>
  <c r="E3" i="5" s="1"/>
  <c r="C9" i="5" s="1"/>
  <c r="D1279" i="2"/>
  <c r="E1279" i="2" s="1"/>
  <c r="D3" i="5" s="1"/>
  <c r="C8" i="5" s="1"/>
  <c r="Z8" i="5" l="1"/>
  <c r="E8" i="5"/>
  <c r="T8" i="5"/>
  <c r="O8" i="5"/>
  <c r="P8" i="5"/>
  <c r="D7" i="5"/>
  <c r="G8" i="5"/>
  <c r="J8" i="5"/>
  <c r="W8" i="5"/>
  <c r="Q9" i="5"/>
  <c r="Q10" i="5" s="1"/>
  <c r="O9" i="5"/>
  <c r="F9" i="5"/>
  <c r="K9" i="5"/>
  <c r="J9" i="5"/>
  <c r="W9" i="5"/>
  <c r="P9" i="5"/>
  <c r="Z9" i="5"/>
  <c r="G9" i="5"/>
  <c r="G10" i="5" s="1"/>
  <c r="L9" i="5"/>
  <c r="L10" i="5" s="1"/>
  <c r="D8" i="5"/>
  <c r="F8" i="5" s="1"/>
  <c r="T9" i="5"/>
  <c r="E9" i="5"/>
  <c r="C1280" i="2"/>
  <c r="F1280" i="2" s="1"/>
  <c r="D1280" i="2"/>
  <c r="E1280" i="2" s="1"/>
  <c r="H9" i="5"/>
  <c r="M9" i="5"/>
  <c r="S8" i="5"/>
  <c r="S9" i="5"/>
  <c r="I9" i="5"/>
  <c r="N9" i="5"/>
  <c r="R8" i="5"/>
  <c r="I8" i="5"/>
  <c r="R9" i="5"/>
  <c r="H8" i="5"/>
  <c r="L8" i="5" l="1"/>
  <c r="K8" i="5"/>
  <c r="AH140" i="4"/>
  <c r="AH143" i="4"/>
  <c r="AH142" i="4"/>
  <c r="AH141" i="4"/>
  <c r="AH138" i="4"/>
  <c r="AH137" i="4"/>
  <c r="AH136" i="4"/>
  <c r="AH139" i="4"/>
  <c r="F10" i="5"/>
  <c r="AI131" i="4"/>
  <c r="AI129" i="4"/>
  <c r="AI130" i="4"/>
  <c r="AI132" i="4"/>
  <c r="AI136" i="4"/>
  <c r="AI138" i="4"/>
  <c r="AI134" i="4"/>
  <c r="AI133" i="4"/>
  <c r="AI137" i="4"/>
  <c r="AI135" i="4"/>
  <c r="AI143" i="4"/>
  <c r="AI139" i="4"/>
  <c r="AI142" i="4"/>
  <c r="AI140" i="4"/>
  <c r="AI141" i="4"/>
  <c r="Q8" i="5"/>
  <c r="L7" i="5"/>
  <c r="F7" i="5"/>
  <c r="Q7" i="5"/>
  <c r="K7" i="5"/>
  <c r="P7" i="5"/>
  <c r="G7" i="5"/>
  <c r="P10" i="5"/>
  <c r="AC8" i="5"/>
  <c r="AG131" i="4"/>
  <c r="AG132" i="4"/>
  <c r="AG130" i="4"/>
  <c r="AG129" i="4"/>
  <c r="AG138" i="4"/>
  <c r="AG141" i="4"/>
  <c r="AG143" i="4"/>
  <c r="AG137" i="4"/>
  <c r="AG136" i="4"/>
  <c r="AG133" i="4"/>
  <c r="AG139" i="4"/>
  <c r="AG135" i="4"/>
  <c r="AG142" i="4"/>
  <c r="AG140" i="4"/>
  <c r="AG134" i="4"/>
  <c r="AE8" i="5"/>
  <c r="K10" i="5"/>
  <c r="C1281" i="2"/>
  <c r="F1281" i="2" s="1"/>
  <c r="D1281" i="2"/>
  <c r="E1281" i="2" s="1"/>
  <c r="M7" i="5"/>
  <c r="I10" i="5"/>
  <c r="R7" i="5"/>
  <c r="N7" i="5"/>
  <c r="H10" i="5"/>
  <c r="M10" i="5"/>
  <c r="R10" i="5"/>
  <c r="H7" i="5"/>
  <c r="N10" i="5"/>
  <c r="S10" i="5"/>
  <c r="I7" i="5"/>
  <c r="N8" i="5"/>
  <c r="S7" i="5"/>
  <c r="M8" i="5"/>
  <c r="AI123" i="4" l="1"/>
  <c r="AI125" i="4"/>
  <c r="AI119" i="4"/>
  <c r="AI124" i="4"/>
  <c r="AI113" i="4"/>
  <c r="AI115" i="4"/>
  <c r="AI118" i="4"/>
  <c r="AI126" i="4"/>
  <c r="AI114" i="4"/>
  <c r="AI128" i="4"/>
  <c r="AI120" i="4"/>
  <c r="AI117" i="4"/>
  <c r="AI121" i="4"/>
  <c r="AI116" i="4"/>
  <c r="AI122" i="4"/>
  <c r="AI127" i="4"/>
  <c r="AG121" i="4"/>
  <c r="AG120" i="4"/>
  <c r="AG114" i="4"/>
  <c r="AG123" i="4"/>
  <c r="AG122" i="4"/>
  <c r="AG124" i="4"/>
  <c r="AG128" i="4"/>
  <c r="AG127" i="4"/>
  <c r="AG119" i="4"/>
  <c r="AG113" i="4"/>
  <c r="AG117" i="4"/>
  <c r="AG125" i="4"/>
  <c r="AG118" i="4"/>
  <c r="AG126" i="4"/>
  <c r="AG115" i="4"/>
  <c r="AG116" i="4"/>
  <c r="AI88" i="4"/>
  <c r="AI109" i="4"/>
  <c r="AI108" i="4"/>
  <c r="AI105" i="4"/>
  <c r="AI85" i="4"/>
  <c r="AI98" i="4"/>
  <c r="AI81" i="4"/>
  <c r="AI96" i="4"/>
  <c r="AI100" i="4"/>
  <c r="AI75" i="4"/>
  <c r="AI93" i="4"/>
  <c r="AI86" i="4"/>
  <c r="AI104" i="4"/>
  <c r="AI106" i="4"/>
  <c r="AI84" i="4"/>
  <c r="AI101" i="4"/>
  <c r="AI79" i="4"/>
  <c r="AI111" i="4"/>
  <c r="AI99" i="4"/>
  <c r="AI83" i="4"/>
  <c r="AI87" i="4"/>
  <c r="AI89" i="4"/>
  <c r="AI97" i="4"/>
  <c r="AI94" i="4"/>
  <c r="AI102" i="4"/>
  <c r="AI92" i="4"/>
  <c r="AI76" i="4"/>
  <c r="AI110" i="4"/>
  <c r="AI90" i="4"/>
  <c r="AI78" i="4"/>
  <c r="AI112" i="4"/>
  <c r="AI95" i="4"/>
  <c r="AI77" i="4"/>
  <c r="AI107" i="4"/>
  <c r="AI103" i="4"/>
  <c r="AI91" i="4"/>
  <c r="AI82" i="4"/>
  <c r="AI80" i="4"/>
  <c r="AH133" i="4"/>
  <c r="AH135" i="4"/>
  <c r="AH134" i="4"/>
  <c r="AG103" i="4"/>
  <c r="AG77" i="4"/>
  <c r="AG79" i="4"/>
  <c r="AG104" i="4"/>
  <c r="AG101" i="4"/>
  <c r="AG80" i="4"/>
  <c r="AG82" i="4"/>
  <c r="AG92" i="4"/>
  <c r="AG109" i="4"/>
  <c r="AG111" i="4"/>
  <c r="AG110" i="4"/>
  <c r="AG105" i="4"/>
  <c r="AG93" i="4"/>
  <c r="AG84" i="4"/>
  <c r="AG99" i="4"/>
  <c r="AG90" i="4"/>
  <c r="AG100" i="4"/>
  <c r="AG88" i="4"/>
  <c r="AG75" i="4"/>
  <c r="AG96" i="4"/>
  <c r="AG97" i="4"/>
  <c r="AG94" i="4"/>
  <c r="AG78" i="4"/>
  <c r="AG81" i="4"/>
  <c r="AG95" i="4"/>
  <c r="AG86" i="4"/>
  <c r="AG112" i="4"/>
  <c r="AG107" i="4"/>
  <c r="AG91" i="4"/>
  <c r="AG85" i="4"/>
  <c r="AG108" i="4"/>
  <c r="AG76" i="4"/>
  <c r="AG102" i="4"/>
  <c r="AG87" i="4"/>
  <c r="AG89" i="4"/>
  <c r="AG83" i="4"/>
  <c r="AG106" i="4"/>
  <c r="AG98" i="4"/>
  <c r="AH115" i="4"/>
  <c r="AH80" i="4"/>
  <c r="AH116" i="4"/>
  <c r="AH109" i="4"/>
  <c r="AH92" i="4"/>
  <c r="AH111" i="4"/>
  <c r="AH81" i="4"/>
  <c r="AH99" i="4"/>
  <c r="AD8" i="5"/>
  <c r="AH78" i="4"/>
  <c r="AH110" i="4"/>
  <c r="AH117" i="4"/>
  <c r="AH95" i="4"/>
  <c r="AH96" i="4"/>
  <c r="AH131" i="4"/>
  <c r="AH107" i="4"/>
  <c r="AH90" i="4"/>
  <c r="AH94" i="4"/>
  <c r="AH104" i="4"/>
  <c r="AH101" i="4"/>
  <c r="AH97" i="4"/>
  <c r="AH91" i="4"/>
  <c r="AH113" i="4"/>
  <c r="AH129" i="4"/>
  <c r="AH98" i="4"/>
  <c r="AH77" i="4"/>
  <c r="AH93" i="4"/>
  <c r="AH118" i="4"/>
  <c r="AH128" i="4"/>
  <c r="AH119" i="4"/>
  <c r="AH86" i="4"/>
  <c r="AH123" i="4"/>
  <c r="AH124" i="4"/>
  <c r="AH84" i="4"/>
  <c r="AH88" i="4"/>
  <c r="AH126" i="4"/>
  <c r="AH108" i="4"/>
  <c r="AH102" i="4"/>
  <c r="AH85" i="4"/>
  <c r="AH100" i="4"/>
  <c r="AH121" i="4"/>
  <c r="AH122" i="4"/>
  <c r="AH130" i="4"/>
  <c r="AH112" i="4"/>
  <c r="AH79" i="4"/>
  <c r="AH120" i="4"/>
  <c r="AH82" i="4"/>
  <c r="AH105" i="4"/>
  <c r="AH125" i="4"/>
  <c r="AH76" i="4"/>
  <c r="AH114" i="4"/>
  <c r="AH89" i="4"/>
  <c r="AH132" i="4"/>
  <c r="AH87" i="4"/>
  <c r="AH103" i="4"/>
  <c r="AH75" i="4"/>
  <c r="AH127" i="4"/>
  <c r="AH83" i="4"/>
  <c r="AH106" i="4"/>
  <c r="G19" i="5"/>
  <c r="G23" i="5" s="1"/>
  <c r="AD10" i="5" s="1"/>
  <c r="AH144" i="4"/>
  <c r="AI144" i="4"/>
  <c r="H19" i="5"/>
  <c r="H23" i="5" s="1"/>
  <c r="AE10" i="5" s="1"/>
  <c r="AI18" i="4"/>
  <c r="AI8" i="4"/>
  <c r="AI31" i="4"/>
  <c r="AI57" i="4"/>
  <c r="AI7" i="4"/>
  <c r="AI63" i="4"/>
  <c r="AI6" i="4"/>
  <c r="AI29" i="4"/>
  <c r="AI73" i="4"/>
  <c r="AI68" i="4"/>
  <c r="AI27" i="4"/>
  <c r="AI54" i="4"/>
  <c r="AI45" i="4"/>
  <c r="AI38" i="4"/>
  <c r="AI56" i="4"/>
  <c r="AI36" i="4"/>
  <c r="AI14" i="4"/>
  <c r="AI22" i="4"/>
  <c r="AI61" i="4"/>
  <c r="AI21" i="4"/>
  <c r="AI16" i="4"/>
  <c r="AI40" i="4"/>
  <c r="AI58" i="4"/>
  <c r="AI47" i="4"/>
  <c r="AI49" i="4"/>
  <c r="AI9" i="4"/>
  <c r="AI26" i="4"/>
  <c r="AI43" i="4"/>
  <c r="AI50" i="4"/>
  <c r="AI13" i="4"/>
  <c r="AI24" i="4"/>
  <c r="AI37" i="4"/>
  <c r="AI17" i="4"/>
  <c r="AI25" i="4"/>
  <c r="H15" i="5"/>
  <c r="H18" i="5" s="1"/>
  <c r="AE7" i="5" s="1"/>
  <c r="AA7" i="5" s="1"/>
  <c r="AB7" i="5" s="1"/>
  <c r="AI30" i="4"/>
  <c r="AI32" i="4"/>
  <c r="AI64" i="4"/>
  <c r="AI51" i="4"/>
  <c r="AI48" i="4"/>
  <c r="AI35" i="4"/>
  <c r="AI71" i="4"/>
  <c r="AI53" i="4"/>
  <c r="AI70" i="4"/>
  <c r="AI15" i="4"/>
  <c r="AI23" i="4"/>
  <c r="AI55" i="4"/>
  <c r="AI41" i="4"/>
  <c r="AI34" i="4"/>
  <c r="AI10" i="4"/>
  <c r="AI11" i="4"/>
  <c r="AI69" i="4"/>
  <c r="AI44" i="4"/>
  <c r="AI59" i="4"/>
  <c r="AI28" i="4"/>
  <c r="AI72" i="4"/>
  <c r="AI60" i="4"/>
  <c r="AI20" i="4"/>
  <c r="AI19" i="4"/>
  <c r="AI66" i="4"/>
  <c r="AI39" i="4"/>
  <c r="AI42" i="4"/>
  <c r="AI62" i="4"/>
  <c r="AI74" i="4"/>
  <c r="AI65" i="4"/>
  <c r="AI33" i="4"/>
  <c r="AI67" i="4"/>
  <c r="AI12" i="4"/>
  <c r="AI46" i="4"/>
  <c r="AI52" i="4"/>
  <c r="AH58" i="4"/>
  <c r="AH33" i="4"/>
  <c r="AH19" i="4"/>
  <c r="AH43" i="4"/>
  <c r="AH27" i="4"/>
  <c r="AH18" i="4"/>
  <c r="AH17" i="4"/>
  <c r="AH41" i="4"/>
  <c r="AH52" i="4"/>
  <c r="AH20" i="4"/>
  <c r="AH31" i="4"/>
  <c r="AH30" i="4"/>
  <c r="AH53" i="4"/>
  <c r="AH38" i="4"/>
  <c r="AH40" i="4"/>
  <c r="AH70" i="4"/>
  <c r="AH32" i="4"/>
  <c r="AH35" i="4"/>
  <c r="AH68" i="4"/>
  <c r="AH56" i="4"/>
  <c r="AH73" i="4"/>
  <c r="AH55" i="4"/>
  <c r="AH63" i="4"/>
  <c r="AH15" i="4"/>
  <c r="AH66" i="4"/>
  <c r="AH11" i="4"/>
  <c r="AH72" i="4"/>
  <c r="AH49" i="4"/>
  <c r="AH36" i="4"/>
  <c r="AH39" i="4"/>
  <c r="AH23" i="4"/>
  <c r="AH25" i="4"/>
  <c r="AH46" i="4"/>
  <c r="AH47" i="4"/>
  <c r="AH16" i="4"/>
  <c r="AH50" i="4"/>
  <c r="AH34" i="4"/>
  <c r="AH12" i="4"/>
  <c r="AH67" i="4"/>
  <c r="AH10" i="4"/>
  <c r="AH14" i="4"/>
  <c r="AH57" i="4"/>
  <c r="AH7" i="4"/>
  <c r="AH28" i="4"/>
  <c r="AH60" i="4"/>
  <c r="AH59" i="4"/>
  <c r="AH45" i="4"/>
  <c r="AH61" i="4"/>
  <c r="AH74" i="4"/>
  <c r="AH42" i="4"/>
  <c r="AH54" i="4"/>
  <c r="AH21" i="4"/>
  <c r="AH9" i="4"/>
  <c r="AH62" i="4"/>
  <c r="AH26" i="4"/>
  <c r="AH69" i="4"/>
  <c r="AH29" i="4"/>
  <c r="AH48" i="4"/>
  <c r="AH71" i="4"/>
  <c r="AH44" i="4"/>
  <c r="AH8" i="4"/>
  <c r="AH64" i="4"/>
  <c r="AH6" i="4"/>
  <c r="AH24" i="4"/>
  <c r="AH37" i="4"/>
  <c r="AH22" i="4"/>
  <c r="AH51" i="4"/>
  <c r="AH13" i="4"/>
  <c r="AH65" i="4"/>
  <c r="G15" i="5"/>
  <c r="G18" i="5" s="1"/>
  <c r="AD7" i="5" s="1"/>
  <c r="X7" i="5" s="1"/>
  <c r="Y7" i="5" s="1"/>
  <c r="AG50" i="4"/>
  <c r="AG13" i="4"/>
  <c r="AG17" i="4"/>
  <c r="AG48" i="4"/>
  <c r="AG35" i="4"/>
  <c r="AG23" i="4"/>
  <c r="AG18" i="4"/>
  <c r="AG59" i="4"/>
  <c r="AG25" i="4"/>
  <c r="AG16" i="4"/>
  <c r="AG56" i="4"/>
  <c r="AG40" i="4"/>
  <c r="AG51" i="4"/>
  <c r="AG7" i="4"/>
  <c r="AG57" i="4"/>
  <c r="AG46" i="4"/>
  <c r="AG28" i="4"/>
  <c r="AG67" i="4"/>
  <c r="AG36" i="4"/>
  <c r="AG6" i="4"/>
  <c r="AG24" i="4"/>
  <c r="AG10" i="4"/>
  <c r="AG65" i="4"/>
  <c r="AG54" i="4"/>
  <c r="AG38" i="4"/>
  <c r="AG27" i="4"/>
  <c r="AG9" i="4"/>
  <c r="AG68" i="4"/>
  <c r="AG52" i="4"/>
  <c r="AG42" i="4"/>
  <c r="AG73" i="4"/>
  <c r="AG30" i="4"/>
  <c r="AG14" i="4"/>
  <c r="AG29" i="4"/>
  <c r="AG8" i="4"/>
  <c r="AG39" i="4"/>
  <c r="AG37" i="4"/>
  <c r="AG49" i="4"/>
  <c r="AG72" i="4"/>
  <c r="AG34" i="4"/>
  <c r="AG43" i="4"/>
  <c r="AG53" i="4"/>
  <c r="AG26" i="4"/>
  <c r="AG69" i="4"/>
  <c r="AG70" i="4"/>
  <c r="AG60" i="4"/>
  <c r="AG55" i="4"/>
  <c r="AG20" i="4"/>
  <c r="AG44" i="4"/>
  <c r="AG61" i="4"/>
  <c r="AG64" i="4"/>
  <c r="AG58" i="4"/>
  <c r="AG66" i="4"/>
  <c r="AG63" i="4"/>
  <c r="F15" i="5"/>
  <c r="F18" i="5" s="1"/>
  <c r="AC7" i="5" s="1"/>
  <c r="U7" i="5" s="1"/>
  <c r="V7" i="5" s="1"/>
  <c r="AG45" i="4"/>
  <c r="AG21" i="4"/>
  <c r="AG15" i="4"/>
  <c r="AG41" i="4"/>
  <c r="AG74" i="4"/>
  <c r="AG22" i="4"/>
  <c r="AG33" i="4"/>
  <c r="AG12" i="4"/>
  <c r="AG11" i="4"/>
  <c r="AG31" i="4"/>
  <c r="AG19" i="4"/>
  <c r="AG47" i="4"/>
  <c r="AG32" i="4"/>
  <c r="AG71" i="4"/>
  <c r="AG62" i="4"/>
  <c r="AG144" i="4"/>
  <c r="F19" i="5"/>
  <c r="F23" i="5" s="1"/>
  <c r="AC10" i="5" s="1"/>
  <c r="D1282" i="2"/>
  <c r="E1282" i="2" s="1"/>
  <c r="C1282" i="2"/>
  <c r="F1282" i="2" s="1"/>
  <c r="AQ62" i="4" l="1"/>
  <c r="BV39" i="4"/>
  <c r="BV62" i="4"/>
  <c r="BV40" i="4"/>
  <c r="AQ53" i="4"/>
  <c r="BV56" i="4"/>
  <c r="BV35" i="4"/>
  <c r="BV57" i="4"/>
  <c r="AQ17" i="4"/>
  <c r="BV58" i="4"/>
  <c r="AQ43" i="4"/>
  <c r="BV27" i="4"/>
  <c r="BV18" i="4"/>
  <c r="AQ60" i="4"/>
  <c r="BV16" i="4"/>
  <c r="AQ21" i="4"/>
  <c r="BV10" i="4"/>
  <c r="BV33" i="4"/>
  <c r="BV11" i="4"/>
  <c r="AQ15" i="4"/>
  <c r="AQ39" i="4"/>
  <c r="BV14" i="4"/>
  <c r="BV44" i="4"/>
  <c r="BV52" i="4"/>
  <c r="AQ6" i="4"/>
  <c r="AQ52" i="4"/>
  <c r="AQ59" i="4"/>
  <c r="AQ25" i="4"/>
  <c r="BV8" i="4"/>
  <c r="BV7" i="4"/>
  <c r="AQ58" i="4"/>
  <c r="AQ26" i="4"/>
  <c r="AQ12" i="4"/>
  <c r="AQ42" i="4"/>
  <c r="BV34" i="4"/>
  <c r="AQ32" i="4"/>
  <c r="AQ18" i="4"/>
  <c r="AQ33" i="4"/>
  <c r="AQ57" i="4"/>
  <c r="BV28" i="4"/>
  <c r="BV29" i="4"/>
  <c r="AQ16" i="4"/>
  <c r="BV37" i="4"/>
  <c r="BV21" i="4"/>
  <c r="AQ19" i="4"/>
  <c r="AQ45" i="4"/>
  <c r="BV54" i="4"/>
  <c r="BV49" i="4"/>
  <c r="BV51" i="4"/>
  <c r="BV53" i="4"/>
  <c r="BV55" i="4"/>
  <c r="AQ10" i="4"/>
  <c r="AQ38" i="4"/>
  <c r="AQ35" i="4"/>
  <c r="BV6" i="4"/>
  <c r="BV36" i="4"/>
  <c r="AQ28" i="4"/>
  <c r="BV59" i="4"/>
  <c r="BV26" i="4"/>
  <c r="BV47" i="4"/>
  <c r="BV45" i="4"/>
  <c r="BV43" i="4"/>
  <c r="BV46" i="4"/>
  <c r="AQ27" i="4"/>
  <c r="BV31" i="4"/>
  <c r="AQ51" i="4"/>
  <c r="AQ20" i="4"/>
  <c r="BV19" i="4"/>
  <c r="BV15" i="4"/>
  <c r="BV42" i="4"/>
  <c r="AQ56" i="4"/>
  <c r="AQ55" i="4"/>
  <c r="AQ37" i="4"/>
  <c r="BV32" i="4"/>
  <c r="AQ23" i="4"/>
  <c r="AQ47" i="4"/>
  <c r="BV38" i="4"/>
  <c r="BV61" i="4"/>
  <c r="BV24" i="4"/>
  <c r="AQ29" i="4"/>
  <c r="BV23" i="4"/>
  <c r="BV50" i="4"/>
  <c r="BV17" i="4"/>
  <c r="BV25" i="4"/>
  <c r="AQ24" i="4"/>
  <c r="BV30" i="4"/>
  <c r="AQ50" i="4"/>
  <c r="AQ61" i="4"/>
  <c r="BV41" i="4"/>
  <c r="AQ49" i="4"/>
  <c r="AQ34" i="4"/>
  <c r="AQ31" i="4"/>
  <c r="BV13" i="4"/>
  <c r="AQ30" i="4"/>
  <c r="AQ7" i="4"/>
  <c r="AQ13" i="4"/>
  <c r="AQ40" i="4"/>
  <c r="AQ9" i="4"/>
  <c r="AQ54" i="4"/>
  <c r="AQ46" i="4"/>
  <c r="AQ44" i="4"/>
  <c r="BV20" i="4"/>
  <c r="AQ48" i="4"/>
  <c r="AQ41" i="4"/>
  <c r="AQ14" i="4"/>
  <c r="AQ11" i="4"/>
  <c r="AQ22" i="4"/>
  <c r="AQ8" i="4"/>
  <c r="AQ36" i="4"/>
  <c r="BV48" i="4"/>
  <c r="BV9" i="4"/>
  <c r="BV22" i="4"/>
  <c r="BV60" i="4"/>
  <c r="BV12" i="4"/>
  <c r="BU21" i="4"/>
  <c r="AP53" i="4"/>
  <c r="AP52" i="4"/>
  <c r="BU26" i="4"/>
  <c r="BU31" i="4"/>
  <c r="AP58" i="4"/>
  <c r="AP16" i="4"/>
  <c r="AP57" i="4"/>
  <c r="AP9" i="4"/>
  <c r="BU30" i="4"/>
  <c r="BU52" i="4"/>
  <c r="AP40" i="4"/>
  <c r="AP42" i="4"/>
  <c r="BU27" i="4"/>
  <c r="BU62" i="4"/>
  <c r="BU23" i="4"/>
  <c r="BU12" i="4"/>
  <c r="AP61" i="4"/>
  <c r="AP34" i="4"/>
  <c r="BU33" i="4"/>
  <c r="BU46" i="4"/>
  <c r="AP21" i="4"/>
  <c r="AP39" i="4"/>
  <c r="BU8" i="4"/>
  <c r="BU35" i="4"/>
  <c r="BU16" i="4"/>
  <c r="BU18" i="4"/>
  <c r="BU29" i="4"/>
  <c r="AP59" i="4"/>
  <c r="AP25" i="4"/>
  <c r="AP37" i="4"/>
  <c r="BU58" i="4"/>
  <c r="AP55" i="4"/>
  <c r="BU54" i="4"/>
  <c r="AP62" i="4"/>
  <c r="AP54" i="4"/>
  <c r="BU20" i="4"/>
  <c r="AP31" i="4"/>
  <c r="AP8" i="4"/>
  <c r="AP35" i="4"/>
  <c r="BU19" i="4"/>
  <c r="AP14" i="4"/>
  <c r="BU53" i="4"/>
  <c r="BU6" i="4"/>
  <c r="AP60" i="4"/>
  <c r="BU14" i="4"/>
  <c r="BU61" i="4"/>
  <c r="AP50" i="4"/>
  <c r="AP36" i="4"/>
  <c r="AP26" i="4"/>
  <c r="BU59" i="4"/>
  <c r="BU45" i="4"/>
  <c r="AP56" i="4"/>
  <c r="AP22" i="4"/>
  <c r="BU60" i="4"/>
  <c r="BU57" i="4"/>
  <c r="AP49" i="4"/>
  <c r="BU32" i="4"/>
  <c r="AP43" i="4"/>
  <c r="AP48" i="4"/>
  <c r="AP44" i="4"/>
  <c r="BU48" i="4"/>
  <c r="AP13" i="4"/>
  <c r="AP10" i="4"/>
  <c r="AP23" i="4"/>
  <c r="BU11" i="4"/>
  <c r="BU44" i="4"/>
  <c r="BU10" i="4"/>
  <c r="AP33" i="4"/>
  <c r="AP41" i="4"/>
  <c r="AP7" i="4"/>
  <c r="AP46" i="4"/>
  <c r="BU40" i="4"/>
  <c r="BU38" i="4"/>
  <c r="AP12" i="4"/>
  <c r="AP17" i="4"/>
  <c r="AP32" i="4"/>
  <c r="BU50" i="4"/>
  <c r="BU7" i="4"/>
  <c r="AP28" i="4"/>
  <c r="BU17" i="4"/>
  <c r="BU15" i="4"/>
  <c r="BU24" i="4"/>
  <c r="AP15" i="4"/>
  <c r="AP47" i="4"/>
  <c r="BU56" i="4"/>
  <c r="BU9" i="4"/>
  <c r="AP11" i="4"/>
  <c r="BU28" i="4"/>
  <c r="AP24" i="4"/>
  <c r="BU37" i="4"/>
  <c r="AP20" i="4"/>
  <c r="AP27" i="4"/>
  <c r="AP6" i="4"/>
  <c r="AP18" i="4"/>
  <c r="BU42" i="4"/>
  <c r="AP30" i="4"/>
  <c r="BU13" i="4"/>
  <c r="AP19" i="4"/>
  <c r="BU34" i="4"/>
  <c r="BU55" i="4"/>
  <c r="BU41" i="4"/>
  <c r="BU25" i="4"/>
  <c r="AP38" i="4"/>
  <c r="BU49" i="4"/>
  <c r="BU36" i="4"/>
  <c r="AP45" i="4"/>
  <c r="BU39" i="4"/>
  <c r="BU51" i="4"/>
  <c r="BU47" i="4"/>
  <c r="BU43" i="4"/>
  <c r="AP29" i="4"/>
  <c r="BU22" i="4"/>
  <c r="AP51" i="4"/>
  <c r="BW58" i="4"/>
  <c r="BM58" i="4" s="1"/>
  <c r="AR37" i="4"/>
  <c r="BW59" i="4"/>
  <c r="BM59" i="4" s="1"/>
  <c r="BW13" i="4"/>
  <c r="BM13" i="4" s="1"/>
  <c r="AR33" i="4"/>
  <c r="AR25" i="4"/>
  <c r="BW61" i="4"/>
  <c r="BM61" i="4" s="1"/>
  <c r="BW55" i="4"/>
  <c r="BM55" i="4" s="1"/>
  <c r="BW27" i="4"/>
  <c r="BM27" i="4" s="1"/>
  <c r="AR12" i="4"/>
  <c r="AR39" i="4"/>
  <c r="BW30" i="4"/>
  <c r="BM30" i="4" s="1"/>
  <c r="AR8" i="4"/>
  <c r="AR22" i="4"/>
  <c r="AR27" i="4"/>
  <c r="AR40" i="4"/>
  <c r="AR36" i="4"/>
  <c r="AR55" i="4"/>
  <c r="AR59" i="4"/>
  <c r="BW44" i="4"/>
  <c r="BW14" i="4"/>
  <c r="BM14" i="4" s="1"/>
  <c r="AR41" i="4"/>
  <c r="BW26" i="4"/>
  <c r="BW36" i="4"/>
  <c r="BM36" i="4" s="1"/>
  <c r="BW40" i="4"/>
  <c r="BM40" i="4" s="1"/>
  <c r="BW19" i="4"/>
  <c r="BM19" i="4" s="1"/>
  <c r="BW17" i="4"/>
  <c r="BM17" i="4" s="1"/>
  <c r="AR26" i="4"/>
  <c r="AR56" i="4"/>
  <c r="BW60" i="4"/>
  <c r="BM60" i="4" s="1"/>
  <c r="AR54" i="4"/>
  <c r="BW42" i="4"/>
  <c r="BM42" i="4" s="1"/>
  <c r="AR14" i="4"/>
  <c r="AR19" i="4"/>
  <c r="BW62" i="4"/>
  <c r="AR61" i="4"/>
  <c r="AR57" i="4"/>
  <c r="BW24" i="4"/>
  <c r="BM24" i="4" s="1"/>
  <c r="AR15" i="4"/>
  <c r="AR13" i="4"/>
  <c r="AR50" i="4"/>
  <c r="AR42" i="4"/>
  <c r="BW15" i="4"/>
  <c r="BW6" i="4"/>
  <c r="AR35" i="4"/>
  <c r="BW46" i="4"/>
  <c r="BM46" i="4" s="1"/>
  <c r="BW21" i="4"/>
  <c r="BM21" i="4" s="1"/>
  <c r="AR30" i="4"/>
  <c r="BW32" i="4"/>
  <c r="BM32" i="4" s="1"/>
  <c r="BW35" i="4"/>
  <c r="BM35" i="4" s="1"/>
  <c r="AR9" i="4"/>
  <c r="AR32" i="4"/>
  <c r="BW10" i="4"/>
  <c r="BM10" i="4" s="1"/>
  <c r="BW9" i="4"/>
  <c r="BM9" i="4" s="1"/>
  <c r="AR18" i="4"/>
  <c r="BW53" i="4"/>
  <c r="BM53" i="4" s="1"/>
  <c r="AR11" i="4"/>
  <c r="BW51" i="4"/>
  <c r="BM51" i="4" s="1"/>
  <c r="BW31" i="4"/>
  <c r="BM31" i="4" s="1"/>
  <c r="BW34" i="4"/>
  <c r="BM34" i="4" s="1"/>
  <c r="BW12" i="4"/>
  <c r="BM12" i="4" s="1"/>
  <c r="BW11" i="4"/>
  <c r="BM11" i="4" s="1"/>
  <c r="BW33" i="4"/>
  <c r="BM33" i="4" s="1"/>
  <c r="AR29" i="4"/>
  <c r="BW56" i="4"/>
  <c r="BM56" i="4" s="1"/>
  <c r="AR28" i="4"/>
  <c r="AR20" i="4"/>
  <c r="BW8" i="4"/>
  <c r="BW7" i="4"/>
  <c r="BM7" i="4" s="1"/>
  <c r="AR44" i="4"/>
  <c r="AR23" i="4"/>
  <c r="AR51" i="4"/>
  <c r="BW52" i="4"/>
  <c r="BM52" i="4" s="1"/>
  <c r="AR52" i="4"/>
  <c r="BW43" i="4"/>
  <c r="BM43" i="4" s="1"/>
  <c r="BW54" i="4"/>
  <c r="BM54" i="4" s="1"/>
  <c r="BW37" i="4"/>
  <c r="BM37" i="4" s="1"/>
  <c r="AR24" i="4"/>
  <c r="BW23" i="4"/>
  <c r="BM23" i="4" s="1"/>
  <c r="AR6" i="4"/>
  <c r="AR43" i="4"/>
  <c r="BW20" i="4"/>
  <c r="BM20" i="4" s="1"/>
  <c r="BW18" i="4"/>
  <c r="BM18" i="4" s="1"/>
  <c r="BW41" i="4"/>
  <c r="BM41" i="4" s="1"/>
  <c r="AR31" i="4"/>
  <c r="AR48" i="4"/>
  <c r="BW49" i="4"/>
  <c r="BM49" i="4" s="1"/>
  <c r="AR49" i="4"/>
  <c r="BW38" i="4"/>
  <c r="BM38" i="4" s="1"/>
  <c r="BW39" i="4"/>
  <c r="BM39" i="4" s="1"/>
  <c r="AR16" i="4"/>
  <c r="AR60" i="4"/>
  <c r="BW47" i="4"/>
  <c r="BM47" i="4" s="1"/>
  <c r="AR53" i="4"/>
  <c r="AR58" i="4"/>
  <c r="BW22" i="4"/>
  <c r="BM22" i="4" s="1"/>
  <c r="AR38" i="4"/>
  <c r="AR34" i="4"/>
  <c r="AR7" i="4"/>
  <c r="BW28" i="4"/>
  <c r="BM28" i="4" s="1"/>
  <c r="BW57" i="4"/>
  <c r="BM57" i="4" s="1"/>
  <c r="AR21" i="4"/>
  <c r="BW16" i="4"/>
  <c r="BM16" i="4" s="1"/>
  <c r="BW48" i="4"/>
  <c r="BM48" i="4" s="1"/>
  <c r="AR46" i="4"/>
  <c r="AR10" i="4"/>
  <c r="BW50" i="4"/>
  <c r="BM50" i="4" s="1"/>
  <c r="AR62" i="4"/>
  <c r="AR47" i="4"/>
  <c r="BW25" i="4"/>
  <c r="BM25" i="4" s="1"/>
  <c r="AR17" i="4"/>
  <c r="AR45" i="4"/>
  <c r="BW45" i="4"/>
  <c r="BM45" i="4" s="1"/>
  <c r="BW29" i="4"/>
  <c r="BM29" i="4" s="1"/>
  <c r="AE9" i="5"/>
  <c r="AA9" i="5" s="1"/>
  <c r="AB9" i="5" s="1"/>
  <c r="AC9" i="5"/>
  <c r="U9" i="5" s="1"/>
  <c r="V9" i="5" s="1"/>
  <c r="AD9" i="5"/>
  <c r="C1283" i="2"/>
  <c r="F1283" i="2" s="1"/>
  <c r="D1283" i="2"/>
  <c r="E1283" i="2" s="1"/>
  <c r="AA10" i="5" l="1"/>
  <c r="BW138" i="4"/>
  <c r="BM138" i="4" s="1"/>
  <c r="AR141" i="4"/>
  <c r="AR138" i="4"/>
  <c r="AR140" i="4"/>
  <c r="BW143" i="4"/>
  <c r="BM143" i="4" s="1"/>
  <c r="BW135" i="4"/>
  <c r="BM135" i="4" s="1"/>
  <c r="BW137" i="4"/>
  <c r="BM137" i="4" s="1"/>
  <c r="BW136" i="4"/>
  <c r="BM136" i="4" s="1"/>
  <c r="BW141" i="4"/>
  <c r="AR96" i="4"/>
  <c r="AR101" i="4"/>
  <c r="AR137" i="4"/>
  <c r="BW142" i="4"/>
  <c r="AR100" i="4"/>
  <c r="BW139" i="4"/>
  <c r="BM139" i="4" s="1"/>
  <c r="BW134" i="4"/>
  <c r="BM134" i="4" s="1"/>
  <c r="BW144" i="4"/>
  <c r="BM144" i="4" s="1"/>
  <c r="BW140" i="4"/>
  <c r="BM140" i="4" s="1"/>
  <c r="AR139" i="4"/>
  <c r="BW85" i="4"/>
  <c r="BM85" i="4" s="1"/>
  <c r="AR88" i="4"/>
  <c r="AR143" i="4"/>
  <c r="AR142" i="4"/>
  <c r="BF41" i="4"/>
  <c r="BK41" i="4"/>
  <c r="BF34" i="4"/>
  <c r="BK34" i="4"/>
  <c r="BL60" i="4"/>
  <c r="BG60" i="4"/>
  <c r="BD15" i="4"/>
  <c r="BG15" i="4"/>
  <c r="BL15" i="4"/>
  <c r="BL59" i="4"/>
  <c r="BG59" i="4"/>
  <c r="BD44" i="4"/>
  <c r="BG44" i="4"/>
  <c r="BL44" i="4"/>
  <c r="BL27" i="4"/>
  <c r="BG27" i="4"/>
  <c r="BF46" i="4"/>
  <c r="BK46" i="4"/>
  <c r="BG22" i="4"/>
  <c r="BL22" i="4"/>
  <c r="BL25" i="4"/>
  <c r="BG25" i="4"/>
  <c r="AR136" i="4"/>
  <c r="AB10" i="5"/>
  <c r="AR144" i="4" s="1"/>
  <c r="BF25" i="4"/>
  <c r="BK25" i="4"/>
  <c r="BL51" i="4"/>
  <c r="BG51" i="4"/>
  <c r="BG47" i="4"/>
  <c r="BL47" i="4"/>
  <c r="BG42" i="4"/>
  <c r="BL42" i="4"/>
  <c r="BG19" i="4"/>
  <c r="BL19" i="4"/>
  <c r="BG36" i="4"/>
  <c r="BL36" i="4"/>
  <c r="BF51" i="4"/>
  <c r="BK51" i="4"/>
  <c r="BF17" i="4"/>
  <c r="BK17" i="4"/>
  <c r="BF58" i="4"/>
  <c r="BK58" i="4"/>
  <c r="BF12" i="4"/>
  <c r="BK12" i="4"/>
  <c r="BL24" i="4"/>
  <c r="BG24" i="4"/>
  <c r="BG6" i="4"/>
  <c r="BD6" i="4"/>
  <c r="BL6" i="4"/>
  <c r="BL35" i="4"/>
  <c r="BG35" i="4"/>
  <c r="BF35" i="4"/>
  <c r="BK35" i="4"/>
  <c r="BG18" i="4"/>
  <c r="BL18" i="4"/>
  <c r="BF40" i="4"/>
  <c r="BK40" i="4"/>
  <c r="BF20" i="4"/>
  <c r="BK20" i="4"/>
  <c r="BL12" i="4"/>
  <c r="BG12" i="4"/>
  <c r="BL54" i="4"/>
  <c r="BG54" i="4"/>
  <c r="BF22" i="4"/>
  <c r="BK22" i="4"/>
  <c r="BF48" i="4"/>
  <c r="BK48" i="4"/>
  <c r="BL9" i="4"/>
  <c r="BG9" i="4"/>
  <c r="BG58" i="4"/>
  <c r="BL58" i="4"/>
  <c r="BF13" i="4"/>
  <c r="BK13" i="4"/>
  <c r="BF61" i="4"/>
  <c r="BK61" i="4"/>
  <c r="BG48" i="4"/>
  <c r="BL48" i="4"/>
  <c r="BF14" i="4"/>
  <c r="BK14" i="4"/>
  <c r="BG11" i="4"/>
  <c r="BL11" i="4"/>
  <c r="BM62" i="4"/>
  <c r="BF57" i="4"/>
  <c r="BK57" i="4"/>
  <c r="BF23" i="4"/>
  <c r="BK23" i="4"/>
  <c r="BL33" i="4"/>
  <c r="BG33" i="4"/>
  <c r="BF39" i="4"/>
  <c r="BK39" i="4"/>
  <c r="BF7" i="4"/>
  <c r="BK7" i="4"/>
  <c r="BF10" i="4"/>
  <c r="BK10" i="4"/>
  <c r="BF60" i="4"/>
  <c r="BK60" i="4"/>
  <c r="BF31" i="4"/>
  <c r="BK31" i="4"/>
  <c r="BL38" i="4"/>
  <c r="BG38" i="4"/>
  <c r="BL31" i="4"/>
  <c r="BG31" i="4"/>
  <c r="BL7" i="4"/>
  <c r="BG7" i="4"/>
  <c r="BF28" i="4"/>
  <c r="BK28" i="4"/>
  <c r="BF21" i="4"/>
  <c r="BK21" i="4"/>
  <c r="BC8" i="4"/>
  <c r="BF8" i="4"/>
  <c r="BK8" i="4"/>
  <c r="BF9" i="4"/>
  <c r="BK9" i="4"/>
  <c r="BF30" i="4"/>
  <c r="BK30" i="4"/>
  <c r="BF33" i="4"/>
  <c r="BK33" i="4"/>
  <c r="BF43" i="4"/>
  <c r="BK43" i="4"/>
  <c r="BL34" i="4"/>
  <c r="BG34" i="4"/>
  <c r="BG23" i="4"/>
  <c r="BL23" i="4"/>
  <c r="BF42" i="4"/>
  <c r="BK42" i="4"/>
  <c r="BL13" i="4"/>
  <c r="BG13" i="4"/>
  <c r="BL56" i="4"/>
  <c r="BG56" i="4"/>
  <c r="BE8" i="4"/>
  <c r="BM8" i="4"/>
  <c r="X8" i="5"/>
  <c r="Y8" i="5" s="1"/>
  <c r="BE44" i="4"/>
  <c r="BM44" i="4"/>
  <c r="BF50" i="4"/>
  <c r="BK50" i="4"/>
  <c r="BC44" i="4"/>
  <c r="BF44" i="4"/>
  <c r="BK44" i="4"/>
  <c r="BF53" i="4"/>
  <c r="BK53" i="4"/>
  <c r="BF62" i="4"/>
  <c r="BK62" i="4"/>
  <c r="BC26" i="4"/>
  <c r="BF26" i="4"/>
  <c r="BK26" i="4"/>
  <c r="BD8" i="4"/>
  <c r="BG8" i="4"/>
  <c r="BL8" i="4"/>
  <c r="BG10" i="4"/>
  <c r="BL10" i="4"/>
  <c r="BL40" i="4"/>
  <c r="BG40" i="4"/>
  <c r="BE15" i="4"/>
  <c r="BM15" i="4"/>
  <c r="BL49" i="4"/>
  <c r="BG49" i="4"/>
  <c r="BF55" i="4"/>
  <c r="BK55" i="4"/>
  <c r="BG52" i="4"/>
  <c r="BL52" i="4"/>
  <c r="BG37" i="4"/>
  <c r="BL37" i="4"/>
  <c r="BF32" i="4"/>
  <c r="BK32" i="4"/>
  <c r="BL29" i="4"/>
  <c r="BG29" i="4"/>
  <c r="BC6" i="4"/>
  <c r="BF6" i="4"/>
  <c r="BK6" i="4"/>
  <c r="BF36" i="4"/>
  <c r="BK36" i="4"/>
  <c r="BF29" i="4"/>
  <c r="BK29" i="4"/>
  <c r="BF27" i="4"/>
  <c r="BK27" i="4"/>
  <c r="BG41" i="4"/>
  <c r="BL41" i="4"/>
  <c r="BG46" i="4"/>
  <c r="BL46" i="4"/>
  <c r="BL55" i="4"/>
  <c r="BG55" i="4"/>
  <c r="BL28" i="4"/>
  <c r="BG28" i="4"/>
  <c r="BG62" i="4"/>
  <c r="BL62" i="4"/>
  <c r="BL30" i="4"/>
  <c r="BG30" i="4"/>
  <c r="BL21" i="4"/>
  <c r="BG21" i="4"/>
  <c r="BF47" i="4"/>
  <c r="BK47" i="4"/>
  <c r="BL61" i="4"/>
  <c r="BG61" i="4"/>
  <c r="BF49" i="4"/>
  <c r="BK49" i="4"/>
  <c r="BF37" i="4"/>
  <c r="BK37" i="4"/>
  <c r="BF11" i="4"/>
  <c r="BK11" i="4"/>
  <c r="BF19" i="4"/>
  <c r="BK19" i="4"/>
  <c r="BF18" i="4"/>
  <c r="BK18" i="4"/>
  <c r="BL32" i="4"/>
  <c r="BG32" i="4"/>
  <c r="BL43" i="4"/>
  <c r="BG43" i="4"/>
  <c r="BG16" i="4"/>
  <c r="BL16" i="4"/>
  <c r="BL39" i="4"/>
  <c r="BG39" i="4"/>
  <c r="BF59" i="4"/>
  <c r="BK59" i="4"/>
  <c r="BF38" i="4"/>
  <c r="BK38" i="4"/>
  <c r="BF52" i="4"/>
  <c r="BK52" i="4"/>
  <c r="AA8" i="5"/>
  <c r="BD26" i="4"/>
  <c r="BG26" i="4"/>
  <c r="BL26" i="4"/>
  <c r="BF56" i="4"/>
  <c r="BK56" i="4"/>
  <c r="BL17" i="4"/>
  <c r="BG17" i="4"/>
  <c r="BL14" i="4"/>
  <c r="BG14" i="4"/>
  <c r="BL50" i="4"/>
  <c r="BG50" i="4"/>
  <c r="BF24" i="4"/>
  <c r="BK24" i="4"/>
  <c r="BF54" i="4"/>
  <c r="BK54" i="4"/>
  <c r="BL57" i="4"/>
  <c r="BG57" i="4"/>
  <c r="BC15" i="4"/>
  <c r="BF15" i="4"/>
  <c r="BK15" i="4"/>
  <c r="BE26" i="4"/>
  <c r="BM26" i="4"/>
  <c r="AP136" i="4"/>
  <c r="V10" i="5"/>
  <c r="U10" i="5"/>
  <c r="BU135" i="4"/>
  <c r="AP106" i="4"/>
  <c r="BU98" i="4"/>
  <c r="AP141" i="4"/>
  <c r="AP143" i="4"/>
  <c r="AP138" i="4"/>
  <c r="BU137" i="4"/>
  <c r="AP137" i="4"/>
  <c r="AP140" i="4"/>
  <c r="AP139" i="4"/>
  <c r="BU136" i="4"/>
  <c r="AP142" i="4"/>
  <c r="BU142" i="4"/>
  <c r="BU139" i="4"/>
  <c r="BU140" i="4"/>
  <c r="BU141" i="4"/>
  <c r="BU134" i="4"/>
  <c r="BU144" i="4"/>
  <c r="BU143" i="4"/>
  <c r="BU138" i="4"/>
  <c r="BE6" i="4"/>
  <c r="BM6" i="4"/>
  <c r="U8" i="5"/>
  <c r="BF45" i="4"/>
  <c r="BK45" i="4"/>
  <c r="BF16" i="4"/>
  <c r="BK16" i="4"/>
  <c r="BL20" i="4"/>
  <c r="BG20" i="4"/>
  <c r="BL45" i="4"/>
  <c r="BG45" i="4"/>
  <c r="BG53" i="4"/>
  <c r="BL53" i="4"/>
  <c r="C1284" i="2"/>
  <c r="F1284" i="2" s="1"/>
  <c r="D1284" i="2"/>
  <c r="E1284" i="2" s="1"/>
  <c r="AB8" i="5" l="1"/>
  <c r="BW125" i="4" s="1"/>
  <c r="V8" i="5"/>
  <c r="BU103" i="4" s="1"/>
  <c r="BK103" i="4" s="1"/>
  <c r="AP144" i="4"/>
  <c r="BU124" i="4"/>
  <c r="BK124" i="4" s="1"/>
  <c r="BW100" i="4"/>
  <c r="BM100" i="4" s="1"/>
  <c r="AR103" i="4"/>
  <c r="BW106" i="4"/>
  <c r="BM106" i="4" s="1"/>
  <c r="AR98" i="4"/>
  <c r="AR87" i="4"/>
  <c r="AR97" i="4"/>
  <c r="AP91" i="4"/>
  <c r="BW99" i="4"/>
  <c r="BM99" i="4" s="1"/>
  <c r="BU90" i="4"/>
  <c r="BK90" i="4" s="1"/>
  <c r="AP104" i="4"/>
  <c r="BW114" i="4"/>
  <c r="BM114" i="4" s="1"/>
  <c r="AR112" i="4"/>
  <c r="BW87" i="4"/>
  <c r="BM87" i="4" s="1"/>
  <c r="AP96" i="4"/>
  <c r="BU119" i="4"/>
  <c r="BK119" i="4" s="1"/>
  <c r="AP86" i="4"/>
  <c r="BU87" i="4"/>
  <c r="BK87" i="4" s="1"/>
  <c r="BW93" i="4"/>
  <c r="BM93" i="4" s="1"/>
  <c r="AR93" i="4"/>
  <c r="BW90" i="4"/>
  <c r="BM90" i="4" s="1"/>
  <c r="BU71" i="4"/>
  <c r="AP66" i="4"/>
  <c r="BU63" i="4"/>
  <c r="BU77" i="4"/>
  <c r="BU67" i="4"/>
  <c r="BU68" i="4"/>
  <c r="BU73" i="4"/>
  <c r="BU69" i="4"/>
  <c r="AP71" i="4"/>
  <c r="AP73" i="4"/>
  <c r="BU78" i="4"/>
  <c r="AP72" i="4"/>
  <c r="AP64" i="4"/>
  <c r="AP69" i="4"/>
  <c r="AP65" i="4"/>
  <c r="BU66" i="4"/>
  <c r="BU76" i="4"/>
  <c r="AP70" i="4"/>
  <c r="AP67" i="4"/>
  <c r="BU65" i="4"/>
  <c r="AP63" i="4"/>
  <c r="BU79" i="4"/>
  <c r="AP74" i="4"/>
  <c r="BU75" i="4"/>
  <c r="AP68" i="4"/>
  <c r="BU70" i="4"/>
  <c r="AP90" i="4"/>
  <c r="AP92" i="4"/>
  <c r="BU95" i="4"/>
  <c r="BK95" i="4" s="1"/>
  <c r="BW121" i="4"/>
  <c r="BW91" i="4"/>
  <c r="BM91" i="4" s="1"/>
  <c r="AP113" i="4"/>
  <c r="BU82" i="4"/>
  <c r="BK82" i="4" s="1"/>
  <c r="AP103" i="4"/>
  <c r="AP131" i="4"/>
  <c r="BU97" i="4"/>
  <c r="BK97" i="4" s="1"/>
  <c r="AP87" i="4"/>
  <c r="BW84" i="4"/>
  <c r="BM84" i="4" s="1"/>
  <c r="BW94" i="4"/>
  <c r="BM94" i="4" s="1"/>
  <c r="AR102" i="4"/>
  <c r="BW86" i="4"/>
  <c r="BM86" i="4" s="1"/>
  <c r="AR90" i="4"/>
  <c r="AP108" i="4"/>
  <c r="BU118" i="4"/>
  <c r="BK118" i="4" s="1"/>
  <c r="AR104" i="4"/>
  <c r="BW83" i="4"/>
  <c r="BM83" i="4" s="1"/>
  <c r="BW108" i="4"/>
  <c r="BM108" i="4" s="1"/>
  <c r="BW82" i="4"/>
  <c r="BM82" i="4" s="1"/>
  <c r="BW128" i="4"/>
  <c r="BM128" i="4" s="1"/>
  <c r="AP97" i="4"/>
  <c r="BW98" i="4"/>
  <c r="BM98" i="4" s="1"/>
  <c r="AR95" i="4"/>
  <c r="AR89" i="4"/>
  <c r="AR108" i="4"/>
  <c r="BU96" i="4"/>
  <c r="BK96" i="4" s="1"/>
  <c r="BU111" i="4"/>
  <c r="BK111" i="4" s="1"/>
  <c r="AR86" i="4"/>
  <c r="BW119" i="4"/>
  <c r="BM119" i="4" s="1"/>
  <c r="AR92" i="4"/>
  <c r="AR116" i="4"/>
  <c r="AR118" i="4"/>
  <c r="AR91" i="4"/>
  <c r="BU91" i="4"/>
  <c r="BK91" i="4" s="1"/>
  <c r="BU84" i="4"/>
  <c r="BK84" i="4" s="1"/>
  <c r="BU89" i="4"/>
  <c r="BK89" i="4" s="1"/>
  <c r="AR105" i="4"/>
  <c r="BW129" i="4"/>
  <c r="BM129" i="4" s="1"/>
  <c r="AP89" i="4"/>
  <c r="BV74" i="4"/>
  <c r="BV68" i="4"/>
  <c r="BV79" i="4"/>
  <c r="AQ73" i="4"/>
  <c r="BV67" i="4"/>
  <c r="BV77" i="4"/>
  <c r="AQ63" i="4"/>
  <c r="BV70" i="4"/>
  <c r="AQ72" i="4"/>
  <c r="BV78" i="4"/>
  <c r="BV64" i="4"/>
  <c r="AQ65" i="4"/>
  <c r="BV71" i="4"/>
  <c r="AQ67" i="4"/>
  <c r="AQ71" i="4"/>
  <c r="BV63" i="4"/>
  <c r="BV76" i="4"/>
  <c r="AQ66" i="4"/>
  <c r="BV72" i="4"/>
  <c r="AQ64" i="4"/>
  <c r="AQ70" i="4"/>
  <c r="BV65" i="4"/>
  <c r="AQ68" i="4"/>
  <c r="BV75" i="4"/>
  <c r="AQ69" i="4"/>
  <c r="BV69" i="4"/>
  <c r="BV73" i="4"/>
  <c r="AQ74" i="4"/>
  <c r="BV66" i="4"/>
  <c r="AP110" i="4"/>
  <c r="BU88" i="4"/>
  <c r="BK88" i="4" s="1"/>
  <c r="BU92" i="4"/>
  <c r="BK92" i="4" s="1"/>
  <c r="AP107" i="4"/>
  <c r="BW88" i="4"/>
  <c r="BM88" i="4" s="1"/>
  <c r="BU99" i="4"/>
  <c r="AR94" i="4"/>
  <c r="AR99" i="4"/>
  <c r="AR107" i="4"/>
  <c r="AP120" i="4"/>
  <c r="BW95" i="4"/>
  <c r="BM95" i="4" s="1"/>
  <c r="AP102" i="4"/>
  <c r="AP123" i="4"/>
  <c r="BU109" i="4"/>
  <c r="BK109" i="4" s="1"/>
  <c r="AP111" i="4"/>
  <c r="AP94" i="4"/>
  <c r="AP98" i="4"/>
  <c r="AP99" i="4"/>
  <c r="BU94" i="4"/>
  <c r="BK94" i="4" s="1"/>
  <c r="BU83" i="4"/>
  <c r="BK83" i="4" s="1"/>
  <c r="AP93" i="4"/>
  <c r="BW116" i="4"/>
  <c r="BM116" i="4" s="1"/>
  <c r="BW97" i="4"/>
  <c r="BM97" i="4" s="1"/>
  <c r="BU85" i="4"/>
  <c r="BK85" i="4" s="1"/>
  <c r="AP95" i="4"/>
  <c r="AP119" i="4"/>
  <c r="BU112" i="4"/>
  <c r="BK112" i="4" s="1"/>
  <c r="AP101" i="4"/>
  <c r="AP100" i="4"/>
  <c r="BW66" i="4"/>
  <c r="BM66" i="4" s="1"/>
  <c r="AR74" i="4"/>
  <c r="AR63" i="4"/>
  <c r="BW75" i="4"/>
  <c r="BM75" i="4" s="1"/>
  <c r="AR67" i="4"/>
  <c r="AR72" i="4"/>
  <c r="AR69" i="4"/>
  <c r="BW69" i="4"/>
  <c r="BM69" i="4" s="1"/>
  <c r="AR73" i="4"/>
  <c r="AR68" i="4"/>
  <c r="BW74" i="4"/>
  <c r="BM74" i="4" s="1"/>
  <c r="AR64" i="4"/>
  <c r="BW76" i="4"/>
  <c r="BM76" i="4" s="1"/>
  <c r="BW79" i="4"/>
  <c r="BM79" i="4" s="1"/>
  <c r="BW63" i="4"/>
  <c r="BW77" i="4"/>
  <c r="BM77" i="4" s="1"/>
  <c r="BW72" i="4"/>
  <c r="BM72" i="4" s="1"/>
  <c r="BW65" i="4"/>
  <c r="BM65" i="4" s="1"/>
  <c r="AR66" i="4"/>
  <c r="BW78" i="4"/>
  <c r="BM78" i="4" s="1"/>
  <c r="BW73" i="4"/>
  <c r="BM73" i="4" s="1"/>
  <c r="BW70" i="4"/>
  <c r="BM70" i="4" s="1"/>
  <c r="BW71" i="4"/>
  <c r="BM71" i="4" s="1"/>
  <c r="AR70" i="4"/>
  <c r="BW68" i="4"/>
  <c r="BM68" i="4" s="1"/>
  <c r="AR71" i="4"/>
  <c r="AR65" i="4"/>
  <c r="BW67" i="4"/>
  <c r="BM67" i="4" s="1"/>
  <c r="BW64" i="4"/>
  <c r="BM64" i="4" s="1"/>
  <c r="BU120" i="4"/>
  <c r="BK120" i="4" s="1"/>
  <c r="BU93" i="4"/>
  <c r="BK93" i="4" s="1"/>
  <c r="AP88" i="4"/>
  <c r="BU86" i="4"/>
  <c r="BK86" i="4" s="1"/>
  <c r="AP105" i="4"/>
  <c r="BW101" i="4"/>
  <c r="BM101" i="4" s="1"/>
  <c r="AR106" i="4"/>
  <c r="BW104" i="4"/>
  <c r="BM104" i="4" s="1"/>
  <c r="BW96" i="4"/>
  <c r="BM96" i="4" s="1"/>
  <c r="BW89" i="4"/>
  <c r="BM89" i="4" s="1"/>
  <c r="BW92" i="4"/>
  <c r="BM92" i="4" s="1"/>
  <c r="BE142" i="4"/>
  <c r="BM142" i="4"/>
  <c r="BC141" i="4"/>
  <c r="BK141" i="4"/>
  <c r="BC113" i="4"/>
  <c r="BK136" i="4"/>
  <c r="BC122" i="4"/>
  <c r="BK139" i="4"/>
  <c r="BK98" i="4"/>
  <c r="AR84" i="4"/>
  <c r="AR85" i="4"/>
  <c r="AR80" i="4"/>
  <c r="AR81" i="4"/>
  <c r="AR78" i="4"/>
  <c r="AR75" i="4"/>
  <c r="AR76" i="4"/>
  <c r="BW81" i="4"/>
  <c r="AR83" i="4"/>
  <c r="AR82" i="4"/>
  <c r="AR79" i="4"/>
  <c r="AR77" i="4"/>
  <c r="BW80" i="4"/>
  <c r="X9" i="5"/>
  <c r="AQ82" i="4"/>
  <c r="AQ79" i="4"/>
  <c r="AQ83" i="4"/>
  <c r="AQ77" i="4"/>
  <c r="AQ78" i="4"/>
  <c r="AQ76" i="4"/>
  <c r="BV80" i="4"/>
  <c r="AQ75" i="4"/>
  <c r="BV81" i="4"/>
  <c r="AQ81" i="4"/>
  <c r="AQ80" i="4"/>
  <c r="AP76" i="4"/>
  <c r="AP83" i="4"/>
  <c r="AP80" i="4"/>
  <c r="AP79" i="4"/>
  <c r="AP75" i="4"/>
  <c r="AP81" i="4"/>
  <c r="AP77" i="4"/>
  <c r="AP85" i="4"/>
  <c r="AP78" i="4"/>
  <c r="BU81" i="4"/>
  <c r="AP82" i="4"/>
  <c r="AP84" i="4"/>
  <c r="BU80" i="4"/>
  <c r="BK143" i="4"/>
  <c r="BK144" i="4"/>
  <c r="BK137" i="4"/>
  <c r="BC142" i="4"/>
  <c r="BK142" i="4"/>
  <c r="BE141" i="4"/>
  <c r="BM141" i="4"/>
  <c r="BK138" i="4"/>
  <c r="BK140" i="4"/>
  <c r="BK134" i="4"/>
  <c r="BK135" i="4"/>
  <c r="BC117" i="4"/>
  <c r="C1285" i="2"/>
  <c r="F1285" i="2" s="1"/>
  <c r="D1285" i="2"/>
  <c r="E1285" i="2" s="1"/>
  <c r="BU116" i="4" l="1"/>
  <c r="BK116" i="4" s="1"/>
  <c r="BU100" i="4"/>
  <c r="BK100" i="4" s="1"/>
  <c r="AP133" i="4"/>
  <c r="BU108" i="4"/>
  <c r="BK108" i="4" s="1"/>
  <c r="AP125" i="4"/>
  <c r="BU102" i="4"/>
  <c r="BK102" i="4" s="1"/>
  <c r="AR110" i="4"/>
  <c r="BU126" i="4"/>
  <c r="BK126" i="4" s="1"/>
  <c r="BU115" i="4"/>
  <c r="BK115" i="4" s="1"/>
  <c r="BW103" i="4"/>
  <c r="BM103" i="4" s="1"/>
  <c r="AP128" i="4"/>
  <c r="AP134" i="4"/>
  <c r="AR109" i="4"/>
  <c r="BW105" i="4"/>
  <c r="BM105" i="4" s="1"/>
  <c r="AR121" i="4"/>
  <c r="AP129" i="4"/>
  <c r="BW120" i="4"/>
  <c r="BM120" i="4" s="1"/>
  <c r="BW110" i="4"/>
  <c r="BM110" i="4" s="1"/>
  <c r="AP118" i="4"/>
  <c r="BU101" i="4"/>
  <c r="BK101" i="4" s="1"/>
  <c r="BU114" i="4"/>
  <c r="BK114" i="4" s="1"/>
  <c r="BW112" i="4"/>
  <c r="BM112" i="4" s="1"/>
  <c r="BU132" i="4"/>
  <c r="BK132" i="4" s="1"/>
  <c r="BU121" i="4"/>
  <c r="BK121" i="4" s="1"/>
  <c r="BU127" i="4"/>
  <c r="BK127" i="4" s="1"/>
  <c r="BU106" i="4"/>
  <c r="BK106" i="4" s="1"/>
  <c r="BW111" i="4"/>
  <c r="BM111" i="4" s="1"/>
  <c r="AP127" i="4"/>
  <c r="BU110" i="4"/>
  <c r="BK110" i="4" s="1"/>
  <c r="AP112" i="4"/>
  <c r="AP109" i="4"/>
  <c r="AP132" i="4"/>
  <c r="AR128" i="4"/>
  <c r="BU107" i="4"/>
  <c r="BK107" i="4" s="1"/>
  <c r="AR111" i="4"/>
  <c r="AP124" i="4"/>
  <c r="BU117" i="4"/>
  <c r="BK117" i="4" s="1"/>
  <c r="BW107" i="4"/>
  <c r="BM107" i="4" s="1"/>
  <c r="BU122" i="4"/>
  <c r="BK122" i="4" s="1"/>
  <c r="BU123" i="4"/>
  <c r="BK123" i="4" s="1"/>
  <c r="BU105" i="4"/>
  <c r="BK105" i="4" s="1"/>
  <c r="BW117" i="4"/>
  <c r="BM117" i="4" s="1"/>
  <c r="BW113" i="4"/>
  <c r="BM113" i="4" s="1"/>
  <c r="BW102" i="4"/>
  <c r="BM102" i="4" s="1"/>
  <c r="BU130" i="4"/>
  <c r="BK130" i="4" s="1"/>
  <c r="BU113" i="4"/>
  <c r="BK113" i="4" s="1"/>
  <c r="AP126" i="4"/>
  <c r="BU104" i="4"/>
  <c r="BK104" i="4" s="1"/>
  <c r="BW109" i="4"/>
  <c r="BM109" i="4" s="1"/>
  <c r="BW118" i="4"/>
  <c r="BM118" i="4" s="1"/>
  <c r="BW115" i="4"/>
  <c r="BM115" i="4" s="1"/>
  <c r="AP130" i="4"/>
  <c r="BU128" i="4"/>
  <c r="BK128" i="4" s="1"/>
  <c r="AR124" i="4"/>
  <c r="AR133" i="4"/>
  <c r="BW126" i="4"/>
  <c r="BM126" i="4" s="1"/>
  <c r="BW130" i="4"/>
  <c r="BM130" i="4" s="1"/>
  <c r="AR114" i="4"/>
  <c r="AR135" i="4"/>
  <c r="AR115" i="4"/>
  <c r="AP116" i="4"/>
  <c r="AP114" i="4"/>
  <c r="BW133" i="4"/>
  <c r="AR127" i="4"/>
  <c r="AR117" i="4"/>
  <c r="BW131" i="4"/>
  <c r="BM131" i="4" s="1"/>
  <c r="AR129" i="4"/>
  <c r="AP117" i="4"/>
  <c r="AR113" i="4"/>
  <c r="BU129" i="4"/>
  <c r="BK129" i="4" s="1"/>
  <c r="BU131" i="4"/>
  <c r="BK131" i="4" s="1"/>
  <c r="AR134" i="4"/>
  <c r="BW124" i="4"/>
  <c r="BM124" i="4" s="1"/>
  <c r="AR122" i="4"/>
  <c r="AP135" i="4"/>
  <c r="AR132" i="4"/>
  <c r="BW132" i="4"/>
  <c r="BM132" i="4" s="1"/>
  <c r="BU133" i="4"/>
  <c r="BC133" i="4" s="1"/>
  <c r="AP121" i="4"/>
  <c r="BW122" i="4"/>
  <c r="BM122" i="4" s="1"/>
  <c r="AP122" i="4"/>
  <c r="BW127" i="4"/>
  <c r="BM127" i="4" s="1"/>
  <c r="AP115" i="4"/>
  <c r="AR119" i="4"/>
  <c r="AR130" i="4"/>
  <c r="AR120" i="4"/>
  <c r="BU125" i="4"/>
  <c r="AR123" i="4"/>
  <c r="AR125" i="4"/>
  <c r="AR126" i="4"/>
  <c r="AR131" i="4"/>
  <c r="BW123" i="4"/>
  <c r="BM123" i="4" s="1"/>
  <c r="BU74" i="4"/>
  <c r="BK74" i="4" s="1"/>
  <c r="BU64" i="4"/>
  <c r="BU145" i="4" s="1"/>
  <c r="BU72" i="4"/>
  <c r="BK72" i="4" s="1"/>
  <c r="BC99" i="4"/>
  <c r="BM125" i="4"/>
  <c r="BE99" i="4"/>
  <c r="BK99" i="4"/>
  <c r="BL64" i="4"/>
  <c r="BG64" i="4"/>
  <c r="BG75" i="4"/>
  <c r="BL75" i="4"/>
  <c r="BF69" i="4"/>
  <c r="BK69" i="4"/>
  <c r="BK75" i="4"/>
  <c r="BF75" i="4"/>
  <c r="BF67" i="4"/>
  <c r="BK67" i="4"/>
  <c r="BL72" i="4"/>
  <c r="BG72" i="4"/>
  <c r="BL79" i="4"/>
  <c r="BG79" i="4"/>
  <c r="BF76" i="4"/>
  <c r="BK76" i="4"/>
  <c r="BK77" i="4"/>
  <c r="BF77" i="4"/>
  <c r="BG69" i="4"/>
  <c r="BL69" i="4"/>
  <c r="BL70" i="4"/>
  <c r="BG70" i="4"/>
  <c r="BL76" i="4"/>
  <c r="BG76" i="4"/>
  <c r="BL74" i="4"/>
  <c r="BG74" i="4"/>
  <c r="BG73" i="4"/>
  <c r="BL73" i="4"/>
  <c r="BG77" i="4"/>
  <c r="BL77" i="4"/>
  <c r="BG63" i="4"/>
  <c r="BD62" i="4"/>
  <c r="BL63" i="4"/>
  <c r="BK71" i="4"/>
  <c r="BF71" i="4"/>
  <c r="BG78" i="4"/>
  <c r="BL78" i="4"/>
  <c r="BG67" i="4"/>
  <c r="BL67" i="4"/>
  <c r="BM121" i="4"/>
  <c r="BL65" i="4"/>
  <c r="BG65" i="4"/>
  <c r="BK73" i="4"/>
  <c r="BF73" i="4"/>
  <c r="BK68" i="4"/>
  <c r="BF68" i="4"/>
  <c r="BL68" i="4"/>
  <c r="BG68" i="4"/>
  <c r="BF78" i="4"/>
  <c r="BK78" i="4"/>
  <c r="BF79" i="4"/>
  <c r="BK79" i="4"/>
  <c r="BF65" i="4"/>
  <c r="BK65" i="4"/>
  <c r="BF66" i="4"/>
  <c r="BK66" i="4"/>
  <c r="BM63" i="4"/>
  <c r="BE62" i="4"/>
  <c r="BG66" i="4"/>
  <c r="BL66" i="4"/>
  <c r="BL71" i="4"/>
  <c r="BG71" i="4"/>
  <c r="BC62" i="4"/>
  <c r="BF63" i="4"/>
  <c r="BK63" i="4"/>
  <c r="BK70" i="4"/>
  <c r="BF70" i="4"/>
  <c r="BM80" i="4"/>
  <c r="BE79" i="4"/>
  <c r="X10" i="5"/>
  <c r="Y9" i="5"/>
  <c r="BV131" i="4" s="1"/>
  <c r="BG80" i="4"/>
  <c r="BL80" i="4"/>
  <c r="BD79" i="4"/>
  <c r="BG81" i="4"/>
  <c r="BL81" i="4"/>
  <c r="BC81" i="4"/>
  <c r="BF81" i="4"/>
  <c r="BK81" i="4"/>
  <c r="BE81" i="4"/>
  <c r="BM81" i="4"/>
  <c r="BC80" i="4"/>
  <c r="BF80" i="4"/>
  <c r="BK80" i="4"/>
  <c r="BC79" i="4"/>
  <c r="D1286" i="2"/>
  <c r="E1286" i="2" s="1"/>
  <c r="C1286" i="2"/>
  <c r="F1286" i="2" s="1"/>
  <c r="BE121" i="4" l="1"/>
  <c r="BE125" i="4"/>
  <c r="BC125" i="4"/>
  <c r="BW145" i="4"/>
  <c r="H29" i="5" s="1"/>
  <c r="H30" i="5" s="1"/>
  <c r="H31" i="5"/>
  <c r="F31" i="5"/>
  <c r="BK125" i="4"/>
  <c r="BC121" i="4"/>
  <c r="BE133" i="4"/>
  <c r="BM133" i="4"/>
  <c r="BF74" i="4"/>
  <c r="BK64" i="4"/>
  <c r="BF64" i="4"/>
  <c r="BK133" i="4"/>
  <c r="BF72" i="4"/>
  <c r="BV129" i="4"/>
  <c r="BF129" i="4" s="1"/>
  <c r="AQ85" i="4"/>
  <c r="AQ113" i="4"/>
  <c r="BV98" i="4"/>
  <c r="BG98" i="4" s="1"/>
  <c r="BV132" i="4"/>
  <c r="BL132" i="4" s="1"/>
  <c r="AQ122" i="4"/>
  <c r="AQ84" i="4"/>
  <c r="BV138" i="4"/>
  <c r="BG138" i="4" s="1"/>
  <c r="AQ123" i="4"/>
  <c r="AQ134" i="4"/>
  <c r="BV119" i="4"/>
  <c r="BG119" i="4" s="1"/>
  <c r="BV104" i="4"/>
  <c r="BL104" i="4" s="1"/>
  <c r="BV90" i="4"/>
  <c r="BG90" i="4" s="1"/>
  <c r="AQ117" i="4"/>
  <c r="AQ141" i="4"/>
  <c r="AQ93" i="4"/>
  <c r="AQ88" i="4"/>
  <c r="AQ128" i="4"/>
  <c r="BV96" i="4"/>
  <c r="BL96" i="4" s="1"/>
  <c r="BV108" i="4"/>
  <c r="BG108" i="4" s="1"/>
  <c r="AQ107" i="4"/>
  <c r="BV113" i="4"/>
  <c r="BL113" i="4" s="1"/>
  <c r="BV84" i="4"/>
  <c r="BL84" i="4" s="1"/>
  <c r="AQ90" i="4"/>
  <c r="AQ105" i="4"/>
  <c r="BV122" i="4"/>
  <c r="AQ110" i="4"/>
  <c r="BV142" i="4"/>
  <c r="BV102" i="4"/>
  <c r="AQ132" i="4"/>
  <c r="AQ100" i="4"/>
  <c r="BV127" i="4"/>
  <c r="AQ109" i="4"/>
  <c r="BV130" i="4"/>
  <c r="BV112" i="4"/>
  <c r="BV106" i="4"/>
  <c r="AQ139" i="4"/>
  <c r="AQ118" i="4"/>
  <c r="BV116" i="4"/>
  <c r="AQ106" i="4"/>
  <c r="AQ102" i="4"/>
  <c r="AQ136" i="4"/>
  <c r="AQ140" i="4"/>
  <c r="AQ124" i="4"/>
  <c r="AQ91" i="4"/>
  <c r="BV91" i="4"/>
  <c r="BV123" i="4"/>
  <c r="BV140" i="4"/>
  <c r="BV114" i="4"/>
  <c r="AQ121" i="4"/>
  <c r="AQ94" i="4"/>
  <c r="BV93" i="4"/>
  <c r="BV87" i="4"/>
  <c r="AQ89" i="4"/>
  <c r="BV92" i="4"/>
  <c r="BV126" i="4"/>
  <c r="BV89" i="4"/>
  <c r="BV125" i="4"/>
  <c r="AQ120" i="4"/>
  <c r="AQ142" i="4"/>
  <c r="AQ135" i="4"/>
  <c r="BV82" i="4"/>
  <c r="BV88" i="4"/>
  <c r="BV103" i="4"/>
  <c r="BV117" i="4"/>
  <c r="AQ131" i="4"/>
  <c r="BV136" i="4"/>
  <c r="AQ126" i="4"/>
  <c r="BV139" i="4"/>
  <c r="BV95" i="4"/>
  <c r="AQ127" i="4"/>
  <c r="BV107" i="4"/>
  <c r="BV133" i="4"/>
  <c r="AQ92" i="4"/>
  <c r="AQ96" i="4"/>
  <c r="BV141" i="4"/>
  <c r="BV111" i="4"/>
  <c r="AQ98" i="4"/>
  <c r="AQ137" i="4"/>
  <c r="AQ103" i="4"/>
  <c r="AQ111" i="4"/>
  <c r="BV144" i="4"/>
  <c r="BV115" i="4"/>
  <c r="AQ95" i="4"/>
  <c r="AQ112" i="4"/>
  <c r="BV94" i="4"/>
  <c r="BV85" i="4"/>
  <c r="BV118" i="4"/>
  <c r="BV110" i="4"/>
  <c r="F29" i="5"/>
  <c r="F30" i="5" s="1"/>
  <c r="BC123" i="4"/>
  <c r="BV109" i="4"/>
  <c r="AQ130" i="4"/>
  <c r="AQ86" i="4"/>
  <c r="BV105" i="4"/>
  <c r="BV121" i="4"/>
  <c r="AQ108" i="4"/>
  <c r="AQ125" i="4"/>
  <c r="AQ138" i="4"/>
  <c r="BV100" i="4"/>
  <c r="BG131" i="4"/>
  <c r="BL131" i="4"/>
  <c r="BF131" i="4"/>
  <c r="AQ133" i="4"/>
  <c r="Y10" i="5"/>
  <c r="AQ144" i="4" s="1"/>
  <c r="BV135" i="4"/>
  <c r="BV134" i="4"/>
  <c r="AQ87" i="4"/>
  <c r="AQ97" i="4"/>
  <c r="AQ114" i="4"/>
  <c r="AQ115" i="4"/>
  <c r="AQ116" i="4"/>
  <c r="BV83" i="4"/>
  <c r="BV124" i="4"/>
  <c r="AQ143" i="4"/>
  <c r="BV101" i="4"/>
  <c r="BV137" i="4"/>
  <c r="AQ101" i="4"/>
  <c r="AQ104" i="4"/>
  <c r="BV97" i="4"/>
  <c r="AQ129" i="4"/>
  <c r="AQ99" i="4"/>
  <c r="BV120" i="4"/>
  <c r="BV99" i="4"/>
  <c r="BV86" i="4"/>
  <c r="BV128" i="4"/>
  <c r="BV143" i="4"/>
  <c r="AQ119" i="4"/>
  <c r="C1287" i="2"/>
  <c r="F1287" i="2" s="1"/>
  <c r="D1287" i="2"/>
  <c r="E1287" i="2" s="1"/>
  <c r="BE123" i="4" l="1"/>
  <c r="BL129" i="4"/>
  <c r="BG129" i="4"/>
  <c r="BF98" i="4"/>
  <c r="BL98" i="4"/>
  <c r="BF119" i="4"/>
  <c r="BL119" i="4"/>
  <c r="BG132" i="4"/>
  <c r="BF132" i="4"/>
  <c r="BF138" i="4"/>
  <c r="BL138" i="4"/>
  <c r="BF90" i="4"/>
  <c r="BL90" i="4"/>
  <c r="BG96" i="4"/>
  <c r="BG113" i="4"/>
  <c r="BF108" i="4"/>
  <c r="BG84" i="4"/>
  <c r="BF84" i="4"/>
  <c r="BF104" i="4"/>
  <c r="BG104" i="4"/>
  <c r="BF113" i="4"/>
  <c r="BF96" i="4"/>
  <c r="BL108" i="4"/>
  <c r="BL87" i="4"/>
  <c r="BG87" i="4"/>
  <c r="BF87" i="4"/>
  <c r="BG142" i="4"/>
  <c r="BD142" i="4"/>
  <c r="BL142" i="4"/>
  <c r="BF142" i="4"/>
  <c r="BG117" i="4"/>
  <c r="BL117" i="4"/>
  <c r="BF117" i="4"/>
  <c r="BG114" i="4"/>
  <c r="BL114" i="4"/>
  <c r="BF114" i="4"/>
  <c r="BG106" i="4"/>
  <c r="BL106" i="4"/>
  <c r="BF106" i="4"/>
  <c r="BG122" i="4"/>
  <c r="BL122" i="4"/>
  <c r="BF122" i="4"/>
  <c r="BG102" i="4"/>
  <c r="BL102" i="4"/>
  <c r="BF102" i="4"/>
  <c r="BG136" i="4"/>
  <c r="BL136" i="4"/>
  <c r="BF136" i="4"/>
  <c r="BL83" i="4"/>
  <c r="BG83" i="4"/>
  <c r="BF83" i="4"/>
  <c r="BD141" i="4"/>
  <c r="BG141" i="4"/>
  <c r="BL141" i="4"/>
  <c r="BF141" i="4"/>
  <c r="BG86" i="4"/>
  <c r="BL86" i="4"/>
  <c r="BF86" i="4"/>
  <c r="BG110" i="4"/>
  <c r="BL110" i="4"/>
  <c r="BF110" i="4"/>
  <c r="BG91" i="4"/>
  <c r="BL91" i="4"/>
  <c r="BF91" i="4"/>
  <c r="BG127" i="4"/>
  <c r="BL127" i="4"/>
  <c r="BF127" i="4"/>
  <c r="BG134" i="4"/>
  <c r="BL134" i="4"/>
  <c r="BF134" i="4"/>
  <c r="BG135" i="4"/>
  <c r="BL135" i="4"/>
  <c r="BF135" i="4"/>
  <c r="BG107" i="4"/>
  <c r="BL107" i="4"/>
  <c r="BF107" i="4"/>
  <c r="BG125" i="4"/>
  <c r="BD125" i="4"/>
  <c r="BL125" i="4"/>
  <c r="BF125" i="4"/>
  <c r="BG101" i="4"/>
  <c r="BL101" i="4"/>
  <c r="BF101" i="4"/>
  <c r="BG116" i="4"/>
  <c r="BL116" i="4"/>
  <c r="BF116" i="4"/>
  <c r="BG143" i="4"/>
  <c r="BL143" i="4"/>
  <c r="BF143" i="4"/>
  <c r="BG140" i="4"/>
  <c r="BL140" i="4"/>
  <c r="BF140" i="4"/>
  <c r="BG100" i="4"/>
  <c r="BL100" i="4"/>
  <c r="BF100" i="4"/>
  <c r="BG130" i="4"/>
  <c r="BL130" i="4"/>
  <c r="BF130" i="4"/>
  <c r="BL120" i="4"/>
  <c r="BG120" i="4"/>
  <c r="BF120" i="4"/>
  <c r="BF133" i="4"/>
  <c r="BD133" i="4"/>
  <c r="BG133" i="4"/>
  <c r="BL133" i="4"/>
  <c r="BG94" i="4"/>
  <c r="BL94" i="4"/>
  <c r="BF94" i="4"/>
  <c r="BG105" i="4"/>
  <c r="BL105" i="4"/>
  <c r="BF105" i="4"/>
  <c r="BG97" i="4"/>
  <c r="BL97" i="4"/>
  <c r="BF97" i="4"/>
  <c r="BG95" i="4"/>
  <c r="BL95" i="4"/>
  <c r="BF95" i="4"/>
  <c r="BG89" i="4"/>
  <c r="BL89" i="4"/>
  <c r="BF89" i="4"/>
  <c r="BL103" i="4"/>
  <c r="BG103" i="4"/>
  <c r="BF103" i="4"/>
  <c r="BG123" i="4"/>
  <c r="BL123" i="4"/>
  <c r="BF123" i="4"/>
  <c r="BL82" i="4"/>
  <c r="BG82" i="4"/>
  <c r="BF82" i="4"/>
  <c r="BV145" i="4"/>
  <c r="G29" i="5" s="1"/>
  <c r="G30" i="5" s="1"/>
  <c r="E30" i="5" s="1"/>
  <c r="G31" i="5"/>
  <c r="BD81" i="4"/>
  <c r="BG139" i="4"/>
  <c r="BL139" i="4"/>
  <c r="BF139" i="4"/>
  <c r="BG93" i="4"/>
  <c r="BL93" i="4"/>
  <c r="BF93" i="4"/>
  <c r="BG111" i="4"/>
  <c r="BL111" i="4"/>
  <c r="BF111" i="4"/>
  <c r="BG112" i="4"/>
  <c r="BL112" i="4"/>
  <c r="BF112" i="4"/>
  <c r="BG88" i="4"/>
  <c r="BL88" i="4"/>
  <c r="BF88" i="4"/>
  <c r="BG85" i="4"/>
  <c r="BL85" i="4"/>
  <c r="BF85" i="4"/>
  <c r="BG92" i="4"/>
  <c r="BL92" i="4"/>
  <c r="BF92" i="4"/>
  <c r="BL124" i="4"/>
  <c r="BG124" i="4"/>
  <c r="BF124" i="4"/>
  <c r="BL128" i="4"/>
  <c r="BG128" i="4"/>
  <c r="BF128" i="4"/>
  <c r="BG99" i="4"/>
  <c r="BD99" i="4"/>
  <c r="BL99" i="4"/>
  <c r="BF99" i="4"/>
  <c r="BG118" i="4"/>
  <c r="BL118" i="4"/>
  <c r="BF118" i="4"/>
  <c r="BL121" i="4"/>
  <c r="BD121" i="4"/>
  <c r="BG121" i="4"/>
  <c r="BF121" i="4"/>
  <c r="BG115" i="4"/>
  <c r="BL115" i="4"/>
  <c r="BF115" i="4"/>
  <c r="BG126" i="4"/>
  <c r="BL126" i="4"/>
  <c r="BF126" i="4"/>
  <c r="BG109" i="4"/>
  <c r="BL109" i="4"/>
  <c r="BF109" i="4"/>
  <c r="BG144" i="4"/>
  <c r="BL144" i="4"/>
  <c r="BF144" i="4"/>
  <c r="BG137" i="4"/>
  <c r="BL137" i="4"/>
  <c r="BF137" i="4"/>
  <c r="C1288" i="2"/>
  <c r="F1288" i="2" s="1"/>
  <c r="D1288" i="2"/>
  <c r="E1288" i="2" s="1"/>
  <c r="E34" i="5" l="1"/>
  <c r="C43" i="5" s="1"/>
  <c r="BD123" i="4"/>
  <c r="E35" i="5" s="1"/>
  <c r="D43" i="5" s="1"/>
  <c r="C1289" i="2"/>
  <c r="F1289" i="2" s="1"/>
  <c r="D1289" i="2"/>
  <c r="E1289" i="2" s="1"/>
  <c r="C1290" i="2" l="1"/>
  <c r="F1290" i="2" s="1"/>
  <c r="D1290" i="2"/>
  <c r="E1290" i="2" s="1"/>
  <c r="C1291" i="2" l="1"/>
  <c r="F1291" i="2" s="1"/>
  <c r="D1291" i="2"/>
  <c r="E1291" i="2" s="1"/>
  <c r="C1292" i="2" l="1"/>
  <c r="F1292" i="2" s="1"/>
  <c r="D1292" i="2"/>
  <c r="E1292" i="2" s="1"/>
  <c r="C1293" i="2" l="1"/>
  <c r="F1293" i="2" s="1"/>
  <c r="D1293" i="2"/>
  <c r="E1293" i="2" s="1"/>
  <c r="D1294" i="2" l="1"/>
  <c r="E1294" i="2" s="1"/>
  <c r="C1294" i="2"/>
  <c r="F1294" i="2" s="1"/>
  <c r="C1295" i="2" l="1"/>
  <c r="F1295" i="2" s="1"/>
  <c r="D1295" i="2"/>
  <c r="E1295" i="2" s="1"/>
  <c r="C1296" i="2" l="1"/>
  <c r="F1296" i="2" s="1"/>
  <c r="D1296" i="2"/>
  <c r="E1296" i="2" s="1"/>
  <c r="C1297" i="2" l="1"/>
  <c r="F1297" i="2" s="1"/>
  <c r="D1297" i="2"/>
  <c r="E1297" i="2" s="1"/>
  <c r="D1298" i="2" l="1"/>
  <c r="E1298" i="2" s="1"/>
  <c r="C1298" i="2"/>
  <c r="F1298" i="2" s="1"/>
  <c r="C1299" i="2" l="1"/>
  <c r="F1299" i="2" s="1"/>
  <c r="D1299" i="2"/>
  <c r="E1299" i="2" s="1"/>
  <c r="C1300" i="2" l="1"/>
  <c r="F1300" i="2" s="1"/>
  <c r="D1300" i="2"/>
  <c r="E1300" i="2" s="1"/>
  <c r="C1301" i="2" l="1"/>
  <c r="F1301" i="2" s="1"/>
  <c r="D1301" i="2"/>
  <c r="E1301" i="2" s="1"/>
  <c r="D1302" i="2" l="1"/>
  <c r="E1302" i="2" s="1"/>
  <c r="C1302" i="2"/>
  <c r="F1302" i="2" s="1"/>
  <c r="C1303" i="2" l="1"/>
  <c r="F1303" i="2" s="1"/>
  <c r="D1303" i="2"/>
  <c r="E1303" i="2" s="1"/>
  <c r="C1304" i="2" l="1"/>
  <c r="F1304" i="2" s="1"/>
  <c r="D1304" i="2"/>
  <c r="E1304" i="2" s="1"/>
  <c r="C1305" i="2" l="1"/>
  <c r="F1305" i="2" s="1"/>
  <c r="D1305" i="2"/>
  <c r="E1305" i="2" s="1"/>
  <c r="C1306" i="2" l="1"/>
  <c r="F1306" i="2" s="1"/>
  <c r="D1306" i="2"/>
  <c r="E1306" i="2" s="1"/>
  <c r="C1307" i="2" l="1"/>
  <c r="F1307" i="2" s="1"/>
  <c r="D1307" i="2"/>
  <c r="E1307" i="2" s="1"/>
  <c r="C1308" i="2" l="1"/>
  <c r="F1308" i="2" s="1"/>
  <c r="D1308" i="2"/>
  <c r="E1308" i="2" s="1"/>
  <c r="C1309" i="2" l="1"/>
  <c r="F1309" i="2" s="1"/>
  <c r="D1309" i="2"/>
  <c r="E1309" i="2" s="1"/>
  <c r="D1310" i="2" l="1"/>
  <c r="E1310" i="2" s="1"/>
  <c r="C1310" i="2"/>
  <c r="F1310" i="2" s="1"/>
  <c r="C1311" i="2" l="1"/>
  <c r="F1311" i="2" s="1"/>
  <c r="D1311" i="2"/>
  <c r="E1311" i="2" s="1"/>
  <c r="C1312" i="2" l="1"/>
  <c r="F1312" i="2" s="1"/>
  <c r="D1312" i="2"/>
  <c r="E1312" i="2" s="1"/>
  <c r="C1313" i="2" l="1"/>
  <c r="F1313" i="2" s="1"/>
  <c r="D1313" i="2"/>
  <c r="E1313" i="2" s="1"/>
  <c r="D1314" i="2" l="1"/>
  <c r="E1314" i="2" s="1"/>
  <c r="C1314" i="2"/>
  <c r="F1314" i="2" s="1"/>
  <c r="C1315" i="2" l="1"/>
  <c r="F1315" i="2" s="1"/>
  <c r="D1315" i="2"/>
  <c r="E1315" i="2" s="1"/>
  <c r="C1316" i="2" l="1"/>
  <c r="F1316" i="2" s="1"/>
  <c r="D1316" i="2"/>
  <c r="E1316" i="2" s="1"/>
  <c r="C1317" i="2" l="1"/>
  <c r="F1317" i="2" s="1"/>
  <c r="D1317" i="2"/>
  <c r="E1317" i="2" s="1"/>
  <c r="D1318" i="2" l="1"/>
  <c r="E1318" i="2" s="1"/>
  <c r="C1318" i="2"/>
  <c r="F1318" i="2" s="1"/>
  <c r="D1319" i="2" l="1"/>
  <c r="E1319" i="2" s="1"/>
  <c r="C1319" i="2"/>
  <c r="F1319" i="2" s="1"/>
  <c r="C1320" i="2" l="1"/>
  <c r="F1320" i="2" s="1"/>
  <c r="D1320" i="2"/>
  <c r="E1320" i="2" s="1"/>
  <c r="C1321" i="2" l="1"/>
  <c r="F1321" i="2" s="1"/>
  <c r="D1321" i="2"/>
  <c r="E1321" i="2" s="1"/>
  <c r="C1322" i="2" l="1"/>
  <c r="F1322" i="2" s="1"/>
  <c r="D1322" i="2"/>
  <c r="E1322" i="2" s="1"/>
  <c r="C1323" i="2" l="1"/>
  <c r="F1323" i="2" s="1"/>
  <c r="D1323" i="2"/>
  <c r="E1323" i="2" s="1"/>
  <c r="D1324" i="2" l="1"/>
  <c r="E1324" i="2" s="1"/>
  <c r="C1324" i="2"/>
  <c r="F1324" i="2" s="1"/>
  <c r="C1325" i="2" l="1"/>
  <c r="F1325" i="2" s="1"/>
  <c r="D1325" i="2"/>
  <c r="E1325" i="2" s="1"/>
  <c r="D1326" i="2" l="1"/>
  <c r="E1326" i="2" s="1"/>
  <c r="C1326" i="2"/>
  <c r="F1326" i="2" s="1"/>
  <c r="C1327" i="2" l="1"/>
  <c r="F1327" i="2" s="1"/>
  <c r="D1327" i="2"/>
  <c r="E1327" i="2" s="1"/>
  <c r="C1328" i="2" l="1"/>
  <c r="F1328" i="2" s="1"/>
  <c r="D1328" i="2"/>
  <c r="E1328" i="2" s="1"/>
  <c r="C1329" i="2" l="1"/>
  <c r="F1329" i="2" s="1"/>
  <c r="D1329" i="2"/>
  <c r="E1329" i="2" s="1"/>
  <c r="C1330" i="2" l="1"/>
  <c r="F1330" i="2" s="1"/>
  <c r="D1330" i="2"/>
  <c r="E1330" i="2" s="1"/>
  <c r="C1331" i="2" l="1"/>
  <c r="F1331" i="2" s="1"/>
  <c r="D1331" i="2"/>
  <c r="E1331" i="2" s="1"/>
  <c r="C1332" i="2" l="1"/>
  <c r="F1332" i="2" s="1"/>
  <c r="D1332" i="2"/>
  <c r="E1332" i="2" s="1"/>
  <c r="C1333" i="2" l="1"/>
  <c r="F1333" i="2" s="1"/>
  <c r="D1333" i="2"/>
  <c r="E1333" i="2" s="1"/>
  <c r="D1334" i="2" l="1"/>
  <c r="E1334" i="2" s="1"/>
  <c r="C1334" i="2"/>
  <c r="F1334" i="2" s="1"/>
  <c r="C1335" i="2" l="1"/>
  <c r="F1335" i="2" s="1"/>
  <c r="D1335" i="2"/>
  <c r="E1335" i="2" s="1"/>
  <c r="C1336" i="2" l="1"/>
  <c r="F1336" i="2" s="1"/>
  <c r="D1336" i="2"/>
  <c r="E1336" i="2" s="1"/>
  <c r="C1337" i="2" l="1"/>
  <c r="F1337" i="2" s="1"/>
  <c r="D1337" i="2"/>
  <c r="E1337" i="2" s="1"/>
  <c r="C1338" i="2" l="1"/>
  <c r="F1338" i="2" s="1"/>
  <c r="D1338" i="2"/>
  <c r="E1338" i="2" s="1"/>
  <c r="C1339" i="2" l="1"/>
  <c r="F1339" i="2" s="1"/>
  <c r="D1339" i="2"/>
  <c r="E1339" i="2" s="1"/>
  <c r="D1340" i="2" l="1"/>
  <c r="E1340" i="2" s="1"/>
  <c r="C1340" i="2"/>
  <c r="F1340" i="2" s="1"/>
  <c r="C1341" i="2" l="1"/>
  <c r="F1341" i="2" s="1"/>
  <c r="D1341" i="2"/>
  <c r="E1341" i="2" s="1"/>
  <c r="D1342" i="2" l="1"/>
  <c r="E1342" i="2" s="1"/>
  <c r="C1342" i="2"/>
  <c r="F1342" i="2" s="1"/>
  <c r="C1343" i="2" l="1"/>
  <c r="F1343" i="2" s="1"/>
  <c r="D1343" i="2"/>
  <c r="E1343" i="2" s="1"/>
  <c r="C1344" i="2" l="1"/>
  <c r="F1344" i="2" s="1"/>
  <c r="D1344" i="2"/>
  <c r="E1344" i="2" s="1"/>
  <c r="C1345" i="2" l="1"/>
  <c r="F1345" i="2" s="1"/>
  <c r="D1345" i="2"/>
  <c r="E1345" i="2" s="1"/>
  <c r="D1346" i="2" l="1"/>
  <c r="E1346" i="2" s="1"/>
  <c r="C1346" i="2"/>
  <c r="F1346" i="2" s="1"/>
  <c r="C1347" i="2" l="1"/>
  <c r="F1347" i="2" s="1"/>
  <c r="D1347" i="2"/>
  <c r="E1347" i="2" s="1"/>
  <c r="C1348" i="2" l="1"/>
  <c r="F1348" i="2" s="1"/>
  <c r="D1348" i="2"/>
  <c r="E1348" i="2" s="1"/>
  <c r="C1349" i="2" l="1"/>
  <c r="F1349" i="2" s="1"/>
  <c r="D1349" i="2"/>
  <c r="E1349" i="2" s="1"/>
  <c r="D1350" i="2" l="1"/>
  <c r="E1350" i="2" s="1"/>
  <c r="C1350" i="2"/>
  <c r="F1350" i="2" s="1"/>
  <c r="C1351" i="2" l="1"/>
  <c r="F1351" i="2" s="1"/>
  <c r="D1351" i="2"/>
  <c r="E1351" i="2" s="1"/>
  <c r="C1352" i="2" l="1"/>
  <c r="F1352" i="2" s="1"/>
  <c r="D1352" i="2"/>
  <c r="E1352" i="2" s="1"/>
  <c r="D1353" i="2" l="1"/>
  <c r="E1353" i="2" s="1"/>
  <c r="C1353" i="2"/>
  <c r="F1353" i="2" s="1"/>
  <c r="D1354" i="2" l="1"/>
  <c r="E1354" i="2" s="1"/>
  <c r="C1354" i="2"/>
  <c r="F1354" i="2" s="1"/>
  <c r="C1355" i="2" l="1"/>
  <c r="F1355" i="2" s="1"/>
  <c r="D1355" i="2"/>
  <c r="E1355" i="2" s="1"/>
  <c r="C1356" i="2" l="1"/>
  <c r="F1356" i="2" s="1"/>
  <c r="D1356" i="2"/>
  <c r="E1356" i="2" s="1"/>
  <c r="C1357" i="2" l="1"/>
  <c r="F1357" i="2" s="1"/>
  <c r="D1357" i="2"/>
  <c r="E1357" i="2" s="1"/>
  <c r="D1358" i="2" l="1"/>
  <c r="E1358" i="2" s="1"/>
  <c r="C1358" i="2"/>
  <c r="F1358" i="2" s="1"/>
  <c r="C1359" i="2" l="1"/>
  <c r="F1359" i="2" s="1"/>
  <c r="D1359" i="2"/>
  <c r="E1359" i="2" s="1"/>
  <c r="C1360" i="2" l="1"/>
  <c r="F1360" i="2" s="1"/>
  <c r="D1360" i="2"/>
  <c r="E1360" i="2" s="1"/>
  <c r="C1361" i="2" l="1"/>
  <c r="F1361" i="2" s="1"/>
  <c r="D1361" i="2"/>
  <c r="E1361" i="2" s="1"/>
  <c r="C1362" i="2" l="1"/>
  <c r="F1362" i="2" s="1"/>
  <c r="D1362" i="2"/>
  <c r="E1362" i="2" s="1"/>
  <c r="C1363" i="2" l="1"/>
  <c r="F1363" i="2" s="1"/>
  <c r="D1363" i="2"/>
  <c r="E1363" i="2" s="1"/>
  <c r="C1364" i="2" l="1"/>
  <c r="F1364" i="2" s="1"/>
  <c r="D1364" i="2"/>
  <c r="E1364" i="2" s="1"/>
  <c r="C1365" i="2" l="1"/>
  <c r="F1365" i="2" s="1"/>
  <c r="D1365" i="2"/>
  <c r="E1365" i="2" s="1"/>
  <c r="D1366" i="2" l="1"/>
  <c r="E1366" i="2" s="1"/>
  <c r="C1366" i="2"/>
  <c r="F1366" i="2" s="1"/>
  <c r="C1367" i="2" l="1"/>
  <c r="F1367" i="2" s="1"/>
  <c r="D1367" i="2"/>
  <c r="E1367" i="2" s="1"/>
  <c r="C1368" i="2" l="1"/>
  <c r="F1368" i="2" s="1"/>
  <c r="D1368" i="2"/>
  <c r="E1368" i="2" s="1"/>
  <c r="D1369" i="2" l="1"/>
  <c r="E1369" i="2" s="1"/>
  <c r="C1369" i="2"/>
  <c r="F1369" i="2" s="1"/>
  <c r="C1370" i="2" l="1"/>
  <c r="F1370" i="2" s="1"/>
  <c r="D1370" i="2"/>
  <c r="E1370" i="2" s="1"/>
  <c r="C1371" i="2" l="1"/>
  <c r="F1371" i="2" s="1"/>
  <c r="D1371" i="2"/>
  <c r="E1371" i="2" s="1"/>
  <c r="C1372" i="2" l="1"/>
  <c r="F1372" i="2" s="1"/>
  <c r="D1372" i="2"/>
  <c r="E1372" i="2" s="1"/>
  <c r="C1373" i="2" l="1"/>
  <c r="F1373" i="2" s="1"/>
  <c r="D1373" i="2"/>
  <c r="E1373" i="2" s="1"/>
  <c r="D1374" i="2" l="1"/>
  <c r="E1374" i="2" s="1"/>
  <c r="C1374" i="2"/>
  <c r="F1374" i="2" s="1"/>
  <c r="C1375" i="2" l="1"/>
  <c r="F1375" i="2" s="1"/>
  <c r="D1375" i="2"/>
  <c r="E1375" i="2" s="1"/>
  <c r="C1376" i="2" l="1"/>
  <c r="F1376" i="2" s="1"/>
  <c r="D1376" i="2"/>
  <c r="E1376" i="2" s="1"/>
  <c r="C1377" i="2" l="1"/>
  <c r="F1377" i="2" s="1"/>
  <c r="D1377" i="2"/>
  <c r="E1377" i="2" s="1"/>
  <c r="C1378" i="2" l="1"/>
  <c r="F1378" i="2" s="1"/>
  <c r="D1378" i="2"/>
  <c r="E1378" i="2" s="1"/>
  <c r="C1379" i="2" l="1"/>
  <c r="F1379" i="2" s="1"/>
  <c r="D1379" i="2"/>
  <c r="E1379" i="2" s="1"/>
  <c r="C1380" i="2" l="1"/>
  <c r="F1380" i="2" s="1"/>
  <c r="D1380" i="2"/>
  <c r="E1380" i="2" s="1"/>
  <c r="C1381" i="2" l="1"/>
  <c r="F1381" i="2" s="1"/>
  <c r="D1381" i="2"/>
  <c r="E1381" i="2" s="1"/>
  <c r="D1382" i="2" l="1"/>
  <c r="E1382" i="2" s="1"/>
  <c r="C1382" i="2"/>
  <c r="F1382" i="2" s="1"/>
  <c r="C1383" i="2" l="1"/>
  <c r="F1383" i="2" s="1"/>
  <c r="D1383" i="2"/>
  <c r="E1383" i="2" s="1"/>
  <c r="C1384" i="2" l="1"/>
  <c r="F1384" i="2" s="1"/>
  <c r="D1384" i="2"/>
  <c r="E1384" i="2" s="1"/>
  <c r="C1385" i="2" l="1"/>
  <c r="F1385" i="2" s="1"/>
  <c r="D1385" i="2"/>
  <c r="E1385" i="2" s="1"/>
  <c r="D1386" i="2" l="1"/>
  <c r="E1386" i="2" s="1"/>
  <c r="C1386" i="2"/>
  <c r="F1386" i="2" s="1"/>
  <c r="C1387" i="2" l="1"/>
  <c r="F1387" i="2" s="1"/>
  <c r="D1387" i="2"/>
  <c r="E1387" i="2" s="1"/>
  <c r="C1388" i="2" l="1"/>
  <c r="F1388" i="2" s="1"/>
  <c r="D1388" i="2"/>
  <c r="E1388" i="2" s="1"/>
  <c r="C1389" i="2" l="1"/>
  <c r="F1389" i="2" s="1"/>
  <c r="D1389" i="2"/>
  <c r="E1389" i="2" s="1"/>
  <c r="D1390" i="2" l="1"/>
  <c r="E1390" i="2" s="1"/>
  <c r="C1390" i="2"/>
  <c r="F1390" i="2" s="1"/>
  <c r="C1391" i="2" l="1"/>
  <c r="F1391" i="2" s="1"/>
  <c r="D1391" i="2"/>
  <c r="E1391" i="2" s="1"/>
  <c r="C1392" i="2" l="1"/>
  <c r="F1392" i="2" s="1"/>
  <c r="D1392" i="2"/>
  <c r="E1392" i="2" s="1"/>
  <c r="C1393" i="2" l="1"/>
  <c r="F1393" i="2" s="1"/>
  <c r="D1393" i="2"/>
  <c r="E1393" i="2" s="1"/>
  <c r="C1394" i="2" l="1"/>
  <c r="F1394" i="2" s="1"/>
  <c r="D1394" i="2"/>
  <c r="E1394" i="2" s="1"/>
  <c r="C1395" i="2" l="1"/>
  <c r="F1395" i="2" s="1"/>
  <c r="D1395" i="2"/>
  <c r="E1395" i="2" s="1"/>
  <c r="C1396" i="2" l="1"/>
  <c r="F1396" i="2" s="1"/>
  <c r="D1396" i="2"/>
  <c r="E1396" i="2" s="1"/>
  <c r="C1397" i="2" l="1"/>
  <c r="F1397" i="2" s="1"/>
  <c r="D1397" i="2"/>
  <c r="E1397" i="2" s="1"/>
  <c r="D1398" i="2" l="1"/>
  <c r="E1398" i="2" s="1"/>
  <c r="C1398" i="2"/>
  <c r="F1398" i="2" s="1"/>
  <c r="C1399" i="2" l="1"/>
  <c r="F1399" i="2" s="1"/>
  <c r="D1399" i="2"/>
  <c r="E1399" i="2" s="1"/>
  <c r="C1400" i="2" l="1"/>
  <c r="F1400" i="2" s="1"/>
  <c r="D1400" i="2"/>
  <c r="E1400" i="2" s="1"/>
  <c r="C1401" i="2" l="1"/>
  <c r="F1401" i="2" s="1"/>
  <c r="D1401" i="2"/>
  <c r="E1401" i="2" s="1"/>
  <c r="D1402" i="2" l="1"/>
  <c r="E1402" i="2" s="1"/>
  <c r="C1402" i="2"/>
  <c r="F1402" i="2" s="1"/>
  <c r="C1403" i="2" l="1"/>
  <c r="F1403" i="2" s="1"/>
  <c r="D1403" i="2"/>
  <c r="E1403" i="2" s="1"/>
  <c r="C1404" i="2" l="1"/>
  <c r="F1404" i="2" s="1"/>
  <c r="D1404" i="2"/>
  <c r="E1404" i="2" s="1"/>
  <c r="C1405" i="2" l="1"/>
  <c r="F1405" i="2" s="1"/>
  <c r="D1405" i="2"/>
  <c r="E1405" i="2" s="1"/>
  <c r="D1406" i="2" l="1"/>
  <c r="E1406" i="2" s="1"/>
  <c r="C1406" i="2"/>
  <c r="F1406" i="2" s="1"/>
  <c r="C1407" i="2" l="1"/>
  <c r="F1407" i="2" s="1"/>
  <c r="D1407" i="2"/>
  <c r="E1407" i="2" s="1"/>
  <c r="C1408" i="2" l="1"/>
  <c r="F1408" i="2" s="1"/>
  <c r="D1408" i="2"/>
  <c r="E1408" i="2" s="1"/>
  <c r="C1409" i="2" l="1"/>
  <c r="F1409" i="2" s="1"/>
  <c r="D1409" i="2"/>
  <c r="E1409" i="2" s="1"/>
  <c r="C1410" i="2" l="1"/>
  <c r="F1410" i="2" s="1"/>
  <c r="D1410" i="2"/>
  <c r="E1410" i="2" s="1"/>
  <c r="C1411" i="2" l="1"/>
  <c r="F1411" i="2" s="1"/>
  <c r="D1411" i="2"/>
  <c r="E1411" i="2" s="1"/>
  <c r="C1412" i="2" l="1"/>
  <c r="F1412" i="2" s="1"/>
  <c r="D1412" i="2"/>
  <c r="E1412" i="2" s="1"/>
  <c r="C1413" i="2" l="1"/>
  <c r="F1413" i="2" s="1"/>
  <c r="D1413" i="2"/>
  <c r="E1413" i="2" s="1"/>
  <c r="D1414" i="2" l="1"/>
  <c r="E1414" i="2" s="1"/>
  <c r="C1414" i="2"/>
  <c r="F1414" i="2" s="1"/>
  <c r="C1415" i="2" l="1"/>
  <c r="F1415" i="2" s="1"/>
  <c r="D1415" i="2"/>
  <c r="E1415" i="2" s="1"/>
  <c r="C1416" i="2" l="1"/>
  <c r="F1416" i="2" s="1"/>
  <c r="D1416" i="2"/>
  <c r="E1416" i="2" s="1"/>
  <c r="C1417" i="2" l="1"/>
  <c r="F1417" i="2" s="1"/>
  <c r="D1417" i="2"/>
  <c r="E1417" i="2" s="1"/>
  <c r="D1418" i="2" l="1"/>
  <c r="E1418" i="2" s="1"/>
  <c r="C1418" i="2"/>
  <c r="F1418" i="2" s="1"/>
  <c r="C1419" i="2" l="1"/>
  <c r="F1419" i="2" s="1"/>
  <c r="D1419" i="2"/>
  <c r="E1419" i="2" s="1"/>
  <c r="C1420" i="2" l="1"/>
  <c r="F1420" i="2" s="1"/>
  <c r="D1420" i="2"/>
  <c r="E1420" i="2" s="1"/>
  <c r="C1421" i="2" l="1"/>
  <c r="F1421" i="2" s="1"/>
  <c r="D1421" i="2"/>
  <c r="E1421" i="2" s="1"/>
  <c r="D1422" i="2" l="1"/>
  <c r="E1422" i="2" s="1"/>
  <c r="C1422" i="2"/>
  <c r="F1422" i="2" s="1"/>
  <c r="C1423" i="2" l="1"/>
  <c r="F1423" i="2" s="1"/>
  <c r="D1423" i="2"/>
  <c r="E1423" i="2" s="1"/>
  <c r="C1424" i="2" l="1"/>
  <c r="F1424" i="2" s="1"/>
  <c r="D1424" i="2"/>
  <c r="E1424" i="2" s="1"/>
  <c r="C1425" i="2" l="1"/>
  <c r="F1425" i="2" s="1"/>
  <c r="D1425" i="2"/>
  <c r="E1425" i="2" s="1"/>
  <c r="C1426" i="2" l="1"/>
  <c r="F1426" i="2" s="1"/>
  <c r="D1426" i="2"/>
  <c r="E1426" i="2" s="1"/>
  <c r="C1427" i="2" l="1"/>
  <c r="F1427" i="2" s="1"/>
  <c r="D1427" i="2"/>
  <c r="E1427" i="2" s="1"/>
  <c r="C1428" i="2" l="1"/>
  <c r="F1428" i="2" s="1"/>
  <c r="D1428" i="2"/>
  <c r="E1428" i="2" s="1"/>
  <c r="C1429" i="2" l="1"/>
  <c r="F1429" i="2" s="1"/>
  <c r="D1429" i="2"/>
  <c r="E1429" i="2" s="1"/>
  <c r="D1430" i="2" l="1"/>
  <c r="E1430" i="2" s="1"/>
  <c r="C1430" i="2"/>
  <c r="F1430" i="2" s="1"/>
  <c r="C1431" i="2" l="1"/>
  <c r="F1431" i="2" s="1"/>
  <c r="D1431" i="2"/>
  <c r="E1431" i="2" s="1"/>
  <c r="C1432" i="2" l="1"/>
  <c r="F1432" i="2" s="1"/>
  <c r="D1432" i="2"/>
  <c r="E1432" i="2" s="1"/>
  <c r="C1433" i="2" l="1"/>
  <c r="F1433" i="2" s="1"/>
  <c r="D1433" i="2"/>
  <c r="E1433" i="2" s="1"/>
  <c r="D1434" i="2" l="1"/>
  <c r="E1434" i="2" s="1"/>
  <c r="C1434" i="2"/>
  <c r="F1434" i="2" s="1"/>
  <c r="C1435" i="2" l="1"/>
  <c r="F1435" i="2" s="1"/>
  <c r="D1435" i="2"/>
  <c r="E1435" i="2" s="1"/>
  <c r="C1436" i="2" l="1"/>
  <c r="F1436" i="2" s="1"/>
  <c r="D1436" i="2"/>
  <c r="E1436" i="2" s="1"/>
  <c r="C1437" i="2" l="1"/>
  <c r="F1437" i="2" s="1"/>
  <c r="D1437" i="2"/>
  <c r="E1437" i="2" s="1"/>
  <c r="D1438" i="2" l="1"/>
  <c r="E1438" i="2" s="1"/>
  <c r="C1438" i="2"/>
  <c r="F1438" i="2" s="1"/>
  <c r="C1439" i="2" l="1"/>
  <c r="F1439" i="2" s="1"/>
  <c r="D1439" i="2"/>
  <c r="E1439" i="2" s="1"/>
  <c r="C1440" i="2" l="1"/>
  <c r="F1440" i="2" s="1"/>
  <c r="D1440" i="2"/>
  <c r="E1440" i="2" s="1"/>
  <c r="C1441" i="2" l="1"/>
  <c r="F1441" i="2" s="1"/>
  <c r="D1441" i="2"/>
  <c r="E1441" i="2" s="1"/>
  <c r="C1442" i="2" l="1"/>
  <c r="F1442" i="2" s="1"/>
  <c r="D1442" i="2"/>
  <c r="E1442" i="2" s="1"/>
  <c r="C1443" i="2" l="1"/>
  <c r="F1443" i="2" s="1"/>
  <c r="D1443" i="2"/>
  <c r="E1443" i="2" s="1"/>
  <c r="C1444" i="2" l="1"/>
  <c r="F1444" i="2" s="1"/>
  <c r="D1444" i="2"/>
  <c r="E1444" i="2" s="1"/>
  <c r="C1445" i="2" l="1"/>
  <c r="F1445" i="2" s="1"/>
  <c r="D1445" i="2"/>
  <c r="E1445" i="2" s="1"/>
  <c r="D1446" i="2" l="1"/>
  <c r="E1446" i="2" s="1"/>
  <c r="C1446" i="2"/>
  <c r="F1446" i="2" s="1"/>
  <c r="C1447" i="2" l="1"/>
  <c r="F1447" i="2" s="1"/>
  <c r="D1447" i="2"/>
  <c r="E1447" i="2" s="1"/>
  <c r="C1448" i="2" l="1"/>
  <c r="F1448" i="2" s="1"/>
  <c r="D1448" i="2"/>
  <c r="E1448" i="2" s="1"/>
  <c r="C1449" i="2" l="1"/>
  <c r="F1449" i="2" s="1"/>
  <c r="D1449" i="2"/>
  <c r="E1449" i="2" s="1"/>
  <c r="C1450" i="2" l="1"/>
  <c r="F1450" i="2" s="1"/>
  <c r="D1450" i="2"/>
  <c r="E1450" i="2" s="1"/>
  <c r="D1451" i="2" l="1"/>
  <c r="E1451" i="2" s="1"/>
  <c r="C1451" i="2"/>
  <c r="F1451" i="2" s="1"/>
  <c r="C1452" i="2" l="1"/>
  <c r="F1452" i="2" s="1"/>
  <c r="D1452" i="2"/>
  <c r="E1452" i="2" s="1"/>
  <c r="C1453" i="2" l="1"/>
  <c r="F1453" i="2" s="1"/>
  <c r="D1453" i="2"/>
  <c r="E1453" i="2" s="1"/>
  <c r="C1454" i="2" l="1"/>
  <c r="F1454" i="2" s="1"/>
  <c r="D1454" i="2"/>
  <c r="E1454" i="2" s="1"/>
  <c r="C1455" i="2" l="1"/>
  <c r="F1455" i="2" s="1"/>
  <c r="D1455" i="2"/>
  <c r="E1455" i="2" s="1"/>
  <c r="C1456" i="2" l="1"/>
  <c r="F1456" i="2" s="1"/>
  <c r="D1456" i="2"/>
  <c r="E1456" i="2" s="1"/>
  <c r="C1457" i="2" l="1"/>
  <c r="F1457" i="2" s="1"/>
  <c r="D1457" i="2"/>
  <c r="E1457" i="2" s="1"/>
  <c r="C1458" i="2" l="1"/>
  <c r="F1458" i="2" s="1"/>
  <c r="D1458" i="2"/>
  <c r="E1458" i="2" s="1"/>
  <c r="D1459" i="2" l="1"/>
  <c r="E1459" i="2" s="1"/>
  <c r="C1459" i="2"/>
  <c r="F1459" i="2" s="1"/>
  <c r="C1460" i="2" l="1"/>
  <c r="F1460" i="2" s="1"/>
  <c r="D1460" i="2"/>
  <c r="E1460" i="2" s="1"/>
  <c r="C1461" i="2" l="1"/>
  <c r="F1461" i="2" s="1"/>
  <c r="D1461" i="2"/>
  <c r="E1461" i="2" s="1"/>
  <c r="C1462" i="2" l="1"/>
  <c r="F1462" i="2" s="1"/>
  <c r="D1462" i="2"/>
  <c r="E1462" i="2" s="1"/>
  <c r="C1463" i="2" l="1"/>
  <c r="F1463" i="2" s="1"/>
  <c r="D1463" i="2"/>
  <c r="E1463" i="2" s="1"/>
  <c r="C1464" i="2" l="1"/>
  <c r="F1464" i="2" s="1"/>
  <c r="D1464" i="2"/>
  <c r="E1464" i="2" s="1"/>
  <c r="C1465" i="2" l="1"/>
  <c r="F1465" i="2" s="1"/>
  <c r="D1465" i="2"/>
  <c r="E1465" i="2" s="1"/>
  <c r="C1466" i="2" l="1"/>
  <c r="F1466" i="2" s="1"/>
  <c r="D1466" i="2"/>
  <c r="E1466" i="2" s="1"/>
  <c r="C1467" i="2" l="1"/>
  <c r="F1467" i="2" s="1"/>
  <c r="D1467" i="2"/>
  <c r="E1467" i="2" s="1"/>
  <c r="C1468" i="2" l="1"/>
  <c r="F1468" i="2" s="1"/>
  <c r="D1468" i="2"/>
  <c r="E1468" i="2" s="1"/>
  <c r="D1469" i="2" l="1"/>
  <c r="E1469" i="2" s="1"/>
  <c r="C1469" i="2"/>
  <c r="F1469" i="2" s="1"/>
  <c r="C1470" i="2" l="1"/>
  <c r="F1470" i="2" s="1"/>
  <c r="D1470" i="2"/>
  <c r="E1470" i="2" s="1"/>
  <c r="C1471" i="2" l="1"/>
  <c r="F1471" i="2" s="1"/>
  <c r="D1471" i="2"/>
  <c r="E1471" i="2" s="1"/>
  <c r="C1472" i="2" l="1"/>
  <c r="F1472" i="2" s="1"/>
  <c r="D1472" i="2"/>
  <c r="E1472" i="2" s="1"/>
  <c r="C1473" i="2" l="1"/>
  <c r="F1473" i="2" s="1"/>
  <c r="D1473" i="2"/>
  <c r="E1473" i="2" s="1"/>
  <c r="D1474" i="2" l="1"/>
  <c r="E1474" i="2" s="1"/>
  <c r="C1474" i="2"/>
  <c r="F1474" i="2" s="1"/>
  <c r="C1475" i="2" l="1"/>
  <c r="F1475" i="2" s="1"/>
  <c r="D1475" i="2"/>
  <c r="E1475" i="2" s="1"/>
  <c r="C1476" i="2" l="1"/>
  <c r="F1476" i="2" s="1"/>
  <c r="D1476" i="2"/>
  <c r="E1476" i="2" s="1"/>
  <c r="C1477" i="2" l="1"/>
  <c r="F1477" i="2" s="1"/>
  <c r="D1477" i="2"/>
  <c r="E1477" i="2" s="1"/>
  <c r="D1478" i="2" l="1"/>
  <c r="E1478" i="2" s="1"/>
  <c r="C1478" i="2"/>
  <c r="F1478" i="2" s="1"/>
  <c r="C1479" i="2" l="1"/>
  <c r="F1479" i="2" s="1"/>
  <c r="D1479" i="2"/>
  <c r="E1479" i="2" s="1"/>
  <c r="C1480" i="2" l="1"/>
  <c r="F1480" i="2" s="1"/>
  <c r="D1480" i="2"/>
  <c r="E1480" i="2" s="1"/>
  <c r="C1481" i="2" l="1"/>
  <c r="F1481" i="2" s="1"/>
  <c r="D1481" i="2"/>
  <c r="E1481" i="2" s="1"/>
  <c r="D1482" i="2" l="1"/>
  <c r="E1482" i="2" s="1"/>
  <c r="C1482" i="2"/>
  <c r="F1482" i="2" s="1"/>
  <c r="D1483" i="2" l="1"/>
  <c r="E1483" i="2" s="1"/>
  <c r="C1483" i="2"/>
  <c r="F1483" i="2" s="1"/>
  <c r="C1484" i="2" l="1"/>
  <c r="F1484" i="2" s="1"/>
  <c r="D1484" i="2"/>
  <c r="E1484" i="2" s="1"/>
  <c r="D1485" i="2" l="1"/>
  <c r="E1485" i="2" s="1"/>
  <c r="C1485" i="2"/>
  <c r="F1485" i="2" s="1"/>
  <c r="C1486" i="2" l="1"/>
  <c r="F1486" i="2" s="1"/>
  <c r="D1486" i="2"/>
  <c r="E1486" i="2" s="1"/>
  <c r="C1487" i="2" l="1"/>
  <c r="F1487" i="2" s="1"/>
  <c r="D1487" i="2"/>
  <c r="E1487" i="2" s="1"/>
  <c r="C1488" i="2" l="1"/>
  <c r="F1488" i="2" s="1"/>
  <c r="D1488" i="2"/>
  <c r="E1488" i="2" s="1"/>
  <c r="C1489" i="2" l="1"/>
  <c r="F1489" i="2" s="1"/>
  <c r="D1489" i="2"/>
  <c r="E1489" i="2" s="1"/>
  <c r="D1490" i="2" l="1"/>
  <c r="E1490" i="2" s="1"/>
  <c r="C1490" i="2"/>
  <c r="F1490" i="2" s="1"/>
  <c r="D1491" i="2" l="1"/>
  <c r="E1491" i="2" s="1"/>
  <c r="C1491" i="2"/>
  <c r="F1491" i="2" s="1"/>
  <c r="C1492" i="2" l="1"/>
  <c r="F1492" i="2" s="1"/>
  <c r="D1492" i="2"/>
  <c r="E1492" i="2" s="1"/>
  <c r="C1493" i="2" l="1"/>
  <c r="F1493" i="2" s="1"/>
  <c r="D1493" i="2"/>
  <c r="E1493" i="2" s="1"/>
  <c r="C1494" i="2" l="1"/>
  <c r="F1494" i="2" s="1"/>
  <c r="D1494" i="2"/>
  <c r="E1494" i="2" s="1"/>
  <c r="C1495" i="2" l="1"/>
  <c r="F1495" i="2" s="1"/>
  <c r="D1495" i="2"/>
  <c r="E1495" i="2" s="1"/>
  <c r="C1496" i="2" l="1"/>
  <c r="F1496" i="2" s="1"/>
  <c r="D1496" i="2"/>
  <c r="E1496" i="2" s="1"/>
  <c r="C1497" i="2" l="1"/>
  <c r="F1497" i="2" s="1"/>
  <c r="D1497" i="2"/>
  <c r="E1497" i="2" s="1"/>
  <c r="D1498" i="2" l="1"/>
  <c r="E1498" i="2" s="1"/>
  <c r="C1498" i="2"/>
  <c r="F1498" i="2" s="1"/>
  <c r="D1499" i="2" l="1"/>
  <c r="E1499" i="2" s="1"/>
  <c r="C1499" i="2"/>
  <c r="F1499" i="2" s="1"/>
  <c r="C1500" i="2" l="1"/>
  <c r="F1500" i="2" s="1"/>
  <c r="D1500" i="2"/>
  <c r="E1500" i="2" s="1"/>
  <c r="D1501" i="2" l="1"/>
  <c r="E1501" i="2" s="1"/>
  <c r="C1501" i="2"/>
  <c r="F1501" i="2" s="1"/>
  <c r="D1502" i="2" l="1"/>
  <c r="E1502" i="2" s="1"/>
  <c r="C1502" i="2"/>
  <c r="F1502" i="2" s="1"/>
  <c r="C1503" i="2" l="1"/>
  <c r="F1503" i="2" s="1"/>
  <c r="D1503" i="2"/>
  <c r="E1503" i="2" s="1"/>
  <c r="D1504" i="2" l="1"/>
  <c r="E1504" i="2" s="1"/>
  <c r="C1504" i="2"/>
  <c r="F1504" i="2" s="1"/>
  <c r="C1505" i="2" l="1"/>
  <c r="F1505" i="2" s="1"/>
  <c r="D1505" i="2"/>
  <c r="E1505" i="2" s="1"/>
  <c r="D1506" i="2" l="1"/>
  <c r="E1506" i="2" s="1"/>
  <c r="C1506" i="2"/>
  <c r="F1506" i="2" s="1"/>
  <c r="D1507" i="2" l="1"/>
  <c r="E1507" i="2" s="1"/>
  <c r="C1507" i="2"/>
  <c r="F1507" i="2" s="1"/>
  <c r="D1508" i="2" l="1"/>
  <c r="E1508" i="2" s="1"/>
  <c r="C1508" i="2"/>
  <c r="F1508" i="2" s="1"/>
  <c r="C1509" i="2" l="1"/>
  <c r="F1509" i="2" s="1"/>
  <c r="D1509" i="2"/>
  <c r="E1509" i="2" s="1"/>
  <c r="D1510" i="2" l="1"/>
  <c r="E1510" i="2" s="1"/>
  <c r="C1510" i="2"/>
  <c r="F1510" i="2" s="1"/>
  <c r="C1511" i="2" l="1"/>
  <c r="F1511" i="2" s="1"/>
  <c r="D1511" i="2"/>
  <c r="E1511" i="2" s="1"/>
  <c r="C1512" i="2" l="1"/>
  <c r="F1512" i="2" s="1"/>
  <c r="D1512" i="2"/>
  <c r="E1512" i="2" s="1"/>
  <c r="C1513" i="2" l="1"/>
  <c r="F1513" i="2" s="1"/>
  <c r="D1513" i="2"/>
  <c r="E1513" i="2" s="1"/>
  <c r="D1514" i="2" l="1"/>
  <c r="E1514" i="2" s="1"/>
  <c r="C1514" i="2"/>
  <c r="F1514" i="2" s="1"/>
  <c r="D1515" i="2" l="1"/>
  <c r="E1515" i="2" s="1"/>
  <c r="C1515" i="2"/>
  <c r="F1515" i="2" s="1"/>
  <c r="C1516" i="2" l="1"/>
  <c r="F1516" i="2" s="1"/>
  <c r="D1516" i="2"/>
  <c r="E1516" i="2" s="1"/>
  <c r="D1517" i="2" l="1"/>
  <c r="E1517" i="2" s="1"/>
  <c r="C1517" i="2"/>
  <c r="F1517" i="2" s="1"/>
  <c r="D1518" i="2" l="1"/>
  <c r="E1518" i="2" s="1"/>
  <c r="C1518" i="2"/>
  <c r="F1518" i="2" s="1"/>
  <c r="C1519" i="2" l="1"/>
  <c r="F1519" i="2" s="1"/>
  <c r="D1519" i="2"/>
  <c r="E1519" i="2" s="1"/>
  <c r="C1520" i="2" l="1"/>
  <c r="F1520" i="2" s="1"/>
  <c r="D1520" i="2"/>
  <c r="E1520" i="2" s="1"/>
  <c r="C1521" i="2" l="1"/>
  <c r="F1521" i="2" s="1"/>
  <c r="D1521" i="2"/>
  <c r="E1521" i="2" s="1"/>
  <c r="D1522" i="2" l="1"/>
  <c r="E1522" i="2" s="1"/>
  <c r="C1522" i="2"/>
  <c r="F1522" i="2" s="1"/>
  <c r="C1523" i="2" l="1"/>
  <c r="F1523" i="2" s="1"/>
  <c r="D1523" i="2"/>
  <c r="E1523" i="2" s="1"/>
  <c r="C1524" i="2" l="1"/>
  <c r="F1524" i="2" s="1"/>
  <c r="D1524" i="2"/>
  <c r="E1524" i="2" s="1"/>
  <c r="C1525" i="2" l="1"/>
  <c r="F1525" i="2" s="1"/>
  <c r="D1525" i="2"/>
  <c r="E1525" i="2" s="1"/>
  <c r="C1526" i="2" l="1"/>
  <c r="F1526" i="2" s="1"/>
  <c r="D1526" i="2"/>
  <c r="E1526" i="2" s="1"/>
  <c r="C1527" i="2" l="1"/>
  <c r="F1527" i="2" s="1"/>
  <c r="D1527" i="2"/>
  <c r="E1527" i="2" s="1"/>
  <c r="C1528" i="2" l="1"/>
  <c r="F1528" i="2" s="1"/>
  <c r="D1528" i="2"/>
  <c r="E1528" i="2" s="1"/>
  <c r="C1529" i="2" l="1"/>
  <c r="F1529" i="2" s="1"/>
  <c r="D1529" i="2"/>
  <c r="E1529" i="2" s="1"/>
  <c r="D1530" i="2" l="1"/>
  <c r="E1530" i="2" s="1"/>
  <c r="C1530" i="2"/>
  <c r="F1530" i="2" s="1"/>
  <c r="D1531" i="2" l="1"/>
  <c r="E1531" i="2" s="1"/>
  <c r="C1531" i="2"/>
  <c r="F1531" i="2" s="1"/>
  <c r="C1532" i="2" l="1"/>
  <c r="F1532" i="2" s="1"/>
  <c r="D1532" i="2"/>
  <c r="E1532" i="2" s="1"/>
  <c r="D1533" i="2" l="1"/>
  <c r="E1533" i="2" s="1"/>
  <c r="C1533" i="2"/>
  <c r="F1533" i="2" s="1"/>
  <c r="C1534" i="2" l="1"/>
  <c r="F1534" i="2" s="1"/>
  <c r="D1534" i="2"/>
  <c r="E1534" i="2" s="1"/>
  <c r="C1535" i="2" l="1"/>
  <c r="F1535" i="2" s="1"/>
  <c r="D1535" i="2"/>
  <c r="E1535" i="2" s="1"/>
  <c r="D1536" i="2" l="1"/>
  <c r="E1536" i="2" s="1"/>
  <c r="C1536" i="2"/>
  <c r="F1536" i="2" s="1"/>
  <c r="C1537" i="2" l="1"/>
  <c r="F1537" i="2" s="1"/>
  <c r="D1537" i="2"/>
  <c r="E1537" i="2" s="1"/>
  <c r="D1538" i="2" l="1"/>
  <c r="E1538" i="2" s="1"/>
  <c r="C1538" i="2"/>
  <c r="F1538" i="2" s="1"/>
  <c r="C1539" i="2" l="1"/>
  <c r="F1539" i="2" s="1"/>
  <c r="D1539" i="2"/>
  <c r="E1539" i="2" s="1"/>
  <c r="C1540" i="2" l="1"/>
  <c r="F1540" i="2" s="1"/>
  <c r="D1540" i="2"/>
  <c r="E1540" i="2" s="1"/>
  <c r="C1541" i="2" l="1"/>
  <c r="F1541" i="2" s="1"/>
  <c r="D1541" i="2"/>
  <c r="E1541" i="2" s="1"/>
  <c r="D1542" i="2" l="1"/>
  <c r="E1542" i="2" s="1"/>
  <c r="C1542" i="2"/>
  <c r="F1542" i="2" s="1"/>
  <c r="C1543" i="2" l="1"/>
  <c r="F1543" i="2" s="1"/>
  <c r="D1543" i="2"/>
  <c r="E1543" i="2" s="1"/>
  <c r="C1544" i="2" l="1"/>
  <c r="F1544" i="2" s="1"/>
  <c r="D1544" i="2"/>
  <c r="E1544" i="2" s="1"/>
  <c r="C1545" i="2" l="1"/>
  <c r="F1545" i="2" s="1"/>
  <c r="D1545" i="2"/>
  <c r="E1545" i="2" s="1"/>
  <c r="D1546" i="2" l="1"/>
  <c r="E1546" i="2" s="1"/>
  <c r="C1546" i="2"/>
  <c r="F1546" i="2" s="1"/>
  <c r="C1547" i="2" l="1"/>
  <c r="F1547" i="2" s="1"/>
  <c r="D1547" i="2"/>
  <c r="E1547" i="2" s="1"/>
  <c r="C1548" i="2" l="1"/>
  <c r="F1548" i="2" s="1"/>
  <c r="D1548" i="2"/>
  <c r="E1548" i="2" s="1"/>
  <c r="D1549" i="2" l="1"/>
  <c r="E1549" i="2" s="1"/>
  <c r="C1549" i="2"/>
  <c r="F1549" i="2" s="1"/>
  <c r="C1550" i="2" l="1"/>
  <c r="F1550" i="2" s="1"/>
  <c r="D1550" i="2"/>
  <c r="E1550" i="2" s="1"/>
  <c r="C1551" i="2" l="1"/>
  <c r="F1551" i="2" s="1"/>
  <c r="D1551" i="2"/>
  <c r="E1551" i="2" s="1"/>
  <c r="C1552" i="2" l="1"/>
  <c r="F1552" i="2" s="1"/>
  <c r="D1552" i="2"/>
  <c r="E1552" i="2" s="1"/>
  <c r="C1553" i="2" l="1"/>
  <c r="F1553" i="2" s="1"/>
  <c r="D1553" i="2"/>
  <c r="E1553" i="2" s="1"/>
  <c r="D1554" i="2" l="1"/>
  <c r="E1554" i="2" s="1"/>
  <c r="C1554" i="2"/>
  <c r="F1554" i="2" s="1"/>
  <c r="C1555" i="2" l="1"/>
  <c r="F1555" i="2" s="1"/>
  <c r="D1555" i="2"/>
  <c r="E1555" i="2" s="1"/>
  <c r="C1556" i="2" l="1"/>
  <c r="F1556" i="2" s="1"/>
  <c r="D1556" i="2"/>
  <c r="E1556" i="2" s="1"/>
  <c r="C1557" i="2" l="1"/>
  <c r="F1557" i="2" s="1"/>
  <c r="D1557" i="2"/>
  <c r="E1557" i="2" s="1"/>
  <c r="C1558" i="2" l="1"/>
  <c r="F1558" i="2" s="1"/>
  <c r="D1558" i="2"/>
  <c r="E1558" i="2" s="1"/>
  <c r="C1559" i="2" l="1"/>
  <c r="F1559" i="2" s="1"/>
  <c r="D1559" i="2"/>
  <c r="E1559" i="2" s="1"/>
  <c r="C1560" i="2" l="1"/>
  <c r="F1560" i="2" s="1"/>
  <c r="D1560" i="2"/>
  <c r="E1560" i="2" s="1"/>
  <c r="C1561" i="2" l="1"/>
  <c r="F1561" i="2" s="1"/>
  <c r="D1561" i="2"/>
  <c r="E1561" i="2" s="1"/>
  <c r="D1562" i="2" l="1"/>
  <c r="E1562" i="2" s="1"/>
  <c r="C1562" i="2"/>
  <c r="F1562" i="2" s="1"/>
  <c r="D1563" i="2" l="1"/>
  <c r="E1563" i="2" s="1"/>
  <c r="C1563" i="2"/>
  <c r="F1563" i="2" s="1"/>
  <c r="C1564" i="2" l="1"/>
  <c r="F1564" i="2" s="1"/>
  <c r="D1564" i="2"/>
  <c r="E1564" i="2" s="1"/>
  <c r="D1565" i="2" l="1"/>
  <c r="E1565" i="2" s="1"/>
  <c r="C1565" i="2"/>
  <c r="F1565" i="2" s="1"/>
  <c r="C1566" i="2" l="1"/>
  <c r="F1566" i="2" s="1"/>
  <c r="D1566" i="2"/>
  <c r="E1566" i="2" s="1"/>
  <c r="D1567" i="2" l="1"/>
  <c r="E1567" i="2" s="1"/>
  <c r="C1567" i="2"/>
  <c r="F1567" i="2" s="1"/>
  <c r="D1568" i="2" l="1"/>
  <c r="E1568" i="2" s="1"/>
  <c r="C1568" i="2"/>
  <c r="F1568" i="2" s="1"/>
  <c r="C1569" i="2" l="1"/>
  <c r="F1569" i="2" s="1"/>
  <c r="D1569" i="2"/>
  <c r="E1569" i="2" s="1"/>
  <c r="C1570" i="2" l="1"/>
  <c r="F1570" i="2" s="1"/>
  <c r="D1570" i="2"/>
  <c r="E1570" i="2" s="1"/>
  <c r="D1571" i="2" l="1"/>
  <c r="E1571" i="2" s="1"/>
  <c r="C1571" i="2"/>
  <c r="F1571" i="2" s="1"/>
  <c r="C1572" i="2" l="1"/>
  <c r="F1572" i="2" s="1"/>
  <c r="D1572" i="2"/>
  <c r="E1572" i="2" s="1"/>
  <c r="D1573" i="2" l="1"/>
  <c r="E1573" i="2" s="1"/>
  <c r="C1573" i="2"/>
  <c r="F1573" i="2" s="1"/>
  <c r="C1574" i="2" l="1"/>
  <c r="F1574" i="2" s="1"/>
  <c r="D1574" i="2"/>
  <c r="E1574" i="2" s="1"/>
  <c r="D1575" i="2" l="1"/>
  <c r="E1575" i="2" s="1"/>
  <c r="C1575" i="2"/>
  <c r="F1575" i="2" s="1"/>
  <c r="C1576" i="2" l="1"/>
  <c r="F1576" i="2" s="1"/>
  <c r="D1576" i="2"/>
  <c r="E1576" i="2" s="1"/>
  <c r="C1577" i="2" l="1"/>
  <c r="F1577" i="2" s="1"/>
  <c r="D1577" i="2"/>
  <c r="E1577" i="2" s="1"/>
  <c r="C1578" i="2" l="1"/>
  <c r="F1578" i="2" s="1"/>
  <c r="D1578" i="2"/>
  <c r="E1578" i="2" s="1"/>
  <c r="D1579" i="2" l="1"/>
  <c r="E1579" i="2" s="1"/>
  <c r="C1579" i="2"/>
  <c r="F1579" i="2" s="1"/>
  <c r="C1580" i="2" l="1"/>
  <c r="F1580" i="2" s="1"/>
  <c r="D1580" i="2"/>
  <c r="E1580" i="2" s="1"/>
  <c r="D1581" i="2" l="1"/>
  <c r="E1581" i="2" s="1"/>
  <c r="C1581" i="2"/>
  <c r="F1581" i="2" s="1"/>
  <c r="C1582" i="2" l="1"/>
  <c r="F1582" i="2" s="1"/>
  <c r="D1582" i="2"/>
  <c r="E1582" i="2" s="1"/>
  <c r="D1583" i="2" l="1"/>
  <c r="E1583" i="2" s="1"/>
  <c r="C1583" i="2"/>
  <c r="F1583" i="2" s="1"/>
  <c r="C1584" i="2" l="1"/>
  <c r="F1584" i="2" s="1"/>
  <c r="D1584" i="2"/>
  <c r="E1584" i="2" s="1"/>
  <c r="C1585" i="2" l="1"/>
  <c r="F1585" i="2" s="1"/>
  <c r="D1585" i="2"/>
  <c r="E1585" i="2" s="1"/>
  <c r="C1586" i="2" l="1"/>
  <c r="F1586" i="2" s="1"/>
  <c r="D1586" i="2"/>
  <c r="E1586" i="2" s="1"/>
  <c r="D1587" i="2" l="1"/>
  <c r="E1587" i="2" s="1"/>
  <c r="C1587" i="2"/>
  <c r="F1587" i="2" s="1"/>
  <c r="C1588" i="2" l="1"/>
  <c r="F1588" i="2" s="1"/>
  <c r="D1588" i="2"/>
  <c r="E1588" i="2" s="1"/>
  <c r="D1589" i="2" l="1"/>
  <c r="E1589" i="2" s="1"/>
  <c r="C1589" i="2"/>
  <c r="F1589" i="2" s="1"/>
  <c r="C1590" i="2" l="1"/>
  <c r="F1590" i="2" s="1"/>
  <c r="D1590" i="2"/>
  <c r="E1590" i="2" s="1"/>
  <c r="D1591" i="2" l="1"/>
  <c r="E1591" i="2" s="1"/>
  <c r="C1591" i="2"/>
  <c r="F1591" i="2" s="1"/>
  <c r="C1592" i="2" l="1"/>
  <c r="F1592" i="2" s="1"/>
  <c r="D1592" i="2"/>
  <c r="E1592" i="2" s="1"/>
  <c r="C1593" i="2" l="1"/>
  <c r="F1593" i="2" s="1"/>
  <c r="D1593" i="2"/>
  <c r="E1593" i="2" s="1"/>
  <c r="C1594" i="2" l="1"/>
  <c r="F1594" i="2" s="1"/>
  <c r="D1594" i="2"/>
  <c r="E1594" i="2" s="1"/>
  <c r="C1595" i="2" l="1"/>
  <c r="F1595" i="2" s="1"/>
  <c r="D1595" i="2"/>
  <c r="E1595" i="2" s="1"/>
  <c r="C1596" i="2" l="1"/>
  <c r="F1596" i="2" s="1"/>
  <c r="D1596" i="2"/>
  <c r="E1596" i="2" s="1"/>
  <c r="C1597" i="2" l="1"/>
  <c r="F1597" i="2" s="1"/>
  <c r="D1597" i="2"/>
  <c r="E1597" i="2" s="1"/>
  <c r="C1598" i="2" l="1"/>
  <c r="F1598" i="2" s="1"/>
  <c r="D1598" i="2"/>
  <c r="E1598" i="2" s="1"/>
  <c r="D1599" i="2" l="1"/>
  <c r="E1599" i="2" s="1"/>
  <c r="C1599" i="2"/>
  <c r="F1599" i="2" s="1"/>
  <c r="C1600" i="2" l="1"/>
  <c r="F1600" i="2" s="1"/>
  <c r="D1600" i="2"/>
  <c r="E1600" i="2" s="1"/>
  <c r="C1601" i="2" l="1"/>
  <c r="F1601" i="2" s="1"/>
  <c r="D1601" i="2"/>
  <c r="E1601" i="2" s="1"/>
  <c r="C1602" i="2" l="1"/>
  <c r="F1602" i="2" s="1"/>
  <c r="D1602" i="2"/>
  <c r="E1602" i="2" s="1"/>
  <c r="C1603" i="2" l="1"/>
  <c r="F1603" i="2" s="1"/>
  <c r="D1603" i="2"/>
  <c r="E1603" i="2" s="1"/>
  <c r="C1604" i="2" l="1"/>
  <c r="F1604" i="2" s="1"/>
  <c r="D1604" i="2"/>
  <c r="E1604" i="2" s="1"/>
  <c r="C1605" i="2" l="1"/>
  <c r="F1605" i="2" s="1"/>
  <c r="D1605" i="2"/>
  <c r="E1605" i="2" s="1"/>
  <c r="C1606" i="2" l="1"/>
  <c r="F1606" i="2" s="1"/>
  <c r="D1606" i="2"/>
  <c r="E1606" i="2" s="1"/>
  <c r="D1607" i="2" l="1"/>
  <c r="E1607" i="2" s="1"/>
  <c r="C1607" i="2"/>
  <c r="F1607" i="2" s="1"/>
  <c r="C1608" i="2" l="1"/>
  <c r="F1608" i="2" s="1"/>
  <c r="D1608" i="2"/>
  <c r="E1608" i="2" s="1"/>
  <c r="C1609" i="2" l="1"/>
  <c r="F1609" i="2" s="1"/>
  <c r="D1609" i="2"/>
  <c r="E1609" i="2" s="1"/>
  <c r="C1610" i="2" l="1"/>
  <c r="F1610" i="2" s="1"/>
  <c r="D1610" i="2"/>
  <c r="E1610" i="2" s="1"/>
  <c r="C1611" i="2" l="1"/>
  <c r="F1611" i="2" s="1"/>
  <c r="D1611" i="2"/>
  <c r="E1611" i="2" s="1"/>
  <c r="C1612" i="2" l="1"/>
  <c r="F1612" i="2" s="1"/>
  <c r="D1612" i="2"/>
  <c r="E1612" i="2" s="1"/>
  <c r="C1613" i="2" l="1"/>
  <c r="F1613" i="2" s="1"/>
  <c r="D1613" i="2"/>
  <c r="E1613" i="2" s="1"/>
  <c r="C1614" i="2" l="1"/>
  <c r="F1614" i="2" s="1"/>
  <c r="D1614" i="2"/>
  <c r="E1614" i="2" s="1"/>
  <c r="D1615" i="2" l="1"/>
  <c r="E1615" i="2" s="1"/>
  <c r="C1615" i="2"/>
  <c r="F1615" i="2" s="1"/>
  <c r="C1616" i="2" l="1"/>
  <c r="F1616" i="2" s="1"/>
  <c r="D1616" i="2"/>
  <c r="E1616" i="2" s="1"/>
  <c r="C1617" i="2" l="1"/>
  <c r="F1617" i="2" s="1"/>
  <c r="D1617" i="2"/>
  <c r="E1617" i="2" s="1"/>
  <c r="C1618" i="2" l="1"/>
  <c r="F1618" i="2" s="1"/>
  <c r="D1618" i="2"/>
  <c r="E1618" i="2" s="1"/>
  <c r="C1619" i="2" l="1"/>
  <c r="F1619" i="2" s="1"/>
  <c r="D1619" i="2"/>
  <c r="E1619" i="2" s="1"/>
  <c r="C1620" i="2" l="1"/>
  <c r="F1620" i="2" s="1"/>
  <c r="D1620" i="2"/>
  <c r="E1620" i="2" s="1"/>
  <c r="C1621" i="2" l="1"/>
  <c r="F1621" i="2" s="1"/>
  <c r="D1621" i="2"/>
  <c r="E1621" i="2" s="1"/>
  <c r="C1622" i="2" l="1"/>
  <c r="F1622" i="2" s="1"/>
  <c r="D1622" i="2"/>
  <c r="E1622" i="2" s="1"/>
  <c r="D1623" i="2" l="1"/>
  <c r="E1623" i="2" s="1"/>
  <c r="C1623" i="2"/>
  <c r="F1623" i="2" s="1"/>
  <c r="C1624" i="2" l="1"/>
  <c r="F1624" i="2" s="1"/>
  <c r="D1624" i="2"/>
  <c r="E1624" i="2" s="1"/>
  <c r="C1625" i="2" l="1"/>
  <c r="F1625" i="2" s="1"/>
  <c r="D1625" i="2"/>
  <c r="E1625" i="2" s="1"/>
  <c r="C1626" i="2" l="1"/>
  <c r="F1626" i="2" s="1"/>
  <c r="D1626" i="2"/>
  <c r="E1626" i="2" s="1"/>
  <c r="C1627" i="2" l="1"/>
  <c r="F1627" i="2" s="1"/>
  <c r="D1627" i="2"/>
  <c r="E1627" i="2" s="1"/>
  <c r="C1628" i="2" l="1"/>
  <c r="F1628" i="2" s="1"/>
  <c r="D1628" i="2"/>
  <c r="E1628" i="2" s="1"/>
  <c r="C1629" i="2" l="1"/>
  <c r="F1629" i="2" s="1"/>
  <c r="D1629" i="2"/>
  <c r="E1629" i="2" s="1"/>
  <c r="C1630" i="2" l="1"/>
  <c r="F1630" i="2" s="1"/>
  <c r="D1630" i="2"/>
  <c r="E1630" i="2" s="1"/>
  <c r="D1631" i="2" l="1"/>
  <c r="E1631" i="2" s="1"/>
  <c r="C1631" i="2"/>
  <c r="F1631" i="2" s="1"/>
  <c r="C1632" i="2" l="1"/>
  <c r="F1632" i="2" s="1"/>
  <c r="D1632" i="2"/>
  <c r="E1632" i="2" s="1"/>
  <c r="C1633" i="2" l="1"/>
  <c r="F1633" i="2" s="1"/>
  <c r="D1633" i="2"/>
  <c r="E1633" i="2" s="1"/>
  <c r="C1634" i="2" l="1"/>
  <c r="F1634" i="2" s="1"/>
  <c r="D1634" i="2"/>
  <c r="E1634" i="2" s="1"/>
  <c r="C1635" i="2" l="1"/>
  <c r="F1635" i="2" s="1"/>
  <c r="D1635" i="2"/>
  <c r="E1635" i="2" s="1"/>
  <c r="C1636" i="2" l="1"/>
  <c r="F1636" i="2" s="1"/>
  <c r="D1636" i="2"/>
  <c r="E1636" i="2" s="1"/>
  <c r="C1637" i="2" l="1"/>
  <c r="F1637" i="2" s="1"/>
  <c r="D1637" i="2"/>
  <c r="E1637" i="2" s="1"/>
  <c r="C1638" i="2" l="1"/>
  <c r="F1638" i="2" s="1"/>
  <c r="D1638" i="2"/>
  <c r="E1638" i="2" s="1"/>
  <c r="D1639" i="2" l="1"/>
  <c r="E1639" i="2" s="1"/>
  <c r="C1639" i="2"/>
  <c r="F1639" i="2" s="1"/>
  <c r="C1640" i="2" l="1"/>
  <c r="F1640" i="2" s="1"/>
  <c r="D1640" i="2"/>
  <c r="E1640" i="2" s="1"/>
  <c r="C1641" i="2" l="1"/>
  <c r="F1641" i="2" s="1"/>
  <c r="D1641" i="2"/>
  <c r="E1641" i="2" s="1"/>
  <c r="C1642" i="2" l="1"/>
  <c r="F1642" i="2" s="1"/>
  <c r="D1642" i="2"/>
  <c r="E1642" i="2" s="1"/>
  <c r="C1643" i="2" l="1"/>
  <c r="F1643" i="2" s="1"/>
  <c r="D1643" i="2"/>
  <c r="E1643" i="2" s="1"/>
  <c r="C1644" i="2" l="1"/>
  <c r="F1644" i="2" s="1"/>
  <c r="D1644" i="2"/>
  <c r="E1644" i="2" s="1"/>
  <c r="C1645" i="2" l="1"/>
  <c r="F1645" i="2" s="1"/>
  <c r="D1645" i="2"/>
  <c r="E1645" i="2" s="1"/>
  <c r="C1646" i="2" l="1"/>
  <c r="F1646" i="2" s="1"/>
  <c r="D1646" i="2"/>
  <c r="E1646" i="2" s="1"/>
  <c r="D1647" i="2" l="1"/>
  <c r="E1647" i="2" s="1"/>
  <c r="C1647" i="2"/>
  <c r="F1647" i="2" s="1"/>
  <c r="C1648" i="2" l="1"/>
  <c r="F1648" i="2" s="1"/>
  <c r="D1648" i="2"/>
  <c r="E1648" i="2" s="1"/>
  <c r="C1649" i="2" l="1"/>
  <c r="F1649" i="2" s="1"/>
  <c r="D1649" i="2"/>
  <c r="E1649" i="2" s="1"/>
  <c r="C1650" i="2" l="1"/>
  <c r="F1650" i="2" s="1"/>
  <c r="D1650" i="2"/>
  <c r="E1650" i="2" s="1"/>
  <c r="C1651" i="2" l="1"/>
  <c r="F1651" i="2" s="1"/>
  <c r="D1651" i="2"/>
  <c r="E1651" i="2" s="1"/>
  <c r="C1652" i="2" l="1"/>
  <c r="F1652" i="2" s="1"/>
  <c r="D1652" i="2"/>
  <c r="E1652" i="2" s="1"/>
  <c r="C1653" i="2" l="1"/>
  <c r="F1653" i="2" s="1"/>
  <c r="D1653" i="2"/>
  <c r="E1653" i="2" s="1"/>
  <c r="C1654" i="2" l="1"/>
  <c r="F1654" i="2" s="1"/>
  <c r="D1654" i="2"/>
  <c r="E1654" i="2" s="1"/>
  <c r="D1655" i="2" l="1"/>
  <c r="E1655" i="2" s="1"/>
  <c r="C1655" i="2"/>
  <c r="F1655" i="2" s="1"/>
  <c r="C1656" i="2" l="1"/>
  <c r="F1656" i="2" s="1"/>
  <c r="D1656" i="2"/>
  <c r="E1656" i="2" s="1"/>
  <c r="C1657" i="2" l="1"/>
  <c r="F1657" i="2" s="1"/>
  <c r="D1657" i="2"/>
  <c r="E1657" i="2" s="1"/>
  <c r="C1658" i="2" l="1"/>
  <c r="F1658" i="2" s="1"/>
  <c r="D1658" i="2"/>
  <c r="E1658" i="2" s="1"/>
  <c r="C1659" i="2" l="1"/>
  <c r="F1659" i="2" s="1"/>
  <c r="D1659" i="2"/>
  <c r="E1659" i="2" s="1"/>
  <c r="C1660" i="2" l="1"/>
  <c r="F1660" i="2" s="1"/>
  <c r="D1660" i="2"/>
  <c r="E1660" i="2" s="1"/>
  <c r="C1661" i="2" l="1"/>
  <c r="F1661" i="2" s="1"/>
  <c r="D1661" i="2"/>
  <c r="E1661" i="2" s="1"/>
  <c r="C1662" i="2" l="1"/>
  <c r="F1662" i="2" s="1"/>
  <c r="D1662" i="2"/>
  <c r="E1662" i="2" s="1"/>
  <c r="D1663" i="2" l="1"/>
  <c r="E1663" i="2" s="1"/>
  <c r="C1663" i="2"/>
  <c r="F1663" i="2" s="1"/>
  <c r="C1664" i="2" l="1"/>
  <c r="F1664" i="2" s="1"/>
  <c r="D1664" i="2"/>
  <c r="E1664" i="2" s="1"/>
  <c r="C1665" i="2" l="1"/>
  <c r="F1665" i="2" s="1"/>
  <c r="D1665" i="2"/>
  <c r="E1665" i="2" s="1"/>
  <c r="C1666" i="2" l="1"/>
  <c r="F1666" i="2" s="1"/>
  <c r="D1666" i="2"/>
  <c r="E1666" i="2" s="1"/>
  <c r="C1667" i="2" l="1"/>
  <c r="F1667" i="2" s="1"/>
  <c r="D1667" i="2"/>
  <c r="E1667" i="2" s="1"/>
  <c r="C1668" i="2" l="1"/>
  <c r="F1668" i="2" s="1"/>
  <c r="D1668" i="2"/>
  <c r="E1668" i="2" s="1"/>
  <c r="C1669" i="2" l="1"/>
  <c r="F1669" i="2" s="1"/>
  <c r="D1669" i="2"/>
  <c r="E1669" i="2" s="1"/>
  <c r="C1670" i="2" l="1"/>
  <c r="F1670" i="2" s="1"/>
  <c r="D1670" i="2"/>
  <c r="E1670" i="2" s="1"/>
  <c r="D1671" i="2" l="1"/>
  <c r="E1671" i="2" s="1"/>
  <c r="C1671" i="2"/>
  <c r="F1671" i="2" s="1"/>
  <c r="C1672" i="2" l="1"/>
  <c r="F1672" i="2" s="1"/>
  <c r="D1672" i="2"/>
  <c r="E1672" i="2" s="1"/>
  <c r="C1673" i="2" l="1"/>
  <c r="F1673" i="2" s="1"/>
  <c r="D1673" i="2"/>
  <c r="E1673" i="2" s="1"/>
  <c r="C1674" i="2" l="1"/>
  <c r="F1674" i="2" s="1"/>
  <c r="D1674" i="2"/>
  <c r="E1674" i="2" s="1"/>
  <c r="C1675" i="2" l="1"/>
  <c r="F1675" i="2" s="1"/>
  <c r="D1675" i="2"/>
  <c r="E1675" i="2" s="1"/>
  <c r="C1676" i="2" l="1"/>
  <c r="F1676" i="2" s="1"/>
  <c r="D1676" i="2"/>
  <c r="E1676" i="2" s="1"/>
  <c r="C1677" i="2" l="1"/>
  <c r="F1677" i="2" s="1"/>
  <c r="D1677" i="2"/>
  <c r="E1677" i="2" s="1"/>
  <c r="C1678" i="2" l="1"/>
  <c r="F1678" i="2" s="1"/>
  <c r="D1678" i="2"/>
  <c r="E1678" i="2" s="1"/>
  <c r="D1679" i="2" l="1"/>
  <c r="E1679" i="2" s="1"/>
  <c r="C1679" i="2"/>
  <c r="F1679" i="2" s="1"/>
  <c r="C1680" i="2" l="1"/>
  <c r="F1680" i="2" s="1"/>
  <c r="D1680" i="2"/>
  <c r="E1680" i="2" s="1"/>
  <c r="C1681" i="2" l="1"/>
  <c r="F1681" i="2" s="1"/>
  <c r="D1681" i="2"/>
  <c r="E1681" i="2" s="1"/>
  <c r="C1682" i="2" l="1"/>
  <c r="F1682" i="2" s="1"/>
  <c r="D1682" i="2"/>
  <c r="E1682" i="2" s="1"/>
  <c r="C1683" i="2" l="1"/>
  <c r="F1683" i="2" s="1"/>
  <c r="D1683" i="2"/>
  <c r="E1683" i="2" s="1"/>
  <c r="C1684" i="2" l="1"/>
  <c r="F1684" i="2" s="1"/>
  <c r="D1684" i="2"/>
  <c r="E1684" i="2" s="1"/>
  <c r="C1685" i="2" l="1"/>
  <c r="F1685" i="2" s="1"/>
  <c r="D1685" i="2"/>
  <c r="E1685" i="2" s="1"/>
  <c r="C1686" i="2" l="1"/>
  <c r="F1686" i="2" s="1"/>
  <c r="D1686" i="2"/>
  <c r="E1686" i="2" s="1"/>
  <c r="D1687" i="2" l="1"/>
  <c r="E1687" i="2" s="1"/>
  <c r="C1687" i="2"/>
  <c r="F1687" i="2" s="1"/>
  <c r="C1688" i="2" l="1"/>
  <c r="F1688" i="2" s="1"/>
  <c r="D1688" i="2"/>
  <c r="E1688" i="2" s="1"/>
  <c r="C1689" i="2" l="1"/>
  <c r="F1689" i="2" s="1"/>
  <c r="D1689" i="2"/>
  <c r="E1689" i="2" s="1"/>
  <c r="C1690" i="2" l="1"/>
  <c r="F1690" i="2" s="1"/>
  <c r="D1690" i="2"/>
  <c r="E1690" i="2" s="1"/>
  <c r="C1691" i="2" l="1"/>
  <c r="F1691" i="2" s="1"/>
  <c r="D1691" i="2"/>
  <c r="E1691" i="2" s="1"/>
  <c r="C1692" i="2" l="1"/>
  <c r="F1692" i="2" s="1"/>
  <c r="D1692" i="2"/>
  <c r="E1692" i="2" s="1"/>
  <c r="C1693" i="2" l="1"/>
  <c r="F1693" i="2" s="1"/>
  <c r="D1693" i="2"/>
  <c r="E1693" i="2" s="1"/>
  <c r="C1694" i="2" l="1"/>
  <c r="F1694" i="2" s="1"/>
  <c r="D1694" i="2"/>
  <c r="E1694" i="2" s="1"/>
  <c r="D1695" i="2" l="1"/>
  <c r="E1695" i="2" s="1"/>
  <c r="C1695" i="2"/>
  <c r="F1695" i="2" s="1"/>
  <c r="C1696" i="2" l="1"/>
  <c r="F1696" i="2" s="1"/>
  <c r="D1696" i="2"/>
  <c r="E1696" i="2" s="1"/>
  <c r="C1697" i="2" l="1"/>
  <c r="F1697" i="2" s="1"/>
  <c r="D1697" i="2"/>
  <c r="E1697" i="2" s="1"/>
  <c r="C1698" i="2" l="1"/>
  <c r="F1698" i="2" s="1"/>
  <c r="D1698" i="2"/>
  <c r="E1698" i="2" s="1"/>
  <c r="C1699" i="2" l="1"/>
  <c r="F1699" i="2" s="1"/>
  <c r="D1699" i="2"/>
  <c r="E1699" i="2" s="1"/>
  <c r="C1700" i="2" l="1"/>
  <c r="F1700" i="2" s="1"/>
  <c r="D1700" i="2"/>
  <c r="E1700" i="2" s="1"/>
  <c r="C1701" i="2" l="1"/>
  <c r="F1701" i="2" s="1"/>
  <c r="D1701" i="2"/>
  <c r="E1701" i="2" s="1"/>
  <c r="C1702" i="2" l="1"/>
  <c r="F1702" i="2" s="1"/>
  <c r="D1702" i="2"/>
  <c r="E1702" i="2" s="1"/>
  <c r="D1703" i="2" l="1"/>
  <c r="E1703" i="2" s="1"/>
  <c r="C1703" i="2"/>
  <c r="F1703" i="2" s="1"/>
  <c r="C1704" i="2" l="1"/>
  <c r="F1704" i="2" s="1"/>
  <c r="D1704" i="2"/>
  <c r="E1704" i="2" s="1"/>
  <c r="C1705" i="2" l="1"/>
  <c r="F1705" i="2" s="1"/>
  <c r="D1705" i="2"/>
  <c r="E1705" i="2" s="1"/>
  <c r="C1706" i="2" l="1"/>
  <c r="F1706" i="2" s="1"/>
  <c r="D1706" i="2"/>
  <c r="E1706" i="2" s="1"/>
  <c r="C1707" i="2" l="1"/>
  <c r="F1707" i="2" s="1"/>
  <c r="D1707" i="2"/>
  <c r="E1707" i="2" s="1"/>
  <c r="C1708" i="2" l="1"/>
  <c r="F1708" i="2" s="1"/>
  <c r="D1708" i="2"/>
  <c r="E1708" i="2" s="1"/>
  <c r="C1709" i="2" l="1"/>
  <c r="F1709" i="2" s="1"/>
  <c r="D1709" i="2"/>
  <c r="E1709" i="2" s="1"/>
  <c r="C1710" i="2" l="1"/>
  <c r="F1710" i="2" s="1"/>
  <c r="D1710" i="2"/>
  <c r="E1710" i="2" s="1"/>
  <c r="D1711" i="2" l="1"/>
  <c r="E1711" i="2" s="1"/>
  <c r="C1711" i="2"/>
  <c r="F1711" i="2" s="1"/>
  <c r="C1712" i="2" l="1"/>
  <c r="F1712" i="2" s="1"/>
  <c r="D1712" i="2"/>
  <c r="E1712" i="2" s="1"/>
  <c r="C1713" i="2" l="1"/>
  <c r="F1713" i="2" s="1"/>
  <c r="D1713" i="2"/>
  <c r="E1713" i="2" s="1"/>
  <c r="C1714" i="2" l="1"/>
  <c r="F1714" i="2" s="1"/>
  <c r="D1714" i="2"/>
  <c r="E1714" i="2" s="1"/>
  <c r="C1715" i="2" l="1"/>
  <c r="F1715" i="2" s="1"/>
  <c r="D1715" i="2"/>
  <c r="E1715" i="2" s="1"/>
  <c r="C1716" i="2" l="1"/>
  <c r="F1716" i="2" s="1"/>
  <c r="D1716" i="2"/>
  <c r="E1716" i="2" s="1"/>
  <c r="C1717" i="2" l="1"/>
  <c r="F1717" i="2" s="1"/>
  <c r="D1717" i="2"/>
  <c r="E1717" i="2" s="1"/>
  <c r="C1718" i="2" l="1"/>
  <c r="F1718" i="2" s="1"/>
  <c r="D1718" i="2"/>
  <c r="E1718" i="2" s="1"/>
  <c r="D1719" i="2" l="1"/>
  <c r="E1719" i="2" s="1"/>
  <c r="C1719" i="2"/>
  <c r="F1719" i="2" s="1"/>
  <c r="C1720" i="2" l="1"/>
  <c r="F1720" i="2" s="1"/>
  <c r="D1720" i="2"/>
  <c r="E1720" i="2" s="1"/>
  <c r="C1721" i="2" l="1"/>
  <c r="F1721" i="2" s="1"/>
  <c r="D1721" i="2"/>
  <c r="E1721" i="2" s="1"/>
  <c r="C1722" i="2" l="1"/>
  <c r="F1722" i="2" s="1"/>
  <c r="D1722" i="2"/>
  <c r="E1722" i="2" s="1"/>
  <c r="C1723" i="2" l="1"/>
  <c r="F1723" i="2" s="1"/>
  <c r="D1723" i="2"/>
  <c r="E1723" i="2" s="1"/>
  <c r="C1724" i="2" l="1"/>
  <c r="F1724" i="2" s="1"/>
  <c r="D1724" i="2"/>
  <c r="E1724" i="2" s="1"/>
  <c r="C1725" i="2" l="1"/>
  <c r="F1725" i="2" s="1"/>
  <c r="D1725" i="2"/>
  <c r="E1725" i="2" s="1"/>
  <c r="C1726" i="2" l="1"/>
  <c r="F1726" i="2" s="1"/>
  <c r="D1726" i="2"/>
  <c r="E1726" i="2" s="1"/>
  <c r="D1727" i="2" l="1"/>
  <c r="E1727" i="2" s="1"/>
  <c r="C1727" i="2"/>
  <c r="F1727" i="2" s="1"/>
  <c r="C1728" i="2" l="1"/>
  <c r="F1728" i="2" s="1"/>
  <c r="D1728" i="2"/>
  <c r="E1728" i="2" s="1"/>
  <c r="C1729" i="2" l="1"/>
  <c r="F1729" i="2" s="1"/>
  <c r="D1729" i="2"/>
  <c r="E1729" i="2" s="1"/>
  <c r="C1730" i="2" l="1"/>
  <c r="F1730" i="2" s="1"/>
  <c r="D1730" i="2"/>
  <c r="E1730" i="2" s="1"/>
  <c r="C1731" i="2" l="1"/>
  <c r="F1731" i="2" s="1"/>
  <c r="D1731" i="2"/>
  <c r="E1731" i="2" s="1"/>
  <c r="C1732" i="2" l="1"/>
  <c r="F1732" i="2" s="1"/>
  <c r="D1732" i="2"/>
  <c r="E1732" i="2" s="1"/>
  <c r="C1733" i="2" l="1"/>
  <c r="F1733" i="2" s="1"/>
  <c r="D1733" i="2"/>
  <c r="E1733" i="2" s="1"/>
  <c r="C1734" i="2" l="1"/>
  <c r="F1734" i="2" s="1"/>
  <c r="D1734" i="2"/>
  <c r="E1734" i="2" s="1"/>
  <c r="D1735" i="2" l="1"/>
  <c r="E1735" i="2" s="1"/>
  <c r="C1735" i="2"/>
  <c r="F1735" i="2" s="1"/>
  <c r="C1736" i="2" l="1"/>
  <c r="F1736" i="2" s="1"/>
  <c r="D1736" i="2"/>
  <c r="E1736" i="2" s="1"/>
  <c r="C1737" i="2" l="1"/>
  <c r="F1737" i="2" s="1"/>
  <c r="D1737" i="2"/>
  <c r="E1737" i="2" s="1"/>
  <c r="C1738" i="2" l="1"/>
  <c r="F1738" i="2" s="1"/>
  <c r="D1738" i="2"/>
  <c r="E1738" i="2" s="1"/>
  <c r="C1739" i="2" l="1"/>
  <c r="F1739" i="2" s="1"/>
  <c r="D1739" i="2"/>
  <c r="E1739" i="2" s="1"/>
  <c r="D1740" i="2" l="1"/>
  <c r="E1740" i="2" s="1"/>
  <c r="C1740" i="2"/>
  <c r="F1740" i="2" s="1"/>
  <c r="C1741" i="2" l="1"/>
  <c r="F1741" i="2" s="1"/>
  <c r="D1741" i="2"/>
  <c r="E1741" i="2" s="1"/>
  <c r="D1742" i="2" l="1"/>
  <c r="E1742" i="2" s="1"/>
  <c r="C1742" i="2"/>
  <c r="F1742" i="2" s="1"/>
  <c r="C1743" i="2" l="1"/>
  <c r="F1743" i="2" s="1"/>
  <c r="D1743" i="2"/>
  <c r="E1743" i="2" s="1"/>
  <c r="C1744" i="2" l="1"/>
  <c r="F1744" i="2" s="1"/>
  <c r="D1744" i="2"/>
  <c r="E1744" i="2" s="1"/>
  <c r="C1745" i="2" l="1"/>
  <c r="F1745" i="2" s="1"/>
  <c r="D1745" i="2"/>
  <c r="E1745" i="2" s="1"/>
  <c r="C1746" i="2" l="1"/>
  <c r="F1746" i="2" s="1"/>
  <c r="D1746" i="2"/>
  <c r="E1746" i="2" s="1"/>
  <c r="C1747" i="2" l="1"/>
  <c r="F1747" i="2" s="1"/>
  <c r="D1747" i="2"/>
  <c r="E1747" i="2" s="1"/>
  <c r="D1748" i="2" l="1"/>
  <c r="E1748" i="2" s="1"/>
  <c r="C1748" i="2"/>
  <c r="F1748" i="2" s="1"/>
  <c r="C1749" i="2" l="1"/>
  <c r="F1749" i="2" s="1"/>
  <c r="D1749" i="2"/>
  <c r="E1749" i="2" s="1"/>
  <c r="C1750" i="2" l="1"/>
  <c r="F1750" i="2" s="1"/>
  <c r="D1750" i="2"/>
  <c r="E1750" i="2" s="1"/>
  <c r="C1751" i="2" l="1"/>
  <c r="F1751" i="2" s="1"/>
  <c r="D1751" i="2"/>
  <c r="E1751" i="2" s="1"/>
  <c r="C1752" i="2" l="1"/>
  <c r="F1752" i="2" s="1"/>
  <c r="D1752" i="2"/>
  <c r="E1752" i="2" s="1"/>
  <c r="C1753" i="2" l="1"/>
  <c r="F1753" i="2" s="1"/>
  <c r="D1753" i="2"/>
  <c r="E1753" i="2" s="1"/>
  <c r="C1754" i="2" l="1"/>
  <c r="F1754" i="2" s="1"/>
  <c r="D1754" i="2"/>
  <c r="E1754" i="2" s="1"/>
  <c r="D1755" i="2" l="1"/>
  <c r="E1755" i="2" s="1"/>
  <c r="C1755" i="2"/>
  <c r="F1755" i="2" s="1"/>
  <c r="C1756" i="2" l="1"/>
  <c r="F1756" i="2" s="1"/>
  <c r="D1756" i="2"/>
  <c r="E1756" i="2" s="1"/>
  <c r="C1757" i="2" l="1"/>
  <c r="F1757" i="2" s="1"/>
  <c r="D1757" i="2"/>
  <c r="E1757" i="2" s="1"/>
  <c r="C1758" i="2" l="1"/>
  <c r="F1758" i="2" s="1"/>
  <c r="D1758" i="2"/>
  <c r="E1758" i="2" s="1"/>
  <c r="C1759" i="2" l="1"/>
  <c r="F1759" i="2" s="1"/>
  <c r="D1759" i="2"/>
  <c r="E1759" i="2" s="1"/>
  <c r="C1760" i="2" l="1"/>
  <c r="F1760" i="2" s="1"/>
  <c r="D1760" i="2"/>
  <c r="E1760" i="2" s="1"/>
  <c r="C1761" i="2" l="1"/>
  <c r="F1761" i="2" s="1"/>
  <c r="D1761" i="2"/>
  <c r="E1761" i="2" s="1"/>
  <c r="C1762" i="2" l="1"/>
  <c r="F1762" i="2" s="1"/>
  <c r="D1762" i="2"/>
  <c r="E1762" i="2" s="1"/>
  <c r="D1763" i="2" l="1"/>
  <c r="E1763" i="2" s="1"/>
  <c r="C1763" i="2"/>
  <c r="F1763" i="2" s="1"/>
  <c r="C1764" i="2" l="1"/>
  <c r="F1764" i="2" s="1"/>
  <c r="D1764" i="2"/>
  <c r="E1764" i="2" s="1"/>
  <c r="C1765" i="2" l="1"/>
  <c r="F1765" i="2" s="1"/>
  <c r="D1765" i="2"/>
  <c r="E1765" i="2" s="1"/>
  <c r="C1766" i="2" l="1"/>
  <c r="F1766" i="2" s="1"/>
  <c r="D1766" i="2"/>
  <c r="E1766" i="2" s="1"/>
  <c r="C1767" i="2" l="1"/>
  <c r="F1767" i="2" s="1"/>
  <c r="D1767" i="2"/>
  <c r="E1767" i="2" s="1"/>
  <c r="C1768" i="2" l="1"/>
  <c r="F1768" i="2" s="1"/>
  <c r="D1768" i="2"/>
  <c r="E1768" i="2" s="1"/>
  <c r="C1769" i="2" l="1"/>
  <c r="F1769" i="2" s="1"/>
  <c r="D1769" i="2"/>
  <c r="E1769" i="2" s="1"/>
  <c r="C1770" i="2" l="1"/>
  <c r="F1770" i="2" s="1"/>
  <c r="D1770" i="2"/>
  <c r="E1770" i="2" s="1"/>
  <c r="D1771" i="2" l="1"/>
  <c r="E1771" i="2" s="1"/>
  <c r="C1771" i="2"/>
  <c r="F1771" i="2" s="1"/>
  <c r="C1772" i="2" l="1"/>
  <c r="F1772" i="2" s="1"/>
  <c r="D1772" i="2"/>
  <c r="E1772" i="2" s="1"/>
  <c r="C1773" i="2" l="1"/>
  <c r="F1773" i="2" s="1"/>
  <c r="D1773" i="2"/>
  <c r="E1773" i="2" s="1"/>
  <c r="C1774" i="2" l="1"/>
  <c r="F1774" i="2" s="1"/>
  <c r="D1774" i="2"/>
  <c r="E1774" i="2" s="1"/>
  <c r="C1775" i="2" l="1"/>
  <c r="F1775" i="2" s="1"/>
  <c r="D1775" i="2"/>
  <c r="E1775" i="2" s="1"/>
  <c r="C1776" i="2" l="1"/>
  <c r="F1776" i="2" s="1"/>
  <c r="D1776" i="2"/>
  <c r="E1776" i="2" s="1"/>
  <c r="C1777" i="2" l="1"/>
  <c r="F1777" i="2" s="1"/>
  <c r="D1777" i="2"/>
  <c r="E1777" i="2" s="1"/>
  <c r="C1778" i="2" l="1"/>
  <c r="F1778" i="2" s="1"/>
  <c r="D1778" i="2"/>
  <c r="E1778" i="2" s="1"/>
  <c r="D1779" i="2" l="1"/>
  <c r="E1779" i="2" s="1"/>
  <c r="C1779" i="2"/>
  <c r="F1779" i="2" s="1"/>
  <c r="C1780" i="2" l="1"/>
  <c r="F1780" i="2" s="1"/>
  <c r="D1780" i="2"/>
  <c r="E1780" i="2" s="1"/>
  <c r="C1781" i="2" l="1"/>
  <c r="F1781" i="2" s="1"/>
  <c r="D1781" i="2"/>
  <c r="E1781" i="2" s="1"/>
  <c r="C1782" i="2" l="1"/>
  <c r="F1782" i="2" s="1"/>
  <c r="D1782" i="2"/>
  <c r="E1782" i="2" s="1"/>
  <c r="C1783" i="2" l="1"/>
  <c r="F1783" i="2" s="1"/>
  <c r="D1783" i="2"/>
  <c r="E1783" i="2" s="1"/>
  <c r="C1784" i="2" l="1"/>
  <c r="F1784" i="2" s="1"/>
  <c r="D1784" i="2"/>
  <c r="E1784" i="2" s="1"/>
  <c r="C1785" i="2" l="1"/>
  <c r="F1785" i="2" s="1"/>
  <c r="D1785" i="2"/>
  <c r="E1785" i="2" s="1"/>
  <c r="C1786" i="2" l="1"/>
  <c r="F1786" i="2" s="1"/>
  <c r="D1786" i="2"/>
  <c r="E1786" i="2" s="1"/>
  <c r="D1787" i="2" l="1"/>
  <c r="E1787" i="2" s="1"/>
  <c r="C1787" i="2"/>
  <c r="F1787" i="2" s="1"/>
  <c r="C1788" i="2" l="1"/>
  <c r="F1788" i="2" s="1"/>
  <c r="D1788" i="2"/>
  <c r="E1788" i="2" s="1"/>
  <c r="C1789" i="2" l="1"/>
  <c r="F1789" i="2" s="1"/>
  <c r="D1789" i="2"/>
  <c r="E1789" i="2" s="1"/>
  <c r="C1790" i="2" l="1"/>
  <c r="F1790" i="2" s="1"/>
  <c r="D1790" i="2"/>
  <c r="E1790" i="2" s="1"/>
  <c r="C1791" i="2" l="1"/>
  <c r="F1791" i="2" s="1"/>
  <c r="D1791" i="2"/>
  <c r="E1791" i="2" s="1"/>
  <c r="C1792" i="2" l="1"/>
  <c r="F1792" i="2" s="1"/>
  <c r="D1792" i="2"/>
  <c r="E1792" i="2" s="1"/>
  <c r="C1793" i="2" l="1"/>
  <c r="F1793" i="2" s="1"/>
  <c r="D1793" i="2"/>
  <c r="E1793" i="2" s="1"/>
  <c r="C1794" i="2" l="1"/>
  <c r="F1794" i="2" s="1"/>
  <c r="D1794" i="2"/>
  <c r="E1794" i="2" s="1"/>
  <c r="D1795" i="2" l="1"/>
  <c r="E1795" i="2" s="1"/>
  <c r="C1795" i="2"/>
  <c r="F1795" i="2" s="1"/>
  <c r="C1796" i="2" l="1"/>
  <c r="F1796" i="2" s="1"/>
  <c r="D1796" i="2"/>
  <c r="E1796" i="2" s="1"/>
  <c r="C1797" i="2" l="1"/>
  <c r="F1797" i="2" s="1"/>
  <c r="D1797" i="2"/>
  <c r="E1797" i="2" s="1"/>
  <c r="C1798" i="2" l="1"/>
  <c r="F1798" i="2" s="1"/>
  <c r="D1798" i="2"/>
  <c r="E1798" i="2" s="1"/>
  <c r="C1799" i="2" l="1"/>
  <c r="F1799" i="2" s="1"/>
  <c r="D1799" i="2"/>
  <c r="E1799" i="2" s="1"/>
  <c r="C1800" i="2" l="1"/>
  <c r="F1800" i="2" s="1"/>
  <c r="D1800" i="2"/>
  <c r="E1800" i="2" s="1"/>
  <c r="C1801" i="2" l="1"/>
  <c r="F1801" i="2" s="1"/>
  <c r="D1801" i="2"/>
  <c r="E1801" i="2" s="1"/>
  <c r="C1802" i="2" l="1"/>
  <c r="F1802" i="2" s="1"/>
  <c r="D1802" i="2"/>
  <c r="E1802" i="2" s="1"/>
  <c r="D1803" i="2" l="1"/>
  <c r="E1803" i="2" s="1"/>
  <c r="C1803" i="2"/>
  <c r="F1803" i="2" s="1"/>
  <c r="C1804" i="2" l="1"/>
  <c r="F1804" i="2" s="1"/>
  <c r="D1804" i="2"/>
  <c r="E1804" i="2" s="1"/>
  <c r="C1805" i="2" l="1"/>
  <c r="F1805" i="2" s="1"/>
  <c r="D1805" i="2"/>
  <c r="E1805" i="2" s="1"/>
  <c r="C1806" i="2" l="1"/>
  <c r="F1806" i="2" s="1"/>
  <c r="D1806" i="2"/>
  <c r="E1806" i="2" s="1"/>
  <c r="C1807" i="2" l="1"/>
  <c r="F1807" i="2" s="1"/>
  <c r="D1807" i="2"/>
  <c r="E1807" i="2" s="1"/>
  <c r="C1808" i="2" l="1"/>
  <c r="F1808" i="2" s="1"/>
  <c r="D1808" i="2"/>
  <c r="E1808" i="2" s="1"/>
  <c r="C1809" i="2" l="1"/>
  <c r="F1809" i="2" s="1"/>
  <c r="D1809" i="2"/>
  <c r="E1809" i="2" s="1"/>
  <c r="C1810" i="2" l="1"/>
  <c r="F1810" i="2" s="1"/>
  <c r="D1810" i="2"/>
  <c r="E1810" i="2" s="1"/>
  <c r="D1811" i="2" l="1"/>
  <c r="E1811" i="2" s="1"/>
  <c r="C1811" i="2"/>
  <c r="F1811" i="2" s="1"/>
  <c r="C1812" i="2" l="1"/>
  <c r="F1812" i="2" s="1"/>
  <c r="D1812" i="2"/>
  <c r="E1812" i="2" s="1"/>
  <c r="C1813" i="2" l="1"/>
  <c r="F1813" i="2" s="1"/>
  <c r="D1813" i="2"/>
  <c r="E1813" i="2" s="1"/>
  <c r="C1814" i="2" l="1"/>
  <c r="F1814" i="2" s="1"/>
  <c r="D1814" i="2"/>
  <c r="E1814" i="2" s="1"/>
  <c r="D1815" i="2" l="1"/>
  <c r="E1815" i="2" s="1"/>
  <c r="C1815" i="2"/>
  <c r="F1815" i="2" s="1"/>
  <c r="C1816" i="2" l="1"/>
  <c r="F1816" i="2" s="1"/>
  <c r="D1816" i="2"/>
  <c r="E1816" i="2" s="1"/>
  <c r="C1817" i="2" l="1"/>
  <c r="F1817" i="2" s="1"/>
  <c r="D1817" i="2"/>
  <c r="E1817" i="2" s="1"/>
  <c r="C1818" i="2" l="1"/>
  <c r="F1818" i="2" s="1"/>
  <c r="D1818" i="2"/>
  <c r="E1818" i="2" s="1"/>
  <c r="D1819" i="2" l="1"/>
  <c r="E1819" i="2" s="1"/>
  <c r="C1819" i="2"/>
  <c r="F1819" i="2" s="1"/>
  <c r="C1820" i="2" l="1"/>
  <c r="F1820" i="2" s="1"/>
  <c r="D1820" i="2"/>
  <c r="E1820" i="2" s="1"/>
  <c r="C1821" i="2" l="1"/>
  <c r="F1821" i="2" s="1"/>
  <c r="D1821" i="2"/>
  <c r="E1821" i="2" s="1"/>
  <c r="C1822" i="2" l="1"/>
  <c r="F1822" i="2" s="1"/>
  <c r="D1822" i="2"/>
  <c r="E1822" i="2" s="1"/>
  <c r="C1823" i="2" l="1"/>
  <c r="F1823" i="2" s="1"/>
  <c r="E3" i="6" s="1"/>
  <c r="C9" i="6" s="1"/>
  <c r="D1823" i="2"/>
  <c r="E1823" i="2" s="1"/>
  <c r="D3" i="6" s="1"/>
  <c r="C8" i="6" s="1"/>
  <c r="E8" i="6" l="1"/>
  <c r="J8" i="6"/>
  <c r="T8" i="6"/>
  <c r="D7" i="6"/>
  <c r="L8" i="6"/>
  <c r="O8" i="6"/>
  <c r="W8" i="6"/>
  <c r="Z8" i="6"/>
  <c r="K8" i="6"/>
  <c r="J9" i="6"/>
  <c r="G9" i="6"/>
  <c r="G10" i="6" s="1"/>
  <c r="E9" i="6"/>
  <c r="L9" i="6"/>
  <c r="L10" i="6" s="1"/>
  <c r="Q9" i="6"/>
  <c r="Q10" i="6" s="1"/>
  <c r="K9" i="6"/>
  <c r="Z9" i="6"/>
  <c r="T9" i="6"/>
  <c r="O9" i="6"/>
  <c r="D8" i="6"/>
  <c r="F8" i="6" s="1"/>
  <c r="P9" i="6"/>
  <c r="F9" i="6"/>
  <c r="W9" i="6"/>
  <c r="C1824" i="2"/>
  <c r="F1824" i="2" s="1"/>
  <c r="D1824" i="2"/>
  <c r="E1824" i="2" s="1"/>
  <c r="N9" i="6"/>
  <c r="H9" i="6"/>
  <c r="S9" i="6"/>
  <c r="I9" i="6"/>
  <c r="R9" i="6"/>
  <c r="M9" i="6"/>
  <c r="P8" i="6" l="1"/>
  <c r="Q8" i="6"/>
  <c r="G8" i="6"/>
  <c r="AC132" i="4"/>
  <c r="AC128" i="4"/>
  <c r="AC130" i="4"/>
  <c r="AC139" i="4"/>
  <c r="AC141" i="4"/>
  <c r="AC137" i="4"/>
  <c r="AC136" i="4"/>
  <c r="AC134" i="4"/>
  <c r="AC142" i="4"/>
  <c r="AC129" i="4"/>
  <c r="AC131" i="4"/>
  <c r="AC143" i="4"/>
  <c r="AC133" i="4"/>
  <c r="AC140" i="4"/>
  <c r="AC127" i="4"/>
  <c r="AC138" i="4"/>
  <c r="AC135" i="4"/>
  <c r="P10" i="6"/>
  <c r="Q7" i="6"/>
  <c r="P7" i="6"/>
  <c r="F7" i="6"/>
  <c r="L7" i="6"/>
  <c r="G7" i="6"/>
  <c r="K7" i="6"/>
  <c r="F10" i="6"/>
  <c r="AB136" i="4"/>
  <c r="AB131" i="4"/>
  <c r="AB130" i="4"/>
  <c r="AB134" i="4"/>
  <c r="AB143" i="4"/>
  <c r="AB142" i="4"/>
  <c r="AB127" i="4"/>
  <c r="AB129" i="4"/>
  <c r="AB133" i="4"/>
  <c r="AB141" i="4"/>
  <c r="AB135" i="4"/>
  <c r="AB140" i="4"/>
  <c r="AB128" i="4"/>
  <c r="AB138" i="4"/>
  <c r="AB137" i="4"/>
  <c r="AB139" i="4"/>
  <c r="AB132" i="4"/>
  <c r="K10" i="6"/>
  <c r="AA136" i="4"/>
  <c r="AA132" i="4"/>
  <c r="AA140" i="4"/>
  <c r="AA134" i="4"/>
  <c r="AA128" i="4"/>
  <c r="AA127" i="4"/>
  <c r="AA141" i="4"/>
  <c r="AA138" i="4"/>
  <c r="AA143" i="4"/>
  <c r="AA139" i="4"/>
  <c r="AA142" i="4"/>
  <c r="AA130" i="4"/>
  <c r="AA131" i="4"/>
  <c r="AA129" i="4"/>
  <c r="AA133" i="4"/>
  <c r="AA135" i="4"/>
  <c r="AA137" i="4"/>
  <c r="C1825" i="2"/>
  <c r="F1825" i="2" s="1"/>
  <c r="D1825" i="2"/>
  <c r="E1825" i="2" s="1"/>
  <c r="M10" i="6"/>
  <c r="R7" i="6"/>
  <c r="I8" i="6"/>
  <c r="I7" i="6"/>
  <c r="N10" i="6"/>
  <c r="I10" i="6"/>
  <c r="R10" i="6"/>
  <c r="H7" i="6"/>
  <c r="N7" i="6"/>
  <c r="S7" i="6"/>
  <c r="H8" i="6"/>
  <c r="R8" i="6"/>
  <c r="M7" i="6"/>
  <c r="H10" i="6"/>
  <c r="M8" i="6"/>
  <c r="S8" i="6"/>
  <c r="N8" i="6"/>
  <c r="S10" i="6"/>
  <c r="AA124" i="4" l="1"/>
  <c r="AA119" i="4"/>
  <c r="AA116" i="4"/>
  <c r="AA110" i="4"/>
  <c r="AA112" i="4"/>
  <c r="AA120" i="4"/>
  <c r="AA122" i="4"/>
  <c r="AC8" i="6"/>
  <c r="AA111" i="4"/>
  <c r="AA118" i="4"/>
  <c r="AA108" i="4"/>
  <c r="AA121" i="4"/>
  <c r="AA123" i="4"/>
  <c r="AA115" i="4"/>
  <c r="AA114" i="4"/>
  <c r="AA125" i="4"/>
  <c r="AA126" i="4"/>
  <c r="AA109" i="4"/>
  <c r="AA113" i="4"/>
  <c r="AA117" i="4"/>
  <c r="AC118" i="4"/>
  <c r="AC113" i="4"/>
  <c r="AC110" i="4"/>
  <c r="AC120" i="4"/>
  <c r="AE8" i="6"/>
  <c r="AC116" i="4"/>
  <c r="AC109" i="4"/>
  <c r="AC126" i="4"/>
  <c r="AC123" i="4"/>
  <c r="AC114" i="4"/>
  <c r="AC121" i="4"/>
  <c r="AC112" i="4"/>
  <c r="AC122" i="4"/>
  <c r="AC115" i="4"/>
  <c r="AC111" i="4"/>
  <c r="AC124" i="4"/>
  <c r="AC117" i="4"/>
  <c r="AC119" i="4"/>
  <c r="AC125" i="4"/>
  <c r="AC108" i="4"/>
  <c r="AB112" i="4"/>
  <c r="AB115" i="4"/>
  <c r="AB116" i="4"/>
  <c r="AB119" i="4"/>
  <c r="AB120" i="4"/>
  <c r="AB124" i="4"/>
  <c r="AB123" i="4"/>
  <c r="AB118" i="4"/>
  <c r="AD8" i="6"/>
  <c r="AB114" i="4"/>
  <c r="AB121" i="4"/>
  <c r="AB108" i="4"/>
  <c r="AB109" i="4"/>
  <c r="AB113" i="4"/>
  <c r="AB125" i="4"/>
  <c r="AB111" i="4"/>
  <c r="AB117" i="4"/>
  <c r="AB126" i="4"/>
  <c r="AB110" i="4"/>
  <c r="AB122" i="4"/>
  <c r="AB58" i="4"/>
  <c r="AB93" i="4"/>
  <c r="AB54" i="4"/>
  <c r="AB47" i="4"/>
  <c r="AB69" i="4"/>
  <c r="AB91" i="4"/>
  <c r="AB94" i="4"/>
  <c r="AB41" i="4"/>
  <c r="AB87" i="4"/>
  <c r="AB39" i="4"/>
  <c r="AB29" i="4"/>
  <c r="AB30" i="4"/>
  <c r="AB63" i="4"/>
  <c r="AB74" i="4"/>
  <c r="AB9" i="4"/>
  <c r="AB103" i="4"/>
  <c r="AB96" i="4"/>
  <c r="AB73" i="4"/>
  <c r="AB62" i="4"/>
  <c r="AB49" i="4"/>
  <c r="AB60" i="4"/>
  <c r="AB7" i="4"/>
  <c r="AB55" i="4"/>
  <c r="AB13" i="4"/>
  <c r="AB50" i="4"/>
  <c r="AB14" i="4"/>
  <c r="AB20" i="4"/>
  <c r="AB52" i="4"/>
  <c r="AB90" i="4"/>
  <c r="AB34" i="4"/>
  <c r="AB11" i="4"/>
  <c r="AB57" i="4"/>
  <c r="AB28" i="4"/>
  <c r="AB70" i="4"/>
  <c r="AB64" i="4"/>
  <c r="AB23" i="4"/>
  <c r="AB82" i="4"/>
  <c r="AB45" i="4"/>
  <c r="AB27" i="4"/>
  <c r="AB105" i="4"/>
  <c r="G15" i="6"/>
  <c r="G18" i="6" s="1"/>
  <c r="AD7" i="6" s="1"/>
  <c r="AB72" i="4"/>
  <c r="AB35" i="4"/>
  <c r="AB21" i="4"/>
  <c r="AB17" i="4"/>
  <c r="AB25" i="4"/>
  <c r="AB44" i="4"/>
  <c r="AB68" i="4"/>
  <c r="AB75" i="4"/>
  <c r="AB61" i="4"/>
  <c r="AB98" i="4"/>
  <c r="AB8" i="4"/>
  <c r="AB89" i="4"/>
  <c r="AB65" i="4"/>
  <c r="AB67" i="4"/>
  <c r="AB97" i="4"/>
  <c r="AB99" i="4"/>
  <c r="AB84" i="4"/>
  <c r="AB59" i="4"/>
  <c r="AB86" i="4"/>
  <c r="AB48" i="4"/>
  <c r="AB101" i="4"/>
  <c r="AB66" i="4"/>
  <c r="AB18" i="4"/>
  <c r="AB26" i="4"/>
  <c r="AB6" i="4"/>
  <c r="AB22" i="4"/>
  <c r="AB83" i="4"/>
  <c r="AB78" i="4"/>
  <c r="AB100" i="4"/>
  <c r="AB38" i="4"/>
  <c r="AB106" i="4"/>
  <c r="AB107" i="4"/>
  <c r="AB40" i="4"/>
  <c r="AB79" i="4"/>
  <c r="AB10" i="4"/>
  <c r="AB19" i="4"/>
  <c r="AB81" i="4"/>
  <c r="AB24" i="4"/>
  <c r="AB56" i="4"/>
  <c r="AB37" i="4"/>
  <c r="AB53" i="4"/>
  <c r="AB46" i="4"/>
  <c r="AB36" i="4"/>
  <c r="AB31" i="4"/>
  <c r="AB95" i="4"/>
  <c r="AB33" i="4"/>
  <c r="AB76" i="4"/>
  <c r="AB104" i="4"/>
  <c r="AB42" i="4"/>
  <c r="AB80" i="4"/>
  <c r="AB71" i="4"/>
  <c r="AB77" i="4"/>
  <c r="AB51" i="4"/>
  <c r="AB32" i="4"/>
  <c r="AB102" i="4"/>
  <c r="AB16" i="4"/>
  <c r="AB85" i="4"/>
  <c r="AB12" i="4"/>
  <c r="AB43" i="4"/>
  <c r="AB88" i="4"/>
  <c r="AB15" i="4"/>
  <c r="AB92" i="4"/>
  <c r="AA38" i="4"/>
  <c r="AA64" i="4"/>
  <c r="AA62" i="4"/>
  <c r="AA89" i="4"/>
  <c r="AA106" i="4"/>
  <c r="AA66" i="4"/>
  <c r="AA68" i="4"/>
  <c r="AA75" i="4"/>
  <c r="AA25" i="4"/>
  <c r="AA104" i="4"/>
  <c r="AA86" i="4"/>
  <c r="AA67" i="4"/>
  <c r="AA32" i="4"/>
  <c r="AA18" i="4"/>
  <c r="AA41" i="4"/>
  <c r="AA11" i="4"/>
  <c r="AA47" i="4"/>
  <c r="AA78" i="4"/>
  <c r="AA53" i="4"/>
  <c r="AA50" i="4"/>
  <c r="AA96" i="4"/>
  <c r="AA9" i="4"/>
  <c r="AA21" i="4"/>
  <c r="AA71" i="4"/>
  <c r="AA55" i="4"/>
  <c r="AA24" i="4"/>
  <c r="AA54" i="4"/>
  <c r="AA34" i="4"/>
  <c r="AA36" i="4"/>
  <c r="AA100" i="4"/>
  <c r="AA35" i="4"/>
  <c r="AA17" i="4"/>
  <c r="AA31" i="4"/>
  <c r="AA101" i="4"/>
  <c r="AA51" i="4"/>
  <c r="AA14" i="4"/>
  <c r="AA73" i="4"/>
  <c r="AA45" i="4"/>
  <c r="AA60" i="4"/>
  <c r="AA40" i="4"/>
  <c r="AA48" i="4"/>
  <c r="AA12" i="4"/>
  <c r="AA15" i="4"/>
  <c r="AA16" i="4"/>
  <c r="AA90" i="4"/>
  <c r="AA27" i="4"/>
  <c r="AA44" i="4"/>
  <c r="AA52" i="4"/>
  <c r="AA77" i="4"/>
  <c r="AA49" i="4"/>
  <c r="AA61" i="4"/>
  <c r="AA42" i="4"/>
  <c r="AA33" i="4"/>
  <c r="AA30" i="4"/>
  <c r="AA88" i="4"/>
  <c r="AA95" i="4"/>
  <c r="AA98" i="4"/>
  <c r="AA91" i="4"/>
  <c r="AA81" i="4"/>
  <c r="AA72" i="4"/>
  <c r="AA26" i="4"/>
  <c r="AA84" i="4"/>
  <c r="AA28" i="4"/>
  <c r="AA13" i="4"/>
  <c r="AA39" i="4"/>
  <c r="AA70" i="4"/>
  <c r="AA107" i="4"/>
  <c r="AA74" i="4"/>
  <c r="AA105" i="4"/>
  <c r="AA79" i="4"/>
  <c r="AA87" i="4"/>
  <c r="AA29" i="4"/>
  <c r="AA22" i="4"/>
  <c r="AA83" i="4"/>
  <c r="AA92" i="4"/>
  <c r="AA58" i="4"/>
  <c r="AA23" i="4"/>
  <c r="AA37" i="4"/>
  <c r="AA80" i="4"/>
  <c r="AA69" i="4"/>
  <c r="AA97" i="4"/>
  <c r="AA43" i="4"/>
  <c r="F15" i="6"/>
  <c r="F18" i="6" s="1"/>
  <c r="AC7" i="6" s="1"/>
  <c r="AA19" i="4"/>
  <c r="AA20" i="4"/>
  <c r="AA103" i="4"/>
  <c r="AA57" i="4"/>
  <c r="AA94" i="4"/>
  <c r="AA63" i="4"/>
  <c r="AA6" i="4"/>
  <c r="AA99" i="4"/>
  <c r="AA46" i="4"/>
  <c r="AA59" i="4"/>
  <c r="AA76" i="4"/>
  <c r="AA65" i="4"/>
  <c r="AA8" i="4"/>
  <c r="AA93" i="4"/>
  <c r="AA7" i="4"/>
  <c r="AA82" i="4"/>
  <c r="AA10" i="4"/>
  <c r="AA102" i="4"/>
  <c r="AA85" i="4"/>
  <c r="AA56" i="4"/>
  <c r="AC13" i="4"/>
  <c r="AC12" i="4"/>
  <c r="AC35" i="4"/>
  <c r="AC46" i="4"/>
  <c r="AC10" i="4"/>
  <c r="AC92" i="4"/>
  <c r="AC25" i="4"/>
  <c r="AC7" i="4"/>
  <c r="AC107" i="4"/>
  <c r="AC18" i="4"/>
  <c r="AC100" i="4"/>
  <c r="AC96" i="4"/>
  <c r="AC36" i="4"/>
  <c r="AC50" i="4"/>
  <c r="AC79" i="4"/>
  <c r="AC24" i="4"/>
  <c r="AC31" i="4"/>
  <c r="AC68" i="4"/>
  <c r="AC57" i="4"/>
  <c r="AC26" i="4"/>
  <c r="AC72" i="4"/>
  <c r="AC32" i="4"/>
  <c r="AC60" i="4"/>
  <c r="AC8" i="4"/>
  <c r="AC84" i="4"/>
  <c r="AC76" i="4"/>
  <c r="AC23" i="4"/>
  <c r="AC101" i="4"/>
  <c r="AC33" i="4"/>
  <c r="AC99" i="4"/>
  <c r="AC49" i="4"/>
  <c r="AC70" i="4"/>
  <c r="AC16" i="4"/>
  <c r="AC11" i="4"/>
  <c r="AC47" i="4"/>
  <c r="AC20" i="4"/>
  <c r="AC71" i="4"/>
  <c r="AC41" i="4"/>
  <c r="AC95" i="4"/>
  <c r="AC77" i="4"/>
  <c r="AC102" i="4"/>
  <c r="AC48" i="4"/>
  <c r="AC53" i="4"/>
  <c r="AC91" i="4"/>
  <c r="AC98" i="4"/>
  <c r="AC28" i="4"/>
  <c r="AC89" i="4"/>
  <c r="AC38" i="4"/>
  <c r="AC93" i="4"/>
  <c r="AC19" i="4"/>
  <c r="AC104" i="4"/>
  <c r="AC88" i="4"/>
  <c r="AC34" i="4"/>
  <c r="AC42" i="4"/>
  <c r="H15" i="6"/>
  <c r="H18" i="6" s="1"/>
  <c r="AE7" i="6" s="1"/>
  <c r="AC54" i="4"/>
  <c r="AC45" i="4"/>
  <c r="AC67" i="4"/>
  <c r="AC14" i="4"/>
  <c r="AC37" i="4"/>
  <c r="AC63" i="4"/>
  <c r="AC30" i="4"/>
  <c r="AC103" i="4"/>
  <c r="AC78" i="4"/>
  <c r="AC64" i="4"/>
  <c r="AC65" i="4"/>
  <c r="AC86" i="4"/>
  <c r="AC27" i="4"/>
  <c r="AC6" i="4"/>
  <c r="AC61" i="4"/>
  <c r="AC75" i="4"/>
  <c r="AC73" i="4"/>
  <c r="AC83" i="4"/>
  <c r="AC22" i="4"/>
  <c r="AC66" i="4"/>
  <c r="AC69" i="4"/>
  <c r="AC52" i="4"/>
  <c r="AC40" i="4"/>
  <c r="AC58" i="4"/>
  <c r="AC82" i="4"/>
  <c r="AC81" i="4"/>
  <c r="AC62" i="4"/>
  <c r="AC85" i="4"/>
  <c r="AC80" i="4"/>
  <c r="AC51" i="4"/>
  <c r="AC43" i="4"/>
  <c r="AC21" i="4"/>
  <c r="AC90" i="4"/>
  <c r="AC15" i="4"/>
  <c r="AC105" i="4"/>
  <c r="AC106" i="4"/>
  <c r="AC59" i="4"/>
  <c r="AC94" i="4"/>
  <c r="AC55" i="4"/>
  <c r="AC39" i="4"/>
  <c r="AC74" i="4"/>
  <c r="AC9" i="4"/>
  <c r="AC44" i="4"/>
  <c r="AC56" i="4"/>
  <c r="AC87" i="4"/>
  <c r="AC29" i="4"/>
  <c r="AC17" i="4"/>
  <c r="AC97" i="4"/>
  <c r="G19" i="6"/>
  <c r="G23" i="6" s="1"/>
  <c r="AD10" i="6" s="1"/>
  <c r="AB144" i="4"/>
  <c r="H19" i="6"/>
  <c r="H23" i="6" s="1"/>
  <c r="AE10" i="6" s="1"/>
  <c r="AE9" i="6" s="1"/>
  <c r="AC144" i="4"/>
  <c r="AA144" i="4"/>
  <c r="F19" i="6"/>
  <c r="F23" i="6" s="1"/>
  <c r="AC10" i="6" s="1"/>
  <c r="C1826" i="2"/>
  <c r="F1826" i="2" s="1"/>
  <c r="D1826" i="2"/>
  <c r="E1826" i="2" s="1"/>
  <c r="X7" i="6" l="1"/>
  <c r="Y7" i="6" s="1"/>
  <c r="U7" i="6"/>
  <c r="V7" i="6" s="1"/>
  <c r="AA7" i="6"/>
  <c r="AB7" i="6" s="1"/>
  <c r="AC9" i="6"/>
  <c r="U9" i="6" s="1"/>
  <c r="AA8" i="6"/>
  <c r="AB8" i="6" s="1"/>
  <c r="AD9" i="6"/>
  <c r="X9" i="6" s="1"/>
  <c r="Y9" i="6" s="1"/>
  <c r="AJ59" i="4"/>
  <c r="BO25" i="4"/>
  <c r="AJ7" i="4"/>
  <c r="BO22" i="4"/>
  <c r="AJ39" i="4"/>
  <c r="BO47" i="4"/>
  <c r="BO71" i="4"/>
  <c r="BO62" i="4"/>
  <c r="BO54" i="4"/>
  <c r="AJ77" i="4"/>
  <c r="AJ48" i="4"/>
  <c r="AJ50" i="4"/>
  <c r="BO60" i="4"/>
  <c r="BO76" i="4"/>
  <c r="AJ44" i="4"/>
  <c r="AJ74" i="4"/>
  <c r="AJ17" i="4"/>
  <c r="BO26" i="4"/>
  <c r="BO68" i="4"/>
  <c r="AJ16" i="4"/>
  <c r="AJ28" i="4"/>
  <c r="AJ20" i="4"/>
  <c r="AJ52" i="4"/>
  <c r="AJ81" i="4"/>
  <c r="BO72" i="4"/>
  <c r="BO79" i="4"/>
  <c r="AJ56" i="4"/>
  <c r="BO80" i="4"/>
  <c r="AJ55" i="4"/>
  <c r="BO6" i="4"/>
  <c r="BO44" i="4"/>
  <c r="BO21" i="4"/>
  <c r="BO30" i="4"/>
  <c r="BO14" i="4"/>
  <c r="AJ42" i="4"/>
  <c r="BO63" i="4"/>
  <c r="BO51" i="4"/>
  <c r="BO81" i="4"/>
  <c r="AJ67" i="4"/>
  <c r="AJ54" i="4"/>
  <c r="AJ58" i="4"/>
  <c r="AJ25" i="4"/>
  <c r="AJ9" i="4"/>
  <c r="BO16" i="4"/>
  <c r="AJ21" i="4"/>
  <c r="AJ32" i="4"/>
  <c r="AJ18" i="4"/>
  <c r="AJ47" i="4"/>
  <c r="BO67" i="4"/>
  <c r="BO43" i="4"/>
  <c r="BO20" i="4"/>
  <c r="AJ82" i="4"/>
  <c r="AJ11" i="4"/>
  <c r="AJ62" i="4"/>
  <c r="AJ22" i="4"/>
  <c r="BO57" i="4"/>
  <c r="AJ70" i="4"/>
  <c r="BO27" i="4"/>
  <c r="AJ19" i="4"/>
  <c r="BO46" i="4"/>
  <c r="BO18" i="4"/>
  <c r="BO33" i="4"/>
  <c r="BO32" i="4"/>
  <c r="AJ30" i="4"/>
  <c r="AJ8" i="4"/>
  <c r="AJ34" i="4"/>
  <c r="BO15" i="4"/>
  <c r="AJ73" i="4"/>
  <c r="BO65" i="4"/>
  <c r="AJ75" i="4"/>
  <c r="AJ40" i="4"/>
  <c r="AJ64" i="4"/>
  <c r="AJ31" i="4"/>
  <c r="BO78" i="4"/>
  <c r="AJ65" i="4"/>
  <c r="BO70" i="4"/>
  <c r="AJ10" i="4"/>
  <c r="AJ71" i="4"/>
  <c r="BO75" i="4"/>
  <c r="BO58" i="4"/>
  <c r="BO11" i="4"/>
  <c r="BO49" i="4"/>
  <c r="BO40" i="4"/>
  <c r="AJ68" i="4"/>
  <c r="BO77" i="4"/>
  <c r="AJ35" i="4"/>
  <c r="BO17" i="4"/>
  <c r="AJ46" i="4"/>
  <c r="AJ72" i="4"/>
  <c r="BO36" i="4"/>
  <c r="BO37" i="4"/>
  <c r="BO41" i="4"/>
  <c r="AJ57" i="4"/>
  <c r="BO39" i="4"/>
  <c r="AJ61" i="4"/>
  <c r="BO29" i="4"/>
  <c r="AJ53" i="4"/>
  <c r="AJ51" i="4"/>
  <c r="BO53" i="4"/>
  <c r="BO42" i="4"/>
  <c r="BO23" i="4"/>
  <c r="BO8" i="4"/>
  <c r="BO73" i="4"/>
  <c r="AJ15" i="4"/>
  <c r="AJ6" i="4"/>
  <c r="AJ37" i="4"/>
  <c r="BO12" i="4"/>
  <c r="AJ49" i="4"/>
  <c r="BO35" i="4"/>
  <c r="BO45" i="4"/>
  <c r="AJ14" i="4"/>
  <c r="AJ63" i="4"/>
  <c r="BO9" i="4"/>
  <c r="AJ13" i="4"/>
  <c r="BO19" i="4"/>
  <c r="AJ23" i="4"/>
  <c r="AJ60" i="4"/>
  <c r="BO66" i="4"/>
  <c r="AJ45" i="4"/>
  <c r="BO31" i="4"/>
  <c r="BO7" i="4"/>
  <c r="AJ24" i="4"/>
  <c r="AJ26" i="4"/>
  <c r="AL61" i="4"/>
  <c r="AL35" i="4"/>
  <c r="AL55" i="4"/>
  <c r="AL83" i="4"/>
  <c r="AL80" i="4"/>
  <c r="BQ9" i="4"/>
  <c r="BJ9" i="4" s="1"/>
  <c r="AL32" i="4"/>
  <c r="AL59" i="4"/>
  <c r="AL9" i="4"/>
  <c r="AL63" i="4"/>
  <c r="AL49" i="4"/>
  <c r="BQ44" i="4"/>
  <c r="AL41" i="4"/>
  <c r="BQ8" i="4"/>
  <c r="AL47" i="4"/>
  <c r="AL68" i="4"/>
  <c r="BQ55" i="4"/>
  <c r="BJ55" i="4" s="1"/>
  <c r="BQ14" i="4"/>
  <c r="BJ14" i="4" s="1"/>
  <c r="AL70" i="4"/>
  <c r="AL64" i="4"/>
  <c r="BQ36" i="4"/>
  <c r="BJ36" i="4" s="1"/>
  <c r="AL65" i="4"/>
  <c r="AL16" i="4"/>
  <c r="BQ23" i="4"/>
  <c r="BJ23" i="4" s="1"/>
  <c r="AL67" i="4"/>
  <c r="AL33" i="4"/>
  <c r="BQ16" i="4"/>
  <c r="BJ16" i="4" s="1"/>
  <c r="BQ56" i="4"/>
  <c r="BJ56" i="4" s="1"/>
  <c r="BQ50" i="4"/>
  <c r="BJ50" i="4" s="1"/>
  <c r="AL45" i="4"/>
  <c r="AL50" i="4"/>
  <c r="AL28" i="4"/>
  <c r="BQ66" i="4"/>
  <c r="BJ66" i="4" s="1"/>
  <c r="AL42" i="4"/>
  <c r="AL8" i="4"/>
  <c r="AL39" i="4"/>
  <c r="BQ10" i="4"/>
  <c r="BJ10" i="4" s="1"/>
  <c r="BQ74" i="4"/>
  <c r="BJ74" i="4" s="1"/>
  <c r="AL10" i="4"/>
  <c r="BQ69" i="4"/>
  <c r="BJ69" i="4" s="1"/>
  <c r="BQ49" i="4"/>
  <c r="BJ49" i="4" s="1"/>
  <c r="AL77" i="4"/>
  <c r="BQ31" i="4"/>
  <c r="BJ31" i="4" s="1"/>
  <c r="BQ89" i="4"/>
  <c r="BJ89" i="4" s="1"/>
  <c r="AL19" i="4"/>
  <c r="BQ13" i="4"/>
  <c r="BJ13" i="4" s="1"/>
  <c r="BQ54" i="4"/>
  <c r="BJ54" i="4" s="1"/>
  <c r="BQ65" i="4"/>
  <c r="BJ65" i="4" s="1"/>
  <c r="AL38" i="4"/>
  <c r="BQ71" i="4"/>
  <c r="BJ71" i="4" s="1"/>
  <c r="AL72" i="4"/>
  <c r="AL60" i="4"/>
  <c r="BQ18" i="4"/>
  <c r="BJ18" i="4" s="1"/>
  <c r="BQ80" i="4"/>
  <c r="BJ80" i="4" s="1"/>
  <c r="AL58" i="4"/>
  <c r="BQ70" i="4"/>
  <c r="BJ70" i="4" s="1"/>
  <c r="AL44" i="4"/>
  <c r="AL23" i="4"/>
  <c r="AL69" i="4"/>
  <c r="BQ98" i="4"/>
  <c r="BJ98" i="4" s="1"/>
  <c r="AL54" i="4"/>
  <c r="AL51" i="4"/>
  <c r="BQ68" i="4"/>
  <c r="BJ68" i="4" s="1"/>
  <c r="BQ33" i="4"/>
  <c r="BJ33" i="4" s="1"/>
  <c r="BQ62" i="4"/>
  <c r="AL14" i="4"/>
  <c r="AL73" i="4"/>
  <c r="AL26" i="4"/>
  <c r="BQ42" i="4"/>
  <c r="BJ42" i="4" s="1"/>
  <c r="BQ35" i="4"/>
  <c r="BJ35" i="4" s="1"/>
  <c r="BQ46" i="4"/>
  <c r="BJ46" i="4" s="1"/>
  <c r="AL11" i="4"/>
  <c r="AL34" i="4"/>
  <c r="BQ63" i="4"/>
  <c r="BJ63" i="4" s="1"/>
  <c r="BQ19" i="4"/>
  <c r="BJ19" i="4" s="1"/>
  <c r="AL40" i="4"/>
  <c r="BQ26" i="4"/>
  <c r="BQ40" i="4"/>
  <c r="BJ40" i="4" s="1"/>
  <c r="BQ76" i="4"/>
  <c r="BJ76" i="4" s="1"/>
  <c r="AL76" i="4"/>
  <c r="BQ28" i="4"/>
  <c r="BJ28" i="4" s="1"/>
  <c r="AL29" i="4"/>
  <c r="BQ20" i="4"/>
  <c r="BJ20" i="4" s="1"/>
  <c r="AL43" i="4"/>
  <c r="BQ38" i="4"/>
  <c r="BJ38" i="4" s="1"/>
  <c r="BQ78" i="4"/>
  <c r="BJ78" i="4" s="1"/>
  <c r="BQ43" i="4"/>
  <c r="BJ43" i="4" s="1"/>
  <c r="BQ77" i="4"/>
  <c r="BJ77" i="4" s="1"/>
  <c r="BQ30" i="4"/>
  <c r="BJ30" i="4" s="1"/>
  <c r="AL25" i="4"/>
  <c r="AL74" i="4"/>
  <c r="BP52" i="4"/>
  <c r="AK66" i="4"/>
  <c r="BP32" i="4"/>
  <c r="BP47" i="4"/>
  <c r="AK52" i="4"/>
  <c r="BP67" i="4"/>
  <c r="BP60" i="4"/>
  <c r="AK50" i="4"/>
  <c r="BP11" i="4"/>
  <c r="AK64" i="4"/>
  <c r="AK16" i="4"/>
  <c r="AK82" i="4"/>
  <c r="AK7" i="4"/>
  <c r="BP21" i="4"/>
  <c r="AK21" i="4"/>
  <c r="AK37" i="4"/>
  <c r="BP12" i="4"/>
  <c r="AK18" i="4"/>
  <c r="AK63" i="4"/>
  <c r="BP22" i="4"/>
  <c r="AK45" i="4"/>
  <c r="AK59" i="4"/>
  <c r="BP8" i="4"/>
  <c r="BP51" i="4"/>
  <c r="AK39" i="4"/>
  <c r="BP61" i="4"/>
  <c r="BP75" i="4"/>
  <c r="BP16" i="4"/>
  <c r="AK26" i="4"/>
  <c r="BP59" i="4"/>
  <c r="BP9" i="4"/>
  <c r="BP62" i="4"/>
  <c r="BP19" i="4"/>
  <c r="AK70" i="4"/>
  <c r="AK19" i="4"/>
  <c r="BP48" i="4"/>
  <c r="AK76" i="4"/>
  <c r="BP46" i="4"/>
  <c r="AK23" i="4"/>
  <c r="AK67" i="4"/>
  <c r="BP74" i="4"/>
  <c r="AK44" i="4"/>
  <c r="BP71" i="4"/>
  <c r="AK14" i="4"/>
  <c r="BP40" i="4"/>
  <c r="AK40" i="4"/>
  <c r="AK20" i="4"/>
  <c r="AK80" i="4"/>
  <c r="AK6" i="4"/>
  <c r="BP17" i="4"/>
  <c r="AK10" i="4"/>
  <c r="AK17" i="4"/>
  <c r="AK56" i="4"/>
  <c r="BP7" i="4"/>
  <c r="BP18" i="4"/>
  <c r="AK12" i="4"/>
  <c r="BP29" i="4"/>
  <c r="BP78" i="4"/>
  <c r="AK81" i="4"/>
  <c r="AK97" i="4"/>
  <c r="BP35" i="4"/>
  <c r="AK69" i="4"/>
  <c r="AK65" i="4"/>
  <c r="BP31" i="4"/>
  <c r="BP57" i="4"/>
  <c r="BP41" i="4"/>
  <c r="BP28" i="4"/>
  <c r="BP50" i="4"/>
  <c r="AK42" i="4"/>
  <c r="AK41" i="4"/>
  <c r="BP53" i="4"/>
  <c r="AK55" i="4"/>
  <c r="BP23" i="4"/>
  <c r="BP68" i="4"/>
  <c r="BP37" i="4"/>
  <c r="AK32" i="4"/>
  <c r="AK71" i="4"/>
  <c r="BP24" i="4"/>
  <c r="BP45" i="4"/>
  <c r="BP79" i="4"/>
  <c r="BP54" i="4"/>
  <c r="BP81" i="4"/>
  <c r="BP65" i="4"/>
  <c r="BP34" i="4"/>
  <c r="AK57" i="4"/>
  <c r="AK74" i="4"/>
  <c r="AK48" i="4"/>
  <c r="AK60" i="4"/>
  <c r="BP66" i="4"/>
  <c r="BP20" i="4"/>
  <c r="BP70" i="4"/>
  <c r="AK24" i="4"/>
  <c r="BP73" i="4"/>
  <c r="AK31" i="4"/>
  <c r="AK15" i="4"/>
  <c r="AK9" i="4"/>
  <c r="BP14" i="4"/>
  <c r="AK30" i="4"/>
  <c r="AK22" i="4"/>
  <c r="AK46" i="4"/>
  <c r="AK58" i="4"/>
  <c r="AK79" i="4"/>
  <c r="AK53" i="4"/>
  <c r="AK34" i="4"/>
  <c r="BP38" i="4"/>
  <c r="AK77" i="4"/>
  <c r="AK51" i="4"/>
  <c r="BP30" i="4"/>
  <c r="AK95" i="4"/>
  <c r="BP43" i="4"/>
  <c r="AK73" i="4"/>
  <c r="BP10" i="4"/>
  <c r="BP76" i="4"/>
  <c r="BP6" i="4"/>
  <c r="BP64" i="4"/>
  <c r="AK61" i="4"/>
  <c r="AK35" i="4"/>
  <c r="AK78" i="4"/>
  <c r="BP49" i="4"/>
  <c r="AK75" i="4"/>
  <c r="AK28" i="4"/>
  <c r="BP33" i="4"/>
  <c r="AK8" i="4"/>
  <c r="BP27" i="4"/>
  <c r="BP63" i="4"/>
  <c r="AK54" i="4"/>
  <c r="AK72" i="4"/>
  <c r="BP80" i="4"/>
  <c r="BP42" i="4"/>
  <c r="BP55" i="4"/>
  <c r="BP25" i="4"/>
  <c r="AK38" i="4"/>
  <c r="BP13" i="4"/>
  <c r="BP36" i="4"/>
  <c r="AK68" i="4"/>
  <c r="AK62" i="4"/>
  <c r="BP72" i="4"/>
  <c r="AK33" i="4"/>
  <c r="AK29" i="4"/>
  <c r="BP56" i="4"/>
  <c r="AK43" i="4"/>
  <c r="BP69" i="4"/>
  <c r="AK36" i="4"/>
  <c r="AK83" i="4"/>
  <c r="AK49" i="4"/>
  <c r="BP15" i="4"/>
  <c r="BP77" i="4"/>
  <c r="AK27" i="4"/>
  <c r="BP58" i="4"/>
  <c r="AK47" i="4"/>
  <c r="AK11" i="4"/>
  <c r="BP26" i="4"/>
  <c r="BP44" i="4"/>
  <c r="AK13" i="4"/>
  <c r="AK25" i="4"/>
  <c r="BP39" i="4"/>
  <c r="D1827" i="2"/>
  <c r="E1827" i="2" s="1"/>
  <c r="C1827" i="2"/>
  <c r="F1827" i="2" s="1"/>
  <c r="BQ88" i="4" l="1"/>
  <c r="BJ88" i="4" s="1"/>
  <c r="AK96" i="4"/>
  <c r="BO74" i="4"/>
  <c r="BQ47" i="4"/>
  <c r="BJ47" i="4" s="1"/>
  <c r="BQ67" i="4"/>
  <c r="BJ67" i="4" s="1"/>
  <c r="BQ41" i="4"/>
  <c r="BJ41" i="4" s="1"/>
  <c r="BQ27" i="4"/>
  <c r="BJ27" i="4" s="1"/>
  <c r="BQ39" i="4"/>
  <c r="BJ39" i="4" s="1"/>
  <c r="AL7" i="4"/>
  <c r="AL57" i="4"/>
  <c r="AL31" i="4"/>
  <c r="BQ53" i="4"/>
  <c r="BJ53" i="4" s="1"/>
  <c r="AL53" i="4"/>
  <c r="AL17" i="4"/>
  <c r="AL46" i="4"/>
  <c r="AL48" i="4"/>
  <c r="BQ7" i="4"/>
  <c r="BJ7" i="4" s="1"/>
  <c r="AL20" i="4"/>
  <c r="AL78" i="4"/>
  <c r="BQ72" i="4"/>
  <c r="BJ72" i="4" s="1"/>
  <c r="BQ11" i="4"/>
  <c r="BJ11" i="4" s="1"/>
  <c r="BQ15" i="4"/>
  <c r="AL81" i="4"/>
  <c r="BQ59" i="4"/>
  <c r="BJ59" i="4" s="1"/>
  <c r="BQ60" i="4"/>
  <c r="BJ60" i="4" s="1"/>
  <c r="BQ37" i="4"/>
  <c r="BJ37" i="4" s="1"/>
  <c r="BQ45" i="4"/>
  <c r="BJ45" i="4" s="1"/>
  <c r="AL22" i="4"/>
  <c r="BQ48" i="4"/>
  <c r="BJ48" i="4" s="1"/>
  <c r="AL62" i="4"/>
  <c r="BQ64" i="4"/>
  <c r="BJ64" i="4" s="1"/>
  <c r="BQ21" i="4"/>
  <c r="BJ21" i="4" s="1"/>
  <c r="AL37" i="4"/>
  <c r="AL86" i="4"/>
  <c r="AJ76" i="4"/>
  <c r="AK91" i="4"/>
  <c r="AJ33" i="4"/>
  <c r="AJ29" i="4"/>
  <c r="BO48" i="4"/>
  <c r="BQ87" i="4"/>
  <c r="BJ87" i="4" s="1"/>
  <c r="BQ61" i="4"/>
  <c r="BJ61" i="4" s="1"/>
  <c r="AL52" i="4"/>
  <c r="AL82" i="4"/>
  <c r="AL15" i="4"/>
  <c r="BQ51" i="4"/>
  <c r="BJ51" i="4" s="1"/>
  <c r="AL89" i="4"/>
  <c r="BQ90" i="4"/>
  <c r="BJ90" i="4" s="1"/>
  <c r="BQ24" i="4"/>
  <c r="BJ24" i="4" s="1"/>
  <c r="AL71" i="4"/>
  <c r="BQ73" i="4"/>
  <c r="BJ73" i="4" s="1"/>
  <c r="AL6" i="4"/>
  <c r="AL66" i="4"/>
  <c r="AL12" i="4"/>
  <c r="BQ57" i="4"/>
  <c r="BJ57" i="4" s="1"/>
  <c r="BQ92" i="4"/>
  <c r="BJ92" i="4" s="1"/>
  <c r="BQ12" i="4"/>
  <c r="BJ12" i="4" s="1"/>
  <c r="BQ99" i="4"/>
  <c r="BJ99" i="4" s="1"/>
  <c r="BQ82" i="4"/>
  <c r="BJ82" i="4" s="1"/>
  <c r="AL24" i="4"/>
  <c r="BQ6" i="4"/>
  <c r="AW6" i="4" s="1"/>
  <c r="BO50" i="4"/>
  <c r="AV50" i="4" s="1"/>
  <c r="AJ69" i="4"/>
  <c r="BO52" i="4"/>
  <c r="AV52" i="4" s="1"/>
  <c r="AJ41" i="4"/>
  <c r="BO64" i="4"/>
  <c r="AV64" i="4" s="1"/>
  <c r="BO59" i="4"/>
  <c r="BH59" i="4" s="1"/>
  <c r="BO10" i="4"/>
  <c r="BH10" i="4" s="1"/>
  <c r="AJ43" i="4"/>
  <c r="AJ80" i="4"/>
  <c r="AL75" i="4"/>
  <c r="BQ81" i="4"/>
  <c r="AL27" i="4"/>
  <c r="BQ29" i="4"/>
  <c r="BJ29" i="4" s="1"/>
  <c r="BQ75" i="4"/>
  <c r="BJ75" i="4" s="1"/>
  <c r="BQ52" i="4"/>
  <c r="BJ52" i="4" s="1"/>
  <c r="AL13" i="4"/>
  <c r="AL30" i="4"/>
  <c r="BQ32" i="4"/>
  <c r="BJ32" i="4" s="1"/>
  <c r="AL36" i="4"/>
  <c r="BQ22" i="4"/>
  <c r="BJ22" i="4" s="1"/>
  <c r="AL56" i="4"/>
  <c r="BQ25" i="4"/>
  <c r="BJ25" i="4" s="1"/>
  <c r="BQ79" i="4"/>
  <c r="BJ79" i="4" s="1"/>
  <c r="BQ34" i="4"/>
  <c r="BJ34" i="4" s="1"/>
  <c r="AL18" i="4"/>
  <c r="AL79" i="4"/>
  <c r="BQ17" i="4"/>
  <c r="BJ17" i="4" s="1"/>
  <c r="BQ58" i="4"/>
  <c r="BJ58" i="4" s="1"/>
  <c r="AL21" i="4"/>
  <c r="AJ78" i="4"/>
  <c r="AJ83" i="4"/>
  <c r="BO61" i="4"/>
  <c r="AV61" i="4" s="1"/>
  <c r="BO13" i="4"/>
  <c r="BH13" i="4" s="1"/>
  <c r="BO28" i="4"/>
  <c r="AV28" i="4" s="1"/>
  <c r="BO56" i="4"/>
  <c r="AV56" i="4" s="1"/>
  <c r="BO24" i="4"/>
  <c r="AV24" i="4" s="1"/>
  <c r="AJ79" i="4"/>
  <c r="AJ36" i="4"/>
  <c r="BQ96" i="4"/>
  <c r="BJ96" i="4" s="1"/>
  <c r="AK93" i="4"/>
  <c r="AK92" i="4"/>
  <c r="BQ95" i="4"/>
  <c r="BJ95" i="4" s="1"/>
  <c r="BQ85" i="4"/>
  <c r="BJ85" i="4" s="1"/>
  <c r="AL85" i="4"/>
  <c r="BQ83" i="4"/>
  <c r="BJ83" i="4" s="1"/>
  <c r="AL88" i="4"/>
  <c r="AL90" i="4"/>
  <c r="BQ97" i="4"/>
  <c r="BJ97" i="4" s="1"/>
  <c r="BQ91" i="4"/>
  <c r="BJ91" i="4" s="1"/>
  <c r="AL84" i="4"/>
  <c r="BQ93" i="4"/>
  <c r="BJ93" i="4" s="1"/>
  <c r="AL87" i="4"/>
  <c r="BQ84" i="4"/>
  <c r="BJ84" i="4" s="1"/>
  <c r="BQ86" i="4"/>
  <c r="BJ86" i="4" s="1"/>
  <c r="BQ94" i="4"/>
  <c r="BJ94" i="4" s="1"/>
  <c r="AJ27" i="4"/>
  <c r="BO38" i="4"/>
  <c r="BH38" i="4" s="1"/>
  <c r="BO34" i="4"/>
  <c r="AV34" i="4" s="1"/>
  <c r="AK94" i="4"/>
  <c r="AJ12" i="4"/>
  <c r="BO55" i="4"/>
  <c r="BH55" i="4" s="1"/>
  <c r="AJ66" i="4"/>
  <c r="AJ38" i="4"/>
  <c r="U10" i="6"/>
  <c r="V9" i="6"/>
  <c r="AJ93" i="4" s="1"/>
  <c r="AW44" i="4"/>
  <c r="BI44" i="4"/>
  <c r="AT44" i="4"/>
  <c r="BI52" i="4"/>
  <c r="AV20" i="4"/>
  <c r="BH20" i="4"/>
  <c r="BI51" i="4"/>
  <c r="BJ44" i="4"/>
  <c r="AV41" i="4"/>
  <c r="BH41" i="4"/>
  <c r="BH49" i="4"/>
  <c r="AV49" i="4"/>
  <c r="BH46" i="4"/>
  <c r="AV46" i="4"/>
  <c r="AV68" i="4"/>
  <c r="BH68" i="4"/>
  <c r="AV48" i="4"/>
  <c r="BH48" i="4"/>
  <c r="BI33" i="4"/>
  <c r="AW33" i="4"/>
  <c r="AW31" i="4"/>
  <c r="BI31" i="4"/>
  <c r="BI17" i="4"/>
  <c r="AW8" i="4"/>
  <c r="AT8" i="4"/>
  <c r="BI8" i="4"/>
  <c r="AU62" i="4"/>
  <c r="BJ62" i="4"/>
  <c r="AV19" i="4"/>
  <c r="BH19" i="4"/>
  <c r="BH37" i="4"/>
  <c r="AV37" i="4"/>
  <c r="BH11" i="4"/>
  <c r="AV11" i="4"/>
  <c r="AV79" i="4"/>
  <c r="AS79" i="4"/>
  <c r="BH79" i="4"/>
  <c r="BI75" i="4"/>
  <c r="BI27" i="4"/>
  <c r="BH80" i="4"/>
  <c r="AV80" i="4"/>
  <c r="BH67" i="4"/>
  <c r="AV67" i="4"/>
  <c r="BI24" i="4"/>
  <c r="AW36" i="4"/>
  <c r="BI36" i="4"/>
  <c r="BH51" i="4"/>
  <c r="AV51" i="4"/>
  <c r="BI22" i="4"/>
  <c r="AW19" i="4"/>
  <c r="BI19" i="4"/>
  <c r="AW76" i="4"/>
  <c r="BI76" i="4"/>
  <c r="AW28" i="4"/>
  <c r="BI28" i="4"/>
  <c r="AV78" i="4"/>
  <c r="BH78" i="4"/>
  <c r="AW41" i="4"/>
  <c r="BI41" i="4"/>
  <c r="AV74" i="4"/>
  <c r="BH74" i="4"/>
  <c r="AV40" i="4"/>
  <c r="BH40" i="4"/>
  <c r="BI57" i="4"/>
  <c r="BI48" i="4"/>
  <c r="AW13" i="4"/>
  <c r="BI13" i="4"/>
  <c r="AV36" i="4"/>
  <c r="BH36" i="4"/>
  <c r="AW43" i="4"/>
  <c r="BI43" i="4"/>
  <c r="BH45" i="4"/>
  <c r="AV45" i="4"/>
  <c r="AV42" i="4"/>
  <c r="BH42" i="4"/>
  <c r="AV57" i="4"/>
  <c r="BH57" i="4"/>
  <c r="X10" i="6"/>
  <c r="BP144" i="4"/>
  <c r="AK109" i="4"/>
  <c r="AK140" i="4"/>
  <c r="AK121" i="4"/>
  <c r="AK132" i="4"/>
  <c r="BP138" i="4"/>
  <c r="AK131" i="4"/>
  <c r="BP130" i="4"/>
  <c r="BP136" i="4"/>
  <c r="BP127" i="4"/>
  <c r="BP126" i="4"/>
  <c r="AK142" i="4"/>
  <c r="BP134" i="4"/>
  <c r="BP137" i="4"/>
  <c r="BP113" i="4"/>
  <c r="BP139" i="4"/>
  <c r="BP141" i="4"/>
  <c r="AK120" i="4"/>
  <c r="AK128" i="4"/>
  <c r="AK134" i="4"/>
  <c r="BP132" i="4"/>
  <c r="BP140" i="4"/>
  <c r="AK137" i="4"/>
  <c r="BP112" i="4"/>
  <c r="AK114" i="4"/>
  <c r="BP101" i="4"/>
  <c r="AK141" i="4"/>
  <c r="BP133" i="4"/>
  <c r="BP135" i="4"/>
  <c r="AK129" i="4"/>
  <c r="AK122" i="4"/>
  <c r="BP131" i="4"/>
  <c r="AK130" i="4"/>
  <c r="AK136" i="4"/>
  <c r="AK138" i="4"/>
  <c r="BP142" i="4"/>
  <c r="BP128" i="4"/>
  <c r="AK143" i="4"/>
  <c r="AK135" i="4"/>
  <c r="BP100" i="4"/>
  <c r="BP118" i="4"/>
  <c r="AK139" i="4"/>
  <c r="BP124" i="4"/>
  <c r="BP121" i="4"/>
  <c r="BP143" i="4"/>
  <c r="AK127" i="4"/>
  <c r="AK133" i="4"/>
  <c r="AW55" i="4"/>
  <c r="BI55" i="4"/>
  <c r="AW30" i="4"/>
  <c r="BI30" i="4"/>
  <c r="AW14" i="4"/>
  <c r="BI14" i="4"/>
  <c r="BI65" i="4"/>
  <c r="AW65" i="4"/>
  <c r="AW40" i="4"/>
  <c r="BI40" i="4"/>
  <c r="AW62" i="4"/>
  <c r="BI62" i="4"/>
  <c r="AT62" i="4"/>
  <c r="AW60" i="4"/>
  <c r="BI60" i="4"/>
  <c r="AV31" i="4"/>
  <c r="BH31" i="4"/>
  <c r="BH35" i="4"/>
  <c r="AV35" i="4"/>
  <c r="AV53" i="4"/>
  <c r="BH53" i="4"/>
  <c r="AV75" i="4"/>
  <c r="BH75" i="4"/>
  <c r="X8" i="6"/>
  <c r="BI21" i="4"/>
  <c r="AT26" i="4"/>
  <c r="BI26" i="4"/>
  <c r="AW26" i="4"/>
  <c r="AW72" i="4"/>
  <c r="BI72" i="4"/>
  <c r="AW37" i="4"/>
  <c r="BI37" i="4"/>
  <c r="BH72" i="4"/>
  <c r="AV72" i="4"/>
  <c r="AW35" i="4"/>
  <c r="BI35" i="4"/>
  <c r="BH27" i="4"/>
  <c r="AV27" i="4"/>
  <c r="BI53" i="4"/>
  <c r="BI67" i="4"/>
  <c r="BH16" i="4"/>
  <c r="AV16" i="4"/>
  <c r="AV14" i="4"/>
  <c r="BH14" i="4"/>
  <c r="AV43" i="4"/>
  <c r="BH43" i="4"/>
  <c r="AV81" i="4"/>
  <c r="BH81" i="4"/>
  <c r="AW77" i="4"/>
  <c r="BI77" i="4"/>
  <c r="AT15" i="4"/>
  <c r="AW15" i="4"/>
  <c r="BI15" i="4"/>
  <c r="AV17" i="4"/>
  <c r="BH17" i="4"/>
  <c r="AV30" i="4"/>
  <c r="BH30" i="4"/>
  <c r="BH76" i="4"/>
  <c r="AV76" i="4"/>
  <c r="AA9" i="6"/>
  <c r="AW66" i="4"/>
  <c r="BI66" i="4"/>
  <c r="AV18" i="4"/>
  <c r="BH18" i="4"/>
  <c r="AV63" i="4"/>
  <c r="BH63" i="4"/>
  <c r="AW42" i="4"/>
  <c r="BI42" i="4"/>
  <c r="BI81" i="4"/>
  <c r="AW9" i="4"/>
  <c r="BI9" i="4"/>
  <c r="AW38" i="4"/>
  <c r="BI38" i="4"/>
  <c r="BI59" i="4"/>
  <c r="AV70" i="4"/>
  <c r="BH70" i="4"/>
  <c r="BH21" i="4"/>
  <c r="AV21" i="4"/>
  <c r="AV60" i="4"/>
  <c r="BH60" i="4"/>
  <c r="AS62" i="4"/>
  <c r="AV62" i="4"/>
  <c r="BH62" i="4"/>
  <c r="AW70" i="4"/>
  <c r="BI70" i="4"/>
  <c r="BH39" i="4"/>
  <c r="AV39" i="4"/>
  <c r="BI20" i="4"/>
  <c r="AW20" i="4"/>
  <c r="AU8" i="4"/>
  <c r="BJ8" i="4"/>
  <c r="AV22" i="4"/>
  <c r="BH22" i="4"/>
  <c r="AW10" i="4"/>
  <c r="BI10" i="4"/>
  <c r="BI46" i="4"/>
  <c r="AW46" i="4"/>
  <c r="AW58" i="4"/>
  <c r="BI58" i="4"/>
  <c r="AV73" i="4"/>
  <c r="BH73" i="4"/>
  <c r="AV26" i="4"/>
  <c r="AS26" i="4"/>
  <c r="BH26" i="4"/>
  <c r="BH8" i="4"/>
  <c r="AS8" i="4"/>
  <c r="AV8" i="4"/>
  <c r="BH65" i="4"/>
  <c r="AV65" i="4"/>
  <c r="AW11" i="4"/>
  <c r="BI11" i="4"/>
  <c r="AW49" i="4"/>
  <c r="BI49" i="4"/>
  <c r="AW23" i="4"/>
  <c r="BI23" i="4"/>
  <c r="AV7" i="4"/>
  <c r="BH7" i="4"/>
  <c r="AV23" i="4"/>
  <c r="BH23" i="4"/>
  <c r="AV15" i="4"/>
  <c r="AS15" i="4"/>
  <c r="BH15" i="4"/>
  <c r="BH54" i="4"/>
  <c r="AV54" i="4"/>
  <c r="BI25" i="4"/>
  <c r="BI34" i="4"/>
  <c r="AW78" i="4"/>
  <c r="BI78" i="4"/>
  <c r="AW80" i="4"/>
  <c r="BI80" i="4"/>
  <c r="AW29" i="4"/>
  <c r="BI29" i="4"/>
  <c r="BI39" i="4"/>
  <c r="AW71" i="4"/>
  <c r="BI71" i="4"/>
  <c r="AW47" i="4"/>
  <c r="BI47" i="4"/>
  <c r="BI64" i="4"/>
  <c r="BI73" i="4"/>
  <c r="AT79" i="4"/>
  <c r="BI79" i="4"/>
  <c r="AW18" i="4"/>
  <c r="BI18" i="4"/>
  <c r="BI32" i="4"/>
  <c r="BH66" i="4"/>
  <c r="AV66" i="4"/>
  <c r="AV29" i="4"/>
  <c r="BH29" i="4"/>
  <c r="BH32" i="4"/>
  <c r="AV32" i="4"/>
  <c r="AV44" i="4"/>
  <c r="BH44" i="4"/>
  <c r="AS44" i="4"/>
  <c r="AV71" i="4"/>
  <c r="BH71" i="4"/>
  <c r="AU84" i="4"/>
  <c r="BI45" i="4"/>
  <c r="BI61" i="4"/>
  <c r="BH25" i="4"/>
  <c r="AV25" i="4"/>
  <c r="BH9" i="4"/>
  <c r="AV9" i="4"/>
  <c r="BH58" i="4"/>
  <c r="AV58" i="4"/>
  <c r="AW68" i="4"/>
  <c r="BI68" i="4"/>
  <c r="AK125" i="4"/>
  <c r="Y10" i="6"/>
  <c r="BP129" i="4" s="1"/>
  <c r="AU15" i="4"/>
  <c r="BJ15" i="4"/>
  <c r="AW54" i="4"/>
  <c r="BI54" i="4"/>
  <c r="AW69" i="4"/>
  <c r="BI69" i="4"/>
  <c r="BI12" i="4"/>
  <c r="AU26" i="4"/>
  <c r="BJ26" i="4"/>
  <c r="AW56" i="4"/>
  <c r="BI56" i="4"/>
  <c r="AW63" i="4"/>
  <c r="BI63" i="4"/>
  <c r="AT6" i="4"/>
  <c r="BI6" i="4"/>
  <c r="AW50" i="4"/>
  <c r="BI50" i="4"/>
  <c r="BI7" i="4"/>
  <c r="AW74" i="4"/>
  <c r="BI74" i="4"/>
  <c r="AW16" i="4"/>
  <c r="BI16" i="4"/>
  <c r="AV12" i="4"/>
  <c r="BH12" i="4"/>
  <c r="BH77" i="4"/>
  <c r="AV77" i="4"/>
  <c r="AV33" i="4"/>
  <c r="BH33" i="4"/>
  <c r="AV6" i="4"/>
  <c r="AS6" i="4"/>
  <c r="BH6" i="4"/>
  <c r="BH47" i="4"/>
  <c r="AV47" i="4"/>
  <c r="U8" i="6"/>
  <c r="C1828" i="2"/>
  <c r="F1828" i="2" s="1"/>
  <c r="D1828" i="2"/>
  <c r="E1828" i="2" s="1"/>
  <c r="AW12" i="4" l="1"/>
  <c r="AW27" i="4"/>
  <c r="AW67" i="4"/>
  <c r="AW39" i="4"/>
  <c r="AW45" i="4"/>
  <c r="AW59" i="4"/>
  <c r="AW7" i="4"/>
  <c r="AW48" i="4"/>
  <c r="AW52" i="4"/>
  <c r="BJ6" i="4"/>
  <c r="AW21" i="4"/>
  <c r="AW53" i="4"/>
  <c r="AU44" i="4"/>
  <c r="AW64" i="4"/>
  <c r="AU6" i="4"/>
  <c r="AW61" i="4"/>
  <c r="AW32" i="4"/>
  <c r="AU81" i="4"/>
  <c r="AW24" i="4"/>
  <c r="AW75" i="4"/>
  <c r="BH50" i="4"/>
  <c r="AW51" i="4"/>
  <c r="BH61" i="4"/>
  <c r="BH28" i="4"/>
  <c r="AV59" i="4"/>
  <c r="BH56" i="4"/>
  <c r="BH64" i="4"/>
  <c r="AV13" i="4"/>
  <c r="AU79" i="4"/>
  <c r="AW57" i="4"/>
  <c r="AW79" i="4"/>
  <c r="AW22" i="4"/>
  <c r="BJ81" i="4"/>
  <c r="AW73" i="4"/>
  <c r="AW81" i="4"/>
  <c r="BH52" i="4"/>
  <c r="BH24" i="4"/>
  <c r="AW17" i="4"/>
  <c r="AW34" i="4"/>
  <c r="AV10" i="4"/>
  <c r="AW25" i="4"/>
  <c r="AV38" i="4"/>
  <c r="BH34" i="4"/>
  <c r="AV55" i="4"/>
  <c r="V8" i="6"/>
  <c r="BO93" i="4" s="1"/>
  <c r="AB9" i="6"/>
  <c r="AL92" i="4" s="1"/>
  <c r="AL94" i="4"/>
  <c r="Y8" i="6"/>
  <c r="BP122" i="4" s="1"/>
  <c r="BI122" i="4" s="1"/>
  <c r="AJ134" i="4"/>
  <c r="AJ94" i="4"/>
  <c r="AJ96" i="4"/>
  <c r="AJ92" i="4"/>
  <c r="AJ91" i="4"/>
  <c r="AJ95" i="4"/>
  <c r="AJ97" i="4"/>
  <c r="BO104" i="4"/>
  <c r="BH104" i="4" s="1"/>
  <c r="AJ127" i="4"/>
  <c r="BO132" i="4"/>
  <c r="AV132" i="4" s="1"/>
  <c r="BP104" i="4"/>
  <c r="BI104" i="4" s="1"/>
  <c r="AJ130" i="4"/>
  <c r="AJ123" i="4"/>
  <c r="BP111" i="4"/>
  <c r="BI111" i="4" s="1"/>
  <c r="BO129" i="4"/>
  <c r="BH129" i="4" s="1"/>
  <c r="AK123" i="4"/>
  <c r="AK110" i="4"/>
  <c r="AJ143" i="4"/>
  <c r="BO138" i="4"/>
  <c r="AV138" i="4" s="1"/>
  <c r="AJ137" i="4"/>
  <c r="BO142" i="4"/>
  <c r="AV142" i="4" s="1"/>
  <c r="AK124" i="4"/>
  <c r="AK117" i="4"/>
  <c r="BO134" i="4"/>
  <c r="BH134" i="4" s="1"/>
  <c r="BO128" i="4"/>
  <c r="BH128" i="4" s="1"/>
  <c r="AJ129" i="4"/>
  <c r="BO127" i="4"/>
  <c r="AV127" i="4" s="1"/>
  <c r="BP117" i="4"/>
  <c r="BI117" i="4" s="1"/>
  <c r="BP109" i="4"/>
  <c r="BI109" i="4" s="1"/>
  <c r="BO139" i="4"/>
  <c r="AV139" i="4" s="1"/>
  <c r="AJ124" i="4"/>
  <c r="BP125" i="4"/>
  <c r="BI125" i="4" s="1"/>
  <c r="BP110" i="4"/>
  <c r="BI110" i="4" s="1"/>
  <c r="AK119" i="4"/>
  <c r="BO135" i="4"/>
  <c r="BH135" i="4" s="1"/>
  <c r="AJ132" i="4"/>
  <c r="AJ136" i="4"/>
  <c r="BO105" i="4"/>
  <c r="BH105" i="4" s="1"/>
  <c r="BO124" i="4"/>
  <c r="BH124" i="4" s="1"/>
  <c r="BP115" i="4"/>
  <c r="BI115" i="4" s="1"/>
  <c r="BO121" i="4"/>
  <c r="AV121" i="4" s="1"/>
  <c r="BO136" i="4"/>
  <c r="AV136" i="4" s="1"/>
  <c r="BO120" i="4"/>
  <c r="BH120" i="4" s="1"/>
  <c r="AJ114" i="4"/>
  <c r="AJ141" i="4"/>
  <c r="AK118" i="4"/>
  <c r="AK116" i="4"/>
  <c r="BP119" i="4"/>
  <c r="BI119" i="4" s="1"/>
  <c r="BO116" i="4"/>
  <c r="BO103" i="4"/>
  <c r="AJ112" i="4"/>
  <c r="AJ119" i="4"/>
  <c r="BO137" i="4"/>
  <c r="BH137" i="4" s="1"/>
  <c r="BO111" i="4"/>
  <c r="BH111" i="4" s="1"/>
  <c r="BP103" i="4"/>
  <c r="BI103" i="4" s="1"/>
  <c r="BO115" i="4"/>
  <c r="BH115" i="4" s="1"/>
  <c r="AJ138" i="4"/>
  <c r="BO130" i="4"/>
  <c r="BH130" i="4" s="1"/>
  <c r="AJ113" i="4"/>
  <c r="AJ142" i="4"/>
  <c r="AK126" i="4"/>
  <c r="BO122" i="4"/>
  <c r="BO143" i="4"/>
  <c r="BH143" i="4" s="1"/>
  <c r="BO112" i="4"/>
  <c r="BH112" i="4" s="1"/>
  <c r="AJ118" i="4"/>
  <c r="AJ121" i="4"/>
  <c r="BO119" i="4"/>
  <c r="BH119" i="4" s="1"/>
  <c r="BO100" i="4"/>
  <c r="BO117" i="4"/>
  <c r="BH117" i="4" s="1"/>
  <c r="BO140" i="4"/>
  <c r="BH140" i="4" s="1"/>
  <c r="AJ126" i="4"/>
  <c r="BO107" i="4"/>
  <c r="BH107" i="4" s="1"/>
  <c r="BO101" i="4"/>
  <c r="BH101" i="4" s="1"/>
  <c r="BO102" i="4"/>
  <c r="BH102" i="4" s="1"/>
  <c r="AJ117" i="4"/>
  <c r="AJ125" i="4"/>
  <c r="BO144" i="4"/>
  <c r="AV144" i="4" s="1"/>
  <c r="BP107" i="4"/>
  <c r="BI107" i="4" s="1"/>
  <c r="BP108" i="4"/>
  <c r="BP106" i="4"/>
  <c r="BP114" i="4"/>
  <c r="BI114" i="4" s="1"/>
  <c r="BO131" i="4"/>
  <c r="AV131" i="4" s="1"/>
  <c r="BO141" i="4"/>
  <c r="BH141" i="4" s="1"/>
  <c r="AJ110" i="4"/>
  <c r="BO125" i="4"/>
  <c r="BO106" i="4"/>
  <c r="BH106" i="4" s="1"/>
  <c r="BO113" i="4"/>
  <c r="BH113" i="4" s="1"/>
  <c r="AJ116" i="4"/>
  <c r="BO110" i="4"/>
  <c r="BH110" i="4" s="1"/>
  <c r="BO114" i="4"/>
  <c r="BH114" i="4" s="1"/>
  <c r="BO108" i="4"/>
  <c r="BH108" i="4" s="1"/>
  <c r="AJ139" i="4"/>
  <c r="AK99" i="4"/>
  <c r="AK102" i="4"/>
  <c r="AK107" i="4"/>
  <c r="AK101" i="4"/>
  <c r="AK103" i="4"/>
  <c r="AK98" i="4"/>
  <c r="AK104" i="4"/>
  <c r="AK105" i="4"/>
  <c r="AK106" i="4"/>
  <c r="AK100" i="4"/>
  <c r="AK112" i="4"/>
  <c r="BP116" i="4"/>
  <c r="BI116" i="4" s="1"/>
  <c r="BP102" i="4"/>
  <c r="BI102" i="4" s="1"/>
  <c r="AK113" i="4"/>
  <c r="BP120" i="4"/>
  <c r="AK115" i="4"/>
  <c r="BO123" i="4"/>
  <c r="BH123" i="4" s="1"/>
  <c r="AJ140" i="4"/>
  <c r="AJ109" i="4"/>
  <c r="BO126" i="4"/>
  <c r="BH126" i="4" s="1"/>
  <c r="AJ111" i="4"/>
  <c r="AJ106" i="4"/>
  <c r="AJ99" i="4"/>
  <c r="AJ100" i="4"/>
  <c r="AJ101" i="4"/>
  <c r="AJ103" i="4"/>
  <c r="AJ104" i="4"/>
  <c r="AJ105" i="4"/>
  <c r="AJ98" i="4"/>
  <c r="AJ102" i="4"/>
  <c r="AJ107" i="4"/>
  <c r="AK144" i="4"/>
  <c r="BO118" i="4"/>
  <c r="BH118" i="4" s="1"/>
  <c r="AK111" i="4"/>
  <c r="BP123" i="4"/>
  <c r="BP105" i="4"/>
  <c r="BI105" i="4" s="1"/>
  <c r="BO133" i="4"/>
  <c r="AJ120" i="4"/>
  <c r="BO109" i="4"/>
  <c r="BH109" i="4" s="1"/>
  <c r="AJ128" i="4"/>
  <c r="BI100" i="4"/>
  <c r="AK108" i="4"/>
  <c r="BI129" i="4"/>
  <c r="AA10" i="6"/>
  <c r="AT141" i="4"/>
  <c r="BI141" i="4"/>
  <c r="BI139" i="4"/>
  <c r="BI138" i="4"/>
  <c r="BI118" i="4"/>
  <c r="BI135" i="4"/>
  <c r="BI142" i="4"/>
  <c r="AT142" i="4"/>
  <c r="BI143" i="4"/>
  <c r="BI112" i="4"/>
  <c r="BI113" i="4"/>
  <c r="BI131" i="4"/>
  <c r="BI132" i="4"/>
  <c r="BI121" i="4"/>
  <c r="BI137" i="4"/>
  <c r="BI126" i="4"/>
  <c r="BI127" i="4"/>
  <c r="AJ108" i="4"/>
  <c r="BI130" i="4"/>
  <c r="BI124" i="4"/>
  <c r="BI134" i="4"/>
  <c r="BI140" i="4"/>
  <c r="BI144" i="4"/>
  <c r="BI136" i="4"/>
  <c r="BI128" i="4"/>
  <c r="AT133" i="4"/>
  <c r="BI133" i="4"/>
  <c r="BI101" i="4"/>
  <c r="AJ135" i="4"/>
  <c r="V10" i="6"/>
  <c r="BO69" i="4" s="1"/>
  <c r="AJ131" i="4"/>
  <c r="AJ115" i="4"/>
  <c r="AJ122" i="4"/>
  <c r="AJ133" i="4"/>
  <c r="C1829" i="2"/>
  <c r="F1829" i="2" s="1"/>
  <c r="D1829" i="2"/>
  <c r="E1829" i="2" s="1"/>
  <c r="BO91" i="4" l="1"/>
  <c r="BO95" i="4"/>
  <c r="AJ88" i="4"/>
  <c r="BO94" i="4"/>
  <c r="AJ90" i="4"/>
  <c r="BO88" i="4"/>
  <c r="BH88" i="4" s="1"/>
  <c r="BO89" i="4"/>
  <c r="AL99" i="4"/>
  <c r="AJ86" i="4"/>
  <c r="BO96" i="4"/>
  <c r="BH96" i="4" s="1"/>
  <c r="BO84" i="4"/>
  <c r="BH84" i="4" s="1"/>
  <c r="BO99" i="4"/>
  <c r="BH99" i="4" s="1"/>
  <c r="BO86" i="4"/>
  <c r="BH86" i="4" s="1"/>
  <c r="AL91" i="4"/>
  <c r="BO85" i="4"/>
  <c r="BH85" i="4" s="1"/>
  <c r="BO90" i="4"/>
  <c r="BH90" i="4" s="1"/>
  <c r="BO83" i="4"/>
  <c r="BH83" i="4" s="1"/>
  <c r="AJ87" i="4"/>
  <c r="AJ89" i="4"/>
  <c r="AJ84" i="4"/>
  <c r="BO82" i="4"/>
  <c r="AS81" i="4" s="1"/>
  <c r="BO98" i="4"/>
  <c r="BH98" i="4" s="1"/>
  <c r="AV130" i="4"/>
  <c r="AJ85" i="4"/>
  <c r="BO92" i="4"/>
  <c r="BH92" i="4" s="1"/>
  <c r="AK84" i="4"/>
  <c r="BP86" i="4"/>
  <c r="AW86" i="4" s="1"/>
  <c r="BP91" i="4"/>
  <c r="AV91" i="4" s="1"/>
  <c r="BP88" i="4"/>
  <c r="BP87" i="4"/>
  <c r="AW87" i="4" s="1"/>
  <c r="BP92" i="4"/>
  <c r="BI92" i="4" s="1"/>
  <c r="BP99" i="4"/>
  <c r="AW99" i="4" s="1"/>
  <c r="BP93" i="4"/>
  <c r="AW93" i="4" s="1"/>
  <c r="BP98" i="4"/>
  <c r="AW98" i="4" s="1"/>
  <c r="AK90" i="4"/>
  <c r="AK86" i="4"/>
  <c r="BP85" i="4"/>
  <c r="AW85" i="4" s="1"/>
  <c r="BH136" i="4"/>
  <c r="BP97" i="4"/>
  <c r="BP90" i="4"/>
  <c r="BI90" i="4" s="1"/>
  <c r="AK88" i="4"/>
  <c r="AT121" i="4"/>
  <c r="BP82" i="4"/>
  <c r="AT81" i="4" s="1"/>
  <c r="BH127" i="4"/>
  <c r="AK85" i="4"/>
  <c r="BP96" i="4"/>
  <c r="BO97" i="4"/>
  <c r="BH97" i="4" s="1"/>
  <c r="BP89" i="4"/>
  <c r="BI89" i="4" s="1"/>
  <c r="BP95" i="4"/>
  <c r="AK89" i="4"/>
  <c r="BO87" i="4"/>
  <c r="BH87" i="4" s="1"/>
  <c r="AL137" i="4"/>
  <c r="AL138" i="4"/>
  <c r="BQ136" i="4"/>
  <c r="BJ136" i="4" s="1"/>
  <c r="AL124" i="4"/>
  <c r="BQ131" i="4"/>
  <c r="BJ131" i="4" s="1"/>
  <c r="BQ104" i="4"/>
  <c r="BJ104" i="4" s="1"/>
  <c r="AL135" i="4"/>
  <c r="BQ129" i="4"/>
  <c r="BJ129" i="4" s="1"/>
  <c r="AL98" i="4"/>
  <c r="AL122" i="4"/>
  <c r="AL115" i="4"/>
  <c r="BP94" i="4"/>
  <c r="AV94" i="4" s="1"/>
  <c r="AL96" i="4"/>
  <c r="BQ144" i="4"/>
  <c r="BJ144" i="4" s="1"/>
  <c r="BQ105" i="4"/>
  <c r="BJ105" i="4" s="1"/>
  <c r="BQ125" i="4"/>
  <c r="AW125" i="4" s="1"/>
  <c r="BQ134" i="4"/>
  <c r="BJ134" i="4" s="1"/>
  <c r="AL141" i="4"/>
  <c r="AL123" i="4"/>
  <c r="AL139" i="4"/>
  <c r="BQ121" i="4"/>
  <c r="AW121" i="4" s="1"/>
  <c r="BQ103" i="4"/>
  <c r="BJ103" i="4" s="1"/>
  <c r="AV128" i="4"/>
  <c r="BQ122" i="4"/>
  <c r="BJ122" i="4" s="1"/>
  <c r="AL116" i="4"/>
  <c r="BQ124" i="4"/>
  <c r="BJ124" i="4" s="1"/>
  <c r="BQ112" i="4"/>
  <c r="BJ112" i="4" s="1"/>
  <c r="AL126" i="4"/>
  <c r="AL134" i="4"/>
  <c r="AS121" i="4"/>
  <c r="AL125" i="4"/>
  <c r="AL143" i="4"/>
  <c r="BQ139" i="4"/>
  <c r="BJ139" i="4" s="1"/>
  <c r="BQ119" i="4"/>
  <c r="BJ119" i="4" s="1"/>
  <c r="AL132" i="4"/>
  <c r="BQ100" i="4"/>
  <c r="AW100" i="4" s="1"/>
  <c r="AL133" i="4"/>
  <c r="BQ118" i="4"/>
  <c r="BJ118" i="4" s="1"/>
  <c r="BQ126" i="4"/>
  <c r="BJ126" i="4" s="1"/>
  <c r="BH121" i="4"/>
  <c r="BQ107" i="4"/>
  <c r="BJ107" i="4" s="1"/>
  <c r="BQ133" i="4"/>
  <c r="AW133" i="4" s="1"/>
  <c r="AL121" i="4"/>
  <c r="AL127" i="4"/>
  <c r="BQ141" i="4"/>
  <c r="AW141" i="4" s="1"/>
  <c r="BQ106" i="4"/>
  <c r="BJ106" i="4" s="1"/>
  <c r="AL117" i="4"/>
  <c r="BQ128" i="4"/>
  <c r="BJ128" i="4" s="1"/>
  <c r="AL110" i="4"/>
  <c r="BQ108" i="4"/>
  <c r="BJ108" i="4" s="1"/>
  <c r="AL108" i="4"/>
  <c r="AL95" i="4"/>
  <c r="BH89" i="4"/>
  <c r="BH93" i="4"/>
  <c r="AL142" i="4"/>
  <c r="BQ142" i="4"/>
  <c r="AW142" i="4" s="1"/>
  <c r="AL113" i="4"/>
  <c r="AL120" i="4"/>
  <c r="BQ135" i="4"/>
  <c r="BJ135" i="4" s="1"/>
  <c r="AL129" i="4"/>
  <c r="AL131" i="4"/>
  <c r="BQ115" i="4"/>
  <c r="BJ115" i="4" s="1"/>
  <c r="AL112" i="4"/>
  <c r="BQ109" i="4"/>
  <c r="BJ109" i="4" s="1"/>
  <c r="BQ120" i="4"/>
  <c r="BJ120" i="4" s="1"/>
  <c r="AL128" i="4"/>
  <c r="BP84" i="4"/>
  <c r="AL97" i="4"/>
  <c r="BH95" i="4"/>
  <c r="BQ140" i="4"/>
  <c r="BJ140" i="4" s="1"/>
  <c r="BQ138" i="4"/>
  <c r="BJ138" i="4" s="1"/>
  <c r="AL109" i="4"/>
  <c r="BQ143" i="4"/>
  <c r="BJ143" i="4" s="1"/>
  <c r="BQ114" i="4"/>
  <c r="BJ114" i="4" s="1"/>
  <c r="AL130" i="4"/>
  <c r="BQ111" i="4"/>
  <c r="BJ111" i="4" s="1"/>
  <c r="AL136" i="4"/>
  <c r="BQ127" i="4"/>
  <c r="BJ127" i="4" s="1"/>
  <c r="AL111" i="4"/>
  <c r="AL119" i="4"/>
  <c r="BQ116" i="4"/>
  <c r="BJ116" i="4" s="1"/>
  <c r="BP83" i="4"/>
  <c r="BH91" i="4"/>
  <c r="AB10" i="6"/>
  <c r="AL144" i="4" s="1"/>
  <c r="AL104" i="4"/>
  <c r="AL101" i="4"/>
  <c r="AL105" i="4"/>
  <c r="AL102" i="4"/>
  <c r="AL107" i="4"/>
  <c r="AL106" i="4"/>
  <c r="AL100" i="4"/>
  <c r="AL103" i="4"/>
  <c r="BQ137" i="4"/>
  <c r="BJ137" i="4" s="1"/>
  <c r="BQ123" i="4"/>
  <c r="AW123" i="4" s="1"/>
  <c r="BQ132" i="4"/>
  <c r="BJ132" i="4" s="1"/>
  <c r="BH94" i="4"/>
  <c r="BQ130" i="4"/>
  <c r="BJ130" i="4" s="1"/>
  <c r="AL140" i="4"/>
  <c r="AL114" i="4"/>
  <c r="BQ117" i="4"/>
  <c r="BJ117" i="4" s="1"/>
  <c r="BQ113" i="4"/>
  <c r="BJ113" i="4" s="1"/>
  <c r="BQ101" i="4"/>
  <c r="BJ101" i="4" s="1"/>
  <c r="AL118" i="4"/>
  <c r="BQ102" i="4"/>
  <c r="BJ102" i="4" s="1"/>
  <c r="BQ110" i="4"/>
  <c r="BJ110" i="4" s="1"/>
  <c r="AK87" i="4"/>
  <c r="AL93" i="4"/>
  <c r="AV120" i="4"/>
  <c r="AV125" i="4"/>
  <c r="AV104" i="4"/>
  <c r="AT125" i="4"/>
  <c r="BH144" i="4"/>
  <c r="BH139" i="4"/>
  <c r="BI120" i="4"/>
  <c r="BH132" i="4"/>
  <c r="AV123" i="4"/>
  <c r="AV110" i="4"/>
  <c r="AV118" i="4"/>
  <c r="AV141" i="4"/>
  <c r="BH122" i="4"/>
  <c r="BH142" i="4"/>
  <c r="AV122" i="4"/>
  <c r="AV102" i="4"/>
  <c r="AS141" i="4"/>
  <c r="AS142" i="4"/>
  <c r="AV129" i="4"/>
  <c r="AV143" i="4"/>
  <c r="AV135" i="4"/>
  <c r="AV140" i="4"/>
  <c r="AV137" i="4"/>
  <c r="BH125" i="4"/>
  <c r="AV107" i="4"/>
  <c r="BH138" i="4"/>
  <c r="AV105" i="4"/>
  <c r="AV106" i="4"/>
  <c r="AS125" i="4"/>
  <c r="AV111" i="4"/>
  <c r="AV124" i="4"/>
  <c r="AS133" i="4"/>
  <c r="AV115" i="4"/>
  <c r="AV117" i="4"/>
  <c r="AV113" i="4"/>
  <c r="AV109" i="4"/>
  <c r="AV134" i="4"/>
  <c r="AJ144" i="4"/>
  <c r="AV100" i="4"/>
  <c r="AV114" i="4"/>
  <c r="AV103" i="4"/>
  <c r="AV116" i="4"/>
  <c r="BH100" i="4"/>
  <c r="AV133" i="4"/>
  <c r="BI108" i="4"/>
  <c r="BI106" i="4"/>
  <c r="BH131" i="4"/>
  <c r="BH103" i="4"/>
  <c r="BH133" i="4"/>
  <c r="AV112" i="4"/>
  <c r="AV119" i="4"/>
  <c r="BH116" i="4"/>
  <c r="BI123" i="4"/>
  <c r="AV126" i="4"/>
  <c r="AV101" i="4"/>
  <c r="AV108" i="4"/>
  <c r="AV69" i="4"/>
  <c r="BH69" i="4"/>
  <c r="C1830" i="2"/>
  <c r="F1830" i="2" s="1"/>
  <c r="D1830" i="2"/>
  <c r="E1830" i="2" s="1"/>
  <c r="AV88" i="4" l="1"/>
  <c r="AV96" i="4"/>
  <c r="AV95" i="4"/>
  <c r="BH82" i="4"/>
  <c r="AS99" i="4"/>
  <c r="AW90" i="4"/>
  <c r="AV83" i="4"/>
  <c r="AW96" i="4"/>
  <c r="AW129" i="4"/>
  <c r="AW88" i="4"/>
  <c r="BI96" i="4"/>
  <c r="AV86" i="4"/>
  <c r="BI88" i="4"/>
  <c r="AW91" i="4"/>
  <c r="BI86" i="4"/>
  <c r="AU99" i="4"/>
  <c r="BI91" i="4"/>
  <c r="AV82" i="4"/>
  <c r="BJ100" i="4"/>
  <c r="BI95" i="4"/>
  <c r="AW95" i="4"/>
  <c r="AV92" i="4"/>
  <c r="AW144" i="4"/>
  <c r="BI99" i="4"/>
  <c r="AW92" i="4"/>
  <c r="BI87" i="4"/>
  <c r="AT99" i="4"/>
  <c r="AV99" i="4"/>
  <c r="AV93" i="4"/>
  <c r="AW134" i="4"/>
  <c r="AV89" i="4"/>
  <c r="BI82" i="4"/>
  <c r="AW112" i="4"/>
  <c r="BO145" i="4"/>
  <c r="AS123" i="4" s="1"/>
  <c r="AW82" i="4"/>
  <c r="F31" i="6"/>
  <c r="AV97" i="4"/>
  <c r="AV87" i="4"/>
  <c r="AW139" i="4"/>
  <c r="AW97" i="4"/>
  <c r="BI97" i="4"/>
  <c r="AV98" i="4"/>
  <c r="AV85" i="4"/>
  <c r="BJ121" i="4"/>
  <c r="AW128" i="4"/>
  <c r="AW136" i="4"/>
  <c r="AW116" i="4"/>
  <c r="AW119" i="4"/>
  <c r="BI85" i="4"/>
  <c r="BI93" i="4"/>
  <c r="AW89" i="4"/>
  <c r="BI98" i="4"/>
  <c r="AV90" i="4"/>
  <c r="AW104" i="4"/>
  <c r="AW131" i="4"/>
  <c r="AW140" i="4"/>
  <c r="AW107" i="4"/>
  <c r="AW105" i="4"/>
  <c r="AW115" i="4"/>
  <c r="BI94" i="4"/>
  <c r="BJ125" i="4"/>
  <c r="AW94" i="4"/>
  <c r="G31" i="6"/>
  <c r="BP145" i="4"/>
  <c r="G29" i="6" s="1"/>
  <c r="G30" i="6" s="1"/>
  <c r="AW124" i="4"/>
  <c r="AW143" i="4"/>
  <c r="BJ142" i="4"/>
  <c r="AW110" i="4"/>
  <c r="AW117" i="4"/>
  <c r="AW102" i="4"/>
  <c r="BJ141" i="4"/>
  <c r="AW138" i="4"/>
  <c r="AU121" i="4"/>
  <c r="AU141" i="4"/>
  <c r="AW103" i="4"/>
  <c r="AW101" i="4"/>
  <c r="BJ133" i="4"/>
  <c r="AW122" i="4"/>
  <c r="AU125" i="4"/>
  <c r="AW126" i="4"/>
  <c r="AW135" i="4"/>
  <c r="AW127" i="4"/>
  <c r="BQ145" i="4"/>
  <c r="H29" i="6" s="1"/>
  <c r="H30" i="6" s="1"/>
  <c r="AW130" i="4"/>
  <c r="AW111" i="4"/>
  <c r="AW118" i="4"/>
  <c r="AW106" i="4"/>
  <c r="AW137" i="4"/>
  <c r="AW84" i="4"/>
  <c r="BI84" i="4"/>
  <c r="AV84" i="4"/>
  <c r="AW109" i="4"/>
  <c r="BJ123" i="4"/>
  <c r="AU142" i="4"/>
  <c r="AW132" i="4"/>
  <c r="AU133" i="4"/>
  <c r="AW113" i="4"/>
  <c r="BI83" i="4"/>
  <c r="AW83" i="4"/>
  <c r="AW120" i="4"/>
  <c r="H31" i="6"/>
  <c r="AW114" i="4"/>
  <c r="AW108" i="4"/>
  <c r="D1831" i="2"/>
  <c r="E1831" i="2" s="1"/>
  <c r="C1831" i="2"/>
  <c r="F1831" i="2" s="1"/>
  <c r="F29" i="6" l="1"/>
  <c r="F30" i="6" s="1"/>
  <c r="AT123" i="4"/>
  <c r="E35" i="6"/>
  <c r="D43" i="6" s="1"/>
  <c r="AU123" i="4"/>
  <c r="E30" i="6"/>
  <c r="E34" i="6"/>
  <c r="C43" i="6" s="1"/>
  <c r="C1832" i="2"/>
  <c r="F1832" i="2" s="1"/>
  <c r="D1832" i="2"/>
  <c r="E1832" i="2" s="1"/>
  <c r="C1833" i="2" l="1"/>
  <c r="F1833" i="2" s="1"/>
  <c r="D1833" i="2"/>
  <c r="E1833" i="2" s="1"/>
  <c r="C1834" i="2" l="1"/>
  <c r="F1834" i="2" s="1"/>
  <c r="D1834" i="2"/>
  <c r="E1834" i="2" s="1"/>
  <c r="D1835" i="2" l="1"/>
  <c r="E1835" i="2" s="1"/>
  <c r="C1835" i="2"/>
  <c r="F1835" i="2" s="1"/>
  <c r="C1836" i="2" l="1"/>
  <c r="F1836" i="2" s="1"/>
  <c r="D1836" i="2"/>
  <c r="E1836" i="2" s="1"/>
  <c r="C1837" i="2" l="1"/>
  <c r="F1837" i="2" s="1"/>
  <c r="D1837" i="2"/>
  <c r="E1837" i="2" s="1"/>
  <c r="C1838" i="2" l="1"/>
  <c r="F1838" i="2" s="1"/>
  <c r="D1838" i="2"/>
  <c r="E1838" i="2" s="1"/>
  <c r="C1839" i="2" l="1"/>
  <c r="F1839" i="2" s="1"/>
  <c r="D1839" i="2"/>
  <c r="E1839" i="2" s="1"/>
  <c r="C1840" i="2" l="1"/>
  <c r="F1840" i="2" s="1"/>
  <c r="D1840" i="2"/>
  <c r="E1840" i="2" s="1"/>
  <c r="C1841" i="2" l="1"/>
  <c r="F1841" i="2" s="1"/>
  <c r="D1841" i="2"/>
  <c r="E1841" i="2" s="1"/>
  <c r="C1842" i="2" l="1"/>
  <c r="F1842" i="2" s="1"/>
  <c r="D1842" i="2"/>
  <c r="E1842" i="2" s="1"/>
  <c r="D1843" i="2" l="1"/>
  <c r="E1843" i="2" s="1"/>
  <c r="C1843" i="2"/>
  <c r="F1843" i="2" s="1"/>
  <c r="C1844" i="2" l="1"/>
  <c r="F1844" i="2" s="1"/>
  <c r="D1844" i="2"/>
  <c r="E1844" i="2" s="1"/>
  <c r="C1845" i="2" l="1"/>
  <c r="F1845" i="2" s="1"/>
  <c r="D1845" i="2"/>
  <c r="E1845" i="2" s="1"/>
  <c r="C1846" i="2" l="1"/>
  <c r="F1846" i="2" s="1"/>
  <c r="D1846" i="2"/>
  <c r="E1846" i="2" s="1"/>
  <c r="D1847" i="2" l="1"/>
  <c r="E1847" i="2" s="1"/>
  <c r="C1847" i="2"/>
  <c r="F1847" i="2" s="1"/>
  <c r="C1848" i="2" l="1"/>
  <c r="F1848" i="2" s="1"/>
  <c r="D1848" i="2"/>
  <c r="E1848" i="2" s="1"/>
  <c r="C1849" i="2" l="1"/>
  <c r="F1849" i="2" s="1"/>
  <c r="D1849" i="2"/>
  <c r="E1849" i="2" s="1"/>
  <c r="C1850" i="2" l="1"/>
  <c r="F1850" i="2" s="1"/>
  <c r="D1850" i="2"/>
  <c r="E1850" i="2" s="1"/>
  <c r="D1851" i="2" l="1"/>
  <c r="E1851" i="2" s="1"/>
  <c r="C1851" i="2"/>
  <c r="F1851" i="2" s="1"/>
  <c r="C1852" i="2" l="1"/>
  <c r="F1852" i="2" s="1"/>
  <c r="D1852" i="2"/>
  <c r="E1852" i="2" s="1"/>
  <c r="C1853" i="2" l="1"/>
  <c r="F1853" i="2" s="1"/>
  <c r="D1853" i="2"/>
  <c r="E1853" i="2" s="1"/>
  <c r="C1854" i="2" l="1"/>
  <c r="F1854" i="2" s="1"/>
  <c r="D1854" i="2"/>
  <c r="E1854" i="2" s="1"/>
  <c r="C1855" i="2" l="1"/>
  <c r="F1855" i="2" s="1"/>
  <c r="D1855" i="2"/>
  <c r="E1855" i="2" s="1"/>
  <c r="C1856" i="2" l="1"/>
  <c r="F1856" i="2" s="1"/>
  <c r="D1856" i="2"/>
  <c r="E1856" i="2" s="1"/>
  <c r="C1857" i="2" l="1"/>
  <c r="F1857" i="2" s="1"/>
  <c r="D1857" i="2"/>
  <c r="E1857" i="2" s="1"/>
  <c r="C1858" i="2" l="1"/>
  <c r="F1858" i="2" s="1"/>
  <c r="D1858" i="2"/>
  <c r="E1858" i="2" s="1"/>
  <c r="D1859" i="2" l="1"/>
  <c r="E1859" i="2" s="1"/>
  <c r="C1859" i="2"/>
  <c r="F1859" i="2" s="1"/>
  <c r="D1860" i="2" l="1"/>
  <c r="E1860" i="2" s="1"/>
  <c r="C1860" i="2"/>
  <c r="F1860" i="2" s="1"/>
  <c r="C1861" i="2" l="1"/>
  <c r="F1861" i="2" s="1"/>
  <c r="D1861" i="2"/>
  <c r="E1861" i="2" s="1"/>
  <c r="C1862" i="2" l="1"/>
  <c r="F1862" i="2" s="1"/>
  <c r="D1862" i="2"/>
  <c r="E1862" i="2" s="1"/>
  <c r="D1863" i="2" l="1"/>
  <c r="E1863" i="2" s="1"/>
  <c r="C1863" i="2"/>
  <c r="F1863" i="2" s="1"/>
  <c r="C1864" i="2" l="1"/>
  <c r="F1864" i="2" s="1"/>
  <c r="D1864" i="2"/>
  <c r="E1864" i="2" s="1"/>
  <c r="C1865" i="2" l="1"/>
  <c r="F1865" i="2" s="1"/>
  <c r="D1865" i="2"/>
  <c r="E1865" i="2" s="1"/>
  <c r="C1866" i="2" l="1"/>
  <c r="F1866" i="2" s="1"/>
  <c r="D1866" i="2"/>
  <c r="E1866" i="2" s="1"/>
  <c r="D1867" i="2" l="1"/>
  <c r="E1867" i="2" s="1"/>
  <c r="C1867" i="2"/>
  <c r="F1867" i="2" s="1"/>
  <c r="C1868" i="2" l="1"/>
  <c r="F1868" i="2" s="1"/>
  <c r="D1868" i="2"/>
  <c r="E1868" i="2" s="1"/>
  <c r="C1869" i="2" l="1"/>
  <c r="F1869" i="2" s="1"/>
  <c r="D1869" i="2"/>
  <c r="E1869" i="2" s="1"/>
  <c r="C1870" i="2" l="1"/>
  <c r="F1870" i="2" s="1"/>
  <c r="D1870" i="2"/>
  <c r="E1870" i="2" s="1"/>
  <c r="C1871" i="2" l="1"/>
  <c r="F1871" i="2" s="1"/>
  <c r="D1871" i="2"/>
  <c r="E1871" i="2" s="1"/>
  <c r="C1872" i="2" l="1"/>
  <c r="F1872" i="2" s="1"/>
  <c r="D1872" i="2"/>
  <c r="E1872" i="2" s="1"/>
  <c r="C1873" i="2" l="1"/>
  <c r="F1873" i="2" s="1"/>
  <c r="D1873" i="2"/>
  <c r="E1873" i="2" s="1"/>
  <c r="C1874" i="2" l="1"/>
  <c r="F1874" i="2" s="1"/>
  <c r="D1874" i="2"/>
  <c r="E1874" i="2" s="1"/>
  <c r="D1875" i="2" l="1"/>
  <c r="E1875" i="2" s="1"/>
  <c r="C1875" i="2"/>
  <c r="F1875" i="2" s="1"/>
  <c r="D1876" i="2" l="1"/>
  <c r="E1876" i="2" s="1"/>
  <c r="C1876" i="2"/>
  <c r="F1876" i="2" s="1"/>
  <c r="C1877" i="2" l="1"/>
  <c r="F1877" i="2" s="1"/>
  <c r="D1877" i="2"/>
  <c r="E1877" i="2" s="1"/>
  <c r="C1878" i="2" l="1"/>
  <c r="F1878" i="2" s="1"/>
  <c r="D1878" i="2"/>
  <c r="E1878" i="2" s="1"/>
  <c r="D1879" i="2" l="1"/>
  <c r="E1879" i="2" s="1"/>
  <c r="C1879" i="2"/>
  <c r="F1879" i="2" s="1"/>
  <c r="C1880" i="2" l="1"/>
  <c r="F1880" i="2" s="1"/>
  <c r="D1880" i="2"/>
  <c r="E1880" i="2" s="1"/>
  <c r="C1881" i="2" l="1"/>
  <c r="F1881" i="2" s="1"/>
  <c r="D1881" i="2"/>
  <c r="E1881" i="2" s="1"/>
  <c r="C1882" i="2" l="1"/>
  <c r="F1882" i="2" s="1"/>
  <c r="D1882" i="2"/>
  <c r="E1882" i="2" s="1"/>
  <c r="D1883" i="2" l="1"/>
  <c r="E1883" i="2" s="1"/>
  <c r="C1883" i="2"/>
  <c r="F1883" i="2" s="1"/>
  <c r="C1884" i="2" l="1"/>
  <c r="F1884" i="2" s="1"/>
  <c r="D1884" i="2"/>
  <c r="E1884" i="2" s="1"/>
  <c r="C1885" i="2" l="1"/>
  <c r="F1885" i="2" s="1"/>
  <c r="D1885" i="2"/>
  <c r="E1885" i="2" s="1"/>
  <c r="C1886" i="2" l="1"/>
  <c r="F1886" i="2" s="1"/>
  <c r="D1886" i="2"/>
  <c r="E1886" i="2" s="1"/>
  <c r="D1887" i="2" l="1"/>
  <c r="E1887" i="2" s="1"/>
  <c r="C1887" i="2"/>
  <c r="F1887" i="2" s="1"/>
  <c r="C1888" i="2" l="1"/>
  <c r="F1888" i="2" s="1"/>
  <c r="D1888" i="2"/>
  <c r="E1888" i="2" s="1"/>
  <c r="C1889" i="2" l="1"/>
  <c r="F1889" i="2" s="1"/>
  <c r="D1889" i="2"/>
  <c r="E1889" i="2" s="1"/>
  <c r="C1890" i="2" l="1"/>
  <c r="F1890" i="2" s="1"/>
  <c r="D1890" i="2"/>
  <c r="E1890" i="2" s="1"/>
  <c r="D1891" i="2" l="1"/>
  <c r="E1891" i="2" s="1"/>
  <c r="C1891" i="2"/>
  <c r="F1891" i="2" s="1"/>
  <c r="C1892" i="2" l="1"/>
  <c r="F1892" i="2" s="1"/>
  <c r="D1892" i="2"/>
  <c r="E1892" i="2" s="1"/>
  <c r="C1893" i="2" l="1"/>
  <c r="F1893" i="2" s="1"/>
  <c r="D1893" i="2"/>
  <c r="E1893" i="2" s="1"/>
  <c r="D1894" i="2" l="1"/>
  <c r="C1894" i="2"/>
  <c r="F1894" i="2" s="1"/>
  <c r="E1894" i="2" l="1"/>
  <c r="C1895" i="2"/>
  <c r="F1895" i="2" s="1"/>
  <c r="D1895" i="2"/>
  <c r="C1896" i="2" l="1"/>
  <c r="F1896" i="2" s="1"/>
  <c r="D1896" i="2"/>
  <c r="E1895" i="2"/>
  <c r="E1896" i="2" l="1"/>
  <c r="C1897" i="2"/>
  <c r="F1897" i="2" s="1"/>
  <c r="D1897" i="2"/>
  <c r="C1898" i="2" l="1"/>
  <c r="F1898" i="2" s="1"/>
  <c r="E1897" i="2"/>
  <c r="D1898" i="2"/>
  <c r="D1899" i="2" l="1"/>
  <c r="E1898" i="2"/>
  <c r="C1899" i="2"/>
  <c r="F1899" i="2" s="1"/>
  <c r="D1900" i="2" l="1"/>
  <c r="E1899" i="2"/>
  <c r="C1900" i="2"/>
  <c r="F1900" i="2" s="1"/>
  <c r="D1901" i="2" l="1"/>
  <c r="E1900" i="2"/>
  <c r="C1901" i="2"/>
  <c r="F1901" i="2" s="1"/>
  <c r="C1902" i="2" l="1"/>
  <c r="F1902" i="2" s="1"/>
  <c r="D1902" i="2"/>
  <c r="E1901" i="2"/>
  <c r="E1902" i="2" l="1"/>
  <c r="D1903" i="2"/>
  <c r="C1903" i="2"/>
  <c r="F1903" i="2" s="1"/>
  <c r="E1903" i="2" l="1"/>
  <c r="D1904" i="2"/>
  <c r="C1904" i="2"/>
  <c r="F1904" i="2" s="1"/>
  <c r="E1904" i="2" l="1"/>
  <c r="D1905" i="2"/>
  <c r="C1905" i="2"/>
  <c r="F1905" i="2" s="1"/>
  <c r="D1906" i="2" l="1"/>
  <c r="E1905" i="2"/>
  <c r="C1906" i="2"/>
  <c r="F1906" i="2" s="1"/>
  <c r="D1907" i="2" l="1"/>
  <c r="E1906" i="2"/>
  <c r="C1907" i="2"/>
  <c r="F1907" i="2" s="1"/>
  <c r="D1908" i="2" l="1"/>
  <c r="E1907" i="2"/>
  <c r="C1908" i="2"/>
  <c r="F1908" i="2" s="1"/>
  <c r="E1908" i="2" l="1"/>
  <c r="C1909" i="2"/>
  <c r="F1909" i="2" s="1"/>
  <c r="D1909" i="2"/>
  <c r="D1910" i="2" l="1"/>
  <c r="E1909" i="2"/>
  <c r="C1910" i="2"/>
  <c r="F1910" i="2" s="1"/>
  <c r="C1911" i="2" l="1"/>
  <c r="F1911" i="2" s="1"/>
  <c r="E1910" i="2"/>
  <c r="D1911" i="2"/>
  <c r="C1912" i="2" l="1"/>
  <c r="F1912" i="2" s="1"/>
  <c r="E1911" i="2"/>
  <c r="D1912" i="2"/>
  <c r="C1913" i="2" l="1"/>
  <c r="F1913" i="2" s="1"/>
  <c r="E1912" i="2"/>
  <c r="D1913" i="2"/>
  <c r="E1913" i="2" l="1"/>
  <c r="C1914" i="2"/>
  <c r="F1914" i="2" s="1"/>
  <c r="D1914" i="2"/>
  <c r="C1915" i="2" l="1"/>
  <c r="F1915" i="2" s="1"/>
  <c r="E1914" i="2"/>
  <c r="D1915" i="2"/>
  <c r="D1916" i="2" l="1"/>
  <c r="C1916" i="2"/>
  <c r="F1916" i="2" s="1"/>
  <c r="E1915" i="2"/>
  <c r="D1917" i="2" l="1"/>
  <c r="C1917" i="2"/>
  <c r="F1917" i="2" s="1"/>
  <c r="E1916" i="2"/>
  <c r="E1917" i="2" l="1"/>
  <c r="D1918" i="2"/>
  <c r="C1918" i="2"/>
  <c r="F1918" i="2" s="1"/>
  <c r="E1918" i="2" l="1"/>
  <c r="C1919" i="2"/>
  <c r="F1919" i="2" s="1"/>
  <c r="D1919" i="2"/>
  <c r="C1920" i="2" l="1"/>
  <c r="F1920" i="2" s="1"/>
  <c r="E1919" i="2"/>
  <c r="D1920" i="2"/>
  <c r="E1920" i="2" l="1"/>
  <c r="C1921" i="2"/>
  <c r="F1921" i="2" s="1"/>
  <c r="D1921" i="2"/>
  <c r="E1921" i="2" l="1"/>
  <c r="C1922" i="2"/>
  <c r="F1922" i="2" s="1"/>
  <c r="D1922" i="2"/>
  <c r="E1922" i="2" l="1"/>
  <c r="C1923" i="2"/>
  <c r="F1923" i="2" s="1"/>
  <c r="D1923" i="2"/>
  <c r="C1924" i="2" l="1"/>
  <c r="F1924" i="2" s="1"/>
  <c r="D1924" i="2"/>
  <c r="E1923" i="2"/>
  <c r="D1925" i="2" l="1"/>
  <c r="C1925" i="2"/>
  <c r="F1925" i="2" s="1"/>
  <c r="E1924" i="2"/>
  <c r="C1926" i="2" l="1"/>
  <c r="F1926" i="2" s="1"/>
  <c r="D1926" i="2"/>
  <c r="E1925" i="2"/>
  <c r="D1927" i="2" l="1"/>
  <c r="C1927" i="2"/>
  <c r="F1927" i="2" s="1"/>
  <c r="E1926" i="2"/>
  <c r="C1928" i="2" l="1"/>
  <c r="F1928" i="2" s="1"/>
  <c r="D1928" i="2"/>
  <c r="E1927" i="2"/>
  <c r="C1929" i="2" l="1"/>
  <c r="F1929" i="2" s="1"/>
  <c r="D1929" i="2"/>
  <c r="E1928" i="2"/>
  <c r="C1930" i="2" l="1"/>
  <c r="F1930" i="2" s="1"/>
  <c r="D1930" i="2"/>
  <c r="E1929" i="2"/>
  <c r="D1931" i="2" l="1"/>
  <c r="C1931" i="2"/>
  <c r="F1931" i="2" s="1"/>
  <c r="E1930" i="2"/>
  <c r="D1932" i="2" l="1"/>
  <c r="C1932" i="2"/>
  <c r="F1932" i="2" s="1"/>
  <c r="E1931" i="2"/>
  <c r="D1933" i="2" l="1"/>
  <c r="E1932" i="2"/>
  <c r="C1933" i="2"/>
  <c r="F1933" i="2" s="1"/>
  <c r="C1934" i="2" l="1"/>
  <c r="F1934" i="2" s="1"/>
  <c r="E1933" i="2"/>
  <c r="D1934" i="2"/>
  <c r="D1935" i="2" l="1"/>
  <c r="C1935" i="2"/>
  <c r="F1935" i="2" s="1"/>
  <c r="E1934" i="2"/>
  <c r="D1936" i="2" l="1"/>
  <c r="C1936" i="2"/>
  <c r="F1936" i="2" s="1"/>
  <c r="E1935" i="2"/>
  <c r="D1937" i="2" l="1"/>
  <c r="E1936" i="2"/>
  <c r="C1937" i="2"/>
  <c r="F1937" i="2" s="1"/>
  <c r="D1938" i="2" l="1"/>
  <c r="C1938" i="2"/>
  <c r="F1938" i="2" s="1"/>
  <c r="E1937" i="2"/>
  <c r="E1938" i="2" l="1"/>
  <c r="C1939" i="2"/>
  <c r="F1939" i="2" s="1"/>
  <c r="D1939" i="2"/>
  <c r="E1939" i="2" l="1"/>
  <c r="C1940" i="2"/>
  <c r="F1940" i="2" s="1"/>
  <c r="D1940" i="2"/>
  <c r="D1941" i="2" l="1"/>
  <c r="E1940" i="2"/>
  <c r="C1941" i="2"/>
  <c r="F1941" i="2" s="1"/>
  <c r="C1942" i="2" l="1"/>
  <c r="F1942" i="2" s="1"/>
  <c r="E1941" i="2"/>
  <c r="D1942" i="2"/>
  <c r="C1943" i="2" l="1"/>
  <c r="F1943" i="2" s="1"/>
  <c r="E1942" i="2"/>
  <c r="D1943" i="2"/>
  <c r="C1944" i="2" l="1"/>
  <c r="F1944" i="2" s="1"/>
  <c r="E1943" i="2"/>
  <c r="D1944" i="2"/>
  <c r="C1945" i="2" l="1"/>
  <c r="F1945" i="2" s="1"/>
  <c r="D1945" i="2"/>
  <c r="E1944" i="2"/>
  <c r="C1946" i="2" l="1"/>
  <c r="F1946" i="2" s="1"/>
  <c r="E1945" i="2"/>
  <c r="D1946" i="2"/>
  <c r="C1947" i="2" l="1"/>
  <c r="F1947" i="2" s="1"/>
  <c r="E1946" i="2"/>
  <c r="D1947" i="2"/>
  <c r="C1948" i="2" l="1"/>
  <c r="F1948" i="2" s="1"/>
  <c r="D1948" i="2"/>
  <c r="E1947" i="2"/>
  <c r="C1949" i="2" l="1"/>
  <c r="F1949" i="2" s="1"/>
  <c r="E1948" i="2"/>
  <c r="D1949" i="2"/>
  <c r="D1950" i="2" l="1"/>
  <c r="E1949" i="2"/>
  <c r="C1950" i="2"/>
  <c r="F1950" i="2" s="1"/>
  <c r="E1950" i="2" l="1"/>
  <c r="D1951" i="2"/>
  <c r="C1951" i="2"/>
  <c r="F1951" i="2" s="1"/>
  <c r="D1952" i="2" l="1"/>
  <c r="C1952" i="2"/>
  <c r="F1952" i="2" s="1"/>
  <c r="E1951" i="2"/>
  <c r="C1953" i="2" l="1"/>
  <c r="F1953" i="2" s="1"/>
  <c r="D1953" i="2"/>
  <c r="E1952" i="2"/>
  <c r="C1954" i="2" l="1"/>
  <c r="F1954" i="2" s="1"/>
  <c r="D1954" i="2"/>
  <c r="E1953" i="2"/>
  <c r="C1955" i="2" l="1"/>
  <c r="F1955" i="2" s="1"/>
  <c r="D1955" i="2"/>
  <c r="E1954" i="2"/>
  <c r="D1956" i="2" l="1"/>
  <c r="C1956" i="2"/>
  <c r="F1956" i="2" s="1"/>
  <c r="E1955" i="2"/>
  <c r="D1957" i="2" l="1"/>
  <c r="E1956" i="2"/>
  <c r="C1957" i="2"/>
  <c r="F1957" i="2" s="1"/>
  <c r="C1958" i="2" l="1"/>
  <c r="F1958" i="2" s="1"/>
  <c r="E1957" i="2"/>
  <c r="D1958" i="2"/>
  <c r="E1958" i="2" l="1"/>
  <c r="C1959" i="2"/>
  <c r="F1959" i="2" s="1"/>
  <c r="D1959" i="2"/>
  <c r="E1959" i="2" l="1"/>
  <c r="D1960" i="2"/>
  <c r="C1960" i="2"/>
  <c r="F1960" i="2" s="1"/>
  <c r="D1961" i="2" l="1"/>
  <c r="C1961" i="2"/>
  <c r="F1961" i="2" s="1"/>
  <c r="E1960" i="2"/>
  <c r="D1962" i="2" l="1"/>
  <c r="C1962" i="2"/>
  <c r="F1962" i="2" s="1"/>
  <c r="E1961" i="2"/>
  <c r="C1963" i="2" l="1"/>
  <c r="F1963" i="2" s="1"/>
  <c r="E1962" i="2"/>
  <c r="D1963" i="2"/>
  <c r="C1964" i="2" l="1"/>
  <c r="F1964" i="2" s="1"/>
  <c r="D1964" i="2"/>
  <c r="E1963" i="2"/>
  <c r="C1965" i="2" l="1"/>
  <c r="F1965" i="2" s="1"/>
  <c r="D1965" i="2"/>
  <c r="E1964" i="2"/>
  <c r="E1965" i="2" l="1"/>
  <c r="C1966" i="2"/>
  <c r="F1966" i="2" s="1"/>
  <c r="D1966" i="2"/>
  <c r="D1967" i="2" l="1"/>
  <c r="E1966" i="2"/>
  <c r="C1967" i="2"/>
  <c r="F1967" i="2" s="1"/>
  <c r="C1968" i="2" l="1"/>
  <c r="F1968" i="2" s="1"/>
  <c r="D1968" i="2"/>
  <c r="E1967" i="2"/>
  <c r="E1968" i="2" l="1"/>
  <c r="C1969" i="2"/>
  <c r="F1969" i="2" s="1"/>
  <c r="D1969" i="2"/>
  <c r="C1970" i="2" l="1"/>
  <c r="F1970" i="2" s="1"/>
  <c r="D1970" i="2"/>
  <c r="E1969" i="2"/>
  <c r="D1971" i="2" l="1"/>
  <c r="C1971" i="2"/>
  <c r="F1971" i="2" s="1"/>
  <c r="E1970" i="2"/>
  <c r="C1972" i="2" l="1"/>
  <c r="F1972" i="2" s="1"/>
  <c r="D1972" i="2"/>
  <c r="E1971" i="2"/>
  <c r="D1973" i="2" l="1"/>
  <c r="C1973" i="2"/>
  <c r="F1973" i="2" s="1"/>
  <c r="E1972" i="2"/>
  <c r="C1974" i="2" l="1"/>
  <c r="F1974" i="2" s="1"/>
  <c r="D1974" i="2"/>
  <c r="E1973" i="2"/>
  <c r="C1975" i="2" l="1"/>
  <c r="F1975" i="2" s="1"/>
  <c r="E1974" i="2"/>
  <c r="D1975" i="2"/>
  <c r="D1976" i="2" l="1"/>
  <c r="E1975" i="2"/>
  <c r="C1976" i="2"/>
  <c r="F1976" i="2" s="1"/>
  <c r="D1977" i="2" l="1"/>
  <c r="C1977" i="2"/>
  <c r="F1977" i="2" s="1"/>
  <c r="E1976" i="2"/>
  <c r="D1978" i="2" l="1"/>
  <c r="C1978" i="2"/>
  <c r="F1978" i="2" s="1"/>
  <c r="E1977" i="2"/>
  <c r="E1978" i="2" l="1"/>
  <c r="C1979" i="2"/>
  <c r="F1979" i="2" s="1"/>
  <c r="D1979" i="2"/>
  <c r="C1980" i="2" l="1"/>
  <c r="F1980" i="2" s="1"/>
  <c r="E1979" i="2"/>
  <c r="D1980" i="2"/>
  <c r="C1981" i="2" l="1"/>
  <c r="F1981" i="2" s="1"/>
  <c r="D1981" i="2"/>
  <c r="E1980" i="2"/>
  <c r="E1981" i="2" l="1"/>
  <c r="D1982" i="2"/>
  <c r="C1982" i="2"/>
  <c r="F1982" i="2" s="1"/>
  <c r="E1982" i="2" l="1"/>
  <c r="C1983" i="2"/>
  <c r="F1983" i="2" s="1"/>
  <c r="D1983" i="2"/>
  <c r="D1984" i="2" l="1"/>
  <c r="C1984" i="2"/>
  <c r="F1984" i="2" s="1"/>
  <c r="E1983" i="2"/>
  <c r="D1985" i="2" l="1"/>
  <c r="E1984" i="2"/>
  <c r="C1985" i="2"/>
  <c r="F1985" i="2" s="1"/>
  <c r="D1986" i="2" l="1"/>
  <c r="E1985" i="2"/>
  <c r="C1986" i="2"/>
  <c r="F1986" i="2" s="1"/>
  <c r="D1987" i="2" l="1"/>
  <c r="E1986" i="2"/>
  <c r="C1987" i="2"/>
  <c r="F1987" i="2" s="1"/>
  <c r="C1988" i="2" l="1"/>
  <c r="F1988" i="2" s="1"/>
  <c r="E1987" i="2"/>
  <c r="D1988" i="2"/>
  <c r="D1989" i="2" l="1"/>
  <c r="C1989" i="2"/>
  <c r="F1989" i="2" s="1"/>
  <c r="E1988" i="2"/>
  <c r="C1990" i="2" l="1"/>
  <c r="F1990" i="2" s="1"/>
  <c r="D1990" i="2"/>
  <c r="E1989" i="2"/>
  <c r="D1991" i="2" l="1"/>
  <c r="C1991" i="2"/>
  <c r="F1991" i="2" s="1"/>
  <c r="E1990" i="2"/>
  <c r="C1992" i="2" l="1"/>
  <c r="F1992" i="2" s="1"/>
  <c r="D1992" i="2"/>
  <c r="E1991" i="2"/>
  <c r="C1993" i="2" l="1"/>
  <c r="F1993" i="2" s="1"/>
  <c r="E1992" i="2"/>
  <c r="D1993" i="2"/>
  <c r="C1994" i="2" l="1"/>
  <c r="F1994" i="2" s="1"/>
  <c r="E1993" i="2"/>
  <c r="D1994" i="2"/>
  <c r="E1994" i="2" l="1"/>
  <c r="D1995" i="2"/>
  <c r="C1995" i="2"/>
  <c r="F1995" i="2" s="1"/>
  <c r="D1996" i="2" l="1"/>
  <c r="C1996" i="2"/>
  <c r="F1996" i="2" s="1"/>
  <c r="E1995" i="2"/>
  <c r="C1997" i="2" l="1"/>
  <c r="F1997" i="2" s="1"/>
  <c r="D1997" i="2"/>
  <c r="E1996" i="2"/>
  <c r="C1998" i="2" l="1"/>
  <c r="F1998" i="2" s="1"/>
  <c r="E1997" i="2"/>
  <c r="D1998" i="2"/>
  <c r="E1998" i="2" l="1"/>
  <c r="D1999" i="2"/>
  <c r="C1999" i="2"/>
  <c r="F1999" i="2" s="1"/>
  <c r="D2000" i="2" l="1"/>
  <c r="C2000" i="2"/>
  <c r="F2000" i="2" s="1"/>
  <c r="E1999" i="2"/>
  <c r="D2001" i="2" l="1"/>
  <c r="C2001" i="2"/>
  <c r="F2001" i="2" s="1"/>
  <c r="E2000" i="2"/>
  <c r="E2001" i="2" l="1"/>
  <c r="D2002" i="2"/>
  <c r="C2002" i="2"/>
  <c r="F2002" i="2" s="1"/>
  <c r="D2003" i="2" l="1"/>
  <c r="C2003" i="2"/>
  <c r="F2003" i="2" s="1"/>
  <c r="E2002" i="2"/>
  <c r="E2003" i="2" l="1"/>
  <c r="D2004" i="2"/>
  <c r="C2004" i="2"/>
  <c r="F2004" i="2" s="1"/>
  <c r="C2005" i="2" l="1"/>
  <c r="F2005" i="2" s="1"/>
  <c r="E2004" i="2"/>
  <c r="D2005" i="2"/>
  <c r="C2006" i="2" l="1"/>
  <c r="F2006" i="2" s="1"/>
  <c r="D2006" i="2"/>
  <c r="E2005" i="2"/>
  <c r="C2007" i="2" l="1"/>
  <c r="F2007" i="2" s="1"/>
  <c r="D2007" i="2"/>
  <c r="E2006" i="2"/>
  <c r="D2008" i="2" l="1"/>
  <c r="C2008" i="2"/>
  <c r="F2008" i="2" s="1"/>
  <c r="E2007" i="2"/>
  <c r="D2009" i="2" l="1"/>
  <c r="C2009" i="2"/>
  <c r="F2009" i="2" s="1"/>
  <c r="E2008" i="2"/>
  <c r="D2010" i="2" l="1"/>
  <c r="C2010" i="2"/>
  <c r="F2010" i="2" s="1"/>
  <c r="E2009" i="2"/>
  <c r="C2011" i="2" l="1"/>
  <c r="F2011" i="2" s="1"/>
  <c r="D2011" i="2"/>
  <c r="E2010" i="2"/>
  <c r="C2012" i="2" l="1"/>
  <c r="F2012" i="2" s="1"/>
  <c r="E2011" i="2"/>
  <c r="D2012" i="2"/>
  <c r="E2012" i="2" l="1"/>
  <c r="D2013" i="2"/>
  <c r="C2013" i="2"/>
  <c r="F2013" i="2" s="1"/>
  <c r="C2014" i="2" l="1"/>
  <c r="F2014" i="2" s="1"/>
  <c r="E2013" i="2"/>
  <c r="D2014" i="2"/>
  <c r="C2015" i="2" l="1"/>
  <c r="F2015" i="2" s="1"/>
  <c r="D2015" i="2"/>
  <c r="E2014" i="2"/>
  <c r="C2016" i="2" l="1"/>
  <c r="F2016" i="2" s="1"/>
  <c r="E2015" i="2"/>
  <c r="D2016" i="2"/>
  <c r="E2016" i="2" l="1"/>
  <c r="D2017" i="2"/>
  <c r="C2017" i="2"/>
  <c r="F2017" i="2" s="1"/>
  <c r="C2018" i="2" l="1"/>
  <c r="F2018" i="2" s="1"/>
  <c r="E2017" i="2"/>
  <c r="D2018" i="2"/>
  <c r="D2019" i="2" l="1"/>
  <c r="E2018" i="2"/>
  <c r="C2019" i="2"/>
  <c r="F2019" i="2" s="1"/>
  <c r="D2020" i="2" l="1"/>
  <c r="E2019" i="2"/>
  <c r="C2020" i="2"/>
  <c r="F2020" i="2" s="1"/>
  <c r="E2020" i="2" l="1"/>
  <c r="C2021" i="2"/>
  <c r="F2021" i="2" s="1"/>
  <c r="D2021" i="2"/>
  <c r="C2022" i="2" l="1"/>
  <c r="F2022" i="2" s="1"/>
  <c r="D2022" i="2"/>
  <c r="E2021" i="2"/>
  <c r="E2022" i="2" l="1"/>
  <c r="C2023" i="2"/>
  <c r="F2023" i="2" s="1"/>
  <c r="D2023" i="2"/>
  <c r="E2023" i="2" l="1"/>
  <c r="C2024" i="2"/>
  <c r="F2024" i="2" s="1"/>
  <c r="D2024" i="2"/>
  <c r="D2025" i="2" l="1"/>
  <c r="E2024" i="2"/>
  <c r="C2025" i="2"/>
  <c r="F2025" i="2" s="1"/>
  <c r="D2026" i="2" l="1"/>
  <c r="E2025" i="2"/>
  <c r="C2026" i="2"/>
  <c r="F2026" i="2" s="1"/>
  <c r="D2027" i="2" l="1"/>
  <c r="E2026" i="2"/>
  <c r="C2027" i="2"/>
  <c r="F2027" i="2" s="1"/>
  <c r="D2028" i="2" l="1"/>
  <c r="E2027" i="2"/>
  <c r="C2028" i="2"/>
  <c r="F2028" i="2" s="1"/>
  <c r="E2028" i="2" l="1"/>
  <c r="D2029" i="2"/>
  <c r="C2029" i="2"/>
  <c r="F2029" i="2" s="1"/>
  <c r="C2030" i="2" l="1"/>
  <c r="F2030" i="2" s="1"/>
  <c r="E2029" i="2"/>
  <c r="D2030" i="2"/>
  <c r="E2030" i="2" l="1"/>
  <c r="D2031" i="2"/>
  <c r="C2031" i="2"/>
  <c r="F2031" i="2" s="1"/>
  <c r="C2032" i="2" l="1"/>
  <c r="F2032" i="2" s="1"/>
  <c r="E2031" i="2"/>
  <c r="D2032" i="2"/>
  <c r="D2033" i="2" l="1"/>
  <c r="E2032" i="2"/>
  <c r="C2033" i="2"/>
  <c r="F2033" i="2" s="1"/>
  <c r="C2034" i="2" l="1"/>
  <c r="F2034" i="2" s="1"/>
  <c r="D2034" i="2"/>
  <c r="E2033" i="2"/>
  <c r="D2035" i="2" l="1"/>
  <c r="C2035" i="2"/>
  <c r="F2035" i="2" s="1"/>
  <c r="E2034" i="2"/>
  <c r="C2036" i="2" l="1"/>
  <c r="F2036" i="2" s="1"/>
  <c r="D2036" i="2"/>
  <c r="E2035" i="2"/>
  <c r="D2037" i="2" l="1"/>
  <c r="C2037" i="2"/>
  <c r="F2037" i="2" s="1"/>
  <c r="E2036" i="2"/>
  <c r="C2038" i="2" l="1"/>
  <c r="F2038" i="2" s="1"/>
  <c r="E2037" i="2"/>
  <c r="D2038" i="2"/>
  <c r="C2039" i="2" l="1"/>
  <c r="F2039" i="2" s="1"/>
  <c r="E2038" i="2"/>
  <c r="D2039" i="2"/>
  <c r="C2040" i="2" l="1"/>
  <c r="F2040" i="2" s="1"/>
  <c r="D2040" i="2"/>
  <c r="E2039" i="2"/>
  <c r="D2041" i="2" l="1"/>
  <c r="C2041" i="2"/>
  <c r="F2041" i="2" s="1"/>
  <c r="E2040" i="2"/>
  <c r="D2042" i="2" l="1"/>
  <c r="E2041" i="2"/>
  <c r="C2042" i="2"/>
  <c r="F2042" i="2" s="1"/>
  <c r="D2043" i="2" l="1"/>
  <c r="C2043" i="2"/>
  <c r="F2043" i="2" s="1"/>
  <c r="E2042" i="2"/>
  <c r="D2044" i="2" l="1"/>
  <c r="C2044" i="2"/>
  <c r="F2044" i="2" s="1"/>
  <c r="E2043" i="2"/>
  <c r="E2044" i="2" l="1"/>
  <c r="C2045" i="2"/>
  <c r="F2045" i="2" s="1"/>
  <c r="D2045" i="2"/>
  <c r="E2045" i="2" l="1"/>
  <c r="D2046" i="2"/>
  <c r="C2046" i="2"/>
  <c r="F2046" i="2" s="1"/>
  <c r="D2047" i="2" l="1"/>
  <c r="C2047" i="2"/>
  <c r="F2047" i="2" s="1"/>
  <c r="E2046" i="2"/>
  <c r="C2048" i="2" l="1"/>
  <c r="F2048" i="2" s="1"/>
  <c r="D2048" i="2"/>
  <c r="E2047" i="2"/>
  <c r="C2049" i="2" l="1"/>
  <c r="F2049" i="2" s="1"/>
  <c r="E2048" i="2"/>
  <c r="D2049" i="2"/>
  <c r="E2049" i="2" l="1"/>
  <c r="D2050" i="2"/>
  <c r="C2050" i="2"/>
  <c r="F2050" i="2" s="1"/>
  <c r="C2051" i="2" l="1"/>
  <c r="F2051" i="2" s="1"/>
  <c r="E2050" i="2"/>
  <c r="D2051" i="2"/>
  <c r="D2052" i="2" l="1"/>
  <c r="C2052" i="2"/>
  <c r="F2052" i="2" s="1"/>
  <c r="E2051" i="2"/>
  <c r="D2053" i="2" l="1"/>
  <c r="C2053" i="2"/>
  <c r="F2053" i="2" s="1"/>
  <c r="E2052" i="2"/>
  <c r="C2054" i="2" l="1"/>
  <c r="F2054" i="2" s="1"/>
  <c r="E2053" i="2"/>
  <c r="D2054" i="2"/>
  <c r="E2054" i="2" l="1"/>
  <c r="D2055" i="2"/>
  <c r="C2055" i="2"/>
  <c r="F2055" i="2" s="1"/>
  <c r="E2055" i="2" l="1"/>
  <c r="D2056" i="2"/>
  <c r="C2056" i="2"/>
  <c r="F2056" i="2" s="1"/>
  <c r="D2057" i="2" l="1"/>
  <c r="E2056" i="2"/>
  <c r="C2057" i="2"/>
  <c r="F2057" i="2" s="1"/>
  <c r="D2058" i="2" l="1"/>
  <c r="C2058" i="2"/>
  <c r="F2058" i="2" s="1"/>
  <c r="E2057" i="2"/>
  <c r="D2059" i="2" l="1"/>
  <c r="E2058" i="2"/>
  <c r="C2059" i="2"/>
  <c r="F2059" i="2" s="1"/>
  <c r="D2060" i="2" l="1"/>
  <c r="E2059" i="2"/>
  <c r="C2060" i="2"/>
  <c r="F2060" i="2" s="1"/>
  <c r="C2061" i="2" l="1"/>
  <c r="F2061" i="2" s="1"/>
  <c r="D2061" i="2"/>
  <c r="E2060" i="2"/>
  <c r="E2061" i="2" l="1"/>
  <c r="C2062" i="2"/>
  <c r="F2062" i="2" s="1"/>
  <c r="D2062" i="2"/>
  <c r="D2063" i="2" l="1"/>
  <c r="E2062" i="2"/>
  <c r="C2063" i="2"/>
  <c r="F2063" i="2" s="1"/>
  <c r="D2064" i="2" l="1"/>
  <c r="E2063" i="2"/>
  <c r="C2064" i="2"/>
  <c r="F2064" i="2" s="1"/>
  <c r="C2065" i="2" l="1"/>
  <c r="F2065" i="2" s="1"/>
  <c r="D2065" i="2"/>
  <c r="E2064" i="2"/>
  <c r="D2066" i="2" l="1"/>
  <c r="E2065" i="2"/>
  <c r="C2066" i="2"/>
  <c r="F2066" i="2" s="1"/>
  <c r="E2066" i="2" l="1"/>
  <c r="D2067" i="2"/>
  <c r="C2067" i="2"/>
  <c r="F2067" i="2" s="1"/>
  <c r="E2067" i="2" l="1"/>
  <c r="D2068" i="2"/>
  <c r="C2068" i="2"/>
  <c r="F2068" i="2" s="1"/>
  <c r="E2068" i="2" l="1"/>
  <c r="D2069" i="2"/>
  <c r="C2069" i="2"/>
  <c r="F2069" i="2" s="1"/>
  <c r="C2070" i="2" l="1"/>
  <c r="F2070" i="2" s="1"/>
  <c r="D2070" i="2"/>
  <c r="E2069" i="2"/>
  <c r="C2071" i="2" l="1"/>
  <c r="F2071" i="2" s="1"/>
  <c r="E2070" i="2"/>
  <c r="D2071" i="2"/>
  <c r="C2072" i="2" l="1"/>
  <c r="F2072" i="2" s="1"/>
  <c r="D2072" i="2"/>
  <c r="E2071" i="2"/>
  <c r="D2073" i="2" l="1"/>
  <c r="E2072" i="2"/>
  <c r="C2073" i="2"/>
  <c r="F2073" i="2" s="1"/>
  <c r="C2074" i="2" l="1"/>
  <c r="F2074" i="2" s="1"/>
  <c r="D2074" i="2"/>
  <c r="E2073" i="2"/>
  <c r="C2075" i="2" l="1"/>
  <c r="F2075" i="2" s="1"/>
  <c r="E2074" i="2"/>
  <c r="D2075" i="2"/>
  <c r="C2076" i="2" l="1"/>
  <c r="F2076" i="2" s="1"/>
  <c r="D2076" i="2"/>
  <c r="E2075" i="2"/>
  <c r="C2077" i="2" l="1"/>
  <c r="F2077" i="2" s="1"/>
  <c r="D2077" i="2"/>
  <c r="E2076" i="2"/>
  <c r="E2077" i="2" l="1"/>
  <c r="C2078" i="2"/>
  <c r="F2078" i="2" s="1"/>
  <c r="D2078" i="2"/>
  <c r="E2078" i="2" l="1"/>
  <c r="C2079" i="2"/>
  <c r="F2079" i="2" s="1"/>
  <c r="D2079" i="2"/>
  <c r="D2080" i="2" l="1"/>
  <c r="C2080" i="2"/>
  <c r="F2080" i="2" s="1"/>
  <c r="E2079" i="2"/>
  <c r="D2081" i="2" l="1"/>
  <c r="E2080" i="2"/>
  <c r="C2081" i="2"/>
  <c r="F2081" i="2" s="1"/>
  <c r="C2082" i="2" l="1"/>
  <c r="F2082" i="2" s="1"/>
  <c r="D2082" i="2"/>
  <c r="E2081" i="2"/>
  <c r="C2083" i="2" l="1"/>
  <c r="F2083" i="2" s="1"/>
  <c r="E2082" i="2"/>
  <c r="D2083" i="2"/>
  <c r="D2084" i="2" l="1"/>
  <c r="E2083" i="2"/>
  <c r="C2084" i="2"/>
  <c r="F2084" i="2" s="1"/>
  <c r="D2085" i="2" l="1"/>
  <c r="C2085" i="2"/>
  <c r="F2085" i="2" s="1"/>
  <c r="E2084" i="2"/>
  <c r="C2086" i="2" l="1"/>
  <c r="F2086" i="2" s="1"/>
  <c r="E2085" i="2"/>
  <c r="D2086" i="2"/>
  <c r="D2087" i="2" l="1"/>
  <c r="C2087" i="2"/>
  <c r="F2087" i="2" s="1"/>
  <c r="E2086" i="2"/>
  <c r="D2088" i="2" l="1"/>
  <c r="E2087" i="2"/>
  <c r="C2088" i="2"/>
  <c r="F2088" i="2" s="1"/>
  <c r="D2089" i="2" l="1"/>
  <c r="E2088" i="2"/>
  <c r="C2089" i="2"/>
  <c r="F2089" i="2" s="1"/>
  <c r="C2090" i="2" l="1"/>
  <c r="F2090" i="2" s="1"/>
  <c r="D2090" i="2"/>
  <c r="E2089" i="2"/>
  <c r="C2091" i="2" l="1"/>
  <c r="F2091" i="2" s="1"/>
  <c r="E2090" i="2"/>
  <c r="D2091" i="2"/>
  <c r="C2092" i="2" l="1"/>
  <c r="F2092" i="2" s="1"/>
  <c r="D2092" i="2"/>
  <c r="E2091" i="2"/>
  <c r="E2092" i="2" l="1"/>
  <c r="C2093" i="2"/>
  <c r="F2093" i="2" s="1"/>
  <c r="D2093" i="2"/>
  <c r="E2093" i="2" l="1"/>
  <c r="D2094" i="2"/>
  <c r="C2094" i="2"/>
  <c r="F2094" i="2" s="1"/>
  <c r="E2094" i="2" l="1"/>
  <c r="D2095" i="2"/>
  <c r="C2095" i="2"/>
  <c r="F2095" i="2" s="1"/>
  <c r="D2096" i="2" l="1"/>
  <c r="E2095" i="2"/>
  <c r="C2096" i="2"/>
  <c r="F2096" i="2" s="1"/>
  <c r="D2097" i="2" l="1"/>
  <c r="E2096" i="2"/>
  <c r="C2097" i="2"/>
  <c r="F2097" i="2" s="1"/>
  <c r="D2098" i="2" l="1"/>
  <c r="C2098" i="2"/>
  <c r="F2098" i="2" s="1"/>
  <c r="E2097" i="2"/>
  <c r="C2099" i="2" l="1"/>
  <c r="F2099" i="2" s="1"/>
  <c r="D2099" i="2"/>
  <c r="E2098" i="2"/>
  <c r="C2100" i="2" l="1"/>
  <c r="F2100" i="2" s="1"/>
  <c r="E2099" i="2"/>
  <c r="D2100" i="2"/>
  <c r="D2101" i="2" l="1"/>
  <c r="C2101" i="2"/>
  <c r="F2101" i="2" s="1"/>
  <c r="E2100" i="2"/>
  <c r="C2102" i="2" l="1"/>
  <c r="F2102" i="2" s="1"/>
  <c r="E2101" i="2"/>
  <c r="D2102" i="2"/>
  <c r="E2102" i="2" l="1"/>
  <c r="C2103" i="2"/>
  <c r="F2103" i="2" s="1"/>
  <c r="D2103" i="2"/>
  <c r="D2104" i="2" l="1"/>
  <c r="E2103" i="2"/>
  <c r="C2104" i="2"/>
  <c r="F2104" i="2" s="1"/>
  <c r="E2104" i="2" l="1"/>
  <c r="C2105" i="2"/>
  <c r="F2105" i="2" s="1"/>
  <c r="D2105" i="2"/>
  <c r="C2106" i="2" l="1"/>
  <c r="F2106" i="2" s="1"/>
  <c r="E2105" i="2"/>
  <c r="D2106" i="2"/>
  <c r="C2107" i="2" l="1"/>
  <c r="F2107" i="2" s="1"/>
  <c r="E2106" i="2"/>
  <c r="D2107" i="2"/>
  <c r="C2108" i="2" l="1"/>
  <c r="F2108" i="2" s="1"/>
  <c r="E2107" i="2"/>
  <c r="D2108" i="2"/>
  <c r="E2108" i="2" l="1"/>
  <c r="C2109" i="2"/>
  <c r="F2109" i="2" s="1"/>
  <c r="D2109" i="2"/>
  <c r="E2109" i="2" l="1"/>
  <c r="C2110" i="2"/>
  <c r="F2110" i="2" s="1"/>
  <c r="D2110" i="2"/>
  <c r="E2110" i="2" l="1"/>
  <c r="D2111" i="2"/>
  <c r="C2111" i="2"/>
  <c r="F2111" i="2" s="1"/>
  <c r="C2112" i="2" l="1"/>
  <c r="F2112" i="2" s="1"/>
  <c r="E2111" i="2"/>
  <c r="D2112" i="2"/>
  <c r="C2113" i="2" l="1"/>
  <c r="F2113" i="2" s="1"/>
  <c r="E2112" i="2"/>
  <c r="D2113" i="2"/>
  <c r="E2113" i="2" l="1"/>
  <c r="C2114" i="2"/>
  <c r="F2114" i="2" s="1"/>
  <c r="D2114" i="2"/>
  <c r="E2114" i="2" l="1"/>
  <c r="C2115" i="2"/>
  <c r="F2115" i="2" s="1"/>
  <c r="D2115" i="2"/>
  <c r="C2116" i="2" l="1"/>
  <c r="F2116" i="2" s="1"/>
  <c r="D2116" i="2"/>
  <c r="E2115" i="2"/>
  <c r="D2117" i="2" l="1"/>
  <c r="E2116" i="2"/>
  <c r="C2117" i="2"/>
  <c r="F2117" i="2" s="1"/>
  <c r="C2118" i="2" l="1"/>
  <c r="F2118" i="2" s="1"/>
  <c r="D2118" i="2"/>
  <c r="E2117" i="2"/>
  <c r="D2119" i="2" l="1"/>
  <c r="C2119" i="2"/>
  <c r="F2119" i="2" s="1"/>
  <c r="E2118" i="2"/>
  <c r="E2119" i="2" l="1"/>
  <c r="C2120" i="2"/>
  <c r="F2120" i="2" s="1"/>
  <c r="D2120" i="2"/>
  <c r="D2121" i="2" l="1"/>
  <c r="C2121" i="2"/>
  <c r="F2121" i="2" s="1"/>
  <c r="E2120" i="2"/>
  <c r="E2121" i="2" l="1"/>
  <c r="D2122" i="2"/>
  <c r="C2122" i="2"/>
  <c r="F2122" i="2" s="1"/>
  <c r="E2122" i="2" l="1"/>
  <c r="D2123" i="2"/>
  <c r="C2123" i="2"/>
  <c r="F2123" i="2" s="1"/>
  <c r="E2123" i="2" l="1"/>
  <c r="D2124" i="2"/>
  <c r="C2124" i="2"/>
  <c r="F2124" i="2" s="1"/>
  <c r="D2125" i="2" l="1"/>
  <c r="E2124" i="2"/>
  <c r="C2125" i="2"/>
  <c r="F2125" i="2" s="1"/>
  <c r="E2125" i="2" l="1"/>
  <c r="C2126" i="2"/>
  <c r="F2126" i="2" s="1"/>
  <c r="D2126" i="2"/>
  <c r="E2126" i="2" l="1"/>
  <c r="C2127" i="2"/>
  <c r="F2127" i="2" s="1"/>
  <c r="D2127" i="2"/>
  <c r="C2128" i="2" l="1"/>
  <c r="F2128" i="2" s="1"/>
  <c r="D2128" i="2"/>
  <c r="E2127" i="2"/>
  <c r="C2129" i="2" l="1"/>
  <c r="F2129" i="2" s="1"/>
  <c r="D2129" i="2"/>
  <c r="E2128" i="2"/>
  <c r="C2130" i="2" l="1"/>
  <c r="F2130" i="2" s="1"/>
  <c r="D2130" i="2"/>
  <c r="E2129" i="2"/>
  <c r="D2131" i="2" l="1"/>
  <c r="C2131" i="2"/>
  <c r="F2131" i="2" s="1"/>
  <c r="E2130" i="2"/>
  <c r="D2132" i="2" l="1"/>
  <c r="C2132" i="2"/>
  <c r="F2132" i="2" s="1"/>
  <c r="E2131" i="2"/>
  <c r="D2133" i="2" l="1"/>
  <c r="C2133" i="2"/>
  <c r="F2133" i="2" s="1"/>
  <c r="E2132" i="2"/>
  <c r="C2134" i="2" l="1"/>
  <c r="F2134" i="2" s="1"/>
  <c r="E2133" i="2"/>
  <c r="D2134" i="2"/>
  <c r="C2135" i="2" l="1"/>
  <c r="F2135" i="2" s="1"/>
  <c r="D2135" i="2"/>
  <c r="E2134" i="2"/>
  <c r="D2136" i="2" l="1"/>
  <c r="C2136" i="2"/>
  <c r="F2136" i="2" s="1"/>
  <c r="E2135" i="2"/>
  <c r="D2137" i="2" l="1"/>
  <c r="C2137" i="2"/>
  <c r="F2137" i="2" s="1"/>
  <c r="E2136" i="2"/>
  <c r="D2138" i="2" l="1"/>
  <c r="C2138" i="2"/>
  <c r="F2138" i="2" s="1"/>
  <c r="E2137" i="2"/>
  <c r="E2138" i="2" l="1"/>
  <c r="C2139" i="2"/>
  <c r="F2139" i="2" s="1"/>
  <c r="D2139" i="2"/>
  <c r="E2139" i="2" l="1"/>
  <c r="D2140" i="2"/>
  <c r="C2140" i="2"/>
  <c r="F2140" i="2" s="1"/>
  <c r="C2141" i="2" l="1"/>
  <c r="F2141" i="2" s="1"/>
  <c r="D2141" i="2"/>
  <c r="E2140" i="2"/>
  <c r="E2141" i="2" l="1"/>
  <c r="D2142" i="2"/>
  <c r="C2142" i="2"/>
  <c r="F2142" i="2" s="1"/>
  <c r="E2142" i="2" l="1"/>
  <c r="C2143" i="2"/>
  <c r="F2143" i="2" s="1"/>
  <c r="D2143" i="2"/>
  <c r="C2144" i="2" l="1"/>
  <c r="F2144" i="2" s="1"/>
  <c r="E2143" i="2"/>
  <c r="D2144" i="2"/>
  <c r="E2144" i="2" l="1"/>
  <c r="C2145" i="2"/>
  <c r="F2145" i="2" s="1"/>
  <c r="D2145" i="2"/>
  <c r="E2145" i="2" l="1"/>
  <c r="D2146" i="2"/>
  <c r="C2146" i="2"/>
  <c r="F2146" i="2" s="1"/>
  <c r="C2147" i="2" l="1"/>
  <c r="F2147" i="2" s="1"/>
  <c r="E2146" i="2"/>
  <c r="D2147" i="2"/>
  <c r="D2148" i="2" l="1"/>
  <c r="E2147" i="2"/>
  <c r="C2148" i="2"/>
  <c r="F2148" i="2" s="1"/>
  <c r="E2148" i="2" l="1"/>
</calcChain>
</file>

<file path=xl/sharedStrings.xml><?xml version="1.0" encoding="utf-8"?>
<sst xmlns="http://schemas.openxmlformats.org/spreadsheetml/2006/main" count="908" uniqueCount="257">
  <si>
    <t>Muestra de puntos unicos</t>
  </si>
  <si>
    <t>Duplas posibles</t>
  </si>
  <si>
    <t>Final</t>
  </si>
  <si>
    <t>Origen</t>
  </si>
  <si>
    <t>Origen (puntos)</t>
  </si>
  <si>
    <t>Final (Puntos)</t>
  </si>
  <si>
    <t>Cod</t>
  </si>
  <si>
    <t>Lista de puntos unicos</t>
  </si>
  <si>
    <t>Pegar como valores los Puntos de los cargos valorados
Descendente</t>
  </si>
  <si>
    <t>Formula
Puntos Unicos Descendente</t>
  </si>
  <si>
    <t>* Datos deben estar organizados por puntos de menor a mayor</t>
  </si>
  <si>
    <t>% G Q1</t>
  </si>
  <si>
    <t>% G+V Q1</t>
  </si>
  <si>
    <t>% G Md</t>
  </si>
  <si>
    <t>% G+V Md</t>
  </si>
  <si>
    <t>% G Q3</t>
  </si>
  <si>
    <t>% G+V Q3</t>
  </si>
  <si>
    <t>por puntos de menor a mayor</t>
  </si>
  <si>
    <t>Requerimiento</t>
  </si>
  <si>
    <t>Estadísticos</t>
  </si>
  <si>
    <t>Plataforma</t>
  </si>
  <si>
    <t>Valoración</t>
  </si>
  <si>
    <t>Verificación Interna Q1</t>
  </si>
  <si>
    <t>Verificación Interna Mediana</t>
  </si>
  <si>
    <t>Verificación Interna Q3</t>
  </si>
  <si>
    <t>Verificación Q1 Vs Md</t>
  </si>
  <si>
    <t>Verificación MD vs Q3</t>
  </si>
  <si>
    <t>Persona</t>
  </si>
  <si>
    <t>G Actual</t>
  </si>
  <si>
    <t>G+V Actual</t>
  </si>
  <si>
    <t>CT Actual</t>
  </si>
  <si>
    <t>G Q1</t>
  </si>
  <si>
    <t>G+V Q1</t>
  </si>
  <si>
    <t>CT Q1</t>
  </si>
  <si>
    <t>G Md</t>
  </si>
  <si>
    <t>G+V Md</t>
  </si>
  <si>
    <t>CT Md</t>
  </si>
  <si>
    <t>G Q3</t>
  </si>
  <si>
    <t>G+V Q3</t>
  </si>
  <si>
    <t>CT Q3</t>
  </si>
  <si>
    <t>Cargo Valorado</t>
  </si>
  <si>
    <t>Puntos</t>
  </si>
  <si>
    <t>Puntos colum</t>
  </si>
  <si>
    <t>Gq1 Columna</t>
  </si>
  <si>
    <t>G+Vq1 Columna</t>
  </si>
  <si>
    <t>CTq1 Columna</t>
  </si>
  <si>
    <t>Gmd Columna</t>
  </si>
  <si>
    <t>G+Vmd Columna</t>
  </si>
  <si>
    <t>CTmd Columna</t>
  </si>
  <si>
    <t>Gq3 colum</t>
  </si>
  <si>
    <t>G+Vq3 colum</t>
  </si>
  <si>
    <t>CTq3 colum</t>
  </si>
  <si>
    <t>G regresión Q1</t>
  </si>
  <si>
    <t>G+ V Regresión Q1</t>
  </si>
  <si>
    <t>CT Regresión Q1</t>
  </si>
  <si>
    <t>G regresión Md</t>
  </si>
  <si>
    <t>G+ V Regresión Md</t>
  </si>
  <si>
    <t>CT Regresión Md</t>
  </si>
  <si>
    <t>G regresión Q3</t>
  </si>
  <si>
    <t>G+ V Regresión Q3</t>
  </si>
  <si>
    <t>CT Regresión Q3</t>
  </si>
  <si>
    <t>G Ajustado Q1</t>
  </si>
  <si>
    <t>G+ V Ajustado Q1</t>
  </si>
  <si>
    <t>CT Ajustado Q1</t>
  </si>
  <si>
    <t>G Ajustado Md</t>
  </si>
  <si>
    <t>G+ V Ajustado Md</t>
  </si>
  <si>
    <t>CT Ajustado Md</t>
  </si>
  <si>
    <t>G Ajustado Q3</t>
  </si>
  <si>
    <t>G+ V Ajustado Q3</t>
  </si>
  <si>
    <t>CT Ajustado Q3</t>
  </si>
  <si>
    <t>V1 Q1</t>
  </si>
  <si>
    <t>V2 Q1</t>
  </si>
  <si>
    <t>V3 Q1</t>
  </si>
  <si>
    <t>V4 Q1</t>
  </si>
  <si>
    <t>V5 Q1</t>
  </si>
  <si>
    <t>V1 Md</t>
  </si>
  <si>
    <t>V2 Md</t>
  </si>
  <si>
    <t>V3 Md</t>
  </si>
  <si>
    <t>V4 Md</t>
  </si>
  <si>
    <t>V5 Md</t>
  </si>
  <si>
    <t>V1 Q3</t>
  </si>
  <si>
    <t>V2 Q3</t>
  </si>
  <si>
    <t>V3 Q3</t>
  </si>
  <si>
    <t>V4 Q4</t>
  </si>
  <si>
    <t>V5 Q5</t>
  </si>
  <si>
    <t>V1 Q1 vs Md</t>
  </si>
  <si>
    <t>V2 Q1 vs Md</t>
  </si>
  <si>
    <t>V3 Q1 vs Md</t>
  </si>
  <si>
    <t>V1 Md vs Q3</t>
  </si>
  <si>
    <t>V2 Md vs Q3</t>
  </si>
  <si>
    <t>V3 Md vs Q3</t>
  </si>
  <si>
    <t>Punto Medio</t>
  </si>
  <si>
    <t>G ajus PM Q1</t>
  </si>
  <si>
    <t>G+V ajus PM Q1</t>
  </si>
  <si>
    <t>CT ajus PM Q1</t>
  </si>
  <si>
    <t>G ajus PMd</t>
  </si>
  <si>
    <t>G+V ajus PM Md</t>
  </si>
  <si>
    <t>CT ajus PM Md</t>
  </si>
  <si>
    <t>G ajus PM Q3</t>
  </si>
  <si>
    <t>G+V ajus PM Q3</t>
  </si>
  <si>
    <t>CT ajus PM Q3</t>
  </si>
  <si>
    <t>Posicion. Md</t>
  </si>
  <si>
    <t>Nivel</t>
  </si>
  <si>
    <t>% Variable</t>
  </si>
  <si>
    <t>% Beneficios</t>
  </si>
  <si>
    <t>Total</t>
  </si>
  <si>
    <t>Cargo</t>
  </si>
  <si>
    <t>Gq1</t>
  </si>
  <si>
    <t>GMd</t>
  </si>
  <si>
    <t>Variable</t>
  </si>
  <si>
    <t>Beneficios</t>
  </si>
  <si>
    <t>Cat</t>
  </si>
  <si>
    <t>Fija</t>
  </si>
  <si>
    <t>Ejecutivo</t>
  </si>
  <si>
    <t>Gerencia Alta</t>
  </si>
  <si>
    <t>Gerencia Media</t>
  </si>
  <si>
    <t>Táctico</t>
  </si>
  <si>
    <t>Soporte</t>
  </si>
  <si>
    <t>Operativo</t>
  </si>
  <si>
    <t>Corte 1</t>
  </si>
  <si>
    <t>Corte 2</t>
  </si>
  <si>
    <t>Dupla</t>
  </si>
  <si>
    <t>Garantizado</t>
  </si>
  <si>
    <t>Garantizado + Variable</t>
  </si>
  <si>
    <t>Compensación Total</t>
  </si>
  <si>
    <t>Garantizado Ajustado</t>
  </si>
  <si>
    <t>Garantizado + Variable Ajustado</t>
  </si>
  <si>
    <t>Compensación Total Ajustado</t>
  </si>
  <si>
    <t>Y Ajustada</t>
  </si>
  <si>
    <t>Segmento</t>
  </si>
  <si>
    <t>Rango</t>
  </si>
  <si>
    <t>Y</t>
  </si>
  <si>
    <t>X</t>
  </si>
  <si>
    <t>Pendiente</t>
  </si>
  <si>
    <t>Intercepto</t>
  </si>
  <si>
    <t>G</t>
  </si>
  <si>
    <t>G+V</t>
  </si>
  <si>
    <t>CT</t>
  </si>
  <si>
    <t>Ajuste de la regresión</t>
  </si>
  <si>
    <t>Valores de control</t>
  </si>
  <si>
    <t>Ajuste de punto mínimo</t>
  </si>
  <si>
    <t>Y0 regresión</t>
  </si>
  <si>
    <t>Y0 mínimo</t>
  </si>
  <si>
    <t>Y0 máximo</t>
  </si>
  <si>
    <t>Y mínimo ajustado</t>
  </si>
  <si>
    <t>Ajuste de punto máximo</t>
  </si>
  <si>
    <t>Ymáx regresión</t>
  </si>
  <si>
    <t>Ymáx mínimo</t>
  </si>
  <si>
    <t>Ycentral</t>
  </si>
  <si>
    <t>Ymáx máximo</t>
  </si>
  <si>
    <t>Y máximo ajustado</t>
  </si>
  <si>
    <t>Datos de control de ajuste</t>
  </si>
  <si>
    <t>Nomina Total</t>
  </si>
  <si>
    <t>Regresión Ajus</t>
  </si>
  <si>
    <t>% de error</t>
  </si>
  <si>
    <t>Negativos</t>
  </si>
  <si>
    <t>Criterios de selección</t>
  </si>
  <si>
    <t>% de Ajuste</t>
  </si>
  <si>
    <t>Verificación</t>
  </si>
  <si>
    <t>Sobrepago</t>
  </si>
  <si>
    <t>Mediana</t>
  </si>
  <si>
    <t>Subpago</t>
  </si>
  <si>
    <t>Duplas</t>
  </si>
  <si>
    <t>Curva 2</t>
  </si>
  <si>
    <t>Curvas seleccionadas</t>
  </si>
  <si>
    <t>DIRECTOR DE VENTAS LATAM</t>
  </si>
  <si>
    <t>DIRECTOR DE VENTAS EEUU</t>
  </si>
  <si>
    <t>DIRECTOR NACIONAL DE VENTAS</t>
  </si>
  <si>
    <t>DIRECTOR DE LOGISTICA</t>
  </si>
  <si>
    <t>DIRECTOR DE GESTION HUMANA</t>
  </si>
  <si>
    <t>DIRECTOR DE INNOVACION</t>
  </si>
  <si>
    <t>DIRECTOR DESARROLLO</t>
  </si>
  <si>
    <t>DIRECTOR INGENIERIA</t>
  </si>
  <si>
    <t>DIRECTOR TIC</t>
  </si>
  <si>
    <t>DIRECTOR DE MANTENIMIENTO Y PROYECTOS</t>
  </si>
  <si>
    <t>DIRECTOR DE PRODUCCION</t>
  </si>
  <si>
    <t>DIRECTOR DE CENTRO DE TRANSFORMACIÓN</t>
  </si>
  <si>
    <t>JEFE DE MEJORAMIENTO CONTINUO</t>
  </si>
  <si>
    <t>JEFE DE TERCERIZADOS</t>
  </si>
  <si>
    <t>LIDER DE VENTAS EEUU</t>
  </si>
  <si>
    <t>COORDINADOR TIC</t>
  </si>
  <si>
    <t>INGENIERO DE FORMULACIONES</t>
  </si>
  <si>
    <t>INGENIERO DE MEJORA CONTINUA</t>
  </si>
  <si>
    <t>LIDER DE DISEÑO Y COMUNICACIONES EN MERCADEO</t>
  </si>
  <si>
    <t>LIDER DE TECNOLOGÍAS DE LA INFORMACIÓN</t>
  </si>
  <si>
    <t>LIDER MECANICO EXPERTO EN MOLDES</t>
  </si>
  <si>
    <t>ANALISTA DE NOMINA</t>
  </si>
  <si>
    <t>ANALISTA DE SEGURIDAD Y SALUD EN EL TRABAJO</t>
  </si>
  <si>
    <t>ANALISTA CALIDAD</t>
  </si>
  <si>
    <t>ANALISTA DE MEJORA CONTINUA</t>
  </si>
  <si>
    <t>ANALISTA DE MATRICERIA CNC</t>
  </si>
  <si>
    <t>ANALISTA TECNICO PROYECTOS ALIADOS</t>
  </si>
  <si>
    <t>ANALISTA TESORERIA</t>
  </si>
  <si>
    <t>ANALISTA DOCUMENTAL DE INGENIERIA</t>
  </si>
  <si>
    <t>ANALISTA ADMINISTRATIVA DE DISEÑO Y DESARROLLO</t>
  </si>
  <si>
    <t>ANALISTA ADMINISTRATIVA Y CONTABLE</t>
  </si>
  <si>
    <t>AUXILIAR FACTURACION</t>
  </si>
  <si>
    <t>GERENTE COMERCIAL Y MERCADEO</t>
  </si>
  <si>
    <t>GERENTE DE OPERACIONES</t>
  </si>
  <si>
    <t>GERENTE ADMINISTRATIVA Y FINANCIERA</t>
  </si>
  <si>
    <t>COOORDINADOR DE MERCADEO</t>
  </si>
  <si>
    <t>DIRECTOR ADMINISTRATIVO Y CONTABLE</t>
  </si>
  <si>
    <t>DIRECTOR DE MATERIALES</t>
  </si>
  <si>
    <t>DIRECTOR DE CALIDAD Y CONTROL DE PROCESOS</t>
  </si>
  <si>
    <t>COORDINADOR  SST</t>
  </si>
  <si>
    <t>JEFE DE COMPRAS</t>
  </si>
  <si>
    <t>COORDINADORA DE CONTABILIDAD</t>
  </si>
  <si>
    <t>COORDINADORA DE COMERCIO EXTERIOR</t>
  </si>
  <si>
    <t>COORDINADOR DE DISEÑO Y DESARROLLO</t>
  </si>
  <si>
    <t>DIRECTOR COSTOS</t>
  </si>
  <si>
    <t>COORDINADORA DE GESTION HUMANA</t>
  </si>
  <si>
    <t>JEFE DE CALIDAD</t>
  </si>
  <si>
    <t>ADMINISTRADOR FEDEXTRU</t>
  </si>
  <si>
    <t>LIDER DE ZONA</t>
  </si>
  <si>
    <t>COORDINADOR DE INGENIERIA</t>
  </si>
  <si>
    <t>COORDINADOR DE MANTENIMIENTO</t>
  </si>
  <si>
    <t>COORDINADOR DE PRODUCCION</t>
  </si>
  <si>
    <t>LIDER DE COMERCIO EXTERIOR</t>
  </si>
  <si>
    <t>LIDER DE GESTIÓN HUMANA Y DESARROLLO DEL TALENTO</t>
  </si>
  <si>
    <t>COORDINADOR CEDI</t>
  </si>
  <si>
    <t>COORDINADOR DE LABORATORIO</t>
  </si>
  <si>
    <t>PROGRAMADOR DE PRODUCCION</t>
  </si>
  <si>
    <t>COORDINADOR DE TERCERIZADOS</t>
  </si>
  <si>
    <t>LIDER DE COSTOS</t>
  </si>
  <si>
    <t>LIDER DE CANAL</t>
  </si>
  <si>
    <t>INGENIERO DE DATOS</t>
  </si>
  <si>
    <t>TECNICO DE MANTENIMIENTO</t>
  </si>
  <si>
    <t>ANALISTA GESTIÓN HUMANA</t>
  </si>
  <si>
    <t>ANALISTA COTIZACIONES DISEÑO Y DESARROLLO</t>
  </si>
  <si>
    <t>ANALISTA DE DE COMPRAS</t>
  </si>
  <si>
    <t>ANALISTA DE COMERCIO EXTERIOR</t>
  </si>
  <si>
    <t>ANALISTA DE COSTOS</t>
  </si>
  <si>
    <t>ANALISTA DE SERVICIOS</t>
  </si>
  <si>
    <t>ANALISTA DE CARTERA</t>
  </si>
  <si>
    <t>ANALISTA DE IMPUESTOS Y REGISTROS CONTABLES</t>
  </si>
  <si>
    <t>ANALISTA DE MERCADEO</t>
  </si>
  <si>
    <t>LIDER SOPORTE TIC</t>
  </si>
  <si>
    <t>AUXILIAR SERVICIO AL CLIENTE</t>
  </si>
  <si>
    <t>ANALISTA DE LABORATORIO</t>
  </si>
  <si>
    <t>ANALISTA OPERATIVO DESARROLLO</t>
  </si>
  <si>
    <t>AUXILIAR DE MATRICERIA</t>
  </si>
  <si>
    <t>AUXILIAR DE DISEÑO Y COMUNICACIONES EN MERCADEO</t>
  </si>
  <si>
    <t>AUXILIAR DE PRODUCCION</t>
  </si>
  <si>
    <t>AUXILIAR DE CEDI</t>
  </si>
  <si>
    <t>AUXILIAR ADMINISTRATIVA CEDI</t>
  </si>
  <si>
    <t>Gerencia media</t>
  </si>
  <si>
    <t>CARGO FICTICIO</t>
  </si>
  <si>
    <t>A</t>
  </si>
  <si>
    <t>Ejecutivo EXTRUSIONES</t>
  </si>
  <si>
    <t>Gerencia Alta EXTRUSIONES</t>
  </si>
  <si>
    <t>Gerencia Media EXTRUSIONES</t>
  </si>
  <si>
    <t>Táctico EXTRUSIONES</t>
  </si>
  <si>
    <t>Soporte EXTRUSIONES</t>
  </si>
  <si>
    <t>Operativo EXTRUSIONES</t>
  </si>
  <si>
    <t>Tipo de Cargo</t>
  </si>
  <si>
    <t>Administrativo</t>
  </si>
  <si>
    <t>Comercial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</si>
</sst>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0.0"/>
    <numFmt numFmtId="167" formatCode="#,##0_);[Red]\(#,##0\)"/>
  </numFmts>
  <fonts count="16" x14ac:knownFonts="1">
    <font>
      <sz val="11"/>
      <color theme="1"/>
      <name val="Helvetica"/>
      <family val="2"/>
    </font>
    <font>
      <sz val="11"/>
      <color theme="1"/>
      <name val="Helvetica"/>
      <family val="2"/>
    </font>
    <font>
      <b/>
      <sz val="11"/>
      <color theme="1"/>
      <name val="Helvetica"/>
    </font>
    <font>
      <b/>
      <sz val="11"/>
      <color theme="0"/>
      <name val="Helvetica"/>
    </font>
    <font>
      <b/>
      <sz val="10"/>
      <color theme="1"/>
      <name val="Helvetica"/>
    </font>
    <font>
      <sz val="8"/>
      <name val="Helvetica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9"/>
      <color theme="1"/>
      <name val="Helvetica"/>
      <family val="2"/>
    </font>
    <font>
      <sz val="11"/>
      <color theme="1" tint="0.249977111117893"/>
      <name val="Arial"/>
      <family val="2"/>
    </font>
    <font>
      <b/>
      <sz val="11"/>
      <color theme="1" tint="0.249977111117893"/>
      <name val="Arial"/>
      <family val="2"/>
    </font>
    <font>
      <sz val="11"/>
      <color theme="1"/>
      <name val="Helvetica"/>
    </font>
    <font>
      <b/>
      <sz val="11"/>
      <color theme="0"/>
      <name val="Calibri"/>
      <family val="2"/>
      <scheme val="minor"/>
    </font>
    <font>
      <sz val="11"/>
      <color rgb="FF000000"/>
      <name val="Helvetica"/>
    </font>
    <font>
      <sz val="11"/>
      <color rgb="FF40404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FBC2F"/>
        <bgColor theme="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rgb="FFD9E1F2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EA9DB"/>
      </left>
      <right/>
      <top/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9" fontId="6" fillId="0" borderId="0" xfId="2" applyFon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6" fillId="0" borderId="0" xfId="0" applyNumberFormat="1" applyFont="1" applyAlignment="1">
      <alignment vertical="center"/>
    </xf>
    <xf numFmtId="0" fontId="6" fillId="0" borderId="0" xfId="0" applyFont="1"/>
    <xf numFmtId="0" fontId="3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" fontId="0" fillId="0" borderId="1" xfId="1" applyNumberFormat="1" applyFont="1" applyBorder="1" applyAlignment="1">
      <alignment horizontal="center" vertical="center"/>
    </xf>
    <xf numFmtId="166" fontId="0" fillId="3" borderId="6" xfId="0" applyNumberFormat="1" applyFill="1" applyBorder="1" applyAlignment="1">
      <alignment horizontal="center" vertical="center"/>
    </xf>
    <xf numFmtId="3" fontId="0" fillId="6" borderId="3" xfId="0" applyNumberFormat="1" applyFill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10" fontId="0" fillId="0" borderId="7" xfId="2" applyNumberFormat="1" applyFont="1" applyBorder="1" applyAlignment="1">
      <alignment horizontal="center" vertical="center"/>
    </xf>
    <xf numFmtId="3" fontId="0" fillId="0" borderId="1" xfId="1" applyNumberFormat="1" applyFont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3" fontId="0" fillId="0" borderId="9" xfId="1" applyNumberFormat="1" applyFont="1" applyBorder="1" applyAlignment="1">
      <alignment horizontal="center" vertical="center"/>
    </xf>
    <xf numFmtId="9" fontId="0" fillId="3" borderId="6" xfId="0" applyNumberFormat="1" applyFill="1" applyBorder="1" applyAlignment="1">
      <alignment horizontal="center" vertical="center"/>
    </xf>
    <xf numFmtId="3" fontId="0" fillId="3" borderId="6" xfId="1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3" fontId="0" fillId="6" borderId="12" xfId="0" applyNumberFormat="1" applyFill="1" applyBorder="1" applyAlignment="1">
      <alignment horizontal="center" vertical="center"/>
    </xf>
    <xf numFmtId="3" fontId="0" fillId="6" borderId="7" xfId="0" applyNumberForma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3" fontId="0" fillId="3" borderId="6" xfId="0" applyNumberFormat="1" applyFill="1" applyBorder="1" applyAlignment="1">
      <alignment horizontal="center" vertical="center"/>
    </xf>
    <xf numFmtId="166" fontId="3" fillId="4" borderId="10" xfId="0" applyNumberFormat="1" applyFont="1" applyFill="1" applyBorder="1" applyAlignment="1">
      <alignment horizontal="center" vertical="center"/>
    </xf>
    <xf numFmtId="166" fontId="3" fillId="4" borderId="12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5" fontId="0" fillId="3" borderId="6" xfId="0" applyNumberFormat="1" applyFill="1" applyBorder="1" applyAlignment="1">
      <alignment horizontal="center" vertical="center"/>
    </xf>
    <xf numFmtId="165" fontId="0" fillId="0" borderId="3" xfId="2" applyNumberFormat="1" applyFont="1" applyBorder="1" applyAlignment="1">
      <alignment horizontal="center" vertical="center"/>
    </xf>
    <xf numFmtId="165" fontId="0" fillId="0" borderId="1" xfId="2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5" fontId="0" fillId="0" borderId="9" xfId="2" applyNumberFormat="1" applyFont="1" applyBorder="1" applyAlignment="1">
      <alignment horizontal="center" vertical="center"/>
    </xf>
    <xf numFmtId="1" fontId="0" fillId="0" borderId="9" xfId="2" applyNumberFormat="1" applyFont="1" applyBorder="1" applyAlignment="1">
      <alignment horizontal="center" vertical="center"/>
    </xf>
    <xf numFmtId="9" fontId="0" fillId="0" borderId="9" xfId="2" applyFont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 wrapText="1"/>
    </xf>
    <xf numFmtId="0" fontId="8" fillId="6" borderId="7" xfId="0" applyFont="1" applyFill="1" applyBorder="1" applyAlignment="1">
      <alignment horizontal="center" vertical="center" wrapText="1"/>
    </xf>
    <xf numFmtId="0" fontId="8" fillId="7" borderId="7" xfId="0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center" wrapText="1"/>
    </xf>
    <xf numFmtId="0" fontId="8" fillId="8" borderId="7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3" fontId="8" fillId="7" borderId="7" xfId="0" applyNumberFormat="1" applyFont="1" applyFill="1" applyBorder="1" applyAlignment="1">
      <alignment horizontal="center" vertical="center" wrapText="1"/>
    </xf>
    <xf numFmtId="3" fontId="8" fillId="4" borderId="7" xfId="0" applyNumberFormat="1" applyFont="1" applyFill="1" applyBorder="1" applyAlignment="1">
      <alignment horizontal="center" vertical="center" wrapText="1"/>
    </xf>
    <xf numFmtId="3" fontId="8" fillId="8" borderId="7" xfId="0" applyNumberFormat="1" applyFont="1" applyFill="1" applyBorder="1" applyAlignment="1">
      <alignment horizontal="center" vertical="center" wrapText="1"/>
    </xf>
    <xf numFmtId="3" fontId="8" fillId="2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7" fillId="4" borderId="7" xfId="0" applyNumberFormat="1" applyFont="1" applyFill="1" applyBorder="1" applyAlignment="1">
      <alignment horizontal="center" vertical="center"/>
    </xf>
    <xf numFmtId="3" fontId="7" fillId="8" borderId="7" xfId="0" applyNumberFormat="1" applyFont="1" applyFill="1" applyBorder="1" applyAlignment="1">
      <alignment horizontal="center" vertical="center"/>
    </xf>
    <xf numFmtId="3" fontId="7" fillId="11" borderId="7" xfId="0" applyNumberFormat="1" applyFont="1" applyFill="1" applyBorder="1" applyAlignment="1">
      <alignment horizontal="center" vertical="center" wrapText="1"/>
    </xf>
    <xf numFmtId="3" fontId="7" fillId="12" borderId="7" xfId="0" applyNumberFormat="1" applyFont="1" applyFill="1" applyBorder="1" applyAlignment="1">
      <alignment horizontal="center" vertical="center" wrapText="1"/>
    </xf>
    <xf numFmtId="3" fontId="8" fillId="6" borderId="7" xfId="0" applyNumberFormat="1" applyFont="1" applyFill="1" applyBorder="1" applyAlignment="1">
      <alignment horizontal="center" vertical="center" wrapText="1"/>
    </xf>
    <xf numFmtId="2" fontId="8" fillId="2" borderId="7" xfId="0" applyNumberFormat="1" applyFont="1" applyFill="1" applyBorder="1" applyAlignment="1">
      <alignment horizontal="center" vertical="center" wrapText="1"/>
    </xf>
    <xf numFmtId="2" fontId="8" fillId="2" borderId="10" xfId="0" applyNumberFormat="1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3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3" fontId="10" fillId="0" borderId="2" xfId="0" applyNumberFormat="1" applyFont="1" applyBorder="1" applyAlignment="1">
      <alignment horizontal="center" vertical="center"/>
    </xf>
    <xf numFmtId="9" fontId="10" fillId="0" borderId="1" xfId="2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3" fontId="10" fillId="0" borderId="9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165" fontId="6" fillId="0" borderId="0" xfId="0" applyNumberFormat="1" applyFont="1"/>
    <xf numFmtId="0" fontId="10" fillId="0" borderId="0" xfId="0" applyFont="1"/>
    <xf numFmtId="0" fontId="7" fillId="0" borderId="1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3" fontId="7" fillId="0" borderId="7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3" fontId="10" fillId="0" borderId="8" xfId="0" applyNumberFormat="1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165" fontId="12" fillId="0" borderId="15" xfId="2" applyNumberFormat="1" applyFont="1" applyBorder="1" applyAlignment="1">
      <alignment horizontal="center" vertical="center"/>
    </xf>
    <xf numFmtId="1" fontId="12" fillId="0" borderId="15" xfId="2" applyNumberFormat="1" applyFont="1" applyBorder="1" applyAlignment="1">
      <alignment horizontal="center" vertical="center"/>
    </xf>
    <xf numFmtId="9" fontId="12" fillId="0" borderId="15" xfId="2" applyFont="1" applyBorder="1" applyAlignment="1">
      <alignment horizontal="center" vertical="center"/>
    </xf>
    <xf numFmtId="3" fontId="10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9" fontId="10" fillId="10" borderId="1" xfId="2" applyFont="1" applyFill="1" applyBorder="1" applyAlignment="1">
      <alignment horizontal="center" vertical="center"/>
    </xf>
    <xf numFmtId="3" fontId="10" fillId="10" borderId="9" xfId="0" applyNumberFormat="1" applyFont="1" applyFill="1" applyBorder="1" applyAlignment="1">
      <alignment horizontal="center" vertical="center"/>
    </xf>
    <xf numFmtId="9" fontId="10" fillId="10" borderId="9" xfId="0" applyNumberFormat="1" applyFont="1" applyFill="1" applyBorder="1" applyAlignment="1">
      <alignment horizontal="center" vertical="center"/>
    </xf>
    <xf numFmtId="0" fontId="10" fillId="10" borderId="8" xfId="0" applyFont="1" applyFill="1" applyBorder="1" applyAlignment="1">
      <alignment horizontal="center" vertical="center"/>
    </xf>
    <xf numFmtId="165" fontId="10" fillId="10" borderId="1" xfId="2" applyNumberFormat="1" applyFont="1" applyFill="1" applyBorder="1" applyAlignment="1">
      <alignment horizontal="center" vertical="center"/>
    </xf>
    <xf numFmtId="165" fontId="10" fillId="10" borderId="9" xfId="2" applyNumberFormat="1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 wrapText="1"/>
    </xf>
    <xf numFmtId="167" fontId="0" fillId="9" borderId="1" xfId="0" applyNumberForma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15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8" fillId="4" borderId="15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3" fontId="10" fillId="0" borderId="0" xfId="0" applyNumberFormat="1" applyFont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8" fillId="14" borderId="1" xfId="2" applyNumberFormat="1" applyFont="1" applyFill="1" applyBorder="1" applyAlignment="1">
      <alignment horizontal="center" vertical="center"/>
    </xf>
    <xf numFmtId="165" fontId="10" fillId="0" borderId="1" xfId="2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165" fontId="6" fillId="0" borderId="1" xfId="2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9" fontId="10" fillId="10" borderId="2" xfId="2" applyFont="1" applyFill="1" applyBorder="1" applyAlignment="1">
      <alignment horizontal="center" vertical="center"/>
    </xf>
    <xf numFmtId="0" fontId="10" fillId="10" borderId="9" xfId="0" applyFont="1" applyFill="1" applyBorder="1" applyAlignment="1">
      <alignment horizontal="center" vertical="center"/>
    </xf>
    <xf numFmtId="9" fontId="10" fillId="10" borderId="7" xfId="2" applyFont="1" applyFill="1" applyBorder="1" applyAlignment="1">
      <alignment horizontal="center" vertical="center"/>
    </xf>
    <xf numFmtId="9" fontId="10" fillId="10" borderId="9" xfId="2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165" fontId="10" fillId="0" borderId="4" xfId="2" applyNumberFormat="1" applyFont="1" applyBorder="1" applyAlignment="1">
      <alignment horizontal="center" vertical="center"/>
    </xf>
    <xf numFmtId="0" fontId="6" fillId="0" borderId="16" xfId="0" applyFont="1" applyBorder="1" applyAlignment="1">
      <alignment vertical="center"/>
    </xf>
    <xf numFmtId="0" fontId="6" fillId="0" borderId="16" xfId="0" applyFont="1" applyBorder="1" applyAlignment="1">
      <alignment horizontal="center" vertical="center"/>
    </xf>
    <xf numFmtId="0" fontId="7" fillId="15" borderId="16" xfId="0" applyFont="1" applyFill="1" applyBorder="1" applyAlignment="1">
      <alignment vertical="center"/>
    </xf>
    <xf numFmtId="0" fontId="15" fillId="16" borderId="17" xfId="0" applyFont="1" applyFill="1" applyBorder="1" applyAlignment="1">
      <alignment horizontal="center" vertical="center"/>
    </xf>
    <xf numFmtId="0" fontId="15" fillId="16" borderId="18" xfId="0" applyFont="1" applyFill="1" applyBorder="1" applyAlignment="1">
      <alignment horizontal="center" vertical="center"/>
    </xf>
    <xf numFmtId="3" fontId="10" fillId="10" borderId="2" xfId="0" applyNumberFormat="1" applyFont="1" applyFill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2" fontId="6" fillId="0" borderId="0" xfId="1" applyNumberFormat="1" applyFont="1" applyAlignment="1">
      <alignment horizontal="center" vertical="center"/>
    </xf>
    <xf numFmtId="2" fontId="6" fillId="0" borderId="9" xfId="0" applyNumberFormat="1" applyFont="1" applyBorder="1" applyAlignment="1">
      <alignment vertical="center"/>
    </xf>
    <xf numFmtId="2" fontId="8" fillId="6" borderId="7" xfId="0" applyNumberFormat="1" applyFont="1" applyFill="1" applyBorder="1" applyAlignment="1">
      <alignment horizontal="center" vertical="center" wrapText="1"/>
    </xf>
    <xf numFmtId="3" fontId="11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8" fillId="14" borderId="2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165" fontId="2" fillId="0" borderId="9" xfId="2" applyNumberFormat="1" applyFont="1" applyBorder="1" applyAlignment="1">
      <alignment horizontal="center" vertical="center"/>
    </xf>
    <xf numFmtId="165" fontId="2" fillId="0" borderId="7" xfId="2" applyNumberFormat="1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203">
    <dxf>
      <font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65" formatCode="0.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3" formatCode="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2" formatCode="0.00"/>
      <alignment vertical="center" textRotation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border diagonalUp="0" diagonalDown="0">
        <left/>
        <right/>
        <bottom/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2" formatCode="0.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3743705557422"/>
        </left>
        <right/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/>
        <bottom/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i/>
        <color rgb="FFC00000"/>
      </font>
      <fill>
        <gradientFill type="path" left="0.5" right="0.5" top="0.5" bottom="0.5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b/>
        <i/>
        <color rgb="FFC00000"/>
      </font>
      <fill>
        <gradientFill type="path" left="0.5" right="0.5" top="0.5" bottom="0.5">
          <stop position="0">
            <color theme="0" tint="-0.25098422193060094"/>
          </stop>
          <stop position="1">
            <color theme="0" tint="-0.34900967436750391"/>
          </stop>
        </gradientFill>
      </fill>
    </dxf>
  </dxfs>
  <tableStyles count="0" defaultTableStyle="TableStyleMedium2" defaultPivotStyle="PivotStyleLight16"/>
  <colors>
    <mruColors>
      <color rgb="FF00A181"/>
      <color rgb="FF0046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Estadísticos!$U$2</c:f>
              <c:strCache>
                <c:ptCount val="1"/>
                <c:pt idx="0">
                  <c:v>Fija</c:v>
                </c:pt>
              </c:strCache>
            </c:strRef>
          </c:tx>
          <c:spPr>
            <a:solidFill>
              <a:srgbClr val="00465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Estadísticos!$T$3:$T$19</c:f>
              <c:strCache>
                <c:ptCount val="17"/>
                <c:pt idx="0">
                  <c:v>Operativo</c:v>
                </c:pt>
                <c:pt idx="1">
                  <c:v>Operativo EXTRUSIONES</c:v>
                </c:pt>
                <c:pt idx="3">
                  <c:v>Soporte</c:v>
                </c:pt>
                <c:pt idx="4">
                  <c:v>Soporte EXTRUSIONES</c:v>
                </c:pt>
                <c:pt idx="6">
                  <c:v>Táctico</c:v>
                </c:pt>
                <c:pt idx="7">
                  <c:v>Táctico EXTRUSIONES</c:v>
                </c:pt>
                <c:pt idx="9">
                  <c:v>Gerencia Media</c:v>
                </c:pt>
                <c:pt idx="10">
                  <c:v>Gerencia Media EXTRUSIONES</c:v>
                </c:pt>
                <c:pt idx="12">
                  <c:v>Gerencia Alta</c:v>
                </c:pt>
                <c:pt idx="13">
                  <c:v>Gerencia Alta EXTRUSIONES</c:v>
                </c:pt>
                <c:pt idx="15">
                  <c:v>Ejecutivo</c:v>
                </c:pt>
                <c:pt idx="16">
                  <c:v>Ejecutivo EXTRUSIONES</c:v>
                </c:pt>
              </c:strCache>
            </c:strRef>
          </c:cat>
          <c:val>
            <c:numRef>
              <c:f>Estadísticos!$U$3:$U$19</c:f>
              <c:numCache>
                <c:formatCode>0.0%</c:formatCode>
                <c:ptCount val="17"/>
                <c:pt idx="0">
                  <c:v>0.9467005946534951</c:v>
                </c:pt>
                <c:pt idx="1">
                  <c:v>1</c:v>
                </c:pt>
                <c:pt idx="3">
                  <c:v>0.93043368778497126</c:v>
                </c:pt>
                <c:pt idx="4">
                  <c:v>1</c:v>
                </c:pt>
                <c:pt idx="6">
                  <c:v>0.9450291145546148</c:v>
                </c:pt>
                <c:pt idx="7">
                  <c:v>0.99525841631104794</c:v>
                </c:pt>
                <c:pt idx="9">
                  <c:v>0.96314961689732581</c:v>
                </c:pt>
                <c:pt idx="10">
                  <c:v>1</c:v>
                </c:pt>
                <c:pt idx="12">
                  <c:v>0.90375317883751793</c:v>
                </c:pt>
                <c:pt idx="13">
                  <c:v>0.82666456106328123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44-46C6-B1BB-B23113F5F4C3}"/>
            </c:ext>
          </c:extLst>
        </c:ser>
        <c:ser>
          <c:idx val="1"/>
          <c:order val="1"/>
          <c:tx>
            <c:strRef>
              <c:f>Estadísticos!$V$2</c:f>
              <c:strCache>
                <c:ptCount val="1"/>
                <c:pt idx="0">
                  <c:v>Variable</c:v>
                </c:pt>
              </c:strCache>
            </c:strRef>
          </c:tx>
          <c:spPr>
            <a:solidFill>
              <a:srgbClr val="00A18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Estadísticos!$T$3:$T$19</c:f>
              <c:strCache>
                <c:ptCount val="17"/>
                <c:pt idx="0">
                  <c:v>Operativo</c:v>
                </c:pt>
                <c:pt idx="1">
                  <c:v>Operativo EXTRUSIONES</c:v>
                </c:pt>
                <c:pt idx="3">
                  <c:v>Soporte</c:v>
                </c:pt>
                <c:pt idx="4">
                  <c:v>Soporte EXTRUSIONES</c:v>
                </c:pt>
                <c:pt idx="6">
                  <c:v>Táctico</c:v>
                </c:pt>
                <c:pt idx="7">
                  <c:v>Táctico EXTRUSIONES</c:v>
                </c:pt>
                <c:pt idx="9">
                  <c:v>Gerencia Media</c:v>
                </c:pt>
                <c:pt idx="10">
                  <c:v>Gerencia Media EXTRUSIONES</c:v>
                </c:pt>
                <c:pt idx="12">
                  <c:v>Gerencia Alta</c:v>
                </c:pt>
                <c:pt idx="13">
                  <c:v>Gerencia Alta EXTRUSIONES</c:v>
                </c:pt>
                <c:pt idx="15">
                  <c:v>Ejecutivo</c:v>
                </c:pt>
                <c:pt idx="16">
                  <c:v>Ejecutivo EXTRUSIONES</c:v>
                </c:pt>
              </c:strCache>
            </c:strRef>
          </c:cat>
          <c:val>
            <c:numRef>
              <c:f>Estadísticos!$V$3:$V$19</c:f>
              <c:numCache>
                <c:formatCode>0.0%</c:formatCode>
                <c:ptCount val="17"/>
                <c:pt idx="0">
                  <c:v>6.8590726599535587E-3</c:v>
                </c:pt>
                <c:pt idx="1">
                  <c:v>0</c:v>
                </c:pt>
                <c:pt idx="3">
                  <c:v>1.7329458161025896E-2</c:v>
                </c:pt>
                <c:pt idx="4">
                  <c:v>0</c:v>
                </c:pt>
                <c:pt idx="6">
                  <c:v>2.664343499801607E-2</c:v>
                </c:pt>
                <c:pt idx="7">
                  <c:v>4.7415836889521086E-3</c:v>
                </c:pt>
                <c:pt idx="9">
                  <c:v>2.2076466983330122E-2</c:v>
                </c:pt>
                <c:pt idx="10">
                  <c:v>0</c:v>
                </c:pt>
                <c:pt idx="12">
                  <c:v>7.2262533304443169E-2</c:v>
                </c:pt>
                <c:pt idx="13">
                  <c:v>0.16460530126974932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44-46C6-B1BB-B23113F5F4C3}"/>
            </c:ext>
          </c:extLst>
        </c:ser>
        <c:ser>
          <c:idx val="2"/>
          <c:order val="2"/>
          <c:tx>
            <c:strRef>
              <c:f>Estadísticos!$W$2</c:f>
              <c:strCache>
                <c:ptCount val="1"/>
                <c:pt idx="0">
                  <c:v>Beneficios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Estadísticos!$T$3:$T$19</c:f>
              <c:strCache>
                <c:ptCount val="17"/>
                <c:pt idx="0">
                  <c:v>Operativo</c:v>
                </c:pt>
                <c:pt idx="1">
                  <c:v>Operativo EXTRUSIONES</c:v>
                </c:pt>
                <c:pt idx="3">
                  <c:v>Soporte</c:v>
                </c:pt>
                <c:pt idx="4">
                  <c:v>Soporte EXTRUSIONES</c:v>
                </c:pt>
                <c:pt idx="6">
                  <c:v>Táctico</c:v>
                </c:pt>
                <c:pt idx="7">
                  <c:v>Táctico EXTRUSIONES</c:v>
                </c:pt>
                <c:pt idx="9">
                  <c:v>Gerencia Media</c:v>
                </c:pt>
                <c:pt idx="10">
                  <c:v>Gerencia Media EXTRUSIONES</c:v>
                </c:pt>
                <c:pt idx="12">
                  <c:v>Gerencia Alta</c:v>
                </c:pt>
                <c:pt idx="13">
                  <c:v>Gerencia Alta EXTRUSIONES</c:v>
                </c:pt>
                <c:pt idx="15">
                  <c:v>Ejecutivo</c:v>
                </c:pt>
                <c:pt idx="16">
                  <c:v>Ejecutivo EXTRUSIONES</c:v>
                </c:pt>
              </c:strCache>
            </c:strRef>
          </c:cat>
          <c:val>
            <c:numRef>
              <c:f>Estadísticos!$W$3:$W$19</c:f>
              <c:numCache>
                <c:formatCode>0.0%</c:formatCode>
                <c:ptCount val="17"/>
                <c:pt idx="0">
                  <c:v>4.6440332686551351E-2</c:v>
                </c:pt>
                <c:pt idx="1">
                  <c:v>0</c:v>
                </c:pt>
                <c:pt idx="3">
                  <c:v>5.2236854054002808E-2</c:v>
                </c:pt>
                <c:pt idx="4">
                  <c:v>0</c:v>
                </c:pt>
                <c:pt idx="6">
                  <c:v>2.8327450447369121E-2</c:v>
                </c:pt>
                <c:pt idx="7">
                  <c:v>0</c:v>
                </c:pt>
                <c:pt idx="9">
                  <c:v>1.4773916119344073E-2</c:v>
                </c:pt>
                <c:pt idx="10">
                  <c:v>0</c:v>
                </c:pt>
                <c:pt idx="12">
                  <c:v>2.3984287858038845E-2</c:v>
                </c:pt>
                <c:pt idx="13">
                  <c:v>8.7301376669694387E-3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44-46C6-B1BB-B23113F5F4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1540618143"/>
        <c:axId val="1540623551"/>
      </c:barChart>
      <c:catAx>
        <c:axId val="1540618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1540623551"/>
        <c:crosses val="autoZero"/>
        <c:auto val="1"/>
        <c:lblAlgn val="ctr"/>
        <c:lblOffset val="100"/>
        <c:noMultiLvlLbl val="0"/>
      </c:catAx>
      <c:valAx>
        <c:axId val="1540623551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540618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Estadísticos!$U$2</c:f>
              <c:strCache>
                <c:ptCount val="1"/>
                <c:pt idx="0">
                  <c:v>Fija</c:v>
                </c:pt>
              </c:strCache>
            </c:strRef>
          </c:tx>
          <c:spPr>
            <a:solidFill>
              <a:srgbClr val="00465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Estadísticos!$T$68:$T$75</c:f>
              <c:strCache>
                <c:ptCount val="8"/>
                <c:pt idx="0">
                  <c:v>Táctico</c:v>
                </c:pt>
                <c:pt idx="1">
                  <c:v>Táctico EXTRUSIONES</c:v>
                </c:pt>
                <c:pt idx="3">
                  <c:v>Gerencia Media</c:v>
                </c:pt>
                <c:pt idx="4">
                  <c:v>Gerencia Media EXTRUSIONES</c:v>
                </c:pt>
                <c:pt idx="6">
                  <c:v>Gerencia Alta</c:v>
                </c:pt>
                <c:pt idx="7">
                  <c:v>Gerencia Alta EXTRUSIONES</c:v>
                </c:pt>
              </c:strCache>
            </c:strRef>
          </c:cat>
          <c:val>
            <c:numRef>
              <c:f>Estadísticos!$U$68:$U$75</c:f>
              <c:numCache>
                <c:formatCode>0.0%</c:formatCode>
                <c:ptCount val="8"/>
                <c:pt idx="0">
                  <c:v>0.88427511245972101</c:v>
                </c:pt>
                <c:pt idx="1">
                  <c:v>0.58381040005452189</c:v>
                </c:pt>
                <c:pt idx="3">
                  <c:v>0.81551023020307822</c:v>
                </c:pt>
                <c:pt idx="4">
                  <c:v>0.72527327034281897</c:v>
                </c:pt>
                <c:pt idx="6">
                  <c:v>0.79026953196700822</c:v>
                </c:pt>
                <c:pt idx="7">
                  <c:v>0.78982226883876461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A2-4697-A60F-1F1BBADE9CE2}"/>
            </c:ext>
          </c:extLst>
        </c:ser>
        <c:ser>
          <c:idx val="1"/>
          <c:order val="1"/>
          <c:tx>
            <c:strRef>
              <c:f>Estadísticos!$V$2</c:f>
              <c:strCache>
                <c:ptCount val="1"/>
                <c:pt idx="0">
                  <c:v>Variable</c:v>
                </c:pt>
              </c:strCache>
            </c:strRef>
          </c:tx>
          <c:spPr>
            <a:solidFill>
              <a:srgbClr val="00A18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Estadísticos!$T$68:$T$75</c:f>
              <c:strCache>
                <c:ptCount val="8"/>
                <c:pt idx="0">
                  <c:v>Táctico</c:v>
                </c:pt>
                <c:pt idx="1">
                  <c:v>Táctico EXTRUSIONES</c:v>
                </c:pt>
                <c:pt idx="3">
                  <c:v>Gerencia Media</c:v>
                </c:pt>
                <c:pt idx="4">
                  <c:v>Gerencia Media EXTRUSIONES</c:v>
                </c:pt>
                <c:pt idx="6">
                  <c:v>Gerencia Alta</c:v>
                </c:pt>
                <c:pt idx="7">
                  <c:v>Gerencia Alta EXTRUSIONES</c:v>
                </c:pt>
              </c:strCache>
            </c:strRef>
          </c:cat>
          <c:val>
            <c:numRef>
              <c:f>Estadísticos!$V$68:$V$75</c:f>
              <c:numCache>
                <c:formatCode>0.0%</c:formatCode>
                <c:ptCount val="8"/>
                <c:pt idx="0">
                  <c:v>0.10855266846170054</c:v>
                </c:pt>
                <c:pt idx="1">
                  <c:v>0.41618959994547811</c:v>
                </c:pt>
                <c:pt idx="3">
                  <c:v>0.15528962458015544</c:v>
                </c:pt>
                <c:pt idx="4">
                  <c:v>0.27472672965718103</c:v>
                </c:pt>
                <c:pt idx="6">
                  <c:v>0.20973046803299178</c:v>
                </c:pt>
                <c:pt idx="7">
                  <c:v>0.19768769418198637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A2-4697-A60F-1F1BBADE9CE2}"/>
            </c:ext>
          </c:extLst>
        </c:ser>
        <c:ser>
          <c:idx val="2"/>
          <c:order val="2"/>
          <c:tx>
            <c:strRef>
              <c:f>Estadísticos!$W$2</c:f>
              <c:strCache>
                <c:ptCount val="1"/>
                <c:pt idx="0">
                  <c:v>Beneficios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Estadísticos!$T$68:$T$75</c:f>
              <c:strCache>
                <c:ptCount val="8"/>
                <c:pt idx="0">
                  <c:v>Táctico</c:v>
                </c:pt>
                <c:pt idx="1">
                  <c:v>Táctico EXTRUSIONES</c:v>
                </c:pt>
                <c:pt idx="3">
                  <c:v>Gerencia Media</c:v>
                </c:pt>
                <c:pt idx="4">
                  <c:v>Gerencia Media EXTRUSIONES</c:v>
                </c:pt>
                <c:pt idx="6">
                  <c:v>Gerencia Alta</c:v>
                </c:pt>
                <c:pt idx="7">
                  <c:v>Gerencia Alta EXTRUSIONES</c:v>
                </c:pt>
              </c:strCache>
            </c:strRef>
          </c:cat>
          <c:val>
            <c:numRef>
              <c:f>Estadísticos!$W$68:$W$75</c:f>
              <c:numCache>
                <c:formatCode>0.0%</c:formatCode>
                <c:ptCount val="8"/>
                <c:pt idx="0">
                  <c:v>7.1722190785785027E-3</c:v>
                </c:pt>
                <c:pt idx="1">
                  <c:v>0</c:v>
                </c:pt>
                <c:pt idx="3">
                  <c:v>2.9200145216766341E-2</c:v>
                </c:pt>
                <c:pt idx="4">
                  <c:v>0</c:v>
                </c:pt>
                <c:pt idx="6">
                  <c:v>0</c:v>
                </c:pt>
                <c:pt idx="7">
                  <c:v>1.2490036979249072E-2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A2-4697-A60F-1F1BBADE9CE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1540618143"/>
        <c:axId val="1540623551"/>
      </c:barChart>
      <c:catAx>
        <c:axId val="1540618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1540623551"/>
        <c:crosses val="autoZero"/>
        <c:auto val="1"/>
        <c:lblAlgn val="ctr"/>
        <c:lblOffset val="100"/>
        <c:noMultiLvlLbl val="0"/>
      </c:catAx>
      <c:valAx>
        <c:axId val="1540623551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540618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72420634920635"/>
          <c:y val="4.8579738562091503E-2"/>
          <c:w val="0.82542539682539673"/>
          <c:h val="0.8458774509803921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Datos!$AO$5</c:f>
              <c:strCache>
                <c:ptCount val="1"/>
                <c:pt idx="0">
                  <c:v>CT Ajustado Md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Datos!$P$6:$P$144</c:f>
              <c:numCache>
                <c:formatCode>General</c:formatCode>
                <c:ptCount val="139"/>
                <c:pt idx="0">
                  <c:v>94</c:v>
                </c:pt>
                <c:pt idx="1">
                  <c:v>138</c:v>
                </c:pt>
                <c:pt idx="2">
                  <c:v>142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193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200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204</c:v>
                </c:pt>
                <c:pt idx="25">
                  <c:v>208</c:v>
                </c:pt>
                <c:pt idx="26">
                  <c:v>209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213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227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231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246</c:v>
                </c:pt>
                <c:pt idx="51">
                  <c:v>246</c:v>
                </c:pt>
                <c:pt idx="52">
                  <c:v>248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262</c:v>
                </c:pt>
                <c:pt idx="57">
                  <c:v>268</c:v>
                </c:pt>
                <c:pt idx="58">
                  <c:v>268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273</c:v>
                </c:pt>
                <c:pt idx="69">
                  <c:v>288</c:v>
                </c:pt>
                <c:pt idx="70">
                  <c:v>300</c:v>
                </c:pt>
                <c:pt idx="71">
                  <c:v>301</c:v>
                </c:pt>
                <c:pt idx="72">
                  <c:v>304</c:v>
                </c:pt>
                <c:pt idx="73">
                  <c:v>304</c:v>
                </c:pt>
                <c:pt idx="74">
                  <c:v>339</c:v>
                </c:pt>
                <c:pt idx="75">
                  <c:v>351</c:v>
                </c:pt>
                <c:pt idx="76">
                  <c:v>357</c:v>
                </c:pt>
                <c:pt idx="77">
                  <c:v>362</c:v>
                </c:pt>
                <c:pt idx="78">
                  <c:v>370</c:v>
                </c:pt>
                <c:pt idx="79">
                  <c:v>370</c:v>
                </c:pt>
                <c:pt idx="80">
                  <c:v>376</c:v>
                </c:pt>
                <c:pt idx="81">
                  <c:v>376</c:v>
                </c:pt>
                <c:pt idx="82">
                  <c:v>381</c:v>
                </c:pt>
                <c:pt idx="83">
                  <c:v>384</c:v>
                </c:pt>
                <c:pt idx="84">
                  <c:v>384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396</c:v>
                </c:pt>
                <c:pt idx="92">
                  <c:v>399</c:v>
                </c:pt>
                <c:pt idx="93">
                  <c:v>404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408</c:v>
                </c:pt>
                <c:pt idx="102">
                  <c:v>409</c:v>
                </c:pt>
                <c:pt idx="103">
                  <c:v>410</c:v>
                </c:pt>
                <c:pt idx="104">
                  <c:v>410</c:v>
                </c:pt>
                <c:pt idx="105">
                  <c:v>420</c:v>
                </c:pt>
                <c:pt idx="106">
                  <c:v>420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442</c:v>
                </c:pt>
                <c:pt idx="112">
                  <c:v>452</c:v>
                </c:pt>
                <c:pt idx="113">
                  <c:v>452</c:v>
                </c:pt>
                <c:pt idx="114">
                  <c:v>452</c:v>
                </c:pt>
                <c:pt idx="115">
                  <c:v>457</c:v>
                </c:pt>
                <c:pt idx="116">
                  <c:v>468</c:v>
                </c:pt>
                <c:pt idx="117">
                  <c:v>474</c:v>
                </c:pt>
                <c:pt idx="118">
                  <c:v>478</c:v>
                </c:pt>
                <c:pt idx="119">
                  <c:v>527</c:v>
                </c:pt>
                <c:pt idx="120">
                  <c:v>536</c:v>
                </c:pt>
                <c:pt idx="121">
                  <c:v>540</c:v>
                </c:pt>
                <c:pt idx="122">
                  <c:v>556</c:v>
                </c:pt>
                <c:pt idx="123">
                  <c:v>559</c:v>
                </c:pt>
                <c:pt idx="124">
                  <c:v>559</c:v>
                </c:pt>
                <c:pt idx="125">
                  <c:v>559</c:v>
                </c:pt>
                <c:pt idx="126">
                  <c:v>599</c:v>
                </c:pt>
                <c:pt idx="127">
                  <c:v>610</c:v>
                </c:pt>
                <c:pt idx="128">
                  <c:v>619</c:v>
                </c:pt>
                <c:pt idx="129">
                  <c:v>625</c:v>
                </c:pt>
                <c:pt idx="130">
                  <c:v>632</c:v>
                </c:pt>
                <c:pt idx="131">
                  <c:v>633</c:v>
                </c:pt>
                <c:pt idx="132">
                  <c:v>652</c:v>
                </c:pt>
                <c:pt idx="133">
                  <c:v>655</c:v>
                </c:pt>
                <c:pt idx="134">
                  <c:v>666</c:v>
                </c:pt>
                <c:pt idx="135">
                  <c:v>666</c:v>
                </c:pt>
                <c:pt idx="136">
                  <c:v>805</c:v>
                </c:pt>
                <c:pt idx="137">
                  <c:v>1025</c:v>
                </c:pt>
                <c:pt idx="138">
                  <c:v>1048</c:v>
                </c:pt>
              </c:numCache>
            </c:numRef>
          </c:xVal>
          <c:yVal>
            <c:numRef>
              <c:f>Datos!$AO$6:$AO$144</c:f>
              <c:numCache>
                <c:formatCode>#,##0</c:formatCode>
                <c:ptCount val="139"/>
                <c:pt idx="0">
                  <c:v>1806547.4919228405</c:v>
                </c:pt>
                <c:pt idx="1">
                  <c:v>2275062.3333821492</c:v>
                </c:pt>
                <c:pt idx="2">
                  <c:v>2317654.5916966316</c:v>
                </c:pt>
                <c:pt idx="3">
                  <c:v>2594504.2707407689</c:v>
                </c:pt>
                <c:pt idx="4">
                  <c:v>2594504.2707407689</c:v>
                </c:pt>
                <c:pt idx="5">
                  <c:v>2594504.2707407689</c:v>
                </c:pt>
                <c:pt idx="6">
                  <c:v>2594504.2707407689</c:v>
                </c:pt>
                <c:pt idx="7">
                  <c:v>2594504.2707407689</c:v>
                </c:pt>
                <c:pt idx="8">
                  <c:v>2594504.2707407689</c:v>
                </c:pt>
                <c:pt idx="9">
                  <c:v>2594504.2707407689</c:v>
                </c:pt>
                <c:pt idx="10">
                  <c:v>2850057.8206276642</c:v>
                </c:pt>
                <c:pt idx="11">
                  <c:v>2850057.8206276642</c:v>
                </c:pt>
                <c:pt idx="12">
                  <c:v>2850057.8206276642</c:v>
                </c:pt>
                <c:pt idx="13">
                  <c:v>2860705.8852062849</c:v>
                </c:pt>
                <c:pt idx="14">
                  <c:v>2924594.2726780088</c:v>
                </c:pt>
                <c:pt idx="15">
                  <c:v>2924594.2726780088</c:v>
                </c:pt>
                <c:pt idx="16">
                  <c:v>2924594.2726780088</c:v>
                </c:pt>
                <c:pt idx="17">
                  <c:v>2924594.2726780088</c:v>
                </c:pt>
                <c:pt idx="18">
                  <c:v>2924594.2726780088</c:v>
                </c:pt>
                <c:pt idx="19">
                  <c:v>2924594.2726780088</c:v>
                </c:pt>
                <c:pt idx="20">
                  <c:v>2935242.3372566295</c:v>
                </c:pt>
                <c:pt idx="21">
                  <c:v>2977834.5955711119</c:v>
                </c:pt>
                <c:pt idx="22">
                  <c:v>2977834.5955711119</c:v>
                </c:pt>
                <c:pt idx="23">
                  <c:v>2977834.5955711119</c:v>
                </c:pt>
                <c:pt idx="24">
                  <c:v>2977834.5955711119</c:v>
                </c:pt>
                <c:pt idx="25">
                  <c:v>3020426.8538855948</c:v>
                </c:pt>
                <c:pt idx="26">
                  <c:v>3031074.9184642155</c:v>
                </c:pt>
                <c:pt idx="27">
                  <c:v>3052371.0476214564</c:v>
                </c:pt>
                <c:pt idx="28">
                  <c:v>3063019.1122000772</c:v>
                </c:pt>
                <c:pt idx="29">
                  <c:v>3063019.1122000772</c:v>
                </c:pt>
                <c:pt idx="30">
                  <c:v>3073667.1767786979</c:v>
                </c:pt>
                <c:pt idx="31">
                  <c:v>3116259.4350931793</c:v>
                </c:pt>
                <c:pt idx="32">
                  <c:v>3116259.4350931793</c:v>
                </c:pt>
                <c:pt idx="33">
                  <c:v>3116259.4350931793</c:v>
                </c:pt>
                <c:pt idx="34">
                  <c:v>3295038.8130892264</c:v>
                </c:pt>
                <c:pt idx="35">
                  <c:v>3295038.8130892264</c:v>
                </c:pt>
                <c:pt idx="36">
                  <c:v>3295038.8130892264</c:v>
                </c:pt>
                <c:pt idx="37">
                  <c:v>3295038.8130892264</c:v>
                </c:pt>
                <c:pt idx="38">
                  <c:v>3371658.5465161037</c:v>
                </c:pt>
                <c:pt idx="39">
                  <c:v>3473818.1910852734</c:v>
                </c:pt>
                <c:pt idx="40">
                  <c:v>3473818.1910852734</c:v>
                </c:pt>
                <c:pt idx="41">
                  <c:v>3473818.1910852734</c:v>
                </c:pt>
                <c:pt idx="42">
                  <c:v>3473818.1910852734</c:v>
                </c:pt>
                <c:pt idx="43">
                  <c:v>3473818.1910852734</c:v>
                </c:pt>
                <c:pt idx="44">
                  <c:v>3473818.1910852734</c:v>
                </c:pt>
                <c:pt idx="45">
                  <c:v>3473818.1910852734</c:v>
                </c:pt>
                <c:pt idx="46">
                  <c:v>3601517.7467967356</c:v>
                </c:pt>
                <c:pt idx="47">
                  <c:v>3601517.7467967356</c:v>
                </c:pt>
                <c:pt idx="48">
                  <c:v>3601517.7467967356</c:v>
                </c:pt>
                <c:pt idx="49">
                  <c:v>3601517.7467967356</c:v>
                </c:pt>
                <c:pt idx="50">
                  <c:v>3856916.8582196599</c:v>
                </c:pt>
                <c:pt idx="51">
                  <c:v>3856916.8582196599</c:v>
                </c:pt>
                <c:pt idx="52">
                  <c:v>3907996.6805042448</c:v>
                </c:pt>
                <c:pt idx="53">
                  <c:v>4265555.4364963388</c:v>
                </c:pt>
                <c:pt idx="54">
                  <c:v>4265555.4364963388</c:v>
                </c:pt>
                <c:pt idx="55">
                  <c:v>4265555.4364963388</c:v>
                </c:pt>
                <c:pt idx="56">
                  <c:v>4265555.4364963388</c:v>
                </c:pt>
                <c:pt idx="57">
                  <c:v>4418794.9033500934</c:v>
                </c:pt>
                <c:pt idx="58">
                  <c:v>4418794.9033500934</c:v>
                </c:pt>
                <c:pt idx="59">
                  <c:v>4546494.4590615556</c:v>
                </c:pt>
                <c:pt idx="60">
                  <c:v>4546494.4590615556</c:v>
                </c:pt>
                <c:pt idx="61">
                  <c:v>4546494.4590615556</c:v>
                </c:pt>
                <c:pt idx="62">
                  <c:v>4546494.4590615556</c:v>
                </c:pt>
                <c:pt idx="63">
                  <c:v>4546494.4590615556</c:v>
                </c:pt>
                <c:pt idx="64">
                  <c:v>4546494.4590615556</c:v>
                </c:pt>
                <c:pt idx="65">
                  <c:v>4546494.4590615556</c:v>
                </c:pt>
                <c:pt idx="66">
                  <c:v>4546494.4590615556</c:v>
                </c:pt>
                <c:pt idx="67">
                  <c:v>4546494.4590615556</c:v>
                </c:pt>
                <c:pt idx="68">
                  <c:v>4546494.4590615556</c:v>
                </c:pt>
                <c:pt idx="69">
                  <c:v>4929593.1261959421</c:v>
                </c:pt>
                <c:pt idx="70">
                  <c:v>5236072.0599034512</c:v>
                </c:pt>
                <c:pt idx="71">
                  <c:v>5261611.9710457437</c:v>
                </c:pt>
                <c:pt idx="72">
                  <c:v>5338231.704472621</c:v>
                </c:pt>
                <c:pt idx="73">
                  <c:v>5338231.704472621</c:v>
                </c:pt>
                <c:pt idx="74">
                  <c:v>6232128.5944528561</c:v>
                </c:pt>
                <c:pt idx="75">
                  <c:v>6538607.5281603653</c:v>
                </c:pt>
                <c:pt idx="76">
                  <c:v>6691846.9950141199</c:v>
                </c:pt>
                <c:pt idx="77">
                  <c:v>6819546.550725583</c:v>
                </c:pt>
                <c:pt idx="78">
                  <c:v>7023865.8398639224</c:v>
                </c:pt>
                <c:pt idx="79">
                  <c:v>7023865.8398639224</c:v>
                </c:pt>
                <c:pt idx="80">
                  <c:v>7177105.306717677</c:v>
                </c:pt>
                <c:pt idx="81">
                  <c:v>7177105.306717677</c:v>
                </c:pt>
                <c:pt idx="82">
                  <c:v>7304804.8624291383</c:v>
                </c:pt>
                <c:pt idx="83">
                  <c:v>7381424.5958560165</c:v>
                </c:pt>
                <c:pt idx="84">
                  <c:v>7381424.5958560165</c:v>
                </c:pt>
                <c:pt idx="85">
                  <c:v>7687903.5295635257</c:v>
                </c:pt>
                <c:pt idx="86">
                  <c:v>7687903.5295635257</c:v>
                </c:pt>
                <c:pt idx="87">
                  <c:v>7687903.5295635257</c:v>
                </c:pt>
                <c:pt idx="88">
                  <c:v>7687903.5295635257</c:v>
                </c:pt>
                <c:pt idx="89">
                  <c:v>7687903.5295635257</c:v>
                </c:pt>
                <c:pt idx="90">
                  <c:v>7687903.5295635257</c:v>
                </c:pt>
                <c:pt idx="91">
                  <c:v>7687903.5295635257</c:v>
                </c:pt>
                <c:pt idx="92">
                  <c:v>7764523.2629904021</c:v>
                </c:pt>
                <c:pt idx="93">
                  <c:v>7892222.8187018652</c:v>
                </c:pt>
                <c:pt idx="94">
                  <c:v>7994382.4632710349</c:v>
                </c:pt>
                <c:pt idx="95">
                  <c:v>7994382.4632710349</c:v>
                </c:pt>
                <c:pt idx="96">
                  <c:v>7994382.4632710349</c:v>
                </c:pt>
                <c:pt idx="97">
                  <c:v>7994382.4632710349</c:v>
                </c:pt>
                <c:pt idx="98">
                  <c:v>7994382.4632710349</c:v>
                </c:pt>
                <c:pt idx="99">
                  <c:v>7994382.4632710349</c:v>
                </c:pt>
                <c:pt idx="100">
                  <c:v>7994382.4632710349</c:v>
                </c:pt>
                <c:pt idx="101">
                  <c:v>7994382.4632710349</c:v>
                </c:pt>
                <c:pt idx="102">
                  <c:v>8019922.3744133264</c:v>
                </c:pt>
                <c:pt idx="103">
                  <c:v>8045462.2855556197</c:v>
                </c:pt>
                <c:pt idx="104">
                  <c:v>8045462.2855556197</c:v>
                </c:pt>
                <c:pt idx="105">
                  <c:v>8300861.3969785441</c:v>
                </c:pt>
                <c:pt idx="106">
                  <c:v>8300861.3969785441</c:v>
                </c:pt>
                <c:pt idx="107">
                  <c:v>8862739.4421089776</c:v>
                </c:pt>
                <c:pt idx="108">
                  <c:v>8862739.4421089776</c:v>
                </c:pt>
                <c:pt idx="109">
                  <c:v>8862739.4421089776</c:v>
                </c:pt>
                <c:pt idx="110">
                  <c:v>8862739.4421089776</c:v>
                </c:pt>
                <c:pt idx="111">
                  <c:v>8862739.4421089776</c:v>
                </c:pt>
                <c:pt idx="112">
                  <c:v>9118138.5535319019</c:v>
                </c:pt>
                <c:pt idx="113">
                  <c:v>9118138.5535319019</c:v>
                </c:pt>
                <c:pt idx="114">
                  <c:v>9118138.5535319019</c:v>
                </c:pt>
                <c:pt idx="115">
                  <c:v>9245838.1092433631</c:v>
                </c:pt>
                <c:pt idx="116">
                  <c:v>9526777.1318085808</c:v>
                </c:pt>
                <c:pt idx="117">
                  <c:v>9680016.5986623354</c:v>
                </c:pt>
                <c:pt idx="118">
                  <c:v>9782176.2432315052</c:v>
                </c:pt>
                <c:pt idx="119">
                  <c:v>11033631.889203835</c:v>
                </c:pt>
                <c:pt idx="120">
                  <c:v>11263491.089484466</c:v>
                </c:pt>
                <c:pt idx="121">
                  <c:v>11365650.734053636</c:v>
                </c:pt>
                <c:pt idx="122">
                  <c:v>11774289.312330315</c:v>
                </c:pt>
                <c:pt idx="123">
                  <c:v>11850909.045757193</c:v>
                </c:pt>
                <c:pt idx="124">
                  <c:v>11850909.045757193</c:v>
                </c:pt>
                <c:pt idx="125">
                  <c:v>11850909.045757193</c:v>
                </c:pt>
                <c:pt idx="126">
                  <c:v>12872505.49144889</c:v>
                </c:pt>
                <c:pt idx="127">
                  <c:v>13429791.250679716</c:v>
                </c:pt>
                <c:pt idx="128">
                  <c:v>13885752.326414026</c:v>
                </c:pt>
                <c:pt idx="129">
                  <c:v>14189726.376903567</c:v>
                </c:pt>
                <c:pt idx="130">
                  <c:v>14544362.769141365</c:v>
                </c:pt>
                <c:pt idx="131">
                  <c:v>14595025.110889625</c:v>
                </c:pt>
                <c:pt idx="132">
                  <c:v>15557609.604106504</c:v>
                </c:pt>
                <c:pt idx="133">
                  <c:v>15709596.629351273</c:v>
                </c:pt>
                <c:pt idx="134">
                  <c:v>16266882.388582103</c:v>
                </c:pt>
                <c:pt idx="135">
                  <c:v>16266882.388582103</c:v>
                </c:pt>
                <c:pt idx="136">
                  <c:v>23308947.891589805</c:v>
                </c:pt>
                <c:pt idx="137">
                  <c:v>34454663.076206319</c:v>
                </c:pt>
                <c:pt idx="138">
                  <c:v>35619896.936416224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B2-4DE8-A897-F3F8379F310C}"/>
            </c:ext>
          </c:extLst>
        </c:ser>
        <c:ser>
          <c:idx val="1"/>
          <c:order val="1"/>
          <c:tx>
            <c:strRef>
              <c:f>Datos!$AN$5</c:f>
              <c:strCache>
                <c:ptCount val="1"/>
                <c:pt idx="0">
                  <c:v>G+ V Ajustado Md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Datos!$P$6:$P$145</c:f>
              <c:numCache>
                <c:formatCode>General</c:formatCode>
                <c:ptCount val="139"/>
                <c:pt idx="0">
                  <c:v>94</c:v>
                </c:pt>
                <c:pt idx="1">
                  <c:v>138</c:v>
                </c:pt>
                <c:pt idx="2">
                  <c:v>142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193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200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204</c:v>
                </c:pt>
                <c:pt idx="25">
                  <c:v>208</c:v>
                </c:pt>
                <c:pt idx="26">
                  <c:v>209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213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227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231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246</c:v>
                </c:pt>
                <c:pt idx="51">
                  <c:v>246</c:v>
                </c:pt>
                <c:pt idx="52">
                  <c:v>248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262</c:v>
                </c:pt>
                <c:pt idx="57">
                  <c:v>268</c:v>
                </c:pt>
                <c:pt idx="58">
                  <c:v>268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273</c:v>
                </c:pt>
                <c:pt idx="69">
                  <c:v>288</c:v>
                </c:pt>
                <c:pt idx="70">
                  <c:v>300</c:v>
                </c:pt>
                <c:pt idx="71">
                  <c:v>301</c:v>
                </c:pt>
                <c:pt idx="72">
                  <c:v>304</c:v>
                </c:pt>
                <c:pt idx="73">
                  <c:v>304</c:v>
                </c:pt>
                <c:pt idx="74">
                  <c:v>339</c:v>
                </c:pt>
                <c:pt idx="75">
                  <c:v>351</c:v>
                </c:pt>
                <c:pt idx="76">
                  <c:v>357</c:v>
                </c:pt>
                <c:pt idx="77">
                  <c:v>362</c:v>
                </c:pt>
                <c:pt idx="78">
                  <c:v>370</c:v>
                </c:pt>
                <c:pt idx="79">
                  <c:v>370</c:v>
                </c:pt>
                <c:pt idx="80">
                  <c:v>376</c:v>
                </c:pt>
                <c:pt idx="81">
                  <c:v>376</c:v>
                </c:pt>
                <c:pt idx="82">
                  <c:v>381</c:v>
                </c:pt>
                <c:pt idx="83">
                  <c:v>384</c:v>
                </c:pt>
                <c:pt idx="84">
                  <c:v>384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396</c:v>
                </c:pt>
                <c:pt idx="92">
                  <c:v>399</c:v>
                </c:pt>
                <c:pt idx="93">
                  <c:v>404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408</c:v>
                </c:pt>
                <c:pt idx="102">
                  <c:v>409</c:v>
                </c:pt>
                <c:pt idx="103">
                  <c:v>410</c:v>
                </c:pt>
                <c:pt idx="104">
                  <c:v>410</c:v>
                </c:pt>
                <c:pt idx="105">
                  <c:v>420</c:v>
                </c:pt>
                <c:pt idx="106">
                  <c:v>420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442</c:v>
                </c:pt>
                <c:pt idx="112">
                  <c:v>452</c:v>
                </c:pt>
                <c:pt idx="113">
                  <c:v>452</c:v>
                </c:pt>
                <c:pt idx="114">
                  <c:v>452</c:v>
                </c:pt>
                <c:pt idx="115">
                  <c:v>457</c:v>
                </c:pt>
                <c:pt idx="116">
                  <c:v>468</c:v>
                </c:pt>
                <c:pt idx="117">
                  <c:v>474</c:v>
                </c:pt>
                <c:pt idx="118">
                  <c:v>478</c:v>
                </c:pt>
                <c:pt idx="119">
                  <c:v>527</c:v>
                </c:pt>
                <c:pt idx="120">
                  <c:v>536</c:v>
                </c:pt>
                <c:pt idx="121">
                  <c:v>540</c:v>
                </c:pt>
                <c:pt idx="122">
                  <c:v>556</c:v>
                </c:pt>
                <c:pt idx="123">
                  <c:v>559</c:v>
                </c:pt>
                <c:pt idx="124">
                  <c:v>559</c:v>
                </c:pt>
                <c:pt idx="125">
                  <c:v>559</c:v>
                </c:pt>
                <c:pt idx="126">
                  <c:v>599</c:v>
                </c:pt>
                <c:pt idx="127">
                  <c:v>610</c:v>
                </c:pt>
                <c:pt idx="128">
                  <c:v>619</c:v>
                </c:pt>
                <c:pt idx="129">
                  <c:v>625</c:v>
                </c:pt>
                <c:pt idx="130">
                  <c:v>632</c:v>
                </c:pt>
                <c:pt idx="131">
                  <c:v>633</c:v>
                </c:pt>
                <c:pt idx="132">
                  <c:v>652</c:v>
                </c:pt>
                <c:pt idx="133">
                  <c:v>655</c:v>
                </c:pt>
                <c:pt idx="134">
                  <c:v>666</c:v>
                </c:pt>
                <c:pt idx="135">
                  <c:v>666</c:v>
                </c:pt>
                <c:pt idx="136">
                  <c:v>805</c:v>
                </c:pt>
                <c:pt idx="137">
                  <c:v>1025</c:v>
                </c:pt>
                <c:pt idx="138">
                  <c:v>1048</c:v>
                </c:pt>
              </c:numCache>
            </c:numRef>
          </c:xVal>
          <c:yVal>
            <c:numRef>
              <c:f>Datos!$AN$6:$AN$144</c:f>
              <c:numCache>
                <c:formatCode>#,##0</c:formatCode>
                <c:ptCount val="139"/>
                <c:pt idx="0">
                  <c:v>1756729.0732759084</c:v>
                </c:pt>
                <c:pt idx="1">
                  <c:v>2173844.094279605</c:v>
                </c:pt>
                <c:pt idx="2">
                  <c:v>2211763.6416435773</c:v>
                </c:pt>
                <c:pt idx="3">
                  <c:v>2458240.6995093981</c:v>
                </c:pt>
                <c:pt idx="4">
                  <c:v>2458240.6995093981</c:v>
                </c:pt>
                <c:pt idx="5">
                  <c:v>2458240.6995093981</c:v>
                </c:pt>
                <c:pt idx="6">
                  <c:v>2458240.6995093981</c:v>
                </c:pt>
                <c:pt idx="7">
                  <c:v>2458240.6995093981</c:v>
                </c:pt>
                <c:pt idx="8">
                  <c:v>2458240.6995093981</c:v>
                </c:pt>
                <c:pt idx="9">
                  <c:v>2458240.6995093981</c:v>
                </c:pt>
                <c:pt idx="10">
                  <c:v>2685757.9836932328</c:v>
                </c:pt>
                <c:pt idx="11">
                  <c:v>2685757.9836932328</c:v>
                </c:pt>
                <c:pt idx="12">
                  <c:v>2685757.9836932328</c:v>
                </c:pt>
                <c:pt idx="13">
                  <c:v>2695237.8705342254</c:v>
                </c:pt>
                <c:pt idx="14">
                  <c:v>2752117.1915801838</c:v>
                </c:pt>
                <c:pt idx="15">
                  <c:v>2752117.1915801838</c:v>
                </c:pt>
                <c:pt idx="16">
                  <c:v>2752117.1915801838</c:v>
                </c:pt>
                <c:pt idx="17">
                  <c:v>2752117.1915801838</c:v>
                </c:pt>
                <c:pt idx="18">
                  <c:v>2752117.1915801838</c:v>
                </c:pt>
                <c:pt idx="19">
                  <c:v>2752117.1915801838</c:v>
                </c:pt>
                <c:pt idx="20">
                  <c:v>2761597.0784211773</c:v>
                </c:pt>
                <c:pt idx="21">
                  <c:v>2799516.6257851496</c:v>
                </c:pt>
                <c:pt idx="22">
                  <c:v>2799516.6257851496</c:v>
                </c:pt>
                <c:pt idx="23">
                  <c:v>2799516.6257851496</c:v>
                </c:pt>
                <c:pt idx="24">
                  <c:v>2799516.6257851496</c:v>
                </c:pt>
                <c:pt idx="25">
                  <c:v>2837436.1731491219</c:v>
                </c:pt>
                <c:pt idx="26">
                  <c:v>2846916.0599901155</c:v>
                </c:pt>
                <c:pt idx="27">
                  <c:v>2865875.8336721016</c:v>
                </c:pt>
                <c:pt idx="28">
                  <c:v>2875355.7205130942</c:v>
                </c:pt>
                <c:pt idx="29">
                  <c:v>2875355.7205130942</c:v>
                </c:pt>
                <c:pt idx="30">
                  <c:v>2884835.6073540878</c:v>
                </c:pt>
                <c:pt idx="31">
                  <c:v>2922755.154718061</c:v>
                </c:pt>
                <c:pt idx="32">
                  <c:v>2922755.154718061</c:v>
                </c:pt>
                <c:pt idx="33">
                  <c:v>2922755.154718061</c:v>
                </c:pt>
                <c:pt idx="34">
                  <c:v>3096662.6447221972</c:v>
                </c:pt>
                <c:pt idx="35">
                  <c:v>3096662.6447221972</c:v>
                </c:pt>
                <c:pt idx="36">
                  <c:v>3096662.6447221972</c:v>
                </c:pt>
                <c:pt idx="37">
                  <c:v>3096662.6447221972</c:v>
                </c:pt>
                <c:pt idx="38">
                  <c:v>3171194.4261525404</c:v>
                </c:pt>
                <c:pt idx="39">
                  <c:v>3270570.1347263325</c:v>
                </c:pt>
                <c:pt idx="40">
                  <c:v>3270570.1347263325</c:v>
                </c:pt>
                <c:pt idx="41">
                  <c:v>3270570.1347263325</c:v>
                </c:pt>
                <c:pt idx="42">
                  <c:v>3270570.1347263325</c:v>
                </c:pt>
                <c:pt idx="43">
                  <c:v>3270570.1347263325</c:v>
                </c:pt>
                <c:pt idx="44">
                  <c:v>3270570.1347263325</c:v>
                </c:pt>
                <c:pt idx="45">
                  <c:v>3270570.1347263325</c:v>
                </c:pt>
                <c:pt idx="46">
                  <c:v>3394789.7704435727</c:v>
                </c:pt>
                <c:pt idx="47">
                  <c:v>3394789.7704435727</c:v>
                </c:pt>
                <c:pt idx="48">
                  <c:v>3394789.7704435727</c:v>
                </c:pt>
                <c:pt idx="49">
                  <c:v>3394789.7704435727</c:v>
                </c:pt>
                <c:pt idx="50">
                  <c:v>3643229.0418780521</c:v>
                </c:pt>
                <c:pt idx="51">
                  <c:v>3643229.0418780521</c:v>
                </c:pt>
                <c:pt idx="52">
                  <c:v>3692916.8961649481</c:v>
                </c:pt>
                <c:pt idx="53">
                  <c:v>4040731.8761732206</c:v>
                </c:pt>
                <c:pt idx="54">
                  <c:v>4040731.8761732206</c:v>
                </c:pt>
                <c:pt idx="55">
                  <c:v>4040731.8761732206</c:v>
                </c:pt>
                <c:pt idx="56">
                  <c:v>4040731.8761732206</c:v>
                </c:pt>
                <c:pt idx="57">
                  <c:v>4189795.4390339078</c:v>
                </c:pt>
                <c:pt idx="58">
                  <c:v>4189795.4390339078</c:v>
                </c:pt>
                <c:pt idx="59">
                  <c:v>4314015.074751148</c:v>
                </c:pt>
                <c:pt idx="60">
                  <c:v>4314015.074751148</c:v>
                </c:pt>
                <c:pt idx="61">
                  <c:v>4314015.074751148</c:v>
                </c:pt>
                <c:pt idx="62">
                  <c:v>4314015.074751148</c:v>
                </c:pt>
                <c:pt idx="63">
                  <c:v>4314015.074751148</c:v>
                </c:pt>
                <c:pt idx="64">
                  <c:v>4314015.074751148</c:v>
                </c:pt>
                <c:pt idx="65">
                  <c:v>4314015.074751148</c:v>
                </c:pt>
                <c:pt idx="66">
                  <c:v>4314015.074751148</c:v>
                </c:pt>
                <c:pt idx="67">
                  <c:v>4314015.074751148</c:v>
                </c:pt>
                <c:pt idx="68">
                  <c:v>4314015.074751148</c:v>
                </c:pt>
                <c:pt idx="69">
                  <c:v>4686673.9819028676</c:v>
                </c:pt>
                <c:pt idx="70">
                  <c:v>4984801.1076242439</c:v>
                </c:pt>
                <c:pt idx="71">
                  <c:v>5009645.034767692</c:v>
                </c:pt>
                <c:pt idx="72">
                  <c:v>5084176.8161980361</c:v>
                </c:pt>
                <c:pt idx="73">
                  <c:v>5084176.8161980361</c:v>
                </c:pt>
                <c:pt idx="74">
                  <c:v>5953714.2662187163</c:v>
                </c:pt>
                <c:pt idx="75">
                  <c:v>6251841.3919400908</c:v>
                </c:pt>
                <c:pt idx="76">
                  <c:v>6400904.954800779</c:v>
                </c:pt>
                <c:pt idx="77">
                  <c:v>6525124.5905180201</c:v>
                </c:pt>
                <c:pt idx="78">
                  <c:v>6723876.0076656025</c:v>
                </c:pt>
                <c:pt idx="79">
                  <c:v>6723876.0076656025</c:v>
                </c:pt>
                <c:pt idx="80">
                  <c:v>6872939.5705262907</c:v>
                </c:pt>
                <c:pt idx="81">
                  <c:v>6872939.5705262907</c:v>
                </c:pt>
                <c:pt idx="82">
                  <c:v>6997159.2062435318</c:v>
                </c:pt>
                <c:pt idx="83">
                  <c:v>7071690.9876738749</c:v>
                </c:pt>
                <c:pt idx="84">
                  <c:v>7071690.9876738749</c:v>
                </c:pt>
                <c:pt idx="85">
                  <c:v>7369818.1133952513</c:v>
                </c:pt>
                <c:pt idx="86">
                  <c:v>7369818.1133952513</c:v>
                </c:pt>
                <c:pt idx="87">
                  <c:v>7369818.1133952513</c:v>
                </c:pt>
                <c:pt idx="88">
                  <c:v>7369818.1133952513</c:v>
                </c:pt>
                <c:pt idx="89">
                  <c:v>7369818.1133952513</c:v>
                </c:pt>
                <c:pt idx="90">
                  <c:v>7369818.1133952513</c:v>
                </c:pt>
                <c:pt idx="91">
                  <c:v>7369818.1133952513</c:v>
                </c:pt>
                <c:pt idx="92">
                  <c:v>7444349.8948255945</c:v>
                </c:pt>
                <c:pt idx="93">
                  <c:v>7568569.5305428356</c:v>
                </c:pt>
                <c:pt idx="94">
                  <c:v>7667945.2391166259</c:v>
                </c:pt>
                <c:pt idx="95">
                  <c:v>7667945.2391166259</c:v>
                </c:pt>
                <c:pt idx="96">
                  <c:v>7667945.2391166259</c:v>
                </c:pt>
                <c:pt idx="97">
                  <c:v>7667945.2391166259</c:v>
                </c:pt>
                <c:pt idx="98">
                  <c:v>7667945.2391166259</c:v>
                </c:pt>
                <c:pt idx="99">
                  <c:v>7667945.2391166259</c:v>
                </c:pt>
                <c:pt idx="100">
                  <c:v>7667945.2391166259</c:v>
                </c:pt>
                <c:pt idx="101">
                  <c:v>7667945.2391166259</c:v>
                </c:pt>
                <c:pt idx="102">
                  <c:v>7692789.1662600748</c:v>
                </c:pt>
                <c:pt idx="103">
                  <c:v>7717633.0934035219</c:v>
                </c:pt>
                <c:pt idx="104">
                  <c:v>7717633.0934035219</c:v>
                </c:pt>
                <c:pt idx="105">
                  <c:v>7966072.3648380022</c:v>
                </c:pt>
                <c:pt idx="106">
                  <c:v>7966072.3648380022</c:v>
                </c:pt>
                <c:pt idx="107">
                  <c:v>8512638.761993859</c:v>
                </c:pt>
                <c:pt idx="108">
                  <c:v>8512638.761993859</c:v>
                </c:pt>
                <c:pt idx="109">
                  <c:v>8512638.761993859</c:v>
                </c:pt>
                <c:pt idx="110">
                  <c:v>8512638.761993859</c:v>
                </c:pt>
                <c:pt idx="111">
                  <c:v>8512638.761993859</c:v>
                </c:pt>
                <c:pt idx="112">
                  <c:v>8761078.0334283374</c:v>
                </c:pt>
                <c:pt idx="113">
                  <c:v>8761078.0334283374</c:v>
                </c:pt>
                <c:pt idx="114">
                  <c:v>8761078.0334283374</c:v>
                </c:pt>
                <c:pt idx="115">
                  <c:v>8885297.6691455785</c:v>
                </c:pt>
                <c:pt idx="116">
                  <c:v>9158580.8677235059</c:v>
                </c:pt>
                <c:pt idx="117">
                  <c:v>9307644.4305841941</c:v>
                </c:pt>
                <c:pt idx="118">
                  <c:v>9407020.1391579863</c:v>
                </c:pt>
                <c:pt idx="119">
                  <c:v>10624372.569186937</c:v>
                </c:pt>
                <c:pt idx="120">
                  <c:v>10847967.913477968</c:v>
                </c:pt>
                <c:pt idx="121">
                  <c:v>10947343.622051761</c:v>
                </c:pt>
                <c:pt idx="122">
                  <c:v>11344846.456346929</c:v>
                </c:pt>
                <c:pt idx="123">
                  <c:v>11419378.237777272</c:v>
                </c:pt>
                <c:pt idx="124">
                  <c:v>11419378.237777272</c:v>
                </c:pt>
                <c:pt idx="125">
                  <c:v>11419378.237777272</c:v>
                </c:pt>
                <c:pt idx="126">
                  <c:v>12413135.323515192</c:v>
                </c:pt>
                <c:pt idx="127">
                  <c:v>12957610.489877682</c:v>
                </c:pt>
                <c:pt idx="128">
                  <c:v>13403090.17144699</c:v>
                </c:pt>
                <c:pt idx="129">
                  <c:v>13700076.62582653</c:v>
                </c:pt>
                <c:pt idx="130">
                  <c:v>14046560.822602659</c:v>
                </c:pt>
                <c:pt idx="131">
                  <c:v>14096058.564999249</c:v>
                </c:pt>
                <c:pt idx="132">
                  <c:v>15036515.670534458</c:v>
                </c:pt>
                <c:pt idx="133">
                  <c:v>15185008.897724226</c:v>
                </c:pt>
                <c:pt idx="134">
                  <c:v>15729484.064086717</c:v>
                </c:pt>
                <c:pt idx="135">
                  <c:v>15729484.064086717</c:v>
                </c:pt>
                <c:pt idx="136">
                  <c:v>22609670.257212713</c:v>
                </c:pt>
                <c:pt idx="137">
                  <c:v>33499173.584462501</c:v>
                </c:pt>
                <c:pt idx="138">
                  <c:v>34637621.659584068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D-477C-8DB8-6AFA554C52BC}"/>
            </c:ext>
          </c:extLst>
        </c:ser>
        <c:ser>
          <c:idx val="2"/>
          <c:order val="2"/>
          <c:tx>
            <c:strRef>
              <c:f>Datos!$AM$5</c:f>
              <c:strCache>
                <c:ptCount val="1"/>
                <c:pt idx="0">
                  <c:v>G Ajustado Md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Datos!$P$6:$P$145</c:f>
              <c:numCache>
                <c:formatCode>General</c:formatCode>
                <c:ptCount val="139"/>
                <c:pt idx="0">
                  <c:v>94</c:v>
                </c:pt>
                <c:pt idx="1">
                  <c:v>138</c:v>
                </c:pt>
                <c:pt idx="2">
                  <c:v>142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193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200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204</c:v>
                </c:pt>
                <c:pt idx="25">
                  <c:v>208</c:v>
                </c:pt>
                <c:pt idx="26">
                  <c:v>209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213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227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231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246</c:v>
                </c:pt>
                <c:pt idx="51">
                  <c:v>246</c:v>
                </c:pt>
                <c:pt idx="52">
                  <c:v>248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262</c:v>
                </c:pt>
                <c:pt idx="57">
                  <c:v>268</c:v>
                </c:pt>
                <c:pt idx="58">
                  <c:v>268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273</c:v>
                </c:pt>
                <c:pt idx="69">
                  <c:v>288</c:v>
                </c:pt>
                <c:pt idx="70">
                  <c:v>300</c:v>
                </c:pt>
                <c:pt idx="71">
                  <c:v>301</c:v>
                </c:pt>
                <c:pt idx="72">
                  <c:v>304</c:v>
                </c:pt>
                <c:pt idx="73">
                  <c:v>304</c:v>
                </c:pt>
                <c:pt idx="74">
                  <c:v>339</c:v>
                </c:pt>
                <c:pt idx="75">
                  <c:v>351</c:v>
                </c:pt>
                <c:pt idx="76">
                  <c:v>357</c:v>
                </c:pt>
                <c:pt idx="77">
                  <c:v>362</c:v>
                </c:pt>
                <c:pt idx="78">
                  <c:v>370</c:v>
                </c:pt>
                <c:pt idx="79">
                  <c:v>370</c:v>
                </c:pt>
                <c:pt idx="80">
                  <c:v>376</c:v>
                </c:pt>
                <c:pt idx="81">
                  <c:v>376</c:v>
                </c:pt>
                <c:pt idx="82">
                  <c:v>381</c:v>
                </c:pt>
                <c:pt idx="83">
                  <c:v>384</c:v>
                </c:pt>
                <c:pt idx="84">
                  <c:v>384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396</c:v>
                </c:pt>
                <c:pt idx="92">
                  <c:v>399</c:v>
                </c:pt>
                <c:pt idx="93">
                  <c:v>404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408</c:v>
                </c:pt>
                <c:pt idx="102">
                  <c:v>409</c:v>
                </c:pt>
                <c:pt idx="103">
                  <c:v>410</c:v>
                </c:pt>
                <c:pt idx="104">
                  <c:v>410</c:v>
                </c:pt>
                <c:pt idx="105">
                  <c:v>420</c:v>
                </c:pt>
                <c:pt idx="106">
                  <c:v>420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442</c:v>
                </c:pt>
                <c:pt idx="112">
                  <c:v>452</c:v>
                </c:pt>
                <c:pt idx="113">
                  <c:v>452</c:v>
                </c:pt>
                <c:pt idx="114">
                  <c:v>452</c:v>
                </c:pt>
                <c:pt idx="115">
                  <c:v>457</c:v>
                </c:pt>
                <c:pt idx="116">
                  <c:v>468</c:v>
                </c:pt>
                <c:pt idx="117">
                  <c:v>474</c:v>
                </c:pt>
                <c:pt idx="118">
                  <c:v>478</c:v>
                </c:pt>
                <c:pt idx="119">
                  <c:v>527</c:v>
                </c:pt>
                <c:pt idx="120">
                  <c:v>536</c:v>
                </c:pt>
                <c:pt idx="121">
                  <c:v>540</c:v>
                </c:pt>
                <c:pt idx="122">
                  <c:v>556</c:v>
                </c:pt>
                <c:pt idx="123">
                  <c:v>559</c:v>
                </c:pt>
                <c:pt idx="124">
                  <c:v>559</c:v>
                </c:pt>
                <c:pt idx="125">
                  <c:v>559</c:v>
                </c:pt>
                <c:pt idx="126">
                  <c:v>599</c:v>
                </c:pt>
                <c:pt idx="127">
                  <c:v>610</c:v>
                </c:pt>
                <c:pt idx="128">
                  <c:v>619</c:v>
                </c:pt>
                <c:pt idx="129">
                  <c:v>625</c:v>
                </c:pt>
                <c:pt idx="130">
                  <c:v>632</c:v>
                </c:pt>
                <c:pt idx="131">
                  <c:v>633</c:v>
                </c:pt>
                <c:pt idx="132">
                  <c:v>652</c:v>
                </c:pt>
                <c:pt idx="133">
                  <c:v>655</c:v>
                </c:pt>
                <c:pt idx="134">
                  <c:v>666</c:v>
                </c:pt>
                <c:pt idx="135">
                  <c:v>666</c:v>
                </c:pt>
                <c:pt idx="136">
                  <c:v>805</c:v>
                </c:pt>
                <c:pt idx="137">
                  <c:v>1025</c:v>
                </c:pt>
                <c:pt idx="138">
                  <c:v>1048</c:v>
                </c:pt>
              </c:numCache>
            </c:numRef>
          </c:xVal>
          <c:yVal>
            <c:numRef>
              <c:f>Datos!$AM$6:$AM$144</c:f>
              <c:numCache>
                <c:formatCode>#,##0</c:formatCode>
                <c:ptCount val="139"/>
                <c:pt idx="0">
                  <c:v>1683344.6369270028</c:v>
                </c:pt>
                <c:pt idx="1">
                  <c:v>2120263.8205073015</c:v>
                </c:pt>
                <c:pt idx="2">
                  <c:v>2159983.7462873287</c:v>
                </c:pt>
                <c:pt idx="3">
                  <c:v>2418163.2638575053</c:v>
                </c:pt>
                <c:pt idx="4">
                  <c:v>2418163.2638575053</c:v>
                </c:pt>
                <c:pt idx="5">
                  <c:v>2418163.2638575053</c:v>
                </c:pt>
                <c:pt idx="6">
                  <c:v>2418163.2638575053</c:v>
                </c:pt>
                <c:pt idx="7">
                  <c:v>2418163.2638575053</c:v>
                </c:pt>
                <c:pt idx="8">
                  <c:v>2418163.2638575053</c:v>
                </c:pt>
                <c:pt idx="9">
                  <c:v>2418163.2638575053</c:v>
                </c:pt>
                <c:pt idx="10">
                  <c:v>2656482.8185376679</c:v>
                </c:pt>
                <c:pt idx="11">
                  <c:v>2656482.8185376679</c:v>
                </c:pt>
                <c:pt idx="12">
                  <c:v>2656482.8185376679</c:v>
                </c:pt>
                <c:pt idx="13">
                  <c:v>2666412.7999826744</c:v>
                </c:pt>
                <c:pt idx="14">
                  <c:v>2725992.6886527156</c:v>
                </c:pt>
                <c:pt idx="15">
                  <c:v>2725992.6886527156</c:v>
                </c:pt>
                <c:pt idx="16">
                  <c:v>2725992.6886527156</c:v>
                </c:pt>
                <c:pt idx="17">
                  <c:v>2725992.6886527156</c:v>
                </c:pt>
                <c:pt idx="18">
                  <c:v>2725992.6886527156</c:v>
                </c:pt>
                <c:pt idx="19">
                  <c:v>2725992.6886527156</c:v>
                </c:pt>
                <c:pt idx="20">
                  <c:v>2735922.6700977222</c:v>
                </c:pt>
                <c:pt idx="21">
                  <c:v>2775642.5958777494</c:v>
                </c:pt>
                <c:pt idx="22">
                  <c:v>2775642.5958777494</c:v>
                </c:pt>
                <c:pt idx="23">
                  <c:v>2775642.5958777494</c:v>
                </c:pt>
                <c:pt idx="24">
                  <c:v>2775642.5958777494</c:v>
                </c:pt>
                <c:pt idx="25">
                  <c:v>2815362.5216577766</c:v>
                </c:pt>
                <c:pt idx="26">
                  <c:v>2825292.5031027831</c:v>
                </c:pt>
                <c:pt idx="27">
                  <c:v>2845152.4659927967</c:v>
                </c:pt>
                <c:pt idx="28">
                  <c:v>2855082.4474378037</c:v>
                </c:pt>
                <c:pt idx="29">
                  <c:v>2855082.4474378037</c:v>
                </c:pt>
                <c:pt idx="30">
                  <c:v>2865012.4288828103</c:v>
                </c:pt>
                <c:pt idx="31">
                  <c:v>2904732.3546628365</c:v>
                </c:pt>
                <c:pt idx="32">
                  <c:v>2904732.3546628365</c:v>
                </c:pt>
                <c:pt idx="33">
                  <c:v>2904732.3546628365</c:v>
                </c:pt>
                <c:pt idx="34">
                  <c:v>3065295.3072835645</c:v>
                </c:pt>
                <c:pt idx="35">
                  <c:v>3065295.3072835645</c:v>
                </c:pt>
                <c:pt idx="36">
                  <c:v>3065295.3072835645</c:v>
                </c:pt>
                <c:pt idx="37">
                  <c:v>3065295.3072835645</c:v>
                </c:pt>
                <c:pt idx="38">
                  <c:v>3134108.0012638764</c:v>
                </c:pt>
                <c:pt idx="39">
                  <c:v>3225858.2599042933</c:v>
                </c:pt>
                <c:pt idx="40">
                  <c:v>3225858.2599042933</c:v>
                </c:pt>
                <c:pt idx="41">
                  <c:v>3225858.2599042933</c:v>
                </c:pt>
                <c:pt idx="42">
                  <c:v>3225858.2599042933</c:v>
                </c:pt>
                <c:pt idx="43">
                  <c:v>3225858.2599042933</c:v>
                </c:pt>
                <c:pt idx="44">
                  <c:v>3225858.2599042933</c:v>
                </c:pt>
                <c:pt idx="45">
                  <c:v>3225858.2599042933</c:v>
                </c:pt>
                <c:pt idx="46">
                  <c:v>3340546.0832048133</c:v>
                </c:pt>
                <c:pt idx="47">
                  <c:v>3340546.0832048133</c:v>
                </c:pt>
                <c:pt idx="48">
                  <c:v>3340546.0832048133</c:v>
                </c:pt>
                <c:pt idx="49">
                  <c:v>3340546.0832048133</c:v>
                </c:pt>
                <c:pt idx="50">
                  <c:v>3569921.7298058532</c:v>
                </c:pt>
                <c:pt idx="51">
                  <c:v>3569921.7298058532</c:v>
                </c:pt>
                <c:pt idx="52">
                  <c:v>3615796.8591260621</c:v>
                </c:pt>
                <c:pt idx="53">
                  <c:v>3936922.764367518</c:v>
                </c:pt>
                <c:pt idx="54">
                  <c:v>3936922.764367518</c:v>
                </c:pt>
                <c:pt idx="55">
                  <c:v>3936922.764367518</c:v>
                </c:pt>
                <c:pt idx="56">
                  <c:v>3936922.764367518</c:v>
                </c:pt>
                <c:pt idx="57">
                  <c:v>4074548.1523281429</c:v>
                </c:pt>
                <c:pt idx="58">
                  <c:v>4074548.1523281429</c:v>
                </c:pt>
                <c:pt idx="59">
                  <c:v>4189235.9756286629</c:v>
                </c:pt>
                <c:pt idx="60">
                  <c:v>4189235.9756286629</c:v>
                </c:pt>
                <c:pt idx="61">
                  <c:v>4189235.9756286629</c:v>
                </c:pt>
                <c:pt idx="62">
                  <c:v>4189235.9756286629</c:v>
                </c:pt>
                <c:pt idx="63">
                  <c:v>4189235.9756286629</c:v>
                </c:pt>
                <c:pt idx="64">
                  <c:v>4189235.9756286629</c:v>
                </c:pt>
                <c:pt idx="65">
                  <c:v>4189235.9756286629</c:v>
                </c:pt>
                <c:pt idx="66">
                  <c:v>4189235.9756286629</c:v>
                </c:pt>
                <c:pt idx="67">
                  <c:v>4189235.9756286629</c:v>
                </c:pt>
                <c:pt idx="68">
                  <c:v>4189235.9756286629</c:v>
                </c:pt>
                <c:pt idx="69">
                  <c:v>4533299.4455302237</c:v>
                </c:pt>
                <c:pt idx="70">
                  <c:v>4808550.2214514725</c:v>
                </c:pt>
                <c:pt idx="71">
                  <c:v>4831487.7861115765</c:v>
                </c:pt>
                <c:pt idx="72">
                  <c:v>4900300.4800918885</c:v>
                </c:pt>
                <c:pt idx="73">
                  <c:v>4900300.4800918885</c:v>
                </c:pt>
                <c:pt idx="74">
                  <c:v>5703115.24319553</c:v>
                </c:pt>
                <c:pt idx="75">
                  <c:v>5978366.0191167789</c:v>
                </c:pt>
                <c:pt idx="76">
                  <c:v>6115991.4070774028</c:v>
                </c:pt>
                <c:pt idx="77">
                  <c:v>6230679.2303779228</c:v>
                </c:pt>
                <c:pt idx="78">
                  <c:v>6414179.7476587556</c:v>
                </c:pt>
                <c:pt idx="79">
                  <c:v>6414179.7476587556</c:v>
                </c:pt>
                <c:pt idx="80">
                  <c:v>6551805.1356193796</c:v>
                </c:pt>
                <c:pt idx="81">
                  <c:v>6551805.1356193796</c:v>
                </c:pt>
                <c:pt idx="82">
                  <c:v>6666492.9589198995</c:v>
                </c:pt>
                <c:pt idx="83">
                  <c:v>6735305.6529002115</c:v>
                </c:pt>
                <c:pt idx="84">
                  <c:v>6735305.6529002115</c:v>
                </c:pt>
                <c:pt idx="85">
                  <c:v>7010556.4288214613</c:v>
                </c:pt>
                <c:pt idx="86">
                  <c:v>7010556.4288214613</c:v>
                </c:pt>
                <c:pt idx="87">
                  <c:v>7010556.4288214613</c:v>
                </c:pt>
                <c:pt idx="88">
                  <c:v>7010556.4288214613</c:v>
                </c:pt>
                <c:pt idx="89">
                  <c:v>7010556.4288214613</c:v>
                </c:pt>
                <c:pt idx="90">
                  <c:v>7010556.4288214613</c:v>
                </c:pt>
                <c:pt idx="91">
                  <c:v>7010556.4288214613</c:v>
                </c:pt>
                <c:pt idx="92">
                  <c:v>7079369.1228017733</c:v>
                </c:pt>
                <c:pt idx="93">
                  <c:v>7194056.9461022932</c:v>
                </c:pt>
                <c:pt idx="94">
                  <c:v>7285807.2047427092</c:v>
                </c:pt>
                <c:pt idx="95">
                  <c:v>7285807.2047427092</c:v>
                </c:pt>
                <c:pt idx="96">
                  <c:v>7285807.2047427092</c:v>
                </c:pt>
                <c:pt idx="97">
                  <c:v>7285807.2047427092</c:v>
                </c:pt>
                <c:pt idx="98">
                  <c:v>7285807.2047427092</c:v>
                </c:pt>
                <c:pt idx="99">
                  <c:v>7285807.2047427092</c:v>
                </c:pt>
                <c:pt idx="100">
                  <c:v>7285807.2047427092</c:v>
                </c:pt>
                <c:pt idx="101">
                  <c:v>7285807.2047427092</c:v>
                </c:pt>
                <c:pt idx="102">
                  <c:v>7308744.7694028132</c:v>
                </c:pt>
                <c:pt idx="103">
                  <c:v>7331682.3340629172</c:v>
                </c:pt>
                <c:pt idx="104">
                  <c:v>7331682.3340629172</c:v>
                </c:pt>
                <c:pt idx="105">
                  <c:v>7561057.9806639571</c:v>
                </c:pt>
                <c:pt idx="106">
                  <c:v>7561057.9806639571</c:v>
                </c:pt>
                <c:pt idx="107">
                  <c:v>8065684.4031862468</c:v>
                </c:pt>
                <c:pt idx="108">
                  <c:v>8065684.4031862468</c:v>
                </c:pt>
                <c:pt idx="109">
                  <c:v>8065684.4031862468</c:v>
                </c:pt>
                <c:pt idx="110">
                  <c:v>8065684.4031862468</c:v>
                </c:pt>
                <c:pt idx="111">
                  <c:v>8065684.4031862468</c:v>
                </c:pt>
                <c:pt idx="112">
                  <c:v>8295060.0497872867</c:v>
                </c:pt>
                <c:pt idx="113">
                  <c:v>8295060.0497872867</c:v>
                </c:pt>
                <c:pt idx="114">
                  <c:v>8295060.0497872867</c:v>
                </c:pt>
                <c:pt idx="115">
                  <c:v>8409747.8730878066</c:v>
                </c:pt>
                <c:pt idx="116">
                  <c:v>8662061.0843489524</c:v>
                </c:pt>
                <c:pt idx="117">
                  <c:v>8799686.4723095763</c:v>
                </c:pt>
                <c:pt idx="118">
                  <c:v>8891436.7309499923</c:v>
                </c:pt>
                <c:pt idx="119">
                  <c:v>10015377.39929509</c:v>
                </c:pt>
                <c:pt idx="120">
                  <c:v>10221815.481236028</c:v>
                </c:pt>
                <c:pt idx="121">
                  <c:v>10313565.739876444</c:v>
                </c:pt>
                <c:pt idx="122">
                  <c:v>10680566.774438107</c:v>
                </c:pt>
                <c:pt idx="123">
                  <c:v>10749379.468418419</c:v>
                </c:pt>
                <c:pt idx="124">
                  <c:v>10749379.468418419</c:v>
                </c:pt>
                <c:pt idx="125">
                  <c:v>10749379.468418419</c:v>
                </c:pt>
                <c:pt idx="126">
                  <c:v>11666882.054822579</c:v>
                </c:pt>
                <c:pt idx="127">
                  <c:v>12194191.444626361</c:v>
                </c:pt>
                <c:pt idx="128">
                  <c:v>12625626.399920363</c:v>
                </c:pt>
                <c:pt idx="129">
                  <c:v>12913249.703449696</c:v>
                </c:pt>
                <c:pt idx="130">
                  <c:v>13248810.224233922</c:v>
                </c:pt>
                <c:pt idx="131">
                  <c:v>13296747.44148881</c:v>
                </c:pt>
                <c:pt idx="132">
                  <c:v>14207554.569331702</c:v>
                </c:pt>
                <c:pt idx="133">
                  <c:v>14351366.22109637</c:v>
                </c:pt>
                <c:pt idx="134">
                  <c:v>14878675.610900149</c:v>
                </c:pt>
                <c:pt idx="135">
                  <c:v>14878675.610900149</c:v>
                </c:pt>
                <c:pt idx="136">
                  <c:v>21541948.809329733</c:v>
                </c:pt>
                <c:pt idx="137">
                  <c:v>32088136.605405338</c:v>
                </c:pt>
                <c:pt idx="138">
                  <c:v>33190692.602267787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D-477C-8DB8-6AFA554C5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40336"/>
        <c:axId val="629740664"/>
      </c:scatterChart>
      <c:valAx>
        <c:axId val="629740336"/>
        <c:scaling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740664"/>
        <c:crosses val="autoZero"/>
        <c:crossBetween val="midCat"/>
      </c:valAx>
      <c:valAx>
        <c:axId val="62974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740336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24404761904762"/>
          <c:y val="4.8579738562091503E-2"/>
          <c:w val="0.82290555555555556"/>
          <c:h val="0.8458774509803921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Datos!$AL$5</c:f>
              <c:strCache>
                <c:ptCount val="1"/>
                <c:pt idx="0">
                  <c:v>CT Ajustado Q1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Datos!$P$6:$P$145</c:f>
              <c:numCache>
                <c:formatCode>General</c:formatCode>
                <c:ptCount val="139"/>
                <c:pt idx="0">
                  <c:v>94</c:v>
                </c:pt>
                <c:pt idx="1">
                  <c:v>138</c:v>
                </c:pt>
                <c:pt idx="2">
                  <c:v>142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193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200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204</c:v>
                </c:pt>
                <c:pt idx="25">
                  <c:v>208</c:v>
                </c:pt>
                <c:pt idx="26">
                  <c:v>209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213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227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231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246</c:v>
                </c:pt>
                <c:pt idx="51">
                  <c:v>246</c:v>
                </c:pt>
                <c:pt idx="52">
                  <c:v>248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262</c:v>
                </c:pt>
                <c:pt idx="57">
                  <c:v>268</c:v>
                </c:pt>
                <c:pt idx="58">
                  <c:v>268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273</c:v>
                </c:pt>
                <c:pt idx="69">
                  <c:v>288</c:v>
                </c:pt>
                <c:pt idx="70">
                  <c:v>300</c:v>
                </c:pt>
                <c:pt idx="71">
                  <c:v>301</c:v>
                </c:pt>
                <c:pt idx="72">
                  <c:v>304</c:v>
                </c:pt>
                <c:pt idx="73">
                  <c:v>304</c:v>
                </c:pt>
                <c:pt idx="74">
                  <c:v>339</c:v>
                </c:pt>
                <c:pt idx="75">
                  <c:v>351</c:v>
                </c:pt>
                <c:pt idx="76">
                  <c:v>357</c:v>
                </c:pt>
                <c:pt idx="77">
                  <c:v>362</c:v>
                </c:pt>
                <c:pt idx="78">
                  <c:v>370</c:v>
                </c:pt>
                <c:pt idx="79">
                  <c:v>370</c:v>
                </c:pt>
                <c:pt idx="80">
                  <c:v>376</c:v>
                </c:pt>
                <c:pt idx="81">
                  <c:v>376</c:v>
                </c:pt>
                <c:pt idx="82">
                  <c:v>381</c:v>
                </c:pt>
                <c:pt idx="83">
                  <c:v>384</c:v>
                </c:pt>
                <c:pt idx="84">
                  <c:v>384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396</c:v>
                </c:pt>
                <c:pt idx="92">
                  <c:v>399</c:v>
                </c:pt>
                <c:pt idx="93">
                  <c:v>404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408</c:v>
                </c:pt>
                <c:pt idx="102">
                  <c:v>409</c:v>
                </c:pt>
                <c:pt idx="103">
                  <c:v>410</c:v>
                </c:pt>
                <c:pt idx="104">
                  <c:v>410</c:v>
                </c:pt>
                <c:pt idx="105">
                  <c:v>420</c:v>
                </c:pt>
                <c:pt idx="106">
                  <c:v>420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442</c:v>
                </c:pt>
                <c:pt idx="112">
                  <c:v>452</c:v>
                </c:pt>
                <c:pt idx="113">
                  <c:v>452</c:v>
                </c:pt>
                <c:pt idx="114">
                  <c:v>452</c:v>
                </c:pt>
                <c:pt idx="115">
                  <c:v>457</c:v>
                </c:pt>
                <c:pt idx="116">
                  <c:v>468</c:v>
                </c:pt>
                <c:pt idx="117">
                  <c:v>474</c:v>
                </c:pt>
                <c:pt idx="118">
                  <c:v>478</c:v>
                </c:pt>
                <c:pt idx="119">
                  <c:v>527</c:v>
                </c:pt>
                <c:pt idx="120">
                  <c:v>536</c:v>
                </c:pt>
                <c:pt idx="121">
                  <c:v>540</c:v>
                </c:pt>
                <c:pt idx="122">
                  <c:v>556</c:v>
                </c:pt>
                <c:pt idx="123">
                  <c:v>559</c:v>
                </c:pt>
                <c:pt idx="124">
                  <c:v>559</c:v>
                </c:pt>
                <c:pt idx="125">
                  <c:v>559</c:v>
                </c:pt>
                <c:pt idx="126">
                  <c:v>599</c:v>
                </c:pt>
                <c:pt idx="127">
                  <c:v>610</c:v>
                </c:pt>
                <c:pt idx="128">
                  <c:v>619</c:v>
                </c:pt>
                <c:pt idx="129">
                  <c:v>625</c:v>
                </c:pt>
                <c:pt idx="130">
                  <c:v>632</c:v>
                </c:pt>
                <c:pt idx="131">
                  <c:v>633</c:v>
                </c:pt>
                <c:pt idx="132">
                  <c:v>652</c:v>
                </c:pt>
                <c:pt idx="133">
                  <c:v>655</c:v>
                </c:pt>
                <c:pt idx="134">
                  <c:v>666</c:v>
                </c:pt>
                <c:pt idx="135">
                  <c:v>666</c:v>
                </c:pt>
                <c:pt idx="136">
                  <c:v>805</c:v>
                </c:pt>
                <c:pt idx="137">
                  <c:v>1025</c:v>
                </c:pt>
                <c:pt idx="138">
                  <c:v>1048</c:v>
                </c:pt>
              </c:numCache>
            </c:numRef>
          </c:xVal>
          <c:yVal>
            <c:numRef>
              <c:f>Datos!$AL$6:$AL$145</c:f>
              <c:numCache>
                <c:formatCode>#,##0</c:formatCode>
                <c:ptCount val="139"/>
                <c:pt idx="0">
                  <c:v>1674373.3382850785</c:v>
                </c:pt>
                <c:pt idx="1">
                  <c:v>2139225.0281021129</c:v>
                </c:pt>
                <c:pt idx="2">
                  <c:v>2181484.2726309346</c:v>
                </c:pt>
                <c:pt idx="3">
                  <c:v>2456169.3620682731</c:v>
                </c:pt>
                <c:pt idx="4">
                  <c:v>2456169.3620682731</c:v>
                </c:pt>
                <c:pt idx="5">
                  <c:v>2456169.3620682731</c:v>
                </c:pt>
                <c:pt idx="6">
                  <c:v>2456169.3620682731</c:v>
                </c:pt>
                <c:pt idx="7">
                  <c:v>2456169.3620682731</c:v>
                </c:pt>
                <c:pt idx="8">
                  <c:v>2456169.3620682731</c:v>
                </c:pt>
                <c:pt idx="9">
                  <c:v>2456169.3620682731</c:v>
                </c:pt>
                <c:pt idx="10">
                  <c:v>2709724.8292412013</c:v>
                </c:pt>
                <c:pt idx="11">
                  <c:v>2709724.8292412013</c:v>
                </c:pt>
                <c:pt idx="12">
                  <c:v>2709724.8292412013</c:v>
                </c:pt>
                <c:pt idx="13">
                  <c:v>2720289.6403734069</c:v>
                </c:pt>
                <c:pt idx="14">
                  <c:v>2783678.507166639</c:v>
                </c:pt>
                <c:pt idx="15">
                  <c:v>2783678.507166639</c:v>
                </c:pt>
                <c:pt idx="16">
                  <c:v>2783678.507166639</c:v>
                </c:pt>
                <c:pt idx="17">
                  <c:v>2783678.507166639</c:v>
                </c:pt>
                <c:pt idx="18">
                  <c:v>2783678.507166639</c:v>
                </c:pt>
                <c:pt idx="19">
                  <c:v>2783678.507166639</c:v>
                </c:pt>
                <c:pt idx="20">
                  <c:v>2794243.3182988442</c:v>
                </c:pt>
                <c:pt idx="21">
                  <c:v>2836502.5628276654</c:v>
                </c:pt>
                <c:pt idx="22">
                  <c:v>2836502.5628276654</c:v>
                </c:pt>
                <c:pt idx="23">
                  <c:v>2836502.5628276654</c:v>
                </c:pt>
                <c:pt idx="24">
                  <c:v>2836502.5628276654</c:v>
                </c:pt>
                <c:pt idx="25">
                  <c:v>2878761.8073564866</c:v>
                </c:pt>
                <c:pt idx="26">
                  <c:v>2889326.6184886922</c:v>
                </c:pt>
                <c:pt idx="27">
                  <c:v>2910456.2407531026</c:v>
                </c:pt>
                <c:pt idx="28">
                  <c:v>2921021.0518853082</c:v>
                </c:pt>
                <c:pt idx="29">
                  <c:v>2921021.0518853082</c:v>
                </c:pt>
                <c:pt idx="30">
                  <c:v>2931585.8630175134</c:v>
                </c:pt>
                <c:pt idx="31">
                  <c:v>2973845.1075463346</c:v>
                </c:pt>
                <c:pt idx="32">
                  <c:v>2973845.1075463346</c:v>
                </c:pt>
                <c:pt idx="33">
                  <c:v>2973845.1075463346</c:v>
                </c:pt>
                <c:pt idx="34">
                  <c:v>3047798.7854717723</c:v>
                </c:pt>
                <c:pt idx="35">
                  <c:v>3047798.7854717723</c:v>
                </c:pt>
                <c:pt idx="36">
                  <c:v>3047798.7854717723</c:v>
                </c:pt>
                <c:pt idx="37">
                  <c:v>3047798.7854717723</c:v>
                </c:pt>
                <c:pt idx="38">
                  <c:v>3079493.2188683883</c:v>
                </c:pt>
                <c:pt idx="39">
                  <c:v>3121752.4633972095</c:v>
                </c:pt>
                <c:pt idx="40">
                  <c:v>3121752.4633972095</c:v>
                </c:pt>
                <c:pt idx="41">
                  <c:v>3121752.4633972095</c:v>
                </c:pt>
                <c:pt idx="42">
                  <c:v>3121752.4633972095</c:v>
                </c:pt>
                <c:pt idx="43">
                  <c:v>3121752.4633972095</c:v>
                </c:pt>
                <c:pt idx="44">
                  <c:v>3121752.4633972095</c:v>
                </c:pt>
                <c:pt idx="45">
                  <c:v>3121752.4633972095</c:v>
                </c:pt>
                <c:pt idx="46">
                  <c:v>3174576.5190582364</c:v>
                </c:pt>
                <c:pt idx="47">
                  <c:v>3174576.5190582364</c:v>
                </c:pt>
                <c:pt idx="48">
                  <c:v>3174576.5190582364</c:v>
                </c:pt>
                <c:pt idx="49">
                  <c:v>3174576.5190582364</c:v>
                </c:pt>
                <c:pt idx="50">
                  <c:v>3280224.6303802896</c:v>
                </c:pt>
                <c:pt idx="51">
                  <c:v>3280224.6303802896</c:v>
                </c:pt>
                <c:pt idx="52">
                  <c:v>3301354.2526447</c:v>
                </c:pt>
                <c:pt idx="53">
                  <c:v>3449261.6084955749</c:v>
                </c:pt>
                <c:pt idx="54">
                  <c:v>3449261.6084955749</c:v>
                </c:pt>
                <c:pt idx="55">
                  <c:v>3449261.6084955749</c:v>
                </c:pt>
                <c:pt idx="56">
                  <c:v>3449261.6084955749</c:v>
                </c:pt>
                <c:pt idx="57">
                  <c:v>3512650.4752888069</c:v>
                </c:pt>
                <c:pt idx="58">
                  <c:v>3512650.4752888069</c:v>
                </c:pt>
                <c:pt idx="59">
                  <c:v>3565474.5309498338</c:v>
                </c:pt>
                <c:pt idx="60">
                  <c:v>3565474.5309498338</c:v>
                </c:pt>
                <c:pt idx="61">
                  <c:v>3565474.5309498338</c:v>
                </c:pt>
                <c:pt idx="62">
                  <c:v>3565474.5309498338</c:v>
                </c:pt>
                <c:pt idx="63">
                  <c:v>3565474.5309498338</c:v>
                </c:pt>
                <c:pt idx="64">
                  <c:v>3565474.5309498338</c:v>
                </c:pt>
                <c:pt idx="65">
                  <c:v>3565474.5309498338</c:v>
                </c:pt>
                <c:pt idx="66">
                  <c:v>3565474.5309498338</c:v>
                </c:pt>
                <c:pt idx="67">
                  <c:v>3565474.5309498338</c:v>
                </c:pt>
                <c:pt idx="68">
                  <c:v>3565474.5309498338</c:v>
                </c:pt>
                <c:pt idx="69">
                  <c:v>3723946.6979329134</c:v>
                </c:pt>
                <c:pt idx="70">
                  <c:v>3850724.4315193775</c:v>
                </c:pt>
                <c:pt idx="71">
                  <c:v>3861289.2426515832</c:v>
                </c:pt>
                <c:pt idx="72">
                  <c:v>3892983.6760481992</c:v>
                </c:pt>
                <c:pt idx="73">
                  <c:v>3892983.6760481992</c:v>
                </c:pt>
                <c:pt idx="74">
                  <c:v>4262752.0656753853</c:v>
                </c:pt>
                <c:pt idx="75">
                  <c:v>4389529.7992618494</c:v>
                </c:pt>
                <c:pt idx="76">
                  <c:v>4452918.6660550814</c:v>
                </c:pt>
                <c:pt idx="77">
                  <c:v>4505742.7217161078</c:v>
                </c:pt>
                <c:pt idx="78">
                  <c:v>4590261.2107737511</c:v>
                </c:pt>
                <c:pt idx="79">
                  <c:v>4590261.2107737511</c:v>
                </c:pt>
                <c:pt idx="80">
                  <c:v>4767588.7344977725</c:v>
                </c:pt>
                <c:pt idx="81">
                  <c:v>4767588.7344977725</c:v>
                </c:pt>
                <c:pt idx="82">
                  <c:v>4915361.6709344592</c:v>
                </c:pt>
                <c:pt idx="83">
                  <c:v>5004025.4327964708</c:v>
                </c:pt>
                <c:pt idx="84">
                  <c:v>5004025.4327964708</c:v>
                </c:pt>
                <c:pt idx="85">
                  <c:v>5358680.4802445155</c:v>
                </c:pt>
                <c:pt idx="86">
                  <c:v>5358680.4802445155</c:v>
                </c:pt>
                <c:pt idx="87">
                  <c:v>5358680.4802445155</c:v>
                </c:pt>
                <c:pt idx="88">
                  <c:v>5358680.4802445155</c:v>
                </c:pt>
                <c:pt idx="89">
                  <c:v>5358680.4802445155</c:v>
                </c:pt>
                <c:pt idx="90">
                  <c:v>5358680.4802445155</c:v>
                </c:pt>
                <c:pt idx="91">
                  <c:v>5358680.4802445155</c:v>
                </c:pt>
                <c:pt idx="92">
                  <c:v>5459811.2180704121</c:v>
                </c:pt>
                <c:pt idx="93">
                  <c:v>5628362.4477802385</c:v>
                </c:pt>
                <c:pt idx="94">
                  <c:v>5763203.4315481</c:v>
                </c:pt>
                <c:pt idx="95">
                  <c:v>5763203.4315481</c:v>
                </c:pt>
                <c:pt idx="96">
                  <c:v>5763203.4315481</c:v>
                </c:pt>
                <c:pt idx="97">
                  <c:v>5763203.4315481</c:v>
                </c:pt>
                <c:pt idx="98">
                  <c:v>5763203.4315481</c:v>
                </c:pt>
                <c:pt idx="99">
                  <c:v>5763203.4315481</c:v>
                </c:pt>
                <c:pt idx="100">
                  <c:v>5763203.4315481</c:v>
                </c:pt>
                <c:pt idx="101">
                  <c:v>5763203.4315481</c:v>
                </c:pt>
                <c:pt idx="102">
                  <c:v>5796913.6774900649</c:v>
                </c:pt>
                <c:pt idx="103">
                  <c:v>5830623.9234320298</c:v>
                </c:pt>
                <c:pt idx="104">
                  <c:v>5830623.9234320298</c:v>
                </c:pt>
                <c:pt idx="105">
                  <c:v>6167726.3828516826</c:v>
                </c:pt>
                <c:pt idx="106">
                  <c:v>6167726.3828516826</c:v>
                </c:pt>
                <c:pt idx="107">
                  <c:v>6909351.7935749181</c:v>
                </c:pt>
                <c:pt idx="108">
                  <c:v>6909351.7935749181</c:v>
                </c:pt>
                <c:pt idx="109">
                  <c:v>6909351.7935749181</c:v>
                </c:pt>
                <c:pt idx="110">
                  <c:v>6909351.7935749181</c:v>
                </c:pt>
                <c:pt idx="111">
                  <c:v>6909351.7935749181</c:v>
                </c:pt>
                <c:pt idx="112">
                  <c:v>7246454.2529945709</c:v>
                </c:pt>
                <c:pt idx="113">
                  <c:v>7246454.2529945709</c:v>
                </c:pt>
                <c:pt idx="114">
                  <c:v>7246454.2529945709</c:v>
                </c:pt>
                <c:pt idx="115">
                  <c:v>7415005.4827043973</c:v>
                </c:pt>
                <c:pt idx="116">
                  <c:v>7785818.188066015</c:v>
                </c:pt>
                <c:pt idx="117">
                  <c:v>7988079.6637178082</c:v>
                </c:pt>
                <c:pt idx="118">
                  <c:v>8122920.6474856678</c:v>
                </c:pt>
                <c:pt idx="119">
                  <c:v>9774722.698641967</c:v>
                </c:pt>
                <c:pt idx="120">
                  <c:v>10078114.912119653</c:v>
                </c:pt>
                <c:pt idx="121">
                  <c:v>10212955.895887516</c:v>
                </c:pt>
                <c:pt idx="122">
                  <c:v>10752319.830958959</c:v>
                </c:pt>
                <c:pt idx="123">
                  <c:v>10853450.568784855</c:v>
                </c:pt>
                <c:pt idx="124">
                  <c:v>10853450.568784855</c:v>
                </c:pt>
                <c:pt idx="125">
                  <c:v>10853450.568784855</c:v>
                </c:pt>
                <c:pt idx="126">
                  <c:v>12201860.406463467</c:v>
                </c:pt>
                <c:pt idx="127">
                  <c:v>12572673.111825086</c:v>
                </c:pt>
                <c:pt idx="128">
                  <c:v>12876065.325302772</c:v>
                </c:pt>
                <c:pt idx="129">
                  <c:v>13078326.800954565</c:v>
                </c:pt>
                <c:pt idx="130">
                  <c:v>13314298.522548322</c:v>
                </c:pt>
                <c:pt idx="131">
                  <c:v>13348008.768490285</c:v>
                </c:pt>
                <c:pt idx="132">
                  <c:v>13988503.441387627</c:v>
                </c:pt>
                <c:pt idx="133">
                  <c:v>14089634.17921352</c:v>
                </c:pt>
                <c:pt idx="134">
                  <c:v>14460446.88457514</c:v>
                </c:pt>
                <c:pt idx="135">
                  <c:v>14460446.88457514</c:v>
                </c:pt>
                <c:pt idx="136">
                  <c:v>19146171.070508312</c:v>
                </c:pt>
                <c:pt idx="137">
                  <c:v>26562425.177740674</c:v>
                </c:pt>
                <c:pt idx="138">
                  <c:v>27337760.834405873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19-4008-BFBA-85F2C643F08C}"/>
            </c:ext>
          </c:extLst>
        </c:ser>
        <c:ser>
          <c:idx val="1"/>
          <c:order val="1"/>
          <c:tx>
            <c:strRef>
              <c:f>Datos!$AK$5</c:f>
              <c:strCache>
                <c:ptCount val="1"/>
                <c:pt idx="0">
                  <c:v>G+ V Ajustado Q1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Datos!$P$6:$P$145</c:f>
              <c:numCache>
                <c:formatCode>General</c:formatCode>
                <c:ptCount val="139"/>
                <c:pt idx="0">
                  <c:v>94</c:v>
                </c:pt>
                <c:pt idx="1">
                  <c:v>138</c:v>
                </c:pt>
                <c:pt idx="2">
                  <c:v>142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193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200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204</c:v>
                </c:pt>
                <c:pt idx="25">
                  <c:v>208</c:v>
                </c:pt>
                <c:pt idx="26">
                  <c:v>209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213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227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231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246</c:v>
                </c:pt>
                <c:pt idx="51">
                  <c:v>246</c:v>
                </c:pt>
                <c:pt idx="52">
                  <c:v>248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262</c:v>
                </c:pt>
                <c:pt idx="57">
                  <c:v>268</c:v>
                </c:pt>
                <c:pt idx="58">
                  <c:v>268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273</c:v>
                </c:pt>
                <c:pt idx="69">
                  <c:v>288</c:v>
                </c:pt>
                <c:pt idx="70">
                  <c:v>300</c:v>
                </c:pt>
                <c:pt idx="71">
                  <c:v>301</c:v>
                </c:pt>
                <c:pt idx="72">
                  <c:v>304</c:v>
                </c:pt>
                <c:pt idx="73">
                  <c:v>304</c:v>
                </c:pt>
                <c:pt idx="74">
                  <c:v>339</c:v>
                </c:pt>
                <c:pt idx="75">
                  <c:v>351</c:v>
                </c:pt>
                <c:pt idx="76">
                  <c:v>357</c:v>
                </c:pt>
                <c:pt idx="77">
                  <c:v>362</c:v>
                </c:pt>
                <c:pt idx="78">
                  <c:v>370</c:v>
                </c:pt>
                <c:pt idx="79">
                  <c:v>370</c:v>
                </c:pt>
                <c:pt idx="80">
                  <c:v>376</c:v>
                </c:pt>
                <c:pt idx="81">
                  <c:v>376</c:v>
                </c:pt>
                <c:pt idx="82">
                  <c:v>381</c:v>
                </c:pt>
                <c:pt idx="83">
                  <c:v>384</c:v>
                </c:pt>
                <c:pt idx="84">
                  <c:v>384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396</c:v>
                </c:pt>
                <c:pt idx="92">
                  <c:v>399</c:v>
                </c:pt>
                <c:pt idx="93">
                  <c:v>404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408</c:v>
                </c:pt>
                <c:pt idx="102">
                  <c:v>409</c:v>
                </c:pt>
                <c:pt idx="103">
                  <c:v>410</c:v>
                </c:pt>
                <c:pt idx="104">
                  <c:v>410</c:v>
                </c:pt>
                <c:pt idx="105">
                  <c:v>420</c:v>
                </c:pt>
                <c:pt idx="106">
                  <c:v>420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442</c:v>
                </c:pt>
                <c:pt idx="112">
                  <c:v>452</c:v>
                </c:pt>
                <c:pt idx="113">
                  <c:v>452</c:v>
                </c:pt>
                <c:pt idx="114">
                  <c:v>452</c:v>
                </c:pt>
                <c:pt idx="115">
                  <c:v>457</c:v>
                </c:pt>
                <c:pt idx="116">
                  <c:v>468</c:v>
                </c:pt>
                <c:pt idx="117">
                  <c:v>474</c:v>
                </c:pt>
                <c:pt idx="118">
                  <c:v>478</c:v>
                </c:pt>
                <c:pt idx="119">
                  <c:v>527</c:v>
                </c:pt>
                <c:pt idx="120">
                  <c:v>536</c:v>
                </c:pt>
                <c:pt idx="121">
                  <c:v>540</c:v>
                </c:pt>
                <c:pt idx="122">
                  <c:v>556</c:v>
                </c:pt>
                <c:pt idx="123">
                  <c:v>559</c:v>
                </c:pt>
                <c:pt idx="124">
                  <c:v>559</c:v>
                </c:pt>
                <c:pt idx="125">
                  <c:v>559</c:v>
                </c:pt>
                <c:pt idx="126">
                  <c:v>599</c:v>
                </c:pt>
                <c:pt idx="127">
                  <c:v>610</c:v>
                </c:pt>
                <c:pt idx="128">
                  <c:v>619</c:v>
                </c:pt>
                <c:pt idx="129">
                  <c:v>625</c:v>
                </c:pt>
                <c:pt idx="130">
                  <c:v>632</c:v>
                </c:pt>
                <c:pt idx="131">
                  <c:v>633</c:v>
                </c:pt>
                <c:pt idx="132">
                  <c:v>652</c:v>
                </c:pt>
                <c:pt idx="133">
                  <c:v>655</c:v>
                </c:pt>
                <c:pt idx="134">
                  <c:v>666</c:v>
                </c:pt>
                <c:pt idx="135">
                  <c:v>666</c:v>
                </c:pt>
                <c:pt idx="136">
                  <c:v>805</c:v>
                </c:pt>
                <c:pt idx="137">
                  <c:v>1025</c:v>
                </c:pt>
                <c:pt idx="138">
                  <c:v>1048</c:v>
                </c:pt>
              </c:numCache>
            </c:numRef>
          </c:xVal>
          <c:yVal>
            <c:numRef>
              <c:f>Datos!$AK$6:$AK$145</c:f>
              <c:numCache>
                <c:formatCode>#,##0</c:formatCode>
                <c:ptCount val="139"/>
                <c:pt idx="0">
                  <c:v>1616391.2808531632</c:v>
                </c:pt>
                <c:pt idx="1">
                  <c:v>2061228.1178906271</c:v>
                </c:pt>
                <c:pt idx="2">
                  <c:v>2101667.8303485783</c:v>
                </c:pt>
                <c:pt idx="3">
                  <c:v>2364525.9613252617</c:v>
                </c:pt>
                <c:pt idx="4">
                  <c:v>2364525.9613252617</c:v>
                </c:pt>
                <c:pt idx="5">
                  <c:v>2364525.9613252617</c:v>
                </c:pt>
                <c:pt idx="6">
                  <c:v>2364525.9613252617</c:v>
                </c:pt>
                <c:pt idx="7">
                  <c:v>2364525.9613252617</c:v>
                </c:pt>
                <c:pt idx="8">
                  <c:v>2364525.9613252617</c:v>
                </c:pt>
                <c:pt idx="9">
                  <c:v>2364525.9613252617</c:v>
                </c:pt>
                <c:pt idx="10">
                  <c:v>2607164.2360729692</c:v>
                </c:pt>
                <c:pt idx="11">
                  <c:v>2607164.2360729692</c:v>
                </c:pt>
                <c:pt idx="12">
                  <c:v>2607164.2360729692</c:v>
                </c:pt>
                <c:pt idx="13">
                  <c:v>2617274.1641874574</c:v>
                </c:pt>
                <c:pt idx="14">
                  <c:v>2677933.7328743841</c:v>
                </c:pt>
                <c:pt idx="15">
                  <c:v>2677933.7328743841</c:v>
                </c:pt>
                <c:pt idx="16">
                  <c:v>2677933.7328743841</c:v>
                </c:pt>
                <c:pt idx="17">
                  <c:v>2677933.7328743841</c:v>
                </c:pt>
                <c:pt idx="18">
                  <c:v>2677933.7328743841</c:v>
                </c:pt>
                <c:pt idx="19">
                  <c:v>2677933.7328743841</c:v>
                </c:pt>
                <c:pt idx="20">
                  <c:v>2688043.6609888719</c:v>
                </c:pt>
                <c:pt idx="21">
                  <c:v>2728483.3734468231</c:v>
                </c:pt>
                <c:pt idx="22">
                  <c:v>2728483.3734468231</c:v>
                </c:pt>
                <c:pt idx="23">
                  <c:v>2728483.3734468231</c:v>
                </c:pt>
                <c:pt idx="24">
                  <c:v>2728483.3734468231</c:v>
                </c:pt>
                <c:pt idx="25">
                  <c:v>2768923.0859047743</c:v>
                </c:pt>
                <c:pt idx="26">
                  <c:v>2779033.014019262</c:v>
                </c:pt>
                <c:pt idx="27">
                  <c:v>2799252.8702482376</c:v>
                </c:pt>
                <c:pt idx="28">
                  <c:v>2809362.7983627254</c:v>
                </c:pt>
                <c:pt idx="29">
                  <c:v>2809362.7983627254</c:v>
                </c:pt>
                <c:pt idx="30">
                  <c:v>2819472.7264772132</c:v>
                </c:pt>
                <c:pt idx="31">
                  <c:v>2859912.4389351648</c:v>
                </c:pt>
                <c:pt idx="32">
                  <c:v>2859912.4389351648</c:v>
                </c:pt>
                <c:pt idx="33">
                  <c:v>2859912.4389351648</c:v>
                </c:pt>
                <c:pt idx="34">
                  <c:v>2930681.9357365794</c:v>
                </c:pt>
                <c:pt idx="35">
                  <c:v>2930681.9357365794</c:v>
                </c:pt>
                <c:pt idx="36">
                  <c:v>2930681.9357365794</c:v>
                </c:pt>
                <c:pt idx="37">
                  <c:v>2930681.9357365794</c:v>
                </c:pt>
                <c:pt idx="38">
                  <c:v>2961011.7200800427</c:v>
                </c:pt>
                <c:pt idx="39">
                  <c:v>3001451.4325379943</c:v>
                </c:pt>
                <c:pt idx="40">
                  <c:v>3001451.4325379943</c:v>
                </c:pt>
                <c:pt idx="41">
                  <c:v>3001451.4325379943</c:v>
                </c:pt>
                <c:pt idx="42">
                  <c:v>3001451.4325379943</c:v>
                </c:pt>
                <c:pt idx="43">
                  <c:v>3001451.4325379943</c:v>
                </c:pt>
                <c:pt idx="44">
                  <c:v>3001451.4325379943</c:v>
                </c:pt>
                <c:pt idx="45">
                  <c:v>3001451.4325379943</c:v>
                </c:pt>
                <c:pt idx="46">
                  <c:v>3052001.0731104333</c:v>
                </c:pt>
                <c:pt idx="47">
                  <c:v>3052001.0731104333</c:v>
                </c:pt>
                <c:pt idx="48">
                  <c:v>3052001.0731104333</c:v>
                </c:pt>
                <c:pt idx="49">
                  <c:v>3052001.0731104333</c:v>
                </c:pt>
                <c:pt idx="50">
                  <c:v>3153100.3542553112</c:v>
                </c:pt>
                <c:pt idx="51">
                  <c:v>3153100.3542553112</c:v>
                </c:pt>
                <c:pt idx="52">
                  <c:v>3173320.2104842872</c:v>
                </c:pt>
                <c:pt idx="53">
                  <c:v>3314859.2040871163</c:v>
                </c:pt>
                <c:pt idx="54">
                  <c:v>3314859.2040871163</c:v>
                </c:pt>
                <c:pt idx="55">
                  <c:v>3314859.2040871163</c:v>
                </c:pt>
                <c:pt idx="56">
                  <c:v>3314859.2040871163</c:v>
                </c:pt>
                <c:pt idx="57">
                  <c:v>3375518.7727740435</c:v>
                </c:pt>
                <c:pt idx="58">
                  <c:v>3375518.7727740435</c:v>
                </c:pt>
                <c:pt idx="59">
                  <c:v>3426068.4133464824</c:v>
                </c:pt>
                <c:pt idx="60">
                  <c:v>3426068.4133464824</c:v>
                </c:pt>
                <c:pt idx="61">
                  <c:v>3426068.4133464824</c:v>
                </c:pt>
                <c:pt idx="62">
                  <c:v>3426068.4133464824</c:v>
                </c:pt>
                <c:pt idx="63">
                  <c:v>3426068.4133464824</c:v>
                </c:pt>
                <c:pt idx="64">
                  <c:v>3426068.4133464824</c:v>
                </c:pt>
                <c:pt idx="65">
                  <c:v>3426068.4133464824</c:v>
                </c:pt>
                <c:pt idx="66">
                  <c:v>3426068.4133464824</c:v>
                </c:pt>
                <c:pt idx="67">
                  <c:v>3426068.4133464824</c:v>
                </c:pt>
                <c:pt idx="68">
                  <c:v>3426068.4133464824</c:v>
                </c:pt>
                <c:pt idx="69">
                  <c:v>3577717.3350637998</c:v>
                </c:pt>
                <c:pt idx="70">
                  <c:v>3699036.4724376537</c:v>
                </c:pt>
                <c:pt idx="71">
                  <c:v>3709146.4005521415</c:v>
                </c:pt>
                <c:pt idx="72">
                  <c:v>3739476.1848956048</c:v>
                </c:pt>
                <c:pt idx="73">
                  <c:v>3739476.1848956048</c:v>
                </c:pt>
                <c:pt idx="74">
                  <c:v>4093323.6689026784</c:v>
                </c:pt>
                <c:pt idx="75">
                  <c:v>4214642.8062765319</c:v>
                </c:pt>
                <c:pt idx="76">
                  <c:v>4275302.3749634586</c:v>
                </c:pt>
                <c:pt idx="77">
                  <c:v>4325852.0155358985</c:v>
                </c:pt>
                <c:pt idx="78">
                  <c:v>4406731.4404518008</c:v>
                </c:pt>
                <c:pt idx="79">
                  <c:v>4406731.4404518008</c:v>
                </c:pt>
                <c:pt idx="80">
                  <c:v>4565910.5836744104</c:v>
                </c:pt>
                <c:pt idx="81">
                  <c:v>4565910.5836744104</c:v>
                </c:pt>
                <c:pt idx="82">
                  <c:v>4698559.8696932532</c:v>
                </c:pt>
                <c:pt idx="83">
                  <c:v>4778149.4413045589</c:v>
                </c:pt>
                <c:pt idx="84">
                  <c:v>4778149.4413045589</c:v>
                </c:pt>
                <c:pt idx="85">
                  <c:v>5096507.7277497761</c:v>
                </c:pt>
                <c:pt idx="86">
                  <c:v>5096507.7277497761</c:v>
                </c:pt>
                <c:pt idx="87">
                  <c:v>5096507.7277497761</c:v>
                </c:pt>
                <c:pt idx="88">
                  <c:v>5096507.7277497761</c:v>
                </c:pt>
                <c:pt idx="89">
                  <c:v>5096507.7277497761</c:v>
                </c:pt>
                <c:pt idx="90">
                  <c:v>5096507.7277497761</c:v>
                </c:pt>
                <c:pt idx="91">
                  <c:v>5096507.7277497761</c:v>
                </c:pt>
                <c:pt idx="92">
                  <c:v>5194488.8817246761</c:v>
                </c:pt>
                <c:pt idx="93">
                  <c:v>5357790.805016173</c:v>
                </c:pt>
                <c:pt idx="94">
                  <c:v>5488432.3436493706</c:v>
                </c:pt>
                <c:pt idx="95">
                  <c:v>5488432.3436493706</c:v>
                </c:pt>
                <c:pt idx="96">
                  <c:v>5488432.3436493706</c:v>
                </c:pt>
                <c:pt idx="97">
                  <c:v>5488432.3436493706</c:v>
                </c:pt>
                <c:pt idx="98">
                  <c:v>5488432.3436493706</c:v>
                </c:pt>
                <c:pt idx="99">
                  <c:v>5488432.3436493706</c:v>
                </c:pt>
                <c:pt idx="100">
                  <c:v>5488432.3436493706</c:v>
                </c:pt>
                <c:pt idx="101">
                  <c:v>5488432.3436493706</c:v>
                </c:pt>
                <c:pt idx="102">
                  <c:v>5521092.7283076718</c:v>
                </c:pt>
                <c:pt idx="103">
                  <c:v>5553753.1129659712</c:v>
                </c:pt>
                <c:pt idx="104">
                  <c:v>5553753.1129659712</c:v>
                </c:pt>
                <c:pt idx="105">
                  <c:v>5880356.959548967</c:v>
                </c:pt>
                <c:pt idx="106">
                  <c:v>5880356.959548967</c:v>
                </c:pt>
                <c:pt idx="107">
                  <c:v>6598885.4220315572</c:v>
                </c:pt>
                <c:pt idx="108">
                  <c:v>6598885.4220315572</c:v>
                </c:pt>
                <c:pt idx="109">
                  <c:v>6598885.4220315572</c:v>
                </c:pt>
                <c:pt idx="110">
                  <c:v>6598885.4220315572</c:v>
                </c:pt>
                <c:pt idx="111">
                  <c:v>6598885.4220315572</c:v>
                </c:pt>
                <c:pt idx="112">
                  <c:v>6925489.2686145529</c:v>
                </c:pt>
                <c:pt idx="113">
                  <c:v>6925489.2686145529</c:v>
                </c:pt>
                <c:pt idx="114">
                  <c:v>6925489.2686145529</c:v>
                </c:pt>
                <c:pt idx="115">
                  <c:v>7088791.1919060498</c:v>
                </c:pt>
                <c:pt idx="116">
                  <c:v>7448055.4231473468</c:v>
                </c:pt>
                <c:pt idx="117">
                  <c:v>7644017.7310971431</c:v>
                </c:pt>
                <c:pt idx="118">
                  <c:v>7774659.2697303426</c:v>
                </c:pt>
                <c:pt idx="119">
                  <c:v>9375018.1179870218</c:v>
                </c:pt>
                <c:pt idx="120">
                  <c:v>9668961.5799117163</c:v>
                </c:pt>
                <c:pt idx="121">
                  <c:v>9799603.1185449138</c:v>
                </c:pt>
                <c:pt idx="122">
                  <c:v>10322169.273077708</c:v>
                </c:pt>
                <c:pt idx="123">
                  <c:v>10420150.427052606</c:v>
                </c:pt>
                <c:pt idx="124">
                  <c:v>10420150.427052606</c:v>
                </c:pt>
                <c:pt idx="125">
                  <c:v>10420150.427052606</c:v>
                </c:pt>
                <c:pt idx="126">
                  <c:v>11726565.813384589</c:v>
                </c:pt>
                <c:pt idx="127">
                  <c:v>12085830.044625886</c:v>
                </c:pt>
                <c:pt idx="128">
                  <c:v>12379773.50655058</c:v>
                </c:pt>
                <c:pt idx="129">
                  <c:v>12575735.81450038</c:v>
                </c:pt>
                <c:pt idx="130">
                  <c:v>12804358.507108476</c:v>
                </c:pt>
                <c:pt idx="131">
                  <c:v>12837018.891766775</c:v>
                </c:pt>
                <c:pt idx="132">
                  <c:v>13457566.200274467</c:v>
                </c:pt>
                <c:pt idx="133">
                  <c:v>13555547.354249366</c:v>
                </c:pt>
                <c:pt idx="134">
                  <c:v>13914811.585490663</c:v>
                </c:pt>
                <c:pt idx="135">
                  <c:v>13914811.585490663</c:v>
                </c:pt>
                <c:pt idx="136">
                  <c:v>18454605.052994303</c:v>
                </c:pt>
                <c:pt idx="137">
                  <c:v>25639889.677820209</c:v>
                </c:pt>
                <c:pt idx="138">
                  <c:v>26391078.524961103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19-4008-BFBA-85F2C643F08C}"/>
            </c:ext>
          </c:extLst>
        </c:ser>
        <c:ser>
          <c:idx val="2"/>
          <c:order val="2"/>
          <c:tx>
            <c:strRef>
              <c:f>Datos!$AJ$5</c:f>
              <c:strCache>
                <c:ptCount val="1"/>
                <c:pt idx="0">
                  <c:v>G Ajustado Q1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Datos!$P$6:$P$145</c:f>
              <c:numCache>
                <c:formatCode>General</c:formatCode>
                <c:ptCount val="139"/>
                <c:pt idx="0">
                  <c:v>94</c:v>
                </c:pt>
                <c:pt idx="1">
                  <c:v>138</c:v>
                </c:pt>
                <c:pt idx="2">
                  <c:v>142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193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200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204</c:v>
                </c:pt>
                <c:pt idx="25">
                  <c:v>208</c:v>
                </c:pt>
                <c:pt idx="26">
                  <c:v>209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213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227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231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246</c:v>
                </c:pt>
                <c:pt idx="51">
                  <c:v>246</c:v>
                </c:pt>
                <c:pt idx="52">
                  <c:v>248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262</c:v>
                </c:pt>
                <c:pt idx="57">
                  <c:v>268</c:v>
                </c:pt>
                <c:pt idx="58">
                  <c:v>268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273</c:v>
                </c:pt>
                <c:pt idx="69">
                  <c:v>288</c:v>
                </c:pt>
                <c:pt idx="70">
                  <c:v>300</c:v>
                </c:pt>
                <c:pt idx="71">
                  <c:v>301</c:v>
                </c:pt>
                <c:pt idx="72">
                  <c:v>304</c:v>
                </c:pt>
                <c:pt idx="73">
                  <c:v>304</c:v>
                </c:pt>
                <c:pt idx="74">
                  <c:v>339</c:v>
                </c:pt>
                <c:pt idx="75">
                  <c:v>351</c:v>
                </c:pt>
                <c:pt idx="76">
                  <c:v>357</c:v>
                </c:pt>
                <c:pt idx="77">
                  <c:v>362</c:v>
                </c:pt>
                <c:pt idx="78">
                  <c:v>370</c:v>
                </c:pt>
                <c:pt idx="79">
                  <c:v>370</c:v>
                </c:pt>
                <c:pt idx="80">
                  <c:v>376</c:v>
                </c:pt>
                <c:pt idx="81">
                  <c:v>376</c:v>
                </c:pt>
                <c:pt idx="82">
                  <c:v>381</c:v>
                </c:pt>
                <c:pt idx="83">
                  <c:v>384</c:v>
                </c:pt>
                <c:pt idx="84">
                  <c:v>384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396</c:v>
                </c:pt>
                <c:pt idx="92">
                  <c:v>399</c:v>
                </c:pt>
                <c:pt idx="93">
                  <c:v>404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408</c:v>
                </c:pt>
                <c:pt idx="102">
                  <c:v>409</c:v>
                </c:pt>
                <c:pt idx="103">
                  <c:v>410</c:v>
                </c:pt>
                <c:pt idx="104">
                  <c:v>410</c:v>
                </c:pt>
                <c:pt idx="105">
                  <c:v>420</c:v>
                </c:pt>
                <c:pt idx="106">
                  <c:v>420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442</c:v>
                </c:pt>
                <c:pt idx="112">
                  <c:v>452</c:v>
                </c:pt>
                <c:pt idx="113">
                  <c:v>452</c:v>
                </c:pt>
                <c:pt idx="114">
                  <c:v>452</c:v>
                </c:pt>
                <c:pt idx="115">
                  <c:v>457</c:v>
                </c:pt>
                <c:pt idx="116">
                  <c:v>468</c:v>
                </c:pt>
                <c:pt idx="117">
                  <c:v>474</c:v>
                </c:pt>
                <c:pt idx="118">
                  <c:v>478</c:v>
                </c:pt>
                <c:pt idx="119">
                  <c:v>527</c:v>
                </c:pt>
                <c:pt idx="120">
                  <c:v>536</c:v>
                </c:pt>
                <c:pt idx="121">
                  <c:v>540</c:v>
                </c:pt>
                <c:pt idx="122">
                  <c:v>556</c:v>
                </c:pt>
                <c:pt idx="123">
                  <c:v>559</c:v>
                </c:pt>
                <c:pt idx="124">
                  <c:v>559</c:v>
                </c:pt>
                <c:pt idx="125">
                  <c:v>559</c:v>
                </c:pt>
                <c:pt idx="126">
                  <c:v>599</c:v>
                </c:pt>
                <c:pt idx="127">
                  <c:v>610</c:v>
                </c:pt>
                <c:pt idx="128">
                  <c:v>619</c:v>
                </c:pt>
                <c:pt idx="129">
                  <c:v>625</c:v>
                </c:pt>
                <c:pt idx="130">
                  <c:v>632</c:v>
                </c:pt>
                <c:pt idx="131">
                  <c:v>633</c:v>
                </c:pt>
                <c:pt idx="132">
                  <c:v>652</c:v>
                </c:pt>
                <c:pt idx="133">
                  <c:v>655</c:v>
                </c:pt>
                <c:pt idx="134">
                  <c:v>666</c:v>
                </c:pt>
                <c:pt idx="135">
                  <c:v>666</c:v>
                </c:pt>
                <c:pt idx="136">
                  <c:v>805</c:v>
                </c:pt>
                <c:pt idx="137">
                  <c:v>1025</c:v>
                </c:pt>
                <c:pt idx="138">
                  <c:v>1048</c:v>
                </c:pt>
              </c:numCache>
            </c:numRef>
          </c:xVal>
          <c:yVal>
            <c:numRef>
              <c:f>Datos!$AJ$6:$AJ$145</c:f>
              <c:numCache>
                <c:formatCode>#,##0</c:formatCode>
                <c:ptCount val="139"/>
                <c:pt idx="0">
                  <c:v>1531219.9657886913</c:v>
                </c:pt>
                <c:pt idx="1">
                  <c:v>1971370.3591285716</c:v>
                </c:pt>
                <c:pt idx="2">
                  <c:v>2011384.0312503788</c:v>
                </c:pt>
                <c:pt idx="3">
                  <c:v>2271472.9000421264</c:v>
                </c:pt>
                <c:pt idx="4">
                  <c:v>2271472.9000421264</c:v>
                </c:pt>
                <c:pt idx="5">
                  <c:v>2271472.9000421264</c:v>
                </c:pt>
                <c:pt idx="6">
                  <c:v>2271472.9000421264</c:v>
                </c:pt>
                <c:pt idx="7">
                  <c:v>2271472.9000421264</c:v>
                </c:pt>
                <c:pt idx="8">
                  <c:v>2271472.9000421264</c:v>
                </c:pt>
                <c:pt idx="9">
                  <c:v>2271472.9000421264</c:v>
                </c:pt>
                <c:pt idx="10">
                  <c:v>2511554.9327729703</c:v>
                </c:pt>
                <c:pt idx="11">
                  <c:v>2511554.9327729703</c:v>
                </c:pt>
                <c:pt idx="12">
                  <c:v>2511554.9327729703</c:v>
                </c:pt>
                <c:pt idx="13">
                  <c:v>2521558.3508034218</c:v>
                </c:pt>
                <c:pt idx="14">
                  <c:v>2581578.8589861328</c:v>
                </c:pt>
                <c:pt idx="15">
                  <c:v>2581578.8589861328</c:v>
                </c:pt>
                <c:pt idx="16">
                  <c:v>2581578.8589861328</c:v>
                </c:pt>
                <c:pt idx="17">
                  <c:v>2581578.8589861328</c:v>
                </c:pt>
                <c:pt idx="18">
                  <c:v>2581578.8589861328</c:v>
                </c:pt>
                <c:pt idx="19">
                  <c:v>2581578.8589861328</c:v>
                </c:pt>
                <c:pt idx="20">
                  <c:v>2591582.2770165848</c:v>
                </c:pt>
                <c:pt idx="21">
                  <c:v>2631595.9491383918</c:v>
                </c:pt>
                <c:pt idx="22">
                  <c:v>2631595.9491383918</c:v>
                </c:pt>
                <c:pt idx="23">
                  <c:v>2631595.9491383918</c:v>
                </c:pt>
                <c:pt idx="24">
                  <c:v>2631595.9491383918</c:v>
                </c:pt>
                <c:pt idx="25">
                  <c:v>2671609.6212601997</c:v>
                </c:pt>
                <c:pt idx="26">
                  <c:v>2681613.0392906512</c:v>
                </c:pt>
                <c:pt idx="27">
                  <c:v>2701619.8753515547</c:v>
                </c:pt>
                <c:pt idx="28">
                  <c:v>2711623.2933820067</c:v>
                </c:pt>
                <c:pt idx="29">
                  <c:v>2711623.2933820067</c:v>
                </c:pt>
                <c:pt idx="30">
                  <c:v>2721626.7114124587</c:v>
                </c:pt>
                <c:pt idx="31">
                  <c:v>2761640.3835342657</c:v>
                </c:pt>
                <c:pt idx="32">
                  <c:v>2761640.3835342657</c:v>
                </c:pt>
                <c:pt idx="33">
                  <c:v>2761640.3835342657</c:v>
                </c:pt>
                <c:pt idx="34">
                  <c:v>2831664.3097474286</c:v>
                </c:pt>
                <c:pt idx="35">
                  <c:v>2831664.3097474286</c:v>
                </c:pt>
                <c:pt idx="36">
                  <c:v>2831664.3097474286</c:v>
                </c:pt>
                <c:pt idx="37">
                  <c:v>2831664.3097474286</c:v>
                </c:pt>
                <c:pt idx="38">
                  <c:v>2861674.5638387841</c:v>
                </c:pt>
                <c:pt idx="39">
                  <c:v>2901688.2359605911</c:v>
                </c:pt>
                <c:pt idx="40">
                  <c:v>2901688.2359605911</c:v>
                </c:pt>
                <c:pt idx="41">
                  <c:v>2901688.2359605911</c:v>
                </c:pt>
                <c:pt idx="42">
                  <c:v>2901688.2359605911</c:v>
                </c:pt>
                <c:pt idx="43">
                  <c:v>2901688.2359605911</c:v>
                </c:pt>
                <c:pt idx="44">
                  <c:v>2901688.2359605911</c:v>
                </c:pt>
                <c:pt idx="45">
                  <c:v>2901688.2359605911</c:v>
                </c:pt>
                <c:pt idx="46">
                  <c:v>2951705.3261128506</c:v>
                </c:pt>
                <c:pt idx="47">
                  <c:v>2951705.3261128506</c:v>
                </c:pt>
                <c:pt idx="48">
                  <c:v>2951705.3261128506</c:v>
                </c:pt>
                <c:pt idx="49">
                  <c:v>2951705.3261128506</c:v>
                </c:pt>
                <c:pt idx="50">
                  <c:v>3051739.5064173685</c:v>
                </c:pt>
                <c:pt idx="51">
                  <c:v>3051739.5064173685</c:v>
                </c:pt>
                <c:pt idx="52">
                  <c:v>3071746.3424782725</c:v>
                </c:pt>
                <c:pt idx="53">
                  <c:v>3211794.1949045979</c:v>
                </c:pt>
                <c:pt idx="54">
                  <c:v>3211794.1949045979</c:v>
                </c:pt>
                <c:pt idx="55">
                  <c:v>3211794.1949045979</c:v>
                </c:pt>
                <c:pt idx="56">
                  <c:v>3211794.1949045979</c:v>
                </c:pt>
                <c:pt idx="57">
                  <c:v>3271814.7030873089</c:v>
                </c:pt>
                <c:pt idx="58">
                  <c:v>3271814.7030873089</c:v>
                </c:pt>
                <c:pt idx="59">
                  <c:v>3321831.7932395679</c:v>
                </c:pt>
                <c:pt idx="60">
                  <c:v>3321831.7932395679</c:v>
                </c:pt>
                <c:pt idx="61">
                  <c:v>3321831.7932395679</c:v>
                </c:pt>
                <c:pt idx="62">
                  <c:v>3321831.7932395679</c:v>
                </c:pt>
                <c:pt idx="63">
                  <c:v>3321831.7932395679</c:v>
                </c:pt>
                <c:pt idx="64">
                  <c:v>3321831.7932395679</c:v>
                </c:pt>
                <c:pt idx="65">
                  <c:v>3321831.7932395679</c:v>
                </c:pt>
                <c:pt idx="66">
                  <c:v>3321831.7932395679</c:v>
                </c:pt>
                <c:pt idx="67">
                  <c:v>3321831.7932395679</c:v>
                </c:pt>
                <c:pt idx="68">
                  <c:v>3321831.7932395679</c:v>
                </c:pt>
                <c:pt idx="69">
                  <c:v>3471883.0636963453</c:v>
                </c:pt>
                <c:pt idx="70">
                  <c:v>3591924.0800617673</c:v>
                </c:pt>
                <c:pt idx="71">
                  <c:v>3601927.4980922192</c:v>
                </c:pt>
                <c:pt idx="72">
                  <c:v>3631937.7521835747</c:v>
                </c:pt>
                <c:pt idx="73">
                  <c:v>3631937.7521835747</c:v>
                </c:pt>
                <c:pt idx="74">
                  <c:v>3982057.3832493885</c:v>
                </c:pt>
                <c:pt idx="75">
                  <c:v>4102098.3996148105</c:v>
                </c:pt>
                <c:pt idx="76">
                  <c:v>4162118.9077975214</c:v>
                </c:pt>
                <c:pt idx="77">
                  <c:v>4212135.9979497809</c:v>
                </c:pt>
                <c:pt idx="78">
                  <c:v>4292163.3421933949</c:v>
                </c:pt>
                <c:pt idx="79">
                  <c:v>4292163.3421933949</c:v>
                </c:pt>
                <c:pt idx="80">
                  <c:v>4440405.745504465</c:v>
                </c:pt>
                <c:pt idx="81">
                  <c:v>4440405.745504465</c:v>
                </c:pt>
                <c:pt idx="82">
                  <c:v>4563941.0815970208</c:v>
                </c:pt>
                <c:pt idx="83">
                  <c:v>4638062.2832525559</c:v>
                </c:pt>
                <c:pt idx="84">
                  <c:v>4638062.2832525559</c:v>
                </c:pt>
                <c:pt idx="85">
                  <c:v>4934547.0898746941</c:v>
                </c:pt>
                <c:pt idx="86">
                  <c:v>4934547.0898746941</c:v>
                </c:pt>
                <c:pt idx="87">
                  <c:v>4934547.0898746941</c:v>
                </c:pt>
                <c:pt idx="88">
                  <c:v>4934547.0898746941</c:v>
                </c:pt>
                <c:pt idx="89">
                  <c:v>4934547.0898746941</c:v>
                </c:pt>
                <c:pt idx="90">
                  <c:v>4934547.0898746941</c:v>
                </c:pt>
                <c:pt idx="91">
                  <c:v>4934547.0898746941</c:v>
                </c:pt>
                <c:pt idx="92">
                  <c:v>5026874.9692078792</c:v>
                </c:pt>
                <c:pt idx="93">
                  <c:v>5180754.7680965234</c:v>
                </c:pt>
                <c:pt idx="94">
                  <c:v>5303858.6072074398</c:v>
                </c:pt>
                <c:pt idx="95">
                  <c:v>5303858.6072074398</c:v>
                </c:pt>
                <c:pt idx="96">
                  <c:v>5303858.6072074398</c:v>
                </c:pt>
                <c:pt idx="97">
                  <c:v>5303858.6072074398</c:v>
                </c:pt>
                <c:pt idx="98">
                  <c:v>5303858.6072074398</c:v>
                </c:pt>
                <c:pt idx="99">
                  <c:v>5303858.6072074398</c:v>
                </c:pt>
                <c:pt idx="100">
                  <c:v>5303858.6072074398</c:v>
                </c:pt>
                <c:pt idx="101">
                  <c:v>5303858.6072074398</c:v>
                </c:pt>
                <c:pt idx="102">
                  <c:v>5334634.5669851676</c:v>
                </c:pt>
                <c:pt idx="103">
                  <c:v>5365410.5267628971</c:v>
                </c:pt>
                <c:pt idx="104">
                  <c:v>5365410.5267628971</c:v>
                </c:pt>
                <c:pt idx="105">
                  <c:v>5673170.1245401856</c:v>
                </c:pt>
                <c:pt idx="106">
                  <c:v>5673170.1245401856</c:v>
                </c:pt>
                <c:pt idx="107">
                  <c:v>6350241.2396502197</c:v>
                </c:pt>
                <c:pt idx="108">
                  <c:v>6350241.2396502197</c:v>
                </c:pt>
                <c:pt idx="109">
                  <c:v>6350241.2396502197</c:v>
                </c:pt>
                <c:pt idx="110">
                  <c:v>6350241.2396502197</c:v>
                </c:pt>
                <c:pt idx="111">
                  <c:v>6350241.2396502197</c:v>
                </c:pt>
                <c:pt idx="112">
                  <c:v>6658000.8374275099</c:v>
                </c:pt>
                <c:pt idx="113">
                  <c:v>6658000.8374275099</c:v>
                </c:pt>
                <c:pt idx="114">
                  <c:v>6658000.8374275099</c:v>
                </c:pt>
                <c:pt idx="115">
                  <c:v>6811880.6363161542</c:v>
                </c:pt>
                <c:pt idx="116">
                  <c:v>7150416.1938711703</c:v>
                </c:pt>
                <c:pt idx="117">
                  <c:v>7335071.9525375441</c:v>
                </c:pt>
                <c:pt idx="118">
                  <c:v>7458175.7916484587</c:v>
                </c:pt>
                <c:pt idx="119">
                  <c:v>8966197.820757173</c:v>
                </c:pt>
                <c:pt idx="120">
                  <c:v>9243181.4587567337</c:v>
                </c:pt>
                <c:pt idx="121">
                  <c:v>9366285.2978676483</c:v>
                </c:pt>
                <c:pt idx="122">
                  <c:v>9858700.6543113105</c:v>
                </c:pt>
                <c:pt idx="123">
                  <c:v>9951028.5336444974</c:v>
                </c:pt>
                <c:pt idx="124">
                  <c:v>9951028.5336444974</c:v>
                </c:pt>
                <c:pt idx="125">
                  <c:v>9951028.5336444974</c:v>
                </c:pt>
                <c:pt idx="126">
                  <c:v>11182066.924753651</c:v>
                </c:pt>
                <c:pt idx="127">
                  <c:v>11520602.482308667</c:v>
                </c:pt>
                <c:pt idx="128">
                  <c:v>11797586.120308228</c:v>
                </c:pt>
                <c:pt idx="129">
                  <c:v>11982241.878974602</c:v>
                </c:pt>
                <c:pt idx="130">
                  <c:v>12197673.597418703</c:v>
                </c:pt>
                <c:pt idx="131">
                  <c:v>12228449.557196431</c:v>
                </c:pt>
                <c:pt idx="132">
                  <c:v>12813192.79297328</c:v>
                </c:pt>
                <c:pt idx="133">
                  <c:v>12905520.672306467</c:v>
                </c:pt>
                <c:pt idx="134">
                  <c:v>13244056.229861483</c:v>
                </c:pt>
                <c:pt idx="135">
                  <c:v>13244056.229861483</c:v>
                </c:pt>
                <c:pt idx="136">
                  <c:v>17521914.638965793</c:v>
                </c:pt>
                <c:pt idx="137">
                  <c:v>24292625.790066142</c:v>
                </c:pt>
                <c:pt idx="138">
                  <c:v>25000472.864953905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19-4008-BFBA-85F2C643F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40336"/>
        <c:axId val="629740664"/>
      </c:scatterChart>
      <c:valAx>
        <c:axId val="629740336"/>
        <c:scaling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740664"/>
        <c:crosses val="autoZero"/>
        <c:crossBetween val="midCat"/>
      </c:valAx>
      <c:valAx>
        <c:axId val="62974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740336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Datos!$AR$5</c:f>
              <c:strCache>
                <c:ptCount val="1"/>
                <c:pt idx="0">
                  <c:v>CT Ajustado Q3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Datos!$P$6:$P$145</c:f>
              <c:numCache>
                <c:formatCode>General</c:formatCode>
                <c:ptCount val="139"/>
                <c:pt idx="0">
                  <c:v>94</c:v>
                </c:pt>
                <c:pt idx="1">
                  <c:v>138</c:v>
                </c:pt>
                <c:pt idx="2">
                  <c:v>142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193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200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204</c:v>
                </c:pt>
                <c:pt idx="25">
                  <c:v>208</c:v>
                </c:pt>
                <c:pt idx="26">
                  <c:v>209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213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227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231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246</c:v>
                </c:pt>
                <c:pt idx="51">
                  <c:v>246</c:v>
                </c:pt>
                <c:pt idx="52">
                  <c:v>248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262</c:v>
                </c:pt>
                <c:pt idx="57">
                  <c:v>268</c:v>
                </c:pt>
                <c:pt idx="58">
                  <c:v>268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273</c:v>
                </c:pt>
                <c:pt idx="69">
                  <c:v>288</c:v>
                </c:pt>
                <c:pt idx="70">
                  <c:v>300</c:v>
                </c:pt>
                <c:pt idx="71">
                  <c:v>301</c:v>
                </c:pt>
                <c:pt idx="72">
                  <c:v>304</c:v>
                </c:pt>
                <c:pt idx="73">
                  <c:v>304</c:v>
                </c:pt>
                <c:pt idx="74">
                  <c:v>339</c:v>
                </c:pt>
                <c:pt idx="75">
                  <c:v>351</c:v>
                </c:pt>
                <c:pt idx="76">
                  <c:v>357</c:v>
                </c:pt>
                <c:pt idx="77">
                  <c:v>362</c:v>
                </c:pt>
                <c:pt idx="78">
                  <c:v>370</c:v>
                </c:pt>
                <c:pt idx="79">
                  <c:v>370</c:v>
                </c:pt>
                <c:pt idx="80">
                  <c:v>376</c:v>
                </c:pt>
                <c:pt idx="81">
                  <c:v>376</c:v>
                </c:pt>
                <c:pt idx="82">
                  <c:v>381</c:v>
                </c:pt>
                <c:pt idx="83">
                  <c:v>384</c:v>
                </c:pt>
                <c:pt idx="84">
                  <c:v>384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396</c:v>
                </c:pt>
                <c:pt idx="92">
                  <c:v>399</c:v>
                </c:pt>
                <c:pt idx="93">
                  <c:v>404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408</c:v>
                </c:pt>
                <c:pt idx="102">
                  <c:v>409</c:v>
                </c:pt>
                <c:pt idx="103">
                  <c:v>410</c:v>
                </c:pt>
                <c:pt idx="104">
                  <c:v>410</c:v>
                </c:pt>
                <c:pt idx="105">
                  <c:v>420</c:v>
                </c:pt>
                <c:pt idx="106">
                  <c:v>420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442</c:v>
                </c:pt>
                <c:pt idx="112">
                  <c:v>452</c:v>
                </c:pt>
                <c:pt idx="113">
                  <c:v>452</c:v>
                </c:pt>
                <c:pt idx="114">
                  <c:v>452</c:v>
                </c:pt>
                <c:pt idx="115">
                  <c:v>457</c:v>
                </c:pt>
                <c:pt idx="116">
                  <c:v>468</c:v>
                </c:pt>
                <c:pt idx="117">
                  <c:v>474</c:v>
                </c:pt>
                <c:pt idx="118">
                  <c:v>478</c:v>
                </c:pt>
                <c:pt idx="119">
                  <c:v>527</c:v>
                </c:pt>
                <c:pt idx="120">
                  <c:v>536</c:v>
                </c:pt>
                <c:pt idx="121">
                  <c:v>540</c:v>
                </c:pt>
                <c:pt idx="122">
                  <c:v>556</c:v>
                </c:pt>
                <c:pt idx="123">
                  <c:v>559</c:v>
                </c:pt>
                <c:pt idx="124">
                  <c:v>559</c:v>
                </c:pt>
                <c:pt idx="125">
                  <c:v>559</c:v>
                </c:pt>
                <c:pt idx="126">
                  <c:v>599</c:v>
                </c:pt>
                <c:pt idx="127">
                  <c:v>610</c:v>
                </c:pt>
                <c:pt idx="128">
                  <c:v>619</c:v>
                </c:pt>
                <c:pt idx="129">
                  <c:v>625</c:v>
                </c:pt>
                <c:pt idx="130">
                  <c:v>632</c:v>
                </c:pt>
                <c:pt idx="131">
                  <c:v>633</c:v>
                </c:pt>
                <c:pt idx="132">
                  <c:v>652</c:v>
                </c:pt>
                <c:pt idx="133">
                  <c:v>655</c:v>
                </c:pt>
                <c:pt idx="134">
                  <c:v>666</c:v>
                </c:pt>
                <c:pt idx="135">
                  <c:v>666</c:v>
                </c:pt>
                <c:pt idx="136">
                  <c:v>805</c:v>
                </c:pt>
                <c:pt idx="137">
                  <c:v>1025</c:v>
                </c:pt>
                <c:pt idx="138">
                  <c:v>1048</c:v>
                </c:pt>
              </c:numCache>
            </c:numRef>
          </c:xVal>
          <c:yVal>
            <c:numRef>
              <c:f>Datos!$AR$6:$AR$144</c:f>
              <c:numCache>
                <c:formatCode>#,##0</c:formatCode>
                <c:ptCount val="139"/>
                <c:pt idx="0">
                  <c:v>2362963.4937939825</c:v>
                </c:pt>
                <c:pt idx="1">
                  <c:v>3209995.3645706368</c:v>
                </c:pt>
                <c:pt idx="2">
                  <c:v>3286998.2619139692</c:v>
                </c:pt>
                <c:pt idx="3">
                  <c:v>3787517.0946456287</c:v>
                </c:pt>
                <c:pt idx="4">
                  <c:v>3787517.0946456287</c:v>
                </c:pt>
                <c:pt idx="5">
                  <c:v>3787517.0946456287</c:v>
                </c:pt>
                <c:pt idx="6">
                  <c:v>3787517.0946456287</c:v>
                </c:pt>
                <c:pt idx="7">
                  <c:v>3787517.0946456287</c:v>
                </c:pt>
                <c:pt idx="8">
                  <c:v>3787517.0946456287</c:v>
                </c:pt>
                <c:pt idx="9">
                  <c:v>3787517.0946456287</c:v>
                </c:pt>
                <c:pt idx="10">
                  <c:v>4249534.4787056223</c:v>
                </c:pt>
                <c:pt idx="11">
                  <c:v>4249534.4787056223</c:v>
                </c:pt>
                <c:pt idx="12">
                  <c:v>4249534.4787056223</c:v>
                </c:pt>
                <c:pt idx="13">
                  <c:v>4268785.2030414548</c:v>
                </c:pt>
                <c:pt idx="14">
                  <c:v>4384289.5490564536</c:v>
                </c:pt>
                <c:pt idx="15">
                  <c:v>4384289.5490564536</c:v>
                </c:pt>
                <c:pt idx="16">
                  <c:v>4384289.5490564536</c:v>
                </c:pt>
                <c:pt idx="17">
                  <c:v>4384289.5490564536</c:v>
                </c:pt>
                <c:pt idx="18">
                  <c:v>4384289.5490564536</c:v>
                </c:pt>
                <c:pt idx="19">
                  <c:v>4384289.5490564536</c:v>
                </c:pt>
                <c:pt idx="20">
                  <c:v>4403540.2733922862</c:v>
                </c:pt>
                <c:pt idx="21">
                  <c:v>4480543.1707356181</c:v>
                </c:pt>
                <c:pt idx="22">
                  <c:v>4480543.1707356181</c:v>
                </c:pt>
                <c:pt idx="23">
                  <c:v>4480543.1707356181</c:v>
                </c:pt>
                <c:pt idx="24">
                  <c:v>4480543.1707356181</c:v>
                </c:pt>
                <c:pt idx="25">
                  <c:v>4557546.06807895</c:v>
                </c:pt>
                <c:pt idx="26">
                  <c:v>4576796.7924147835</c:v>
                </c:pt>
                <c:pt idx="27">
                  <c:v>4615298.2410864495</c:v>
                </c:pt>
                <c:pt idx="28">
                  <c:v>4634548.9654222829</c:v>
                </c:pt>
                <c:pt idx="29">
                  <c:v>4634548.9654222829</c:v>
                </c:pt>
                <c:pt idx="30">
                  <c:v>4653799.6897581164</c:v>
                </c:pt>
                <c:pt idx="31">
                  <c:v>4730802.5871014483</c:v>
                </c:pt>
                <c:pt idx="32">
                  <c:v>4730802.5871014483</c:v>
                </c:pt>
                <c:pt idx="33">
                  <c:v>4730802.5871014483</c:v>
                </c:pt>
                <c:pt idx="34">
                  <c:v>4865557.6574522797</c:v>
                </c:pt>
                <c:pt idx="35">
                  <c:v>4865557.6574522797</c:v>
                </c:pt>
                <c:pt idx="36">
                  <c:v>4865557.6574522797</c:v>
                </c:pt>
                <c:pt idx="37">
                  <c:v>4865557.6574522797</c:v>
                </c:pt>
                <c:pt idx="38">
                  <c:v>4923309.8304597782</c:v>
                </c:pt>
                <c:pt idx="39">
                  <c:v>5000312.7278031111</c:v>
                </c:pt>
                <c:pt idx="40">
                  <c:v>5000312.7278031111</c:v>
                </c:pt>
                <c:pt idx="41">
                  <c:v>5000312.7278031111</c:v>
                </c:pt>
                <c:pt idx="42">
                  <c:v>5000312.7278031111</c:v>
                </c:pt>
                <c:pt idx="43">
                  <c:v>5000312.7278031111</c:v>
                </c:pt>
                <c:pt idx="44">
                  <c:v>5000312.7278031111</c:v>
                </c:pt>
                <c:pt idx="45">
                  <c:v>5000312.7278031111</c:v>
                </c:pt>
                <c:pt idx="46">
                  <c:v>5096566.3494822765</c:v>
                </c:pt>
                <c:pt idx="47">
                  <c:v>5096566.3494822765</c:v>
                </c:pt>
                <c:pt idx="48">
                  <c:v>5096566.3494822765</c:v>
                </c:pt>
                <c:pt idx="49">
                  <c:v>5096566.3494822765</c:v>
                </c:pt>
                <c:pt idx="50">
                  <c:v>5289073.5928406063</c:v>
                </c:pt>
                <c:pt idx="51">
                  <c:v>5289073.5928406063</c:v>
                </c:pt>
                <c:pt idx="52">
                  <c:v>5327575.0415122723</c:v>
                </c:pt>
                <c:pt idx="53">
                  <c:v>5597085.1822139351</c:v>
                </c:pt>
                <c:pt idx="54">
                  <c:v>5597085.1822139351</c:v>
                </c:pt>
                <c:pt idx="55">
                  <c:v>5597085.1822139351</c:v>
                </c:pt>
                <c:pt idx="56">
                  <c:v>5597085.1822139351</c:v>
                </c:pt>
                <c:pt idx="57">
                  <c:v>5712589.5282289339</c:v>
                </c:pt>
                <c:pt idx="58">
                  <c:v>5712589.5282289339</c:v>
                </c:pt>
                <c:pt idx="59">
                  <c:v>5808843.1499080993</c:v>
                </c:pt>
                <c:pt idx="60">
                  <c:v>5808843.1499080993</c:v>
                </c:pt>
                <c:pt idx="61">
                  <c:v>5808843.1499080993</c:v>
                </c:pt>
                <c:pt idx="62">
                  <c:v>5808843.1499080993</c:v>
                </c:pt>
                <c:pt idx="63">
                  <c:v>5808843.1499080993</c:v>
                </c:pt>
                <c:pt idx="64">
                  <c:v>5808843.1499080993</c:v>
                </c:pt>
                <c:pt idx="65">
                  <c:v>5808843.1499080993</c:v>
                </c:pt>
                <c:pt idx="66">
                  <c:v>5808843.1499080993</c:v>
                </c:pt>
                <c:pt idx="67">
                  <c:v>5808843.1499080993</c:v>
                </c:pt>
                <c:pt idx="68">
                  <c:v>5808843.1499080993</c:v>
                </c:pt>
                <c:pt idx="69">
                  <c:v>6097604.0149455946</c:v>
                </c:pt>
                <c:pt idx="70">
                  <c:v>6328612.7069755914</c:v>
                </c:pt>
                <c:pt idx="71">
                  <c:v>6347863.4313114248</c:v>
                </c:pt>
                <c:pt idx="72">
                  <c:v>6405615.6043189233</c:v>
                </c:pt>
                <c:pt idx="73">
                  <c:v>6405615.6043189233</c:v>
                </c:pt>
                <c:pt idx="74">
                  <c:v>7079390.9560730802</c:v>
                </c:pt>
                <c:pt idx="75">
                  <c:v>7310399.648103077</c:v>
                </c:pt>
                <c:pt idx="76">
                  <c:v>7425903.9941180758</c:v>
                </c:pt>
                <c:pt idx="77">
                  <c:v>7522157.6157972403</c:v>
                </c:pt>
                <c:pt idx="78">
                  <c:v>7676163.4104839051</c:v>
                </c:pt>
                <c:pt idx="79">
                  <c:v>7676163.4104839051</c:v>
                </c:pt>
                <c:pt idx="80">
                  <c:v>7791667.756498903</c:v>
                </c:pt>
                <c:pt idx="81">
                  <c:v>7791667.756498903</c:v>
                </c:pt>
                <c:pt idx="82">
                  <c:v>7887921.3781780684</c:v>
                </c:pt>
                <c:pt idx="83">
                  <c:v>7945673.5511855679</c:v>
                </c:pt>
                <c:pt idx="84">
                  <c:v>7945673.5511855679</c:v>
                </c:pt>
                <c:pt idx="85">
                  <c:v>8176682.2432155646</c:v>
                </c:pt>
                <c:pt idx="86">
                  <c:v>8176682.2432155646</c:v>
                </c:pt>
                <c:pt idx="87">
                  <c:v>8176682.2432155646</c:v>
                </c:pt>
                <c:pt idx="88">
                  <c:v>8176682.2432155646</c:v>
                </c:pt>
                <c:pt idx="89">
                  <c:v>8176682.2432155646</c:v>
                </c:pt>
                <c:pt idx="90">
                  <c:v>8176682.2432155646</c:v>
                </c:pt>
                <c:pt idx="91">
                  <c:v>8176682.2432155646</c:v>
                </c:pt>
                <c:pt idx="92">
                  <c:v>8234434.4162230641</c:v>
                </c:pt>
                <c:pt idx="93">
                  <c:v>8330688.0379022285</c:v>
                </c:pt>
                <c:pt idx="94">
                  <c:v>8407690.9352455623</c:v>
                </c:pt>
                <c:pt idx="95">
                  <c:v>8407690.9352455623</c:v>
                </c:pt>
                <c:pt idx="96">
                  <c:v>8407690.9352455623</c:v>
                </c:pt>
                <c:pt idx="97">
                  <c:v>8407690.9352455623</c:v>
                </c:pt>
                <c:pt idx="98">
                  <c:v>8407690.9352455623</c:v>
                </c:pt>
                <c:pt idx="99">
                  <c:v>8407690.9352455623</c:v>
                </c:pt>
                <c:pt idx="100">
                  <c:v>8407690.9352455623</c:v>
                </c:pt>
                <c:pt idx="101">
                  <c:v>8407690.9352455623</c:v>
                </c:pt>
                <c:pt idx="102">
                  <c:v>8426941.659581393</c:v>
                </c:pt>
                <c:pt idx="103">
                  <c:v>8446192.3839172274</c:v>
                </c:pt>
                <c:pt idx="104">
                  <c:v>8446192.3839172274</c:v>
                </c:pt>
                <c:pt idx="105">
                  <c:v>8638699.6272755582</c:v>
                </c:pt>
                <c:pt idx="106">
                  <c:v>8638699.6272755582</c:v>
                </c:pt>
                <c:pt idx="107">
                  <c:v>9062215.5626638848</c:v>
                </c:pt>
                <c:pt idx="108">
                  <c:v>9062215.5626638848</c:v>
                </c:pt>
                <c:pt idx="109">
                  <c:v>9062215.5626638848</c:v>
                </c:pt>
                <c:pt idx="110">
                  <c:v>9062215.5626638848</c:v>
                </c:pt>
                <c:pt idx="111">
                  <c:v>9062215.5626638848</c:v>
                </c:pt>
                <c:pt idx="112">
                  <c:v>9327228.4731378946</c:v>
                </c:pt>
                <c:pt idx="113">
                  <c:v>9327228.4731378946</c:v>
                </c:pt>
                <c:pt idx="114">
                  <c:v>9327228.4731378946</c:v>
                </c:pt>
                <c:pt idx="115">
                  <c:v>9459734.9283748996</c:v>
                </c:pt>
                <c:pt idx="116">
                  <c:v>9751249.1298963111</c:v>
                </c:pt>
                <c:pt idx="117">
                  <c:v>9910256.8761807177</c:v>
                </c:pt>
                <c:pt idx="118">
                  <c:v>10016262.040370321</c:v>
                </c:pt>
                <c:pt idx="119">
                  <c:v>11314825.30169297</c:v>
                </c:pt>
                <c:pt idx="120">
                  <c:v>11553336.92111958</c:v>
                </c:pt>
                <c:pt idx="121">
                  <c:v>11659342.085309183</c:v>
                </c:pt>
                <c:pt idx="122">
                  <c:v>12083362.7420676</c:v>
                </c:pt>
                <c:pt idx="123">
                  <c:v>12162866.615209803</c:v>
                </c:pt>
                <c:pt idx="124">
                  <c:v>12162866.615209803</c:v>
                </c:pt>
                <c:pt idx="125">
                  <c:v>12162866.615209803</c:v>
                </c:pt>
                <c:pt idx="126">
                  <c:v>13222918.257105844</c:v>
                </c:pt>
                <c:pt idx="127">
                  <c:v>13514432.458627254</c:v>
                </c:pt>
                <c:pt idx="128">
                  <c:v>13752944.078053864</c:v>
                </c:pt>
                <c:pt idx="129">
                  <c:v>13911951.82433827</c:v>
                </c:pt>
                <c:pt idx="130">
                  <c:v>14097460.861670077</c:v>
                </c:pt>
                <c:pt idx="131">
                  <c:v>14188905.641885571</c:v>
                </c:pt>
                <c:pt idx="132">
                  <c:v>15926356.465980023</c:v>
                </c:pt>
                <c:pt idx="133">
                  <c:v>16200690.806626514</c:v>
                </c:pt>
                <c:pt idx="134">
                  <c:v>17206583.388996981</c:v>
                </c:pt>
                <c:pt idx="135">
                  <c:v>17206583.388996981</c:v>
                </c:pt>
                <c:pt idx="136">
                  <c:v>29917407.838951111</c:v>
                </c:pt>
                <c:pt idx="137">
                  <c:v>50035259.486360535</c:v>
                </c:pt>
                <c:pt idx="138">
                  <c:v>52138489.431316972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0D-4B7D-A4D5-9BB4A49C6EDB}"/>
            </c:ext>
          </c:extLst>
        </c:ser>
        <c:ser>
          <c:idx val="1"/>
          <c:order val="1"/>
          <c:tx>
            <c:strRef>
              <c:f>Datos!$AQ$5</c:f>
              <c:strCache>
                <c:ptCount val="1"/>
                <c:pt idx="0">
                  <c:v>G+ V Ajustado Q3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Datos!$P$6:$P$145</c:f>
              <c:numCache>
                <c:formatCode>General</c:formatCode>
                <c:ptCount val="139"/>
                <c:pt idx="0">
                  <c:v>94</c:v>
                </c:pt>
                <c:pt idx="1">
                  <c:v>138</c:v>
                </c:pt>
                <c:pt idx="2">
                  <c:v>142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193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200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204</c:v>
                </c:pt>
                <c:pt idx="25">
                  <c:v>208</c:v>
                </c:pt>
                <c:pt idx="26">
                  <c:v>209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213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227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231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246</c:v>
                </c:pt>
                <c:pt idx="51">
                  <c:v>246</c:v>
                </c:pt>
                <c:pt idx="52">
                  <c:v>248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262</c:v>
                </c:pt>
                <c:pt idx="57">
                  <c:v>268</c:v>
                </c:pt>
                <c:pt idx="58">
                  <c:v>268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273</c:v>
                </c:pt>
                <c:pt idx="69">
                  <c:v>288</c:v>
                </c:pt>
                <c:pt idx="70">
                  <c:v>300</c:v>
                </c:pt>
                <c:pt idx="71">
                  <c:v>301</c:v>
                </c:pt>
                <c:pt idx="72">
                  <c:v>304</c:v>
                </c:pt>
                <c:pt idx="73">
                  <c:v>304</c:v>
                </c:pt>
                <c:pt idx="74">
                  <c:v>339</c:v>
                </c:pt>
                <c:pt idx="75">
                  <c:v>351</c:v>
                </c:pt>
                <c:pt idx="76">
                  <c:v>357</c:v>
                </c:pt>
                <c:pt idx="77">
                  <c:v>362</c:v>
                </c:pt>
                <c:pt idx="78">
                  <c:v>370</c:v>
                </c:pt>
                <c:pt idx="79">
                  <c:v>370</c:v>
                </c:pt>
                <c:pt idx="80">
                  <c:v>376</c:v>
                </c:pt>
                <c:pt idx="81">
                  <c:v>376</c:v>
                </c:pt>
                <c:pt idx="82">
                  <c:v>381</c:v>
                </c:pt>
                <c:pt idx="83">
                  <c:v>384</c:v>
                </c:pt>
                <c:pt idx="84">
                  <c:v>384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396</c:v>
                </c:pt>
                <c:pt idx="92">
                  <c:v>399</c:v>
                </c:pt>
                <c:pt idx="93">
                  <c:v>404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408</c:v>
                </c:pt>
                <c:pt idx="102">
                  <c:v>409</c:v>
                </c:pt>
                <c:pt idx="103">
                  <c:v>410</c:v>
                </c:pt>
                <c:pt idx="104">
                  <c:v>410</c:v>
                </c:pt>
                <c:pt idx="105">
                  <c:v>420</c:v>
                </c:pt>
                <c:pt idx="106">
                  <c:v>420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442</c:v>
                </c:pt>
                <c:pt idx="112">
                  <c:v>452</c:v>
                </c:pt>
                <c:pt idx="113">
                  <c:v>452</c:v>
                </c:pt>
                <c:pt idx="114">
                  <c:v>452</c:v>
                </c:pt>
                <c:pt idx="115">
                  <c:v>457</c:v>
                </c:pt>
                <c:pt idx="116">
                  <c:v>468</c:v>
                </c:pt>
                <c:pt idx="117">
                  <c:v>474</c:v>
                </c:pt>
                <c:pt idx="118">
                  <c:v>478</c:v>
                </c:pt>
                <c:pt idx="119">
                  <c:v>527</c:v>
                </c:pt>
                <c:pt idx="120">
                  <c:v>536</c:v>
                </c:pt>
                <c:pt idx="121">
                  <c:v>540</c:v>
                </c:pt>
                <c:pt idx="122">
                  <c:v>556</c:v>
                </c:pt>
                <c:pt idx="123">
                  <c:v>559</c:v>
                </c:pt>
                <c:pt idx="124">
                  <c:v>559</c:v>
                </c:pt>
                <c:pt idx="125">
                  <c:v>559</c:v>
                </c:pt>
                <c:pt idx="126">
                  <c:v>599</c:v>
                </c:pt>
                <c:pt idx="127">
                  <c:v>610</c:v>
                </c:pt>
                <c:pt idx="128">
                  <c:v>619</c:v>
                </c:pt>
                <c:pt idx="129">
                  <c:v>625</c:v>
                </c:pt>
                <c:pt idx="130">
                  <c:v>632</c:v>
                </c:pt>
                <c:pt idx="131">
                  <c:v>633</c:v>
                </c:pt>
                <c:pt idx="132">
                  <c:v>652</c:v>
                </c:pt>
                <c:pt idx="133">
                  <c:v>655</c:v>
                </c:pt>
                <c:pt idx="134">
                  <c:v>666</c:v>
                </c:pt>
                <c:pt idx="135">
                  <c:v>666</c:v>
                </c:pt>
                <c:pt idx="136">
                  <c:v>805</c:v>
                </c:pt>
                <c:pt idx="137">
                  <c:v>1025</c:v>
                </c:pt>
                <c:pt idx="138">
                  <c:v>1048</c:v>
                </c:pt>
              </c:numCache>
            </c:numRef>
          </c:xVal>
          <c:yVal>
            <c:numRef>
              <c:f>Datos!$AQ$6:$AQ$144</c:f>
              <c:numCache>
                <c:formatCode>#,##0</c:formatCode>
                <c:ptCount val="139"/>
                <c:pt idx="0">
                  <c:v>2282924.5741520803</c:v>
                </c:pt>
                <c:pt idx="1">
                  <c:v>3114310.3154175906</c:v>
                </c:pt>
                <c:pt idx="2">
                  <c:v>3189890.8373508188</c:v>
                </c:pt>
                <c:pt idx="3">
                  <c:v>3681164.2299168021</c:v>
                </c:pt>
                <c:pt idx="4">
                  <c:v>3681164.2299168021</c:v>
                </c:pt>
                <c:pt idx="5">
                  <c:v>3681164.2299168021</c:v>
                </c:pt>
                <c:pt idx="6">
                  <c:v>3681164.2299168021</c:v>
                </c:pt>
                <c:pt idx="7">
                  <c:v>3681164.2299168021</c:v>
                </c:pt>
                <c:pt idx="8">
                  <c:v>3681164.2299168021</c:v>
                </c:pt>
                <c:pt idx="9">
                  <c:v>3681164.2299168021</c:v>
                </c:pt>
                <c:pt idx="10">
                  <c:v>4134647.3615161711</c:v>
                </c:pt>
                <c:pt idx="11">
                  <c:v>4134647.3615161711</c:v>
                </c:pt>
                <c:pt idx="12">
                  <c:v>4134647.3615161711</c:v>
                </c:pt>
                <c:pt idx="13">
                  <c:v>4153542.4919994781</c:v>
                </c:pt>
                <c:pt idx="14">
                  <c:v>4266913.2748993207</c:v>
                </c:pt>
                <c:pt idx="15">
                  <c:v>4266913.2748993207</c:v>
                </c:pt>
                <c:pt idx="16">
                  <c:v>4266913.2748993207</c:v>
                </c:pt>
                <c:pt idx="17">
                  <c:v>4266913.2748993207</c:v>
                </c:pt>
                <c:pt idx="18">
                  <c:v>4266913.2748993207</c:v>
                </c:pt>
                <c:pt idx="19">
                  <c:v>4266913.2748993207</c:v>
                </c:pt>
                <c:pt idx="20">
                  <c:v>4285808.4053826276</c:v>
                </c:pt>
                <c:pt idx="21">
                  <c:v>4361388.9273158554</c:v>
                </c:pt>
                <c:pt idx="22">
                  <c:v>4361388.9273158554</c:v>
                </c:pt>
                <c:pt idx="23">
                  <c:v>4361388.9273158554</c:v>
                </c:pt>
                <c:pt idx="24">
                  <c:v>4361388.9273158554</c:v>
                </c:pt>
                <c:pt idx="25">
                  <c:v>4436969.4492490841</c:v>
                </c:pt>
                <c:pt idx="26">
                  <c:v>4455864.5797323911</c:v>
                </c:pt>
                <c:pt idx="27">
                  <c:v>4493654.8406990049</c:v>
                </c:pt>
                <c:pt idx="28">
                  <c:v>4512549.9711823119</c:v>
                </c:pt>
                <c:pt idx="29">
                  <c:v>4512549.9711823119</c:v>
                </c:pt>
                <c:pt idx="30">
                  <c:v>4531445.1016656198</c:v>
                </c:pt>
                <c:pt idx="31">
                  <c:v>4607025.6235988475</c:v>
                </c:pt>
                <c:pt idx="32">
                  <c:v>4607025.6235988475</c:v>
                </c:pt>
                <c:pt idx="33">
                  <c:v>4607025.6235988475</c:v>
                </c:pt>
                <c:pt idx="34">
                  <c:v>4739291.5369819961</c:v>
                </c:pt>
                <c:pt idx="35">
                  <c:v>4739291.5369819961</c:v>
                </c:pt>
                <c:pt idx="36">
                  <c:v>4739291.5369819961</c:v>
                </c:pt>
                <c:pt idx="37">
                  <c:v>4739291.5369819961</c:v>
                </c:pt>
                <c:pt idx="38">
                  <c:v>4795976.9284319179</c:v>
                </c:pt>
                <c:pt idx="39">
                  <c:v>4871557.4503651457</c:v>
                </c:pt>
                <c:pt idx="40">
                  <c:v>4871557.4503651457</c:v>
                </c:pt>
                <c:pt idx="41">
                  <c:v>4871557.4503651457</c:v>
                </c:pt>
                <c:pt idx="42">
                  <c:v>4871557.4503651457</c:v>
                </c:pt>
                <c:pt idx="43">
                  <c:v>4871557.4503651457</c:v>
                </c:pt>
                <c:pt idx="44">
                  <c:v>4871557.4503651457</c:v>
                </c:pt>
                <c:pt idx="45">
                  <c:v>4871557.4503651457</c:v>
                </c:pt>
                <c:pt idx="46">
                  <c:v>4966033.1027816813</c:v>
                </c:pt>
                <c:pt idx="47">
                  <c:v>4966033.1027816813</c:v>
                </c:pt>
                <c:pt idx="48">
                  <c:v>4966033.1027816813</c:v>
                </c:pt>
                <c:pt idx="49">
                  <c:v>4966033.1027816813</c:v>
                </c:pt>
                <c:pt idx="50">
                  <c:v>5154984.4076147517</c:v>
                </c:pt>
                <c:pt idx="51">
                  <c:v>5154984.4076147517</c:v>
                </c:pt>
                <c:pt idx="52">
                  <c:v>5192774.6685813656</c:v>
                </c:pt>
                <c:pt idx="53">
                  <c:v>5457306.4953476647</c:v>
                </c:pt>
                <c:pt idx="54">
                  <c:v>5457306.4953476647</c:v>
                </c:pt>
                <c:pt idx="55">
                  <c:v>5457306.4953476647</c:v>
                </c:pt>
                <c:pt idx="56">
                  <c:v>5457306.4953476647</c:v>
                </c:pt>
                <c:pt idx="57">
                  <c:v>5570677.2782475064</c:v>
                </c:pt>
                <c:pt idx="58">
                  <c:v>5570677.2782475064</c:v>
                </c:pt>
                <c:pt idx="59">
                  <c:v>5665152.930664042</c:v>
                </c:pt>
                <c:pt idx="60">
                  <c:v>5665152.930664042</c:v>
                </c:pt>
                <c:pt idx="61">
                  <c:v>5665152.930664042</c:v>
                </c:pt>
                <c:pt idx="62">
                  <c:v>5665152.930664042</c:v>
                </c:pt>
                <c:pt idx="63">
                  <c:v>5665152.930664042</c:v>
                </c:pt>
                <c:pt idx="64">
                  <c:v>5665152.930664042</c:v>
                </c:pt>
                <c:pt idx="65">
                  <c:v>5665152.930664042</c:v>
                </c:pt>
                <c:pt idx="66">
                  <c:v>5665152.930664042</c:v>
                </c:pt>
                <c:pt idx="67">
                  <c:v>5665152.930664042</c:v>
                </c:pt>
                <c:pt idx="68">
                  <c:v>5665152.930664042</c:v>
                </c:pt>
                <c:pt idx="69">
                  <c:v>5948579.887913648</c:v>
                </c:pt>
                <c:pt idx="70">
                  <c:v>6175321.4537133323</c:v>
                </c:pt>
                <c:pt idx="71">
                  <c:v>6194216.5841966392</c:v>
                </c:pt>
                <c:pt idx="72">
                  <c:v>6250901.9756465601</c:v>
                </c:pt>
                <c:pt idx="73">
                  <c:v>6250901.9756465601</c:v>
                </c:pt>
                <c:pt idx="74">
                  <c:v>6912231.5425623069</c:v>
                </c:pt>
                <c:pt idx="75">
                  <c:v>7138973.1083619911</c:v>
                </c:pt>
                <c:pt idx="76">
                  <c:v>7252343.8912618337</c:v>
                </c:pt>
                <c:pt idx="77">
                  <c:v>7346819.5436783694</c:v>
                </c:pt>
                <c:pt idx="78">
                  <c:v>7497980.5875448249</c:v>
                </c:pt>
                <c:pt idx="79">
                  <c:v>7497980.5875448249</c:v>
                </c:pt>
                <c:pt idx="80">
                  <c:v>7611351.3704446675</c:v>
                </c:pt>
                <c:pt idx="81">
                  <c:v>7611351.3704446675</c:v>
                </c:pt>
                <c:pt idx="82">
                  <c:v>7705827.0228612032</c:v>
                </c:pt>
                <c:pt idx="83">
                  <c:v>7762512.414311124</c:v>
                </c:pt>
                <c:pt idx="84">
                  <c:v>7762512.414311124</c:v>
                </c:pt>
                <c:pt idx="85">
                  <c:v>7989253.9801108083</c:v>
                </c:pt>
                <c:pt idx="86">
                  <c:v>7989253.9801108083</c:v>
                </c:pt>
                <c:pt idx="87">
                  <c:v>7989253.9801108083</c:v>
                </c:pt>
                <c:pt idx="88">
                  <c:v>7989253.9801108083</c:v>
                </c:pt>
                <c:pt idx="89">
                  <c:v>7989253.9801108083</c:v>
                </c:pt>
                <c:pt idx="90">
                  <c:v>7989253.9801108083</c:v>
                </c:pt>
                <c:pt idx="91">
                  <c:v>7989253.9801108083</c:v>
                </c:pt>
                <c:pt idx="92">
                  <c:v>8045939.37156073</c:v>
                </c:pt>
                <c:pt idx="93">
                  <c:v>8140415.0239772648</c:v>
                </c:pt>
                <c:pt idx="94">
                  <c:v>8215995.5459104935</c:v>
                </c:pt>
                <c:pt idx="95">
                  <c:v>8215995.5459104935</c:v>
                </c:pt>
                <c:pt idx="96">
                  <c:v>8215995.5459104935</c:v>
                </c:pt>
                <c:pt idx="97">
                  <c:v>8215995.5459104935</c:v>
                </c:pt>
                <c:pt idx="98">
                  <c:v>8215995.5459104935</c:v>
                </c:pt>
                <c:pt idx="99">
                  <c:v>8215995.5459104935</c:v>
                </c:pt>
                <c:pt idx="100">
                  <c:v>8215995.5459104935</c:v>
                </c:pt>
                <c:pt idx="101">
                  <c:v>8215995.5459104935</c:v>
                </c:pt>
                <c:pt idx="102">
                  <c:v>8234890.6763938004</c:v>
                </c:pt>
                <c:pt idx="103">
                  <c:v>8253785.8068771074</c:v>
                </c:pt>
                <c:pt idx="104">
                  <c:v>8253785.8068771074</c:v>
                </c:pt>
                <c:pt idx="105">
                  <c:v>8442737.1117101777</c:v>
                </c:pt>
                <c:pt idx="106">
                  <c:v>8442737.1117101777</c:v>
                </c:pt>
                <c:pt idx="107">
                  <c:v>8858429.9823429342</c:v>
                </c:pt>
                <c:pt idx="108">
                  <c:v>8858429.9823429342</c:v>
                </c:pt>
                <c:pt idx="109">
                  <c:v>8858429.9823429342</c:v>
                </c:pt>
                <c:pt idx="110">
                  <c:v>8858429.9823429342</c:v>
                </c:pt>
                <c:pt idx="111">
                  <c:v>8858429.9823429342</c:v>
                </c:pt>
                <c:pt idx="112">
                  <c:v>9136234.4865281321</c:v>
                </c:pt>
                <c:pt idx="113">
                  <c:v>9136234.4865281321</c:v>
                </c:pt>
                <c:pt idx="114">
                  <c:v>9136234.4865281321</c:v>
                </c:pt>
                <c:pt idx="115">
                  <c:v>9275136.7386207301</c:v>
                </c:pt>
                <c:pt idx="116">
                  <c:v>9580721.6932244468</c:v>
                </c:pt>
                <c:pt idx="117">
                  <c:v>9747404.3957355637</c:v>
                </c:pt>
                <c:pt idx="118">
                  <c:v>9858526.1974096429</c:v>
                </c:pt>
                <c:pt idx="119">
                  <c:v>11219768.267917108</c:v>
                </c:pt>
                <c:pt idx="120">
                  <c:v>11469792.321683785</c:v>
                </c:pt>
                <c:pt idx="121">
                  <c:v>11580914.123357862</c:v>
                </c:pt>
                <c:pt idx="122">
                  <c:v>12025401.330054177</c:v>
                </c:pt>
                <c:pt idx="123">
                  <c:v>12108742.681309737</c:v>
                </c:pt>
                <c:pt idx="124">
                  <c:v>12108742.681309737</c:v>
                </c:pt>
                <c:pt idx="125">
                  <c:v>12108742.681309737</c:v>
                </c:pt>
                <c:pt idx="126">
                  <c:v>13219960.698050523</c:v>
                </c:pt>
                <c:pt idx="127">
                  <c:v>13525545.652654242</c:v>
                </c:pt>
                <c:pt idx="128">
                  <c:v>13775569.706420917</c:v>
                </c:pt>
                <c:pt idx="129">
                  <c:v>13942252.408932034</c:v>
                </c:pt>
                <c:pt idx="130">
                  <c:v>14136715.561861672</c:v>
                </c:pt>
                <c:pt idx="131">
                  <c:v>14215434.051272571</c:v>
                </c:pt>
                <c:pt idx="132">
                  <c:v>15711085.350079708</c:v>
                </c:pt>
                <c:pt idx="133">
                  <c:v>15947240.818312414</c:v>
                </c:pt>
                <c:pt idx="134">
                  <c:v>16813144.201832339</c:v>
                </c:pt>
                <c:pt idx="135">
                  <c:v>16813144.201832339</c:v>
                </c:pt>
                <c:pt idx="136">
                  <c:v>27755014.229947709</c:v>
                </c:pt>
                <c:pt idx="137">
                  <c:v>45073081.900346138</c:v>
                </c:pt>
                <c:pt idx="138">
                  <c:v>46883607.15679688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0D-4B7D-A4D5-9BB4A49C6EDB}"/>
            </c:ext>
          </c:extLst>
        </c:ser>
        <c:ser>
          <c:idx val="2"/>
          <c:order val="2"/>
          <c:tx>
            <c:strRef>
              <c:f>Datos!$AP$5</c:f>
              <c:strCache>
                <c:ptCount val="1"/>
                <c:pt idx="0">
                  <c:v>G Ajustado Q3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Datos!$P$6:$P$145</c:f>
              <c:numCache>
                <c:formatCode>General</c:formatCode>
                <c:ptCount val="139"/>
                <c:pt idx="0">
                  <c:v>94</c:v>
                </c:pt>
                <c:pt idx="1">
                  <c:v>138</c:v>
                </c:pt>
                <c:pt idx="2">
                  <c:v>142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193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199</c:v>
                </c:pt>
                <c:pt idx="20">
                  <c:v>200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204</c:v>
                </c:pt>
                <c:pt idx="25">
                  <c:v>208</c:v>
                </c:pt>
                <c:pt idx="26">
                  <c:v>209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213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227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231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236</c:v>
                </c:pt>
                <c:pt idx="50">
                  <c:v>246</c:v>
                </c:pt>
                <c:pt idx="51">
                  <c:v>246</c:v>
                </c:pt>
                <c:pt idx="52">
                  <c:v>248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262</c:v>
                </c:pt>
                <c:pt idx="57">
                  <c:v>268</c:v>
                </c:pt>
                <c:pt idx="58">
                  <c:v>268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273</c:v>
                </c:pt>
                <c:pt idx="69">
                  <c:v>288</c:v>
                </c:pt>
                <c:pt idx="70">
                  <c:v>300</c:v>
                </c:pt>
                <c:pt idx="71">
                  <c:v>301</c:v>
                </c:pt>
                <c:pt idx="72">
                  <c:v>304</c:v>
                </c:pt>
                <c:pt idx="73">
                  <c:v>304</c:v>
                </c:pt>
                <c:pt idx="74">
                  <c:v>339</c:v>
                </c:pt>
                <c:pt idx="75">
                  <c:v>351</c:v>
                </c:pt>
                <c:pt idx="76">
                  <c:v>357</c:v>
                </c:pt>
                <c:pt idx="77">
                  <c:v>362</c:v>
                </c:pt>
                <c:pt idx="78">
                  <c:v>370</c:v>
                </c:pt>
                <c:pt idx="79">
                  <c:v>370</c:v>
                </c:pt>
                <c:pt idx="80">
                  <c:v>376</c:v>
                </c:pt>
                <c:pt idx="81">
                  <c:v>376</c:v>
                </c:pt>
                <c:pt idx="82">
                  <c:v>381</c:v>
                </c:pt>
                <c:pt idx="83">
                  <c:v>384</c:v>
                </c:pt>
                <c:pt idx="84">
                  <c:v>384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396</c:v>
                </c:pt>
                <c:pt idx="92">
                  <c:v>399</c:v>
                </c:pt>
                <c:pt idx="93">
                  <c:v>404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408</c:v>
                </c:pt>
                <c:pt idx="102">
                  <c:v>409</c:v>
                </c:pt>
                <c:pt idx="103">
                  <c:v>410</c:v>
                </c:pt>
                <c:pt idx="104">
                  <c:v>410</c:v>
                </c:pt>
                <c:pt idx="105">
                  <c:v>420</c:v>
                </c:pt>
                <c:pt idx="106">
                  <c:v>420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442</c:v>
                </c:pt>
                <c:pt idx="112">
                  <c:v>452</c:v>
                </c:pt>
                <c:pt idx="113">
                  <c:v>452</c:v>
                </c:pt>
                <c:pt idx="114">
                  <c:v>452</c:v>
                </c:pt>
                <c:pt idx="115">
                  <c:v>457</c:v>
                </c:pt>
                <c:pt idx="116">
                  <c:v>468</c:v>
                </c:pt>
                <c:pt idx="117">
                  <c:v>474</c:v>
                </c:pt>
                <c:pt idx="118">
                  <c:v>478</c:v>
                </c:pt>
                <c:pt idx="119">
                  <c:v>527</c:v>
                </c:pt>
                <c:pt idx="120">
                  <c:v>536</c:v>
                </c:pt>
                <c:pt idx="121">
                  <c:v>540</c:v>
                </c:pt>
                <c:pt idx="122">
                  <c:v>556</c:v>
                </c:pt>
                <c:pt idx="123">
                  <c:v>559</c:v>
                </c:pt>
                <c:pt idx="124">
                  <c:v>559</c:v>
                </c:pt>
                <c:pt idx="125">
                  <c:v>559</c:v>
                </c:pt>
                <c:pt idx="126">
                  <c:v>599</c:v>
                </c:pt>
                <c:pt idx="127">
                  <c:v>610</c:v>
                </c:pt>
                <c:pt idx="128">
                  <c:v>619</c:v>
                </c:pt>
                <c:pt idx="129">
                  <c:v>625</c:v>
                </c:pt>
                <c:pt idx="130">
                  <c:v>632</c:v>
                </c:pt>
                <c:pt idx="131">
                  <c:v>633</c:v>
                </c:pt>
                <c:pt idx="132">
                  <c:v>652</c:v>
                </c:pt>
                <c:pt idx="133">
                  <c:v>655</c:v>
                </c:pt>
                <c:pt idx="134">
                  <c:v>666</c:v>
                </c:pt>
                <c:pt idx="135">
                  <c:v>666</c:v>
                </c:pt>
                <c:pt idx="136">
                  <c:v>805</c:v>
                </c:pt>
                <c:pt idx="137">
                  <c:v>1025</c:v>
                </c:pt>
                <c:pt idx="138">
                  <c:v>1048</c:v>
                </c:pt>
              </c:numCache>
            </c:numRef>
          </c:xVal>
          <c:yVal>
            <c:numRef>
              <c:f>Datos!$AP$6:$AP$144</c:f>
              <c:numCache>
                <c:formatCode>#,##0</c:formatCode>
                <c:ptCount val="139"/>
                <c:pt idx="0">
                  <c:v>2208353.7777883206</c:v>
                </c:pt>
                <c:pt idx="1">
                  <c:v>3020610.4236065303</c:v>
                </c:pt>
                <c:pt idx="2">
                  <c:v>3094451.9368627309</c:v>
                </c:pt>
                <c:pt idx="3">
                  <c:v>3574421.7730280366</c:v>
                </c:pt>
                <c:pt idx="4">
                  <c:v>3574421.7730280366</c:v>
                </c:pt>
                <c:pt idx="5">
                  <c:v>3574421.7730280366</c:v>
                </c:pt>
                <c:pt idx="6">
                  <c:v>3574421.7730280366</c:v>
                </c:pt>
                <c:pt idx="7">
                  <c:v>3574421.7730280366</c:v>
                </c:pt>
                <c:pt idx="8">
                  <c:v>3574421.7730280366</c:v>
                </c:pt>
                <c:pt idx="9">
                  <c:v>3574421.7730280366</c:v>
                </c:pt>
                <c:pt idx="10">
                  <c:v>4017470.852565242</c:v>
                </c:pt>
                <c:pt idx="11">
                  <c:v>4017470.852565242</c:v>
                </c:pt>
                <c:pt idx="12">
                  <c:v>4017470.852565242</c:v>
                </c:pt>
                <c:pt idx="13">
                  <c:v>4035931.2308792924</c:v>
                </c:pt>
                <c:pt idx="14">
                  <c:v>4146693.5007635937</c:v>
                </c:pt>
                <c:pt idx="15">
                  <c:v>4146693.5007635937</c:v>
                </c:pt>
                <c:pt idx="16">
                  <c:v>4146693.5007635937</c:v>
                </c:pt>
                <c:pt idx="17">
                  <c:v>4146693.5007635937</c:v>
                </c:pt>
                <c:pt idx="18">
                  <c:v>4146693.5007635937</c:v>
                </c:pt>
                <c:pt idx="19">
                  <c:v>4146693.5007635937</c:v>
                </c:pt>
                <c:pt idx="20">
                  <c:v>4165153.8790776436</c:v>
                </c:pt>
                <c:pt idx="21">
                  <c:v>4238995.3923338447</c:v>
                </c:pt>
                <c:pt idx="22">
                  <c:v>4238995.3923338447</c:v>
                </c:pt>
                <c:pt idx="23">
                  <c:v>4238995.3923338447</c:v>
                </c:pt>
                <c:pt idx="24">
                  <c:v>4238995.3923338447</c:v>
                </c:pt>
                <c:pt idx="25">
                  <c:v>4312836.9055900453</c:v>
                </c:pt>
                <c:pt idx="26">
                  <c:v>4331297.2839040961</c:v>
                </c:pt>
                <c:pt idx="27">
                  <c:v>4368218.0405321959</c:v>
                </c:pt>
                <c:pt idx="28">
                  <c:v>4386678.4188462459</c:v>
                </c:pt>
                <c:pt idx="29">
                  <c:v>4386678.4188462459</c:v>
                </c:pt>
                <c:pt idx="30">
                  <c:v>4405138.7971602967</c:v>
                </c:pt>
                <c:pt idx="31">
                  <c:v>4478980.3104164973</c:v>
                </c:pt>
                <c:pt idx="32">
                  <c:v>4478980.3104164973</c:v>
                </c:pt>
                <c:pt idx="33">
                  <c:v>4478980.3104164973</c:v>
                </c:pt>
                <c:pt idx="34">
                  <c:v>4608202.9586148486</c:v>
                </c:pt>
                <c:pt idx="35">
                  <c:v>4608202.9586148486</c:v>
                </c:pt>
                <c:pt idx="36">
                  <c:v>4608202.9586148486</c:v>
                </c:pt>
                <c:pt idx="37">
                  <c:v>4608202.9586148486</c:v>
                </c:pt>
                <c:pt idx="38">
                  <c:v>4663584.0935570002</c:v>
                </c:pt>
                <c:pt idx="39">
                  <c:v>4737425.6068132007</c:v>
                </c:pt>
                <c:pt idx="40">
                  <c:v>4737425.6068132007</c:v>
                </c:pt>
                <c:pt idx="41">
                  <c:v>4737425.6068132007</c:v>
                </c:pt>
                <c:pt idx="42">
                  <c:v>4737425.6068132007</c:v>
                </c:pt>
                <c:pt idx="43">
                  <c:v>4737425.6068132007</c:v>
                </c:pt>
                <c:pt idx="44">
                  <c:v>4737425.6068132007</c:v>
                </c:pt>
                <c:pt idx="45">
                  <c:v>4737425.6068132007</c:v>
                </c:pt>
                <c:pt idx="46">
                  <c:v>4829727.4983834513</c:v>
                </c:pt>
                <c:pt idx="47">
                  <c:v>4829727.4983834513</c:v>
                </c:pt>
                <c:pt idx="48">
                  <c:v>4829727.4983834513</c:v>
                </c:pt>
                <c:pt idx="49">
                  <c:v>4829727.4983834513</c:v>
                </c:pt>
                <c:pt idx="50">
                  <c:v>5014331.2815239541</c:v>
                </c:pt>
                <c:pt idx="51">
                  <c:v>5014331.2815239541</c:v>
                </c:pt>
                <c:pt idx="52">
                  <c:v>5051252.038152054</c:v>
                </c:pt>
                <c:pt idx="53">
                  <c:v>5309697.3345487574</c:v>
                </c:pt>
                <c:pt idx="54">
                  <c:v>5309697.3345487574</c:v>
                </c:pt>
                <c:pt idx="55">
                  <c:v>5309697.3345487574</c:v>
                </c:pt>
                <c:pt idx="56">
                  <c:v>5309697.3345487574</c:v>
                </c:pt>
                <c:pt idx="57">
                  <c:v>5420459.6044330588</c:v>
                </c:pt>
                <c:pt idx="58">
                  <c:v>5420459.6044330588</c:v>
                </c:pt>
                <c:pt idx="59">
                  <c:v>5512761.4960033102</c:v>
                </c:pt>
                <c:pt idx="60">
                  <c:v>5512761.4960033102</c:v>
                </c:pt>
                <c:pt idx="61">
                  <c:v>5512761.4960033102</c:v>
                </c:pt>
                <c:pt idx="62">
                  <c:v>5512761.4960033102</c:v>
                </c:pt>
                <c:pt idx="63">
                  <c:v>5512761.4960033102</c:v>
                </c:pt>
                <c:pt idx="64">
                  <c:v>5512761.4960033102</c:v>
                </c:pt>
                <c:pt idx="65">
                  <c:v>5512761.4960033102</c:v>
                </c:pt>
                <c:pt idx="66">
                  <c:v>5512761.4960033102</c:v>
                </c:pt>
                <c:pt idx="67">
                  <c:v>5512761.4960033102</c:v>
                </c:pt>
                <c:pt idx="68">
                  <c:v>5512761.4960033102</c:v>
                </c:pt>
                <c:pt idx="69">
                  <c:v>5789667.1707140626</c:v>
                </c:pt>
                <c:pt idx="70">
                  <c:v>6011191.7104826653</c:v>
                </c:pt>
                <c:pt idx="71">
                  <c:v>6029652.0887967162</c:v>
                </c:pt>
                <c:pt idx="72">
                  <c:v>6085033.2237388669</c:v>
                </c:pt>
                <c:pt idx="73">
                  <c:v>6085033.2237388669</c:v>
                </c:pt>
                <c:pt idx="74">
                  <c:v>6731146.4647306241</c:v>
                </c:pt>
                <c:pt idx="75">
                  <c:v>6952671.0044992268</c:v>
                </c:pt>
                <c:pt idx="76">
                  <c:v>7063433.2743835282</c:v>
                </c:pt>
                <c:pt idx="77">
                  <c:v>7155735.1659537796</c:v>
                </c:pt>
                <c:pt idx="78">
                  <c:v>7303418.1924661808</c:v>
                </c:pt>
                <c:pt idx="79">
                  <c:v>7303418.1924661808</c:v>
                </c:pt>
                <c:pt idx="80">
                  <c:v>7414180.4623504821</c:v>
                </c:pt>
                <c:pt idx="81">
                  <c:v>7414180.4623504821</c:v>
                </c:pt>
                <c:pt idx="82">
                  <c:v>7506482.3539207336</c:v>
                </c:pt>
                <c:pt idx="83">
                  <c:v>7561863.4888628842</c:v>
                </c:pt>
                <c:pt idx="84">
                  <c:v>7561863.4888628842</c:v>
                </c:pt>
                <c:pt idx="85">
                  <c:v>7783388.0286314869</c:v>
                </c:pt>
                <c:pt idx="86">
                  <c:v>7783388.0286314869</c:v>
                </c:pt>
                <c:pt idx="87">
                  <c:v>7783388.0286314869</c:v>
                </c:pt>
                <c:pt idx="88">
                  <c:v>7783388.0286314869</c:v>
                </c:pt>
                <c:pt idx="89">
                  <c:v>7783388.0286314869</c:v>
                </c:pt>
                <c:pt idx="90">
                  <c:v>7783388.0286314869</c:v>
                </c:pt>
                <c:pt idx="91">
                  <c:v>7783388.0286314869</c:v>
                </c:pt>
                <c:pt idx="92">
                  <c:v>7838769.1635736376</c:v>
                </c:pt>
                <c:pt idx="93">
                  <c:v>7931071.055143889</c:v>
                </c:pt>
                <c:pt idx="94">
                  <c:v>8004912.5684000896</c:v>
                </c:pt>
                <c:pt idx="95">
                  <c:v>8004912.5684000896</c:v>
                </c:pt>
                <c:pt idx="96">
                  <c:v>8004912.5684000896</c:v>
                </c:pt>
                <c:pt idx="97">
                  <c:v>8004912.5684000896</c:v>
                </c:pt>
                <c:pt idx="98">
                  <c:v>8004912.5684000896</c:v>
                </c:pt>
                <c:pt idx="99">
                  <c:v>8004912.5684000896</c:v>
                </c:pt>
                <c:pt idx="100">
                  <c:v>8004912.5684000896</c:v>
                </c:pt>
                <c:pt idx="101">
                  <c:v>8004912.5684000896</c:v>
                </c:pt>
                <c:pt idx="102">
                  <c:v>8023372.9467141395</c:v>
                </c:pt>
                <c:pt idx="103">
                  <c:v>8041833.3250281904</c:v>
                </c:pt>
                <c:pt idx="104">
                  <c:v>8041833.3250281904</c:v>
                </c:pt>
                <c:pt idx="105">
                  <c:v>8226437.1081686923</c:v>
                </c:pt>
                <c:pt idx="106">
                  <c:v>8226437.1081686923</c:v>
                </c:pt>
                <c:pt idx="107">
                  <c:v>8632565.4310777988</c:v>
                </c:pt>
                <c:pt idx="108">
                  <c:v>8632565.4310777988</c:v>
                </c:pt>
                <c:pt idx="109">
                  <c:v>8632565.4310777988</c:v>
                </c:pt>
                <c:pt idx="110">
                  <c:v>8632565.4310777988</c:v>
                </c:pt>
                <c:pt idx="111">
                  <c:v>8632565.4310777988</c:v>
                </c:pt>
                <c:pt idx="112">
                  <c:v>8905432.199005438</c:v>
                </c:pt>
                <c:pt idx="113">
                  <c:v>8905432.199005438</c:v>
                </c:pt>
                <c:pt idx="114">
                  <c:v>8905432.199005438</c:v>
                </c:pt>
                <c:pt idx="115">
                  <c:v>9041865.5829692576</c:v>
                </c:pt>
                <c:pt idx="116">
                  <c:v>9342019.0276896618</c:v>
                </c:pt>
                <c:pt idx="117">
                  <c:v>9505739.0884462465</c:v>
                </c:pt>
                <c:pt idx="118">
                  <c:v>9614885.795617301</c:v>
                </c:pt>
                <c:pt idx="119">
                  <c:v>10951932.958462736</c:v>
                </c:pt>
                <c:pt idx="120">
                  <c:v>11197513.049597612</c:v>
                </c:pt>
                <c:pt idx="121">
                  <c:v>11306659.756768668</c:v>
                </c:pt>
                <c:pt idx="122">
                  <c:v>11743246.585452892</c:v>
                </c:pt>
                <c:pt idx="123">
                  <c:v>11825106.615831183</c:v>
                </c:pt>
                <c:pt idx="124">
                  <c:v>11825106.615831183</c:v>
                </c:pt>
                <c:pt idx="125">
                  <c:v>11825106.615831183</c:v>
                </c:pt>
                <c:pt idx="126">
                  <c:v>12916573.687541744</c:v>
                </c:pt>
                <c:pt idx="127">
                  <c:v>13216727.132262146</c:v>
                </c:pt>
                <c:pt idx="128">
                  <c:v>13462307.223397024</c:v>
                </c:pt>
                <c:pt idx="129">
                  <c:v>13626027.284153607</c:v>
                </c:pt>
                <c:pt idx="130">
                  <c:v>13817034.021702945</c:v>
                </c:pt>
                <c:pt idx="131">
                  <c:v>13888903.048665792</c:v>
                </c:pt>
                <c:pt idx="132">
                  <c:v>15254414.560959823</c:v>
                </c:pt>
                <c:pt idx="133">
                  <c:v>15470021.641848348</c:v>
                </c:pt>
                <c:pt idx="134">
                  <c:v>16260580.93843963</c:v>
                </c:pt>
                <c:pt idx="135">
                  <c:v>16260580.93843963</c:v>
                </c:pt>
                <c:pt idx="136">
                  <c:v>26250375.686274908</c:v>
                </c:pt>
                <c:pt idx="137">
                  <c:v>42061561.618100531</c:v>
                </c:pt>
                <c:pt idx="138">
                  <c:v>43714549.238245942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0D-4B7D-A4D5-9BB4A49C6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40336"/>
        <c:axId val="629740664"/>
      </c:scatterChart>
      <c:valAx>
        <c:axId val="62974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740664"/>
        <c:crosses val="autoZero"/>
        <c:crossBetween val="midCat"/>
      </c:valAx>
      <c:valAx>
        <c:axId val="62974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740336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408213</xdr:colOff>
      <xdr:row>25</xdr:row>
      <xdr:rowOff>99672</xdr:rowOff>
    </xdr:from>
    <xdr:to>
      <xdr:col>23</xdr:col>
      <xdr:colOff>1889690</xdr:colOff>
      <xdr:row>53</xdr:row>
      <xdr:rowOff>139047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503463</xdr:colOff>
      <xdr:row>84</xdr:row>
      <xdr:rowOff>13607</xdr:rowOff>
    </xdr:from>
    <xdr:to>
      <xdr:col>23</xdr:col>
      <xdr:colOff>1746818</xdr:colOff>
      <xdr:row>112</xdr:row>
      <xdr:rowOff>52982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6C4D4EC-60BA-4017-BA91-EE5C39E00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459581</xdr:colOff>
      <xdr:row>25</xdr:row>
      <xdr:rowOff>18256</xdr:rowOff>
    </xdr:from>
    <xdr:to>
      <xdr:col>12</xdr:col>
      <xdr:colOff>213206</xdr:colOff>
      <xdr:row>41</xdr:row>
      <xdr:rowOff>54068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38</xdr:row>
          <xdr:rowOff>121920</xdr:rowOff>
        </xdr:from>
        <xdr:to>
          <xdr:col>5</xdr:col>
          <xdr:colOff>1417320</xdr:colOff>
          <xdr:row>40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Generar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403860</xdr:colOff>
          <xdr:row>39</xdr:row>
          <xdr:rowOff>137160</xdr:rowOff>
        </xdr:from>
        <xdr:to>
          <xdr:col>6</xdr:col>
          <xdr:colOff>1508760</xdr:colOff>
          <xdr:row>40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37</xdr:row>
          <xdr:rowOff>144780</xdr:rowOff>
        </xdr:from>
        <xdr:to>
          <xdr:col>6</xdr:col>
          <xdr:colOff>1470660</xdr:colOff>
          <xdr:row>39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502920</xdr:colOff>
          <xdr:row>38</xdr:row>
          <xdr:rowOff>114300</xdr:rowOff>
        </xdr:from>
        <xdr:to>
          <xdr:col>8</xdr:col>
          <xdr:colOff>251460</xdr:colOff>
          <xdr:row>40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Registrar curva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428625</xdr:colOff>
      <xdr:row>25</xdr:row>
      <xdr:rowOff>28575</xdr:rowOff>
    </xdr:from>
    <xdr:to>
      <xdr:col>12</xdr:col>
      <xdr:colOff>182250</xdr:colOff>
      <xdr:row>41</xdr:row>
      <xdr:rowOff>100106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388620</xdr:colOff>
          <xdr:row>38</xdr:row>
          <xdr:rowOff>106680</xdr:rowOff>
        </xdr:from>
        <xdr:to>
          <xdr:col>5</xdr:col>
          <xdr:colOff>861060</xdr:colOff>
          <xdr:row>40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Generar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1188720</xdr:colOff>
          <xdr:row>39</xdr:row>
          <xdr:rowOff>137160</xdr:rowOff>
        </xdr:from>
        <xdr:to>
          <xdr:col>6</xdr:col>
          <xdr:colOff>784860</xdr:colOff>
          <xdr:row>40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1173480</xdr:colOff>
          <xdr:row>37</xdr:row>
          <xdr:rowOff>137160</xdr:rowOff>
        </xdr:from>
        <xdr:to>
          <xdr:col>6</xdr:col>
          <xdr:colOff>746760</xdr:colOff>
          <xdr:row>38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1287780</xdr:colOff>
          <xdr:row>38</xdr:row>
          <xdr:rowOff>106680</xdr:rowOff>
        </xdr:from>
        <xdr:to>
          <xdr:col>7</xdr:col>
          <xdr:colOff>1074420</xdr:colOff>
          <xdr:row>40</xdr:row>
          <xdr:rowOff>99060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Registrar curva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416719</xdr:colOff>
      <xdr:row>25</xdr:row>
      <xdr:rowOff>28576</xdr:rowOff>
    </xdr:from>
    <xdr:to>
      <xdr:col>12</xdr:col>
      <xdr:colOff>170344</xdr:colOff>
      <xdr:row>41</xdr:row>
      <xdr:rowOff>100107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365760</xdr:colOff>
          <xdr:row>38</xdr:row>
          <xdr:rowOff>114300</xdr:rowOff>
        </xdr:from>
        <xdr:to>
          <xdr:col>5</xdr:col>
          <xdr:colOff>830580</xdr:colOff>
          <xdr:row>40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Generar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39</xdr:row>
          <xdr:rowOff>99060</xdr:rowOff>
        </xdr:from>
        <xdr:to>
          <xdr:col>6</xdr:col>
          <xdr:colOff>708660</xdr:colOff>
          <xdr:row>40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1089660</xdr:colOff>
          <xdr:row>37</xdr:row>
          <xdr:rowOff>106680</xdr:rowOff>
        </xdr:from>
        <xdr:to>
          <xdr:col>6</xdr:col>
          <xdr:colOff>670560</xdr:colOff>
          <xdr:row>38</xdr:row>
          <xdr:rowOff>137160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1203960</xdr:colOff>
          <xdr:row>38</xdr:row>
          <xdr:rowOff>76200</xdr:rowOff>
        </xdr:from>
        <xdr:to>
          <xdr:col>7</xdr:col>
          <xdr:colOff>990600</xdr:colOff>
          <xdr:row>40</xdr:row>
          <xdr:rowOff>60960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Registrar curva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licativo%20Equidad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inculos"/>
      <sheetName val="Cuadro de Control"/>
      <sheetName val="Control Automatización"/>
      <sheetName val="Datos Hoy"/>
      <sheetName val="Regresiones"/>
      <sheetName val="Resumenes"/>
      <sheetName val="Variables"/>
      <sheetName val="Instrucciones Iniciales"/>
      <sheetName val="Datos vincul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uplas" displayName="Duplas" ref="B3:F2148" totalsRowShown="0" headerRowDxfId="200" dataDxfId="198" headerRowBorderDxfId="199" tableBorderDxfId="197" totalsRowBorderDxfId="196">
  <tableColumns count="5">
    <tableColumn id="1" xr3:uid="{00000000-0010-0000-0000-000001000000}" name="Duplas posibles" dataDxfId="195">
      <calculatedColumnFormula>ROW()-3</calculatedColumnFormula>
    </tableColumn>
    <tableColumn id="2" xr3:uid="{00000000-0010-0000-0000-000002000000}" name="Final" dataDxfId="194">
      <calculatedColumnFormula>IF((D3-C3)=1,1,C3+1)</calculatedColumnFormula>
    </tableColumn>
    <tableColumn id="3" xr3:uid="{00000000-0010-0000-0000-000003000000}" name="Origen" dataDxfId="193">
      <calculatedColumnFormula>IF((D3-C3)=1,D3-1,D3)</calculatedColumnFormula>
    </tableColumn>
    <tableColumn id="4" xr3:uid="{00000000-0010-0000-0000-000004000000}" name="Origen (puntos)" dataDxfId="192">
      <calculatedColumnFormula>IFERROR(VLOOKUP(D4,$H$4:$I$69,2,0),"")</calculatedColumnFormula>
    </tableColumn>
    <tableColumn id="5" xr3:uid="{00000000-0010-0000-0000-000005000000}" name="Final (Puntos)" dataDxfId="191">
      <calculatedColumnFormula>IFERROR(VLOOKUP(C4,$H$4:$I$69,2,0),"")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Listadepuntos" displayName="Listadepuntos" ref="H3:I69" totalsRowShown="0" headerRowDxfId="190" dataDxfId="188" headerRowBorderDxfId="189" tableBorderDxfId="187" totalsRowBorderDxfId="186">
  <autoFilter ref="H3:I69" xr:uid="{00000000-0009-0000-0100-000002000000}"/>
  <tableColumns count="2">
    <tableColumn id="1" xr3:uid="{00000000-0010-0000-0100-000001000000}" name="Cod" dataDxfId="185"/>
    <tableColumn id="2" xr3:uid="{00000000-0010-0000-0100-000002000000}" name="Lista de puntos unicos" dataDxfId="1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DatosHoy" displayName="DatosHoy" ref="B5:CB145" totalsRowCount="1" headerRowDxfId="183" dataDxfId="181" totalsRowDxfId="179" headerRowBorderDxfId="182" tableBorderDxfId="180" totalsRowBorderDxfId="178">
  <autoFilter ref="B5:CB144" xr:uid="{00000000-000C-0000-FFFF-FFFF02000000}"/>
  <tableColumns count="79">
    <tableColumn id="1" xr3:uid="{00000000-0010-0000-0200-000001000000}" name="Persona" totalsRowLabel="Total" dataDxfId="177" totalsRowDxfId="176">
      <calculatedColumnFormula>+ROW()-5</calculatedColumnFormula>
    </tableColumn>
    <tableColumn id="29" xr3:uid="{00000000-0010-0000-0200-00001D000000}" name="G Actual" dataDxfId="175" totalsRowDxfId="174">
      <calculatedColumnFormula>1423500*1.176666666</calculatedColumnFormula>
    </tableColumn>
    <tableColumn id="28" xr3:uid="{00000000-0010-0000-0200-00001C000000}" name="G+V Actual" dataDxfId="173" totalsRowDxfId="172">
      <calculatedColumnFormula>1423500*1.176666666</calculatedColumnFormula>
    </tableColumn>
    <tableColumn id="27" xr3:uid="{00000000-0010-0000-0200-00001B000000}" name="CT Actual" dataDxfId="171" totalsRowDxfId="170">
      <calculatedColumnFormula>1423500*1.176666666</calculatedColumnFormula>
    </tableColumn>
    <tableColumn id="2" xr3:uid="{00000000-0010-0000-0200-000002000000}" name="G Q1" totalsRowFunction="sum" dataDxfId="169" totalsRowDxfId="168">
      <calculatedColumnFormula>VLOOKUP(DatosHoy[[#This Row],[Cargo Valorado]],Estadísticos[],3,0)</calculatedColumnFormula>
    </tableColumn>
    <tableColumn id="3" xr3:uid="{00000000-0010-0000-0200-000003000000}" name="G+V Q1" totalsRowFunction="sum" dataDxfId="167" totalsRowDxfId="166">
      <calculatedColumnFormula>VLOOKUP(DatosHoy[[#This Row],[Cargo Valorado]],Estadísticos[],4,0)</calculatedColumnFormula>
    </tableColumn>
    <tableColumn id="4" xr3:uid="{00000000-0010-0000-0200-000004000000}" name="CT Q1" totalsRowFunction="sum" dataDxfId="165" totalsRowDxfId="164">
      <calculatedColumnFormula>VLOOKUP(DatosHoy[[#This Row],[Cargo Valorado]],Estadísticos[],5,0)</calculatedColumnFormula>
    </tableColumn>
    <tableColumn id="35" xr3:uid="{00000000-0010-0000-0200-000023000000}" name="G Md" totalsRowFunction="sum" dataDxfId="163" totalsRowDxfId="162">
      <calculatedColumnFormula>VLOOKUP(DatosHoy[[#This Row],[Cargo Valorado]],Estadísticos[],6,0)</calculatedColumnFormula>
    </tableColumn>
    <tableColumn id="34" xr3:uid="{00000000-0010-0000-0200-000022000000}" name="G+V Md" totalsRowFunction="sum" dataDxfId="161" totalsRowDxfId="160">
      <calculatedColumnFormula>VLOOKUP(DatosHoy[[#This Row],[Cargo Valorado]],Estadísticos[],7,0)</calculatedColumnFormula>
    </tableColumn>
    <tableColumn id="33" xr3:uid="{00000000-0010-0000-0200-000021000000}" name="CT Md" totalsRowFunction="sum" dataDxfId="159" totalsRowDxfId="158">
      <calculatedColumnFormula>VLOOKUP(DatosHoy[[#This Row],[Cargo Valorado]],Estadísticos[],8,0)</calculatedColumnFormula>
    </tableColumn>
    <tableColumn id="32" xr3:uid="{00000000-0010-0000-0200-000020000000}" name="G Q3" totalsRowFunction="sum" dataDxfId="157" totalsRowDxfId="156">
      <calculatedColumnFormula>VLOOKUP(DatosHoy[[#This Row],[Cargo Valorado]],Estadísticos[],9,0)</calculatedColumnFormula>
    </tableColumn>
    <tableColumn id="31" xr3:uid="{00000000-0010-0000-0200-00001F000000}" name="G+V Q3" totalsRowFunction="sum" dataDxfId="155" totalsRowDxfId="154">
      <calculatedColumnFormula>VLOOKUP(DatosHoy[[#This Row],[Cargo Valorado]],Estadísticos[],10,0)</calculatedColumnFormula>
    </tableColumn>
    <tableColumn id="30" xr3:uid="{00000000-0010-0000-0200-00001E000000}" name="CT Q3" totalsRowFunction="sum" dataDxfId="153" totalsRowDxfId="152">
      <calculatedColumnFormula>VLOOKUP(DatosHoy[[#This Row],[Cargo Valorado]],Estadísticos[],11,0)</calculatedColumnFormula>
    </tableColumn>
    <tableColumn id="5" xr3:uid="{00000000-0010-0000-0200-000005000000}" name="Cargo Valorado" dataDxfId="151" totalsRowDxfId="150"/>
    <tableColumn id="6" xr3:uid="{00000000-0010-0000-0200-000006000000}" name="Puntos" dataDxfId="149" totalsRowDxfId="148"/>
    <tableColumn id="7" xr3:uid="{00000000-0010-0000-0200-000007000000}" name="Puntos colum" dataDxfId="147" totalsRowDxfId="146">
      <calculatedColumnFormula>"$"&amp;"P"&amp;"$"&amp;ROW()</calculatedColumnFormula>
    </tableColumn>
    <tableColumn id="41" xr3:uid="{00000000-0010-0000-0200-000029000000}" name="Gq1 Columna" dataDxfId="145" totalsRowDxfId="144">
      <calculatedColumnFormula>"$"&amp;"F"&amp;"$"&amp;ROW()</calculatedColumnFormula>
    </tableColumn>
    <tableColumn id="40" xr3:uid="{00000000-0010-0000-0200-000028000000}" name="G+Vq1 Columna" dataDxfId="143" totalsRowDxfId="142">
      <calculatedColumnFormula>"$"&amp;"G"&amp;"$"&amp;ROW()</calculatedColumnFormula>
    </tableColumn>
    <tableColumn id="39" xr3:uid="{00000000-0010-0000-0200-000027000000}" name="CTq1 Columna" dataDxfId="141" totalsRowDxfId="140">
      <calculatedColumnFormula>"$"&amp;"H"&amp;"$"&amp;ROW()</calculatedColumnFormula>
    </tableColumn>
    <tableColumn id="38" xr3:uid="{00000000-0010-0000-0200-000026000000}" name="Gmd Columna" dataDxfId="139" totalsRowDxfId="138">
      <calculatedColumnFormula>"$"&amp;"I"&amp;"$"&amp;ROW()</calculatedColumnFormula>
    </tableColumn>
    <tableColumn id="37" xr3:uid="{00000000-0010-0000-0200-000025000000}" name="G+Vmd Columna" dataDxfId="137" totalsRowDxfId="136">
      <calculatedColumnFormula>"$"&amp;"J"&amp;"$"&amp;ROW()</calculatedColumnFormula>
    </tableColumn>
    <tableColumn id="36" xr3:uid="{00000000-0010-0000-0200-000024000000}" name="CTmd Columna" dataDxfId="135" totalsRowDxfId="134">
      <calculatedColumnFormula>"$"&amp;"K"&amp;"$"&amp;ROW()</calculatedColumnFormula>
    </tableColumn>
    <tableColumn id="8" xr3:uid="{00000000-0010-0000-0200-000008000000}" name="Gq3 colum" dataDxfId="133" totalsRowDxfId="132">
      <calculatedColumnFormula>"$"&amp;"L"&amp;"$"&amp;ROW()</calculatedColumnFormula>
    </tableColumn>
    <tableColumn id="9" xr3:uid="{00000000-0010-0000-0200-000009000000}" name="G+Vq3 colum" dataDxfId="131" totalsRowDxfId="130">
      <calculatedColumnFormula>"$"&amp;"M"&amp;"$"&amp;ROW()</calculatedColumnFormula>
    </tableColumn>
    <tableColumn id="10" xr3:uid="{00000000-0010-0000-0200-00000A000000}" name="CTq3 colum" dataDxfId="129" totalsRowDxfId="128">
      <calculatedColumnFormula>"$"&amp;"N"&amp;"$"&amp;ROW()</calculatedColumnFormula>
    </tableColumn>
    <tableColumn id="11" xr3:uid="{00000000-0010-0000-0200-00000B000000}" name="G regresión Q1" dataDxfId="127" totalsRowDxfId="126">
      <calculatedColumnFormula>VLOOKUP($P6,'Regresion Q1'!$E$6:$I$10,4,1)*$P6+VLOOKUP($P6,'Regresion Q1'!$E$6:$I$10,5,1)</calculatedColumnFormula>
    </tableColumn>
    <tableColumn id="12" xr3:uid="{00000000-0010-0000-0200-00000C000000}" name="G+ V Regresión Q1" dataDxfId="125" totalsRowDxfId="124">
      <calculatedColumnFormula>VLOOKUP($P6,'Regresion Q1'!$J$6:$N$10,4,1)*$P6+VLOOKUP($P6,'Regresion Q1'!$J$6:$N$10,5,1)</calculatedColumnFormula>
    </tableColumn>
    <tableColumn id="13" xr3:uid="{00000000-0010-0000-0200-00000D000000}" name="CT Regresión Q1" dataDxfId="123" totalsRowDxfId="122">
      <calculatedColumnFormula>VLOOKUP($P6,'Regresion Q1'!$O$6:$S$10,4,1)*$P6+VLOOKUP($P6,'Regresion Q1'!$O$6:$S$10,5,1)</calculatedColumnFormula>
    </tableColumn>
    <tableColumn id="47" xr3:uid="{00000000-0010-0000-0200-00002F000000}" name="G regresión Md" dataDxfId="121" totalsRowDxfId="120">
      <calculatedColumnFormula>VLOOKUP($P6,'Regresion Md'!$E$6:$I$10,4,1)*$P6+VLOOKUP($P6,'Regresion Md'!$E$6:$I$10,5,1)</calculatedColumnFormula>
    </tableColumn>
    <tableColumn id="46" xr3:uid="{00000000-0010-0000-0200-00002E000000}" name="G+ V Regresión Md" dataDxfId="119" totalsRowDxfId="118">
      <calculatedColumnFormula>VLOOKUP($P6,'Regresion Md'!$J$6:$N$10,4,1)*$P6+VLOOKUP($P6,'Regresion Md'!$J$6:$N$10,5,1)</calculatedColumnFormula>
    </tableColumn>
    <tableColumn id="45" xr3:uid="{00000000-0010-0000-0200-00002D000000}" name="CT Regresión Md" dataDxfId="117" totalsRowDxfId="116">
      <calculatedColumnFormula>VLOOKUP($P6,'Regresion Md'!$O$6:$S$10,4,1)*$P6+VLOOKUP($P6,'Regresion Md'!$O$6:$S$10,5,1)</calculatedColumnFormula>
    </tableColumn>
    <tableColumn id="44" xr3:uid="{00000000-0010-0000-0200-00002C000000}" name="G regresión Q3" dataDxfId="115" totalsRowDxfId="114">
      <calculatedColumnFormula>VLOOKUP($P6,'Regresion Q3'!$E$6:$I$10,4,1)*$P6+VLOOKUP($P6,'Regresion Q3'!$E$6:$I$10,5,1)</calculatedColumnFormula>
    </tableColumn>
    <tableColumn id="43" xr3:uid="{00000000-0010-0000-0200-00002B000000}" name="G+ V Regresión Q3" dataDxfId="113" totalsRowDxfId="112">
      <calculatedColumnFormula>VLOOKUP($P6,'Regresion Q3'!$J$6:$N$10,4,1)*$P6+VLOOKUP($P6,'Regresion Q3'!$J$6:$N$10,5,1)</calculatedColumnFormula>
    </tableColumn>
    <tableColumn id="42" xr3:uid="{00000000-0010-0000-0200-00002A000000}" name="CT Regresión Q3" dataDxfId="111" totalsRowDxfId="110">
      <calculatedColumnFormula>VLOOKUP($P6,'Regresion Q3'!$O$6:$S$10,4,1)*$P6+VLOOKUP($P6,'Regresion Q3'!$O$6:$S$10,5,1)</calculatedColumnFormula>
    </tableColumn>
    <tableColumn id="14" xr3:uid="{00000000-0010-0000-0200-00000E000000}" name="G Ajustado Q1" dataDxfId="109" totalsRowDxfId="108">
      <calculatedColumnFormula>VLOOKUP($P6,'Regresion Q1'!$T$6:$V$10,2,1)*$P6+VLOOKUP($P6,'Regresion Q1'!$T$6:$V$10,3,1)</calculatedColumnFormula>
    </tableColumn>
    <tableColumn id="15" xr3:uid="{00000000-0010-0000-0200-00000F000000}" name="G+ V Ajustado Q1" dataDxfId="107" totalsRowDxfId="106">
      <calculatedColumnFormula>VLOOKUP($P6,'Regresion Q1'!$W$6:$Y$10,2,1)*$P6+VLOOKUP($P6,'Regresion Q1'!$W$6:$Y$10,3,1)</calculatedColumnFormula>
    </tableColumn>
    <tableColumn id="16" xr3:uid="{00000000-0010-0000-0200-000010000000}" name="CT Ajustado Q1" dataDxfId="105" totalsRowDxfId="104">
      <calculatedColumnFormula>VLOOKUP($P6,'Regresion Q1'!$Z$6:$AB$10,2,1)*$P6+VLOOKUP($P6,'Regresion Q1'!$Z$6:$AB$10,3,1)</calculatedColumnFormula>
    </tableColumn>
    <tableColumn id="53" xr3:uid="{00000000-0010-0000-0200-000035000000}" name="G Ajustado Md" dataDxfId="103" totalsRowDxfId="102">
      <calculatedColumnFormula>VLOOKUP($P6,'Regresion Md'!$T$6:$V$10,2,1)*$P6+VLOOKUP($P6,'Regresion Md'!$T$6:$V$10,3,1)</calculatedColumnFormula>
    </tableColumn>
    <tableColumn id="52" xr3:uid="{00000000-0010-0000-0200-000034000000}" name="G+ V Ajustado Md" dataDxfId="101" totalsRowDxfId="100">
      <calculatedColumnFormula>VLOOKUP($P6,'Regresion Md'!$W$6:$Y$10,2,1)*$P6+VLOOKUP($P6,'Regresion Md'!$W$6:$Y$10,3,1)</calculatedColumnFormula>
    </tableColumn>
    <tableColumn id="51" xr3:uid="{00000000-0010-0000-0200-000033000000}" name="CT Ajustado Md" dataDxfId="99" totalsRowDxfId="98">
      <calculatedColumnFormula>VLOOKUP($P6,'Regresion Md'!$Z$6:$AB$10,2,1)*$P6+VLOOKUP($P6,'Regresion Md'!$Z$6:$AB$10,3,1)</calculatedColumnFormula>
    </tableColumn>
    <tableColumn id="50" xr3:uid="{00000000-0010-0000-0200-000032000000}" name="G Ajustado Q3" dataDxfId="97" totalsRowDxfId="96">
      <calculatedColumnFormula>VLOOKUP($P6,'Regresion Q3'!$T$6:$V$10,2,1)*$P6+VLOOKUP($P6,'Regresion Q3'!$T$6:$V$10,3,1)</calculatedColumnFormula>
    </tableColumn>
    <tableColumn id="49" xr3:uid="{00000000-0010-0000-0200-000031000000}" name="G+ V Ajustado Q3" dataDxfId="95" totalsRowDxfId="94">
      <calculatedColumnFormula>VLOOKUP($P6,'Regresion Q3'!$W$6:$Y$10,2,1)*$P6+VLOOKUP($P6,'Regresion Q3'!$W$6:$Y$10,3,1)</calculatedColumnFormula>
    </tableColumn>
    <tableColumn id="48" xr3:uid="{00000000-0010-0000-0200-000030000000}" name="CT Ajustado Q3" dataDxfId="93" totalsRowDxfId="92">
      <calculatedColumnFormula>VLOOKUP($P6,'Regresion Q3'!$Z$6:$AB$10,2,1)*$P6+VLOOKUP($P6,'Regresion Q3'!$Z$6:$AB$10,3,1)</calculatedColumnFormula>
    </tableColumn>
    <tableColumn id="17" xr3:uid="{00000000-0010-0000-0200-000011000000}" name="V1 Q1" dataDxfId="91" totalsRowDxfId="90">
      <calculatedColumnFormula>IF($BN6=$BN7,-1,DatosHoy[[#This Row],[G ajus PM Q1]]-BO7)</calculatedColumnFormula>
    </tableColumn>
    <tableColumn id="18" xr3:uid="{00000000-0010-0000-0200-000012000000}" name="V2 Q1" dataDxfId="89" totalsRowDxfId="88">
      <calculatedColumnFormula>IF($BN6=$BN7,-1,DatosHoy[[#This Row],[G+V ajus PM Q1]]-BP7)</calculatedColumnFormula>
    </tableColumn>
    <tableColumn id="19" xr3:uid="{00000000-0010-0000-0200-000013000000}" name="V3 Q1" dataDxfId="87" totalsRowDxfId="86">
      <calculatedColumnFormula>IF($BN6=$BN7,-1,DatosHoy[[#This Row],[CT ajus PM Q1]]-BQ7)</calculatedColumnFormula>
    </tableColumn>
    <tableColumn id="20" xr3:uid="{00000000-0010-0000-0200-000014000000}" name="V4 Q1" dataDxfId="85" totalsRowDxfId="84">
      <calculatedColumnFormula>IF(DatosHoy[[#This Row],[G ajus PM Q1]]=DatosHoy[[#This Row],[G+V ajus PM Q1]],-1,DatosHoy[[#This Row],[G ajus PM Q1]]-DatosHoy[[#This Row],[G+V ajus PM Q1]])</calculatedColumnFormula>
    </tableColumn>
    <tableColumn id="21" xr3:uid="{00000000-0010-0000-0200-000015000000}" name="V5 Q1" dataDxfId="83" totalsRowDxfId="82">
      <calculatedColumnFormula>IF(DatosHoy[[#This Row],[G+V ajus PM Q1]]=DatosHoy[[#This Row],[CT ajus PM Q1]],-1,DatosHoy[[#This Row],[G+V ajus PM Q1]]-DatosHoy[[#This Row],[CT ajus PM Q1]])</calculatedColumnFormula>
    </tableColumn>
    <tableColumn id="58" xr3:uid="{00000000-0010-0000-0200-00003A000000}" name="V1 Md" dataDxfId="81" totalsRowDxfId="80">
      <calculatedColumnFormula>IF($BN6=$BN7,-1,DatosHoy[[#This Row],[G ajus PMd]]-BR7)</calculatedColumnFormula>
    </tableColumn>
    <tableColumn id="57" xr3:uid="{00000000-0010-0000-0200-000039000000}" name="V2 Md" dataDxfId="79" totalsRowDxfId="78">
      <calculatedColumnFormula>IF($BN6=$BN7,-1,DatosHoy[[#This Row],[G+V ajus PM Md]]-BS7)</calculatedColumnFormula>
    </tableColumn>
    <tableColumn id="56" xr3:uid="{00000000-0010-0000-0200-000038000000}" name="V3 Md" dataDxfId="77" totalsRowDxfId="76">
      <calculatedColumnFormula>IF($BN6=$BN7,-1,DatosHoy[[#This Row],[CT ajus PM Md]]-BT7)</calculatedColumnFormula>
    </tableColumn>
    <tableColumn id="55" xr3:uid="{00000000-0010-0000-0200-000037000000}" name="V4 Md" dataDxfId="75" totalsRowDxfId="74">
      <calculatedColumnFormula>IF(DatosHoy[[#This Row],[G ajus PMd]]=DatosHoy[[#This Row],[G+V ajus PM Md]],-1,DatosHoy[[#This Row],[G ajus PMd]]-DatosHoy[[#This Row],[G+V ajus PM Md]])</calculatedColumnFormula>
    </tableColumn>
    <tableColumn id="54" xr3:uid="{00000000-0010-0000-0200-000036000000}" name="V5 Md" dataDxfId="73" totalsRowDxfId="72">
      <calculatedColumnFormula>IF(DatosHoy[[#This Row],[G+V ajus PM Md]]=DatosHoy[[#This Row],[CT ajus PM Md]],-1,DatosHoy[[#This Row],[G+V ajus PM Md]]-DatosHoy[[#This Row],[CT ajus PM Md]])</calculatedColumnFormula>
    </tableColumn>
    <tableColumn id="63" xr3:uid="{00000000-0010-0000-0200-00003F000000}" name="V1 Q3" dataDxfId="71" totalsRowDxfId="70">
      <calculatedColumnFormula>IF($BN6=$BN7,-1,DatosHoy[[#This Row],[G ajus PM Q3]]-BU7)</calculatedColumnFormula>
    </tableColumn>
    <tableColumn id="62" xr3:uid="{00000000-0010-0000-0200-00003E000000}" name="V2 Q3" dataDxfId="69" totalsRowDxfId="68">
      <calculatedColumnFormula>IF($BN6=$BN7,-1,DatosHoy[[#This Row],[G+V ajus PM Q3]]-BV7)</calculatedColumnFormula>
    </tableColumn>
    <tableColumn id="61" xr3:uid="{00000000-0010-0000-0200-00003D000000}" name="V3 Q3" dataDxfId="67" totalsRowDxfId="66">
      <calculatedColumnFormula>IF($BN6=$BN7,-1,DatosHoy[[#This Row],[CT ajus PM Q3]]-BW7)</calculatedColumnFormula>
    </tableColumn>
    <tableColumn id="60" xr3:uid="{00000000-0010-0000-0200-00003C000000}" name="V4 Q4" dataDxfId="65" totalsRowDxfId="64">
      <calculatedColumnFormula>IF(DatosHoy[[#This Row],[G ajus PM Q3]]=DatosHoy[[#This Row],[G+V ajus PM Q3]],-1,DatosHoy[[#This Row],[G ajus PM Q3]]-DatosHoy[[#This Row],[G+V ajus PM Q3]])</calculatedColumnFormula>
    </tableColumn>
    <tableColumn id="59" xr3:uid="{00000000-0010-0000-0200-00003B000000}" name="V5 Q5" dataDxfId="63" totalsRowDxfId="62">
      <calculatedColumnFormula>IF(DatosHoy[[#This Row],[G+V ajus PM Q3]]=DatosHoy[[#This Row],[CT ajus PM Q3]],-1,DatosHoy[[#This Row],[G+V ajus PM Q3]]-DatosHoy[[#This Row],[CT ajus PM Q3]])</calculatedColumnFormula>
    </tableColumn>
    <tableColumn id="65" xr3:uid="{00000000-0010-0000-0200-000041000000}" name="V1 Q1 vs Md" dataDxfId="61" totalsRowDxfId="60">
      <calculatedColumnFormula>IF(DatosHoy[[#This Row],[G ajus PM Q1]]=DatosHoy[[#This Row],[G ajus PMd]],-1,DatosHoy[[#This Row],[G ajus PM Q1]]-DatosHoy[[#This Row],[G ajus PMd]])</calculatedColumnFormula>
    </tableColumn>
    <tableColumn id="74" xr3:uid="{00000000-0010-0000-0200-00004A000000}" name="V2 Q1 vs Md" dataDxfId="59" totalsRowDxfId="58">
      <calculatedColumnFormula>IF(DatosHoy[[#This Row],[G+V ajus PM Q1]]=DatosHoy[[#This Row],[G+V ajus PM Md]],-1,DatosHoy[[#This Row],[G+V ajus PM Q1]]-DatosHoy[[#This Row],[G+V ajus PM Md]])</calculatedColumnFormula>
    </tableColumn>
    <tableColumn id="64" xr3:uid="{00000000-0010-0000-0200-000040000000}" name="V3 Q1 vs Md" dataDxfId="57" totalsRowDxfId="56">
      <calculatedColumnFormula>IF(DatosHoy[[#This Row],[CT ajus PM Q1]]=DatosHoy[[#This Row],[CT ajus PM Md]],-1,DatosHoy[[#This Row],[CT ajus PM Q1]]-DatosHoy[[#This Row],[CT ajus PM Md]])</calculatedColumnFormula>
    </tableColumn>
    <tableColumn id="67" xr3:uid="{00000000-0010-0000-0200-000043000000}" name="V1 Md vs Q3" dataDxfId="55" totalsRowDxfId="54">
      <calculatedColumnFormula>IF(DatosHoy[[#This Row],[G ajus PMd]]=DatosHoy[[#This Row],[G ajus PM Q3]],-1,DatosHoy[[#This Row],[G ajus PMd]]-DatosHoy[[#This Row],[G ajus PM Q3]])</calculatedColumnFormula>
    </tableColumn>
    <tableColumn id="75" xr3:uid="{00000000-0010-0000-0200-00004B000000}" name="V2 Md vs Q3" dataDxfId="53" totalsRowDxfId="52">
      <calculatedColumnFormula>IF(DatosHoy[[#This Row],[G+V ajus PM Md]]=DatosHoy[[#This Row],[G+V ajus PM Q3]],-1,DatosHoy[[#This Row],[G+V ajus PM Md]]-DatosHoy[[#This Row],[G+V ajus PM Q3]])</calculatedColumnFormula>
    </tableColumn>
    <tableColumn id="66" xr3:uid="{00000000-0010-0000-0200-000042000000}" name="V3 Md vs Q3" dataDxfId="51" totalsRowDxfId="50">
      <calculatedColumnFormula>IF(DatosHoy[[#This Row],[CT ajus PM Md]]=DatosHoy[[#This Row],[CT ajus PM Q3]],-1,DatosHoy[[#This Row],[CT ajus PM Md]]-DatosHoy[[#This Row],[CT ajus PM Q3]])</calculatedColumnFormula>
    </tableColumn>
    <tableColumn id="22" xr3:uid="{00000000-0010-0000-0200-000016000000}" name="Punto Medio" dataDxfId="49" totalsRowDxfId="48"/>
    <tableColumn id="73" xr3:uid="{00000000-0010-0000-0200-000049000000}" name="G ajus PM Q1" totalsRowFunction="sum" dataDxfId="47" totalsRowDxfId="46">
      <calculatedColumnFormula>IFERROR(VLOOKUP($BN6,'Regresion Q1'!$T$6:$V$10,2,1)*$BN6+VLOOKUP($BN6,'Regresion Q1'!$T$6:$V$10,3,1),VLOOKUP(MIN(DatosHoy[Puntos]),'Regresion Q1'!$T$6:$V$10,2,1)*$BN6+VLOOKUP(MIN(DatosHoy[Puntos]),'Regresion Q1'!$T$6:$V$10,3,1))</calculatedColumnFormula>
    </tableColumn>
    <tableColumn id="72" xr3:uid="{00000000-0010-0000-0200-000048000000}" name="G+V ajus PM Q1" totalsRowFunction="sum" dataDxfId="45" totalsRowDxfId="44">
      <calculatedColumnFormula>IFERROR(VLOOKUP($BN6,'Regresion Q1'!$W$6:$Y$10,2,1)*$BN6+VLOOKUP($BN6,'Regresion Q1'!$W$6:$Y$10,3,1),VLOOKUP(MIN(DatosHoy[Puntos]),'Regresion Q1'!$W$6:$Y$10,2,1)*$BN6+VLOOKUP(MIN(DatosHoy[Puntos]),'Regresion Q1'!$W$6:$Y$10,3,1))</calculatedColumnFormula>
    </tableColumn>
    <tableColumn id="71" xr3:uid="{00000000-0010-0000-0200-000047000000}" name="CT ajus PM Q1" totalsRowFunction="sum" dataDxfId="43" totalsRowDxfId="42">
      <calculatedColumnFormula>IFERROR(VLOOKUP($BN6,'Regresion Q1'!$Z$6:$AB$10,2,1)*$BN6+VLOOKUP($BN6,'Regresion Q1'!$Z$6:$AB$10,3,1),VLOOKUP(MIN(DatosHoy[Puntos]),'Regresion Q1'!$Z$6:$AB$10,2,1)*$BN6+VLOOKUP(MIN(DatosHoy[Puntos]),'Regresion Q1'!$Z$6:$AB$10,3,1))</calculatedColumnFormula>
    </tableColumn>
    <tableColumn id="70" xr3:uid="{00000000-0010-0000-0200-000046000000}" name="G ajus PMd" totalsRowFunction="sum" dataDxfId="41" totalsRowDxfId="40">
      <calculatedColumnFormula>IFERROR(VLOOKUP($BN6,'Regresion Md'!$T$6:$V$10,2,1)*$BN6+VLOOKUP($BN6,'Regresion Md'!$T$6:$V$10,3,1),VLOOKUP(MIN(DatosHoy[Puntos]),'Regresion Md'!$T$6:$V$10,2,1)*$BN6+VLOOKUP(MIN(DatosHoy[Puntos]),'Regresion Md'!$T$6:$V$10,3,1))</calculatedColumnFormula>
    </tableColumn>
    <tableColumn id="69" xr3:uid="{00000000-0010-0000-0200-000045000000}" name="G+V ajus PM Md" totalsRowFunction="sum" dataDxfId="39" totalsRowDxfId="38">
      <calculatedColumnFormula>IFERROR(VLOOKUP($BN6,'Regresion Md'!$W$6:$Y$10,2,1)*$BN6+VLOOKUP($BN6,'Regresion Md'!$W$6:$Y$10,3,1),VLOOKUP(MIN(DatosHoy[Puntos]),'Regresion Md'!$W$6:$Y$10,2,1)*$BN6+VLOOKUP(MIN(DatosHoy[Puntos]),'Regresion Md'!$W$6:$Y$10,3,1))</calculatedColumnFormula>
    </tableColumn>
    <tableColumn id="68" xr3:uid="{00000000-0010-0000-0200-000044000000}" name="CT ajus PM Md" totalsRowFunction="sum" dataDxfId="37" totalsRowDxfId="36">
      <calculatedColumnFormula>IFERROR(VLOOKUP($BN6,'Regresion Md'!$Z$6:$AB$10,2,1)*$BN6+VLOOKUP($BN6,'Regresion Md'!$Z$6:$AB$10,3,1),VLOOKUP(MIN(DatosHoy[Puntos]),'Regresion Md'!$Z$6:$AB$10,2,1)*$BN6+VLOOKUP(MIN(DatosHoy[Puntos]),'Regresion Md'!$Z$6:$AB$10,3,1))</calculatedColumnFormula>
    </tableColumn>
    <tableColumn id="23" xr3:uid="{00000000-0010-0000-0200-000017000000}" name="G ajus PM Q3" totalsRowFunction="sum" dataDxfId="35" totalsRowDxfId="34">
      <calculatedColumnFormula>IFERROR(VLOOKUP($BN6,'Regresion Q3'!$T$6:$V$10,2,1)*$BN6+VLOOKUP($BN6,'Regresion Q3'!$T$6:$V$10,3,1),VLOOKUP(MIN(DatosHoy[Puntos]),'Regresion Q3'!$T$6:$V$10,2,1)*$BN6+VLOOKUP(MIN(DatosHoy[Puntos]),'Regresion Q3'!$T$6:$V$10,3,1))</calculatedColumnFormula>
    </tableColumn>
    <tableColumn id="24" xr3:uid="{00000000-0010-0000-0200-000018000000}" name="G+V ajus PM Q3" totalsRowFunction="sum" dataDxfId="33" totalsRowDxfId="32">
      <calculatedColumnFormula>IFERROR(VLOOKUP($BN6,'Regresion Q3'!$W$6:$Y$10,2,1)*$BN6+VLOOKUP($BN6,'Regresion Q3'!$W$6:$Y$10,3,1),VLOOKUP(MIN(DatosHoy[Puntos]),'Regresion Q3'!$W$6:$Y$10,2,1)*$BN6+VLOOKUP(MIN(DatosHoy[Puntos]),'Regresion Q3'!$W$6:$Y$10,3,1))</calculatedColumnFormula>
    </tableColumn>
    <tableColumn id="25" xr3:uid="{00000000-0010-0000-0200-000019000000}" name="CT ajus PM Q3" totalsRowFunction="sum" dataDxfId="31" totalsRowDxfId="30">
      <calculatedColumnFormula>IFERROR(VLOOKUP($BN6,'Regresion Q3'!$Z$6:$AB$10,2,1)*$BN6+VLOOKUP($BN6,'Regresion Q3'!$Z$6:$AB$10,3,1),VLOOKUP(MIN(DatosHoy[Puntos]),'Regresion Q3'!$Z$6:$AB$10,2,1)*$BN6+VLOOKUP(MIN(DatosHoy[Puntos]),'Regresion Q3'!$Z$6:$AB$10,3,1))</calculatedColumnFormula>
    </tableColumn>
    <tableColumn id="26" xr3:uid="{00000000-0010-0000-0200-00001A000000}" name="Posicion. Md" totalsRowFunction="sum" dataDxfId="29" totalsRowDxfId="28" dataCellStyle="Porcentaje">
      <calculatedColumnFormula>DatosHoy[[#This Row],[CT Actual]]/DatosHoy[[#This Row],[CT ajus PM Md]]</calculatedColumnFormula>
    </tableColumn>
    <tableColumn id="76" xr3:uid="{00000000-0010-0000-0200-00004C000000}" name="Nivel" dataDxfId="27" totalsRowDxfId="26">
      <calculatedColumnFormula>VLOOKUP(DatosHoy[[#This Row],[Cargo Valorado]],Estadísticos[[Cargo]:[Nivel]],2,FALSE)</calculatedColumnFormula>
    </tableColumn>
    <tableColumn id="77" xr3:uid="{00000000-0010-0000-0200-00004D000000}" name="% Variable" dataDxfId="25" totalsRowDxfId="24" dataCellStyle="Porcentaje">
      <calculatedColumnFormula>(DatosHoy[[#This Row],[G+V Actual]]-DatosHoy[[#This Row],[G Actual]])/DatosHoy[[#This Row],[CT Actual]]</calculatedColumnFormula>
    </tableColumn>
    <tableColumn id="78" xr3:uid="{00000000-0010-0000-0200-00004E000000}" name="% Beneficios" dataDxfId="23" totalsRowDxfId="22" dataCellStyle="Porcentaje">
      <calculatedColumnFormula>(DatosHoy[[#This Row],[CT Actual]]-DatosHoy[[#This Row],[G+V Actual]])/DatosHoy[[#This Row],[CT Actual]]</calculatedColumnFormula>
    </tableColumn>
    <tableColumn id="79" xr3:uid="{B4A9164D-B08C-4870-8F81-C5398215D416}" name="Tipo de Cargo" dataDxfId="21" totalsRowDxfId="20" dataCellStyle="Milla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Estadísticos" displayName="Estadísticos" ref="B2:P83" totalsRowShown="0" headerRowDxfId="19" dataDxfId="17" headerRowBorderDxfId="18" tableBorderDxfId="16" totalsRowBorderDxfId="15">
  <tableColumns count="15">
    <tableColumn id="1" xr3:uid="{00000000-0010-0000-0300-000001000000}" name="Cargo" dataDxfId="14"/>
    <tableColumn id="2" xr3:uid="{00000000-0010-0000-0300-000002000000}" name="Nivel" dataDxfId="13"/>
    <tableColumn id="3" xr3:uid="{00000000-0010-0000-0300-000003000000}" name="Gq1" dataDxfId="12"/>
    <tableColumn id="4" xr3:uid="{00000000-0010-0000-0300-000004000000}" name="G+V Q1" dataDxfId="11"/>
    <tableColumn id="5" xr3:uid="{00000000-0010-0000-0300-000005000000}" name="CT Q1" dataDxfId="10"/>
    <tableColumn id="6" xr3:uid="{00000000-0010-0000-0300-000006000000}" name="GMd" dataDxfId="9"/>
    <tableColumn id="7" xr3:uid="{00000000-0010-0000-0300-000007000000}" name="G+V Md" dataDxfId="8"/>
    <tableColumn id="8" xr3:uid="{00000000-0010-0000-0300-000008000000}" name="CT Md" dataDxfId="7"/>
    <tableColumn id="9" xr3:uid="{00000000-0010-0000-0300-000009000000}" name="G Q3" dataDxfId="6"/>
    <tableColumn id="10" xr3:uid="{00000000-0010-0000-0300-00000A000000}" name="G+V Q3" dataDxfId="5"/>
    <tableColumn id="11" xr3:uid="{00000000-0010-0000-0300-00000B000000}" name="CT Q3" dataDxfId="4"/>
    <tableColumn id="12" xr3:uid="{00000000-0010-0000-0300-00000C000000}" name="Variable" dataDxfId="3" dataCellStyle="Porcentaje">
      <calculatedColumnFormula>(Estadísticos[[#This Row],[G+V Md]]-Estadísticos[[#This Row],[GMd]])/Estadísticos[[#This Row],[CT Md]]</calculatedColumnFormula>
    </tableColumn>
    <tableColumn id="13" xr3:uid="{00000000-0010-0000-0300-00000D000000}" name="Beneficios" dataDxfId="2" dataCellStyle="Porcentaje">
      <calculatedColumnFormula>(Estadísticos[[#This Row],[CT Md]]-Estadísticos[[#This Row],[G+V Md]])/Estadísticos[[#This Row],[CT Md]]</calculatedColumnFormula>
    </tableColumn>
    <tableColumn id="14" xr3:uid="{00000000-0010-0000-0300-00000E000000}" name="Cat" dataDxfId="1"/>
    <tableColumn id="15" xr3:uid="{2E00B849-CC81-426D-8D82-6AB7C5D7BAAB}" name="Tipo de Car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L2148"/>
  <sheetViews>
    <sheetView showGridLines="0" topLeftCell="A2102" zoomScale="80" zoomScaleNormal="80" workbookViewId="0">
      <selection activeCell="B4" sqref="B4:B2148"/>
    </sheetView>
  </sheetViews>
  <sheetFormatPr baseColWidth="10" defaultColWidth="11" defaultRowHeight="13.8" x14ac:dyDescent="0.25"/>
  <cols>
    <col min="1" max="1" width="1.59765625" style="5" customWidth="1"/>
    <col min="2" max="6" width="12.5" style="5" customWidth="1"/>
    <col min="7" max="7" width="3" style="5" customWidth="1"/>
    <col min="8" max="9" width="12.5" style="5" customWidth="1"/>
    <col min="10" max="16384" width="11" style="5"/>
  </cols>
  <sheetData>
    <row r="1" spans="2:12" x14ac:dyDescent="0.25">
      <c r="E1" s="6"/>
      <c r="F1" s="6"/>
    </row>
    <row r="2" spans="2:12" ht="41.4" x14ac:dyDescent="0.25">
      <c r="C2" s="6"/>
      <c r="D2" s="6"/>
      <c r="E2" s="6"/>
      <c r="F2" s="6"/>
      <c r="H2" s="111" t="s">
        <v>0</v>
      </c>
      <c r="I2" s="112">
        <f>COUNT(Listadepuntos[Lista de puntos unicos])</f>
        <v>66</v>
      </c>
    </row>
    <row r="3" spans="2:12" ht="86.4" x14ac:dyDescent="0.25">
      <c r="B3" s="115" t="s">
        <v>1</v>
      </c>
      <c r="C3" s="58" t="s">
        <v>2</v>
      </c>
      <c r="D3" s="58" t="s">
        <v>3</v>
      </c>
      <c r="E3" s="58" t="s">
        <v>4</v>
      </c>
      <c r="F3" s="104" t="s">
        <v>5</v>
      </c>
      <c r="G3" s="116"/>
      <c r="H3" s="113" t="s">
        <v>6</v>
      </c>
      <c r="I3" s="113" t="s">
        <v>7</v>
      </c>
      <c r="J3" s="6"/>
      <c r="K3" s="102" t="s">
        <v>8</v>
      </c>
      <c r="L3" s="102" t="s">
        <v>9</v>
      </c>
    </row>
    <row r="4" spans="2:12" x14ac:dyDescent="0.25">
      <c r="B4" s="105">
        <f>ROW()-3</f>
        <v>1</v>
      </c>
      <c r="C4" s="106">
        <v>1</v>
      </c>
      <c r="D4" s="106">
        <f>I2</f>
        <v>66</v>
      </c>
      <c r="E4" s="15">
        <f t="shared" ref="E4:E67" si="0">IFERROR(VLOOKUP(D4,$H$4:$I$69,2,0),"")</f>
        <v>94</v>
      </c>
      <c r="F4" s="110">
        <f t="shared" ref="F4:F67" si="1">IFERROR(VLOOKUP(C4,$H$4:$I$69,2,0),"")</f>
        <v>1048</v>
      </c>
      <c r="H4" s="114">
        <v>1</v>
      </c>
      <c r="I4" s="114">
        <v>1048</v>
      </c>
      <c r="J4" s="6"/>
      <c r="K4" s="103">
        <v>1048</v>
      </c>
      <c r="L4" s="15">
        <f>IF(IFERROR(INDEX($K$4:$K$85, MATCH(0, INDEX(COUNTIF($L$3:L3, $K$4:$K$85), 0, 0), 0)), "")=0,"",IFERROR(INDEX($K$4:$K$85, MATCH(0, INDEX(COUNTIF($L$3:L3, $K$4:$K$85), 0, 0), 0)), ""))</f>
        <v>1048</v>
      </c>
    </row>
    <row r="5" spans="2:12" x14ac:dyDescent="0.25">
      <c r="B5" s="105">
        <f t="shared" ref="B5:B68" si="2">ROW()-3</f>
        <v>2</v>
      </c>
      <c r="C5" s="107">
        <f t="shared" ref="C5" si="3">IF((D4-C4)=1,1,C4+1)</f>
        <v>2</v>
      </c>
      <c r="D5" s="107">
        <f t="shared" ref="D5" si="4">IF((D4-C4)=1,D4-1,D4)</f>
        <v>66</v>
      </c>
      <c r="E5" s="15">
        <f t="shared" si="0"/>
        <v>94</v>
      </c>
      <c r="F5" s="110">
        <f t="shared" si="1"/>
        <v>1025</v>
      </c>
      <c r="H5" s="114">
        <v>2</v>
      </c>
      <c r="I5" s="114">
        <v>1025</v>
      </c>
      <c r="J5" s="6"/>
      <c r="K5" s="103">
        <v>1025</v>
      </c>
      <c r="L5" s="15">
        <f>IF(IFERROR(INDEX($K$4:$K$85, MATCH(0, INDEX(COUNTIF($L$3:L4, $K$4:$K$85), 0, 0), 0)), "")=0,"",IFERROR(INDEX($K$4:$K$85, MATCH(0, INDEX(COUNTIF($L$3:L4, $K$4:$K$85), 0, 0), 0)), ""))</f>
        <v>1025</v>
      </c>
    </row>
    <row r="6" spans="2:12" x14ac:dyDescent="0.25">
      <c r="B6" s="105">
        <f t="shared" si="2"/>
        <v>3</v>
      </c>
      <c r="C6" s="107">
        <f t="shared" ref="C6:C69" si="5">IF((D5-C5)=1,1,C5+1)</f>
        <v>3</v>
      </c>
      <c r="D6" s="107">
        <f t="shared" ref="D6:D69" si="6">IF((D5-C5)=1,D5-1,D5)</f>
        <v>66</v>
      </c>
      <c r="E6" s="15">
        <f t="shared" si="0"/>
        <v>94</v>
      </c>
      <c r="F6" s="110">
        <f t="shared" si="1"/>
        <v>805</v>
      </c>
      <c r="H6" s="114">
        <v>3</v>
      </c>
      <c r="I6" s="114">
        <v>805</v>
      </c>
      <c r="J6" s="6"/>
      <c r="K6" s="103">
        <v>805</v>
      </c>
      <c r="L6" s="15">
        <f>IF(IFERROR(INDEX($K$4:$K$85, MATCH(0, INDEX(COUNTIF($L$3:L5, $K$4:$K$85), 0, 0), 0)), "")=0,"",IFERROR(INDEX($K$4:$K$85, MATCH(0, INDEX(COUNTIF($L$3:L5, $K$4:$K$85), 0, 0), 0)), ""))</f>
        <v>805</v>
      </c>
    </row>
    <row r="7" spans="2:12" x14ac:dyDescent="0.25">
      <c r="B7" s="105">
        <f t="shared" si="2"/>
        <v>4</v>
      </c>
      <c r="C7" s="107">
        <f t="shared" si="5"/>
        <v>4</v>
      </c>
      <c r="D7" s="107">
        <f t="shared" si="6"/>
        <v>66</v>
      </c>
      <c r="E7" s="15">
        <f t="shared" si="0"/>
        <v>94</v>
      </c>
      <c r="F7" s="110">
        <f t="shared" si="1"/>
        <v>666</v>
      </c>
      <c r="H7" s="114">
        <v>4</v>
      </c>
      <c r="I7" s="114">
        <v>666</v>
      </c>
      <c r="J7" s="6"/>
      <c r="K7" s="103">
        <v>666</v>
      </c>
      <c r="L7" s="15">
        <f>IF(IFERROR(INDEX($K$4:$K$85, MATCH(0, INDEX(COUNTIF($L$3:L6, $K$4:$K$85), 0, 0), 0)), "")=0,"",IFERROR(INDEX($K$4:$K$85, MATCH(0, INDEX(COUNTIF($L$3:L6, $K$4:$K$85), 0, 0), 0)), ""))</f>
        <v>666</v>
      </c>
    </row>
    <row r="8" spans="2:12" x14ac:dyDescent="0.25">
      <c r="B8" s="105">
        <f t="shared" si="2"/>
        <v>5</v>
      </c>
      <c r="C8" s="107">
        <f t="shared" si="5"/>
        <v>5</v>
      </c>
      <c r="D8" s="107">
        <f t="shared" si="6"/>
        <v>66</v>
      </c>
      <c r="E8" s="15">
        <f t="shared" si="0"/>
        <v>94</v>
      </c>
      <c r="F8" s="110">
        <f t="shared" si="1"/>
        <v>655</v>
      </c>
      <c r="H8" s="114">
        <v>5</v>
      </c>
      <c r="I8" s="114">
        <v>655</v>
      </c>
      <c r="J8" s="6"/>
      <c r="K8" s="103">
        <v>655</v>
      </c>
      <c r="L8" s="15">
        <f>IF(IFERROR(INDEX($K$4:$K$85, MATCH(0, INDEX(COUNTIF($L$3:L7, $K$4:$K$85), 0, 0), 0)), "")=0,"",IFERROR(INDEX($K$4:$K$85, MATCH(0, INDEX(COUNTIF($L$3:L7, $K$4:$K$85), 0, 0), 0)), ""))</f>
        <v>655</v>
      </c>
    </row>
    <row r="9" spans="2:12" x14ac:dyDescent="0.25">
      <c r="B9" s="105">
        <f t="shared" si="2"/>
        <v>6</v>
      </c>
      <c r="C9" s="107">
        <f t="shared" si="5"/>
        <v>6</v>
      </c>
      <c r="D9" s="107">
        <f t="shared" si="6"/>
        <v>66</v>
      </c>
      <c r="E9" s="15">
        <f t="shared" si="0"/>
        <v>94</v>
      </c>
      <c r="F9" s="110">
        <f t="shared" si="1"/>
        <v>652</v>
      </c>
      <c r="H9" s="114">
        <v>6</v>
      </c>
      <c r="I9" s="114">
        <v>652</v>
      </c>
      <c r="K9" s="103">
        <v>652</v>
      </c>
      <c r="L9" s="15">
        <f>IF(IFERROR(INDEX($K$4:$K$85, MATCH(0, INDEX(COUNTIF($L$3:L8, $K$4:$K$85), 0, 0), 0)), "")=0,"",IFERROR(INDEX($K$4:$K$85, MATCH(0, INDEX(COUNTIF($L$3:L8, $K$4:$K$85), 0, 0), 0)), ""))</f>
        <v>652</v>
      </c>
    </row>
    <row r="10" spans="2:12" x14ac:dyDescent="0.25">
      <c r="B10" s="105">
        <f t="shared" si="2"/>
        <v>7</v>
      </c>
      <c r="C10" s="107">
        <f t="shared" si="5"/>
        <v>7</v>
      </c>
      <c r="D10" s="107">
        <f t="shared" si="6"/>
        <v>66</v>
      </c>
      <c r="E10" s="15">
        <f t="shared" si="0"/>
        <v>94</v>
      </c>
      <c r="F10" s="110">
        <f t="shared" si="1"/>
        <v>633</v>
      </c>
      <c r="H10" s="114">
        <v>7</v>
      </c>
      <c r="I10" s="114">
        <v>633</v>
      </c>
      <c r="K10" s="103">
        <v>633</v>
      </c>
      <c r="L10" s="15">
        <f>IF(IFERROR(INDEX($K$4:$K$85, MATCH(0, INDEX(COUNTIF($L$3:L9, $K$4:$K$85), 0, 0), 0)), "")=0,"",IFERROR(INDEX($K$4:$K$85, MATCH(0, INDEX(COUNTIF($L$3:L9, $K$4:$K$85), 0, 0), 0)), ""))</f>
        <v>633</v>
      </c>
    </row>
    <row r="11" spans="2:12" x14ac:dyDescent="0.25">
      <c r="B11" s="105">
        <f t="shared" si="2"/>
        <v>8</v>
      </c>
      <c r="C11" s="107">
        <f t="shared" si="5"/>
        <v>8</v>
      </c>
      <c r="D11" s="107">
        <f t="shared" si="6"/>
        <v>66</v>
      </c>
      <c r="E11" s="15">
        <f t="shared" si="0"/>
        <v>94</v>
      </c>
      <c r="F11" s="110">
        <f t="shared" si="1"/>
        <v>632</v>
      </c>
      <c r="H11" s="114">
        <v>8</v>
      </c>
      <c r="I11" s="114">
        <v>632</v>
      </c>
      <c r="K11" s="103">
        <v>632</v>
      </c>
      <c r="L11" s="15">
        <f>IF(IFERROR(INDEX($K$4:$K$85, MATCH(0, INDEX(COUNTIF($L$3:L10, $K$4:$K$85), 0, 0), 0)), "")=0,"",IFERROR(INDEX($K$4:$K$85, MATCH(0, INDEX(COUNTIF($L$3:L10, $K$4:$K$85), 0, 0), 0)), ""))</f>
        <v>632</v>
      </c>
    </row>
    <row r="12" spans="2:12" x14ac:dyDescent="0.25">
      <c r="B12" s="105">
        <f t="shared" si="2"/>
        <v>9</v>
      </c>
      <c r="C12" s="107">
        <f t="shared" si="5"/>
        <v>9</v>
      </c>
      <c r="D12" s="107">
        <f t="shared" si="6"/>
        <v>66</v>
      </c>
      <c r="E12" s="15">
        <f t="shared" si="0"/>
        <v>94</v>
      </c>
      <c r="F12" s="110">
        <f t="shared" si="1"/>
        <v>625</v>
      </c>
      <c r="H12" s="114">
        <v>9</v>
      </c>
      <c r="I12" s="114">
        <v>625</v>
      </c>
      <c r="K12" s="103">
        <v>625</v>
      </c>
      <c r="L12" s="15">
        <f>IF(IFERROR(INDEX($K$4:$K$85, MATCH(0, INDEX(COUNTIF($L$3:L11, $K$4:$K$85), 0, 0), 0)), "")=0,"",IFERROR(INDEX($K$4:$K$85, MATCH(0, INDEX(COUNTIF($L$3:L11, $K$4:$K$85), 0, 0), 0)), ""))</f>
        <v>625</v>
      </c>
    </row>
    <row r="13" spans="2:12" x14ac:dyDescent="0.25">
      <c r="B13" s="105">
        <f t="shared" si="2"/>
        <v>10</v>
      </c>
      <c r="C13" s="107">
        <f t="shared" si="5"/>
        <v>10</v>
      </c>
      <c r="D13" s="107">
        <f t="shared" si="6"/>
        <v>66</v>
      </c>
      <c r="E13" s="15">
        <f t="shared" si="0"/>
        <v>94</v>
      </c>
      <c r="F13" s="110">
        <f t="shared" si="1"/>
        <v>619</v>
      </c>
      <c r="H13" s="114">
        <v>10</v>
      </c>
      <c r="I13" s="114">
        <v>619</v>
      </c>
      <c r="K13" s="103">
        <v>619</v>
      </c>
      <c r="L13" s="15">
        <f>IF(IFERROR(INDEX($K$4:$K$85, MATCH(0, INDEX(COUNTIF($L$3:L12, $K$4:$K$85), 0, 0), 0)), "")=0,"",IFERROR(INDEX($K$4:$K$85, MATCH(0, INDEX(COUNTIF($L$3:L12, $K$4:$K$85), 0, 0), 0)), ""))</f>
        <v>619</v>
      </c>
    </row>
    <row r="14" spans="2:12" x14ac:dyDescent="0.25">
      <c r="B14" s="105">
        <f t="shared" si="2"/>
        <v>11</v>
      </c>
      <c r="C14" s="107">
        <f t="shared" si="5"/>
        <v>11</v>
      </c>
      <c r="D14" s="107">
        <f t="shared" si="6"/>
        <v>66</v>
      </c>
      <c r="E14" s="15">
        <f t="shared" si="0"/>
        <v>94</v>
      </c>
      <c r="F14" s="110">
        <f t="shared" si="1"/>
        <v>610</v>
      </c>
      <c r="H14" s="114">
        <v>11</v>
      </c>
      <c r="I14" s="114">
        <v>610</v>
      </c>
      <c r="K14" s="103">
        <v>610</v>
      </c>
      <c r="L14" s="15">
        <f>IF(IFERROR(INDEX($K$4:$K$85, MATCH(0, INDEX(COUNTIF($L$3:L13, $K$4:$K$85), 0, 0), 0)), "")=0,"",IFERROR(INDEX($K$4:$K$85, MATCH(0, INDEX(COUNTIF($L$3:L13, $K$4:$K$85), 0, 0), 0)), ""))</f>
        <v>610</v>
      </c>
    </row>
    <row r="15" spans="2:12" x14ac:dyDescent="0.25">
      <c r="B15" s="105">
        <f t="shared" si="2"/>
        <v>12</v>
      </c>
      <c r="C15" s="107">
        <f t="shared" si="5"/>
        <v>12</v>
      </c>
      <c r="D15" s="107">
        <f t="shared" si="6"/>
        <v>66</v>
      </c>
      <c r="E15" s="15">
        <f t="shared" si="0"/>
        <v>94</v>
      </c>
      <c r="F15" s="110">
        <f t="shared" si="1"/>
        <v>599</v>
      </c>
      <c r="H15" s="114">
        <v>12</v>
      </c>
      <c r="I15" s="114">
        <v>599</v>
      </c>
      <c r="K15" s="103">
        <v>599</v>
      </c>
      <c r="L15" s="15">
        <f>IF(IFERROR(INDEX($K$4:$K$85, MATCH(0, INDEX(COUNTIF($L$3:L14, $K$4:$K$85), 0, 0), 0)), "")=0,"",IFERROR(INDEX($K$4:$K$85, MATCH(0, INDEX(COUNTIF($L$3:L14, $K$4:$K$85), 0, 0), 0)), ""))</f>
        <v>599</v>
      </c>
    </row>
    <row r="16" spans="2:12" x14ac:dyDescent="0.25">
      <c r="B16" s="105">
        <f t="shared" si="2"/>
        <v>13</v>
      </c>
      <c r="C16" s="107">
        <f t="shared" si="5"/>
        <v>13</v>
      </c>
      <c r="D16" s="107">
        <f t="shared" si="6"/>
        <v>66</v>
      </c>
      <c r="E16" s="15">
        <f t="shared" si="0"/>
        <v>94</v>
      </c>
      <c r="F16" s="110">
        <f t="shared" si="1"/>
        <v>559</v>
      </c>
      <c r="H16" s="114">
        <v>13</v>
      </c>
      <c r="I16" s="114">
        <v>559</v>
      </c>
      <c r="K16" s="103">
        <v>559</v>
      </c>
      <c r="L16" s="15">
        <f>IF(IFERROR(INDEX($K$4:$K$85, MATCH(0, INDEX(COUNTIF($L$3:L15, $K$4:$K$85), 0, 0), 0)), "")=0,"",IFERROR(INDEX($K$4:$K$85, MATCH(0, INDEX(COUNTIF($L$3:L15, $K$4:$K$85), 0, 0), 0)), ""))</f>
        <v>559</v>
      </c>
    </row>
    <row r="17" spans="2:12" x14ac:dyDescent="0.25">
      <c r="B17" s="105">
        <f t="shared" si="2"/>
        <v>14</v>
      </c>
      <c r="C17" s="107">
        <f t="shared" si="5"/>
        <v>14</v>
      </c>
      <c r="D17" s="107">
        <f t="shared" si="6"/>
        <v>66</v>
      </c>
      <c r="E17" s="15">
        <f t="shared" si="0"/>
        <v>94</v>
      </c>
      <c r="F17" s="110">
        <f t="shared" si="1"/>
        <v>556</v>
      </c>
      <c r="H17" s="114">
        <v>14</v>
      </c>
      <c r="I17" s="114">
        <v>556</v>
      </c>
      <c r="K17" s="103">
        <v>559</v>
      </c>
      <c r="L17" s="15">
        <f>IF(IFERROR(INDEX($K$4:$K$85, MATCH(0, INDEX(COUNTIF($L$3:L16, $K$4:$K$85), 0, 0), 0)), "")=0,"",IFERROR(INDEX($K$4:$K$85, MATCH(0, INDEX(COUNTIF($L$3:L16, $K$4:$K$85), 0, 0), 0)), ""))</f>
        <v>556</v>
      </c>
    </row>
    <row r="18" spans="2:12" x14ac:dyDescent="0.25">
      <c r="B18" s="105">
        <f t="shared" si="2"/>
        <v>15</v>
      </c>
      <c r="C18" s="107">
        <f t="shared" si="5"/>
        <v>15</v>
      </c>
      <c r="D18" s="107">
        <f t="shared" si="6"/>
        <v>66</v>
      </c>
      <c r="E18" s="15">
        <f t="shared" si="0"/>
        <v>94</v>
      </c>
      <c r="F18" s="110">
        <f t="shared" si="1"/>
        <v>540</v>
      </c>
      <c r="H18" s="114">
        <v>15</v>
      </c>
      <c r="I18" s="114">
        <v>540</v>
      </c>
      <c r="K18" s="103">
        <v>559</v>
      </c>
      <c r="L18" s="15">
        <f>IF(IFERROR(INDEX($K$4:$K$85, MATCH(0, INDEX(COUNTIF($L$3:L17, $K$4:$K$85), 0, 0), 0)), "")=0,"",IFERROR(INDEX($K$4:$K$85, MATCH(0, INDEX(COUNTIF($L$3:L17, $K$4:$K$85), 0, 0), 0)), ""))</f>
        <v>540</v>
      </c>
    </row>
    <row r="19" spans="2:12" x14ac:dyDescent="0.25">
      <c r="B19" s="105">
        <f t="shared" si="2"/>
        <v>16</v>
      </c>
      <c r="C19" s="107">
        <f t="shared" si="5"/>
        <v>16</v>
      </c>
      <c r="D19" s="107">
        <f t="shared" si="6"/>
        <v>66</v>
      </c>
      <c r="E19" s="15">
        <f t="shared" si="0"/>
        <v>94</v>
      </c>
      <c r="F19" s="110">
        <f t="shared" si="1"/>
        <v>536</v>
      </c>
      <c r="H19" s="114">
        <v>16</v>
      </c>
      <c r="I19" s="114">
        <v>536</v>
      </c>
      <c r="K19" s="103">
        <v>556</v>
      </c>
      <c r="L19" s="15">
        <f>IF(IFERROR(INDEX($K$4:$K$85, MATCH(0, INDEX(COUNTIF($L$3:L18, $K$4:$K$85), 0, 0), 0)), "")=0,"",IFERROR(INDEX($K$4:$K$85, MATCH(0, INDEX(COUNTIF($L$3:L18, $K$4:$K$85), 0, 0), 0)), ""))</f>
        <v>536</v>
      </c>
    </row>
    <row r="20" spans="2:12" x14ac:dyDescent="0.25">
      <c r="B20" s="105">
        <f t="shared" si="2"/>
        <v>17</v>
      </c>
      <c r="C20" s="107">
        <f t="shared" si="5"/>
        <v>17</v>
      </c>
      <c r="D20" s="107">
        <f t="shared" si="6"/>
        <v>66</v>
      </c>
      <c r="E20" s="15">
        <f t="shared" si="0"/>
        <v>94</v>
      </c>
      <c r="F20" s="110">
        <f t="shared" si="1"/>
        <v>527</v>
      </c>
      <c r="H20" s="114">
        <v>17</v>
      </c>
      <c r="I20" s="114">
        <v>527</v>
      </c>
      <c r="K20" s="103">
        <v>540</v>
      </c>
      <c r="L20" s="15">
        <f>IF(IFERROR(INDEX($K$4:$K$85, MATCH(0, INDEX(COUNTIF($L$3:L19, $K$4:$K$85), 0, 0), 0)), "")=0,"",IFERROR(INDEX($K$4:$K$85, MATCH(0, INDEX(COUNTIF($L$3:L19, $K$4:$K$85), 0, 0), 0)), ""))</f>
        <v>527</v>
      </c>
    </row>
    <row r="21" spans="2:12" x14ac:dyDescent="0.25">
      <c r="B21" s="105">
        <f t="shared" si="2"/>
        <v>18</v>
      </c>
      <c r="C21" s="107">
        <f t="shared" si="5"/>
        <v>18</v>
      </c>
      <c r="D21" s="107">
        <f t="shared" si="6"/>
        <v>66</v>
      </c>
      <c r="E21" s="15">
        <f t="shared" si="0"/>
        <v>94</v>
      </c>
      <c r="F21" s="110">
        <f t="shared" si="1"/>
        <v>478</v>
      </c>
      <c r="H21" s="114">
        <v>18</v>
      </c>
      <c r="I21" s="114">
        <v>478</v>
      </c>
      <c r="K21" s="103">
        <v>536</v>
      </c>
      <c r="L21" s="15">
        <f>IF(IFERROR(INDEX($K$4:$K$85, MATCH(0, INDEX(COUNTIF($L$3:L20, $K$4:$K$85), 0, 0), 0)), "")=0,"",IFERROR(INDEX($K$4:$K$85, MATCH(0, INDEX(COUNTIF($L$3:L20, $K$4:$K$85), 0, 0), 0)), ""))</f>
        <v>478</v>
      </c>
    </row>
    <row r="22" spans="2:12" x14ac:dyDescent="0.25">
      <c r="B22" s="105">
        <f t="shared" si="2"/>
        <v>19</v>
      </c>
      <c r="C22" s="107">
        <f t="shared" si="5"/>
        <v>19</v>
      </c>
      <c r="D22" s="107">
        <f t="shared" si="6"/>
        <v>66</v>
      </c>
      <c r="E22" s="15">
        <f t="shared" si="0"/>
        <v>94</v>
      </c>
      <c r="F22" s="110">
        <f t="shared" si="1"/>
        <v>474</v>
      </c>
      <c r="H22" s="114">
        <v>19</v>
      </c>
      <c r="I22" s="114">
        <v>474</v>
      </c>
      <c r="K22" s="103">
        <v>527</v>
      </c>
      <c r="L22" s="15">
        <f>IF(IFERROR(INDEX($K$4:$K$85, MATCH(0, INDEX(COUNTIF($L$3:L21, $K$4:$K$85), 0, 0), 0)), "")=0,"",IFERROR(INDEX($K$4:$K$85, MATCH(0, INDEX(COUNTIF($L$3:L21, $K$4:$K$85), 0, 0), 0)), ""))</f>
        <v>474</v>
      </c>
    </row>
    <row r="23" spans="2:12" x14ac:dyDescent="0.25">
      <c r="B23" s="105">
        <f t="shared" si="2"/>
        <v>20</v>
      </c>
      <c r="C23" s="107">
        <f t="shared" si="5"/>
        <v>20</v>
      </c>
      <c r="D23" s="107">
        <f t="shared" si="6"/>
        <v>66</v>
      </c>
      <c r="E23" s="15">
        <f t="shared" si="0"/>
        <v>94</v>
      </c>
      <c r="F23" s="110">
        <f t="shared" si="1"/>
        <v>468</v>
      </c>
      <c r="H23" s="114">
        <v>20</v>
      </c>
      <c r="I23" s="114">
        <v>468</v>
      </c>
      <c r="K23" s="103">
        <v>478</v>
      </c>
      <c r="L23" s="15">
        <f>IF(IFERROR(INDEX($K$4:$K$85, MATCH(0, INDEX(COUNTIF($L$3:L22, $K$4:$K$85), 0, 0), 0)), "")=0,"",IFERROR(INDEX($K$4:$K$85, MATCH(0, INDEX(COUNTIF($L$3:L22, $K$4:$K$85), 0, 0), 0)), ""))</f>
        <v>468</v>
      </c>
    </row>
    <row r="24" spans="2:12" x14ac:dyDescent="0.25">
      <c r="B24" s="105">
        <f t="shared" si="2"/>
        <v>21</v>
      </c>
      <c r="C24" s="107">
        <f t="shared" si="5"/>
        <v>21</v>
      </c>
      <c r="D24" s="107">
        <f t="shared" si="6"/>
        <v>66</v>
      </c>
      <c r="E24" s="15">
        <f t="shared" si="0"/>
        <v>94</v>
      </c>
      <c r="F24" s="110">
        <f t="shared" si="1"/>
        <v>457</v>
      </c>
      <c r="H24" s="114">
        <v>21</v>
      </c>
      <c r="I24" s="114">
        <v>457</v>
      </c>
      <c r="K24" s="103">
        <v>474</v>
      </c>
      <c r="L24" s="15">
        <f>IF(IFERROR(INDEX($K$4:$K$85, MATCH(0, INDEX(COUNTIF($L$3:L23, $K$4:$K$85), 0, 0), 0)), "")=0,"",IFERROR(INDEX($K$4:$K$85, MATCH(0, INDEX(COUNTIF($L$3:L23, $K$4:$K$85), 0, 0), 0)), ""))</f>
        <v>457</v>
      </c>
    </row>
    <row r="25" spans="2:12" x14ac:dyDescent="0.25">
      <c r="B25" s="105">
        <f t="shared" si="2"/>
        <v>22</v>
      </c>
      <c r="C25" s="107">
        <f t="shared" si="5"/>
        <v>22</v>
      </c>
      <c r="D25" s="107">
        <f t="shared" si="6"/>
        <v>66</v>
      </c>
      <c r="E25" s="15">
        <f t="shared" si="0"/>
        <v>94</v>
      </c>
      <c r="F25" s="110">
        <f t="shared" si="1"/>
        <v>452</v>
      </c>
      <c r="H25" s="114">
        <v>22</v>
      </c>
      <c r="I25" s="114">
        <v>452</v>
      </c>
      <c r="K25" s="103">
        <v>468</v>
      </c>
      <c r="L25" s="15">
        <f>IF(IFERROR(INDEX($K$4:$K$85, MATCH(0, INDEX(COUNTIF($L$3:L24, $K$4:$K$85), 0, 0), 0)), "")=0,"",IFERROR(INDEX($K$4:$K$85, MATCH(0, INDEX(COUNTIF($L$3:L24, $K$4:$K$85), 0, 0), 0)), ""))</f>
        <v>452</v>
      </c>
    </row>
    <row r="26" spans="2:12" x14ac:dyDescent="0.25">
      <c r="B26" s="105">
        <f t="shared" si="2"/>
        <v>23</v>
      </c>
      <c r="C26" s="107">
        <f t="shared" si="5"/>
        <v>23</v>
      </c>
      <c r="D26" s="107">
        <f t="shared" si="6"/>
        <v>66</v>
      </c>
      <c r="E26" s="15">
        <f t="shared" si="0"/>
        <v>94</v>
      </c>
      <c r="F26" s="110">
        <f t="shared" si="1"/>
        <v>442</v>
      </c>
      <c r="H26" s="114">
        <v>23</v>
      </c>
      <c r="I26" s="114">
        <v>442</v>
      </c>
      <c r="K26" s="103">
        <v>457</v>
      </c>
      <c r="L26" s="15">
        <f>IF(IFERROR(INDEX($K$4:$K$85, MATCH(0, INDEX(COUNTIF($L$3:L25, $K$4:$K$85), 0, 0), 0)), "")=0,"",IFERROR(INDEX($K$4:$K$85, MATCH(0, INDEX(COUNTIF($L$3:L25, $K$4:$K$85), 0, 0), 0)), ""))</f>
        <v>442</v>
      </c>
    </row>
    <row r="27" spans="2:12" x14ac:dyDescent="0.25">
      <c r="B27" s="105">
        <f t="shared" si="2"/>
        <v>24</v>
      </c>
      <c r="C27" s="107">
        <f t="shared" si="5"/>
        <v>24</v>
      </c>
      <c r="D27" s="107">
        <f t="shared" si="6"/>
        <v>66</v>
      </c>
      <c r="E27" s="15">
        <f t="shared" si="0"/>
        <v>94</v>
      </c>
      <c r="F27" s="110">
        <f t="shared" si="1"/>
        <v>420</v>
      </c>
      <c r="H27" s="114">
        <v>24</v>
      </c>
      <c r="I27" s="114">
        <v>420</v>
      </c>
      <c r="K27" s="103">
        <v>452</v>
      </c>
      <c r="L27" s="15">
        <f>IF(IFERROR(INDEX($K$4:$K$85, MATCH(0, INDEX(COUNTIF($L$3:L26, $K$4:$K$85), 0, 0), 0)), "")=0,"",IFERROR(INDEX($K$4:$K$85, MATCH(0, INDEX(COUNTIF($L$3:L26, $K$4:$K$85), 0, 0), 0)), ""))</f>
        <v>420</v>
      </c>
    </row>
    <row r="28" spans="2:12" x14ac:dyDescent="0.25">
      <c r="B28" s="105">
        <f t="shared" si="2"/>
        <v>25</v>
      </c>
      <c r="C28" s="107">
        <f t="shared" si="5"/>
        <v>25</v>
      </c>
      <c r="D28" s="107">
        <f t="shared" si="6"/>
        <v>66</v>
      </c>
      <c r="E28" s="15">
        <f t="shared" si="0"/>
        <v>94</v>
      </c>
      <c r="F28" s="110">
        <f t="shared" si="1"/>
        <v>410</v>
      </c>
      <c r="H28" s="114">
        <v>25</v>
      </c>
      <c r="I28" s="114">
        <v>410</v>
      </c>
      <c r="K28" s="103">
        <v>452</v>
      </c>
      <c r="L28" s="15">
        <f>IF(IFERROR(INDEX($K$4:$K$85, MATCH(0, INDEX(COUNTIF($L$3:L27, $K$4:$K$85), 0, 0), 0)), "")=0,"",IFERROR(INDEX($K$4:$K$85, MATCH(0, INDEX(COUNTIF($L$3:L27, $K$4:$K$85), 0, 0), 0)), ""))</f>
        <v>410</v>
      </c>
    </row>
    <row r="29" spans="2:12" x14ac:dyDescent="0.25">
      <c r="B29" s="105">
        <f t="shared" si="2"/>
        <v>26</v>
      </c>
      <c r="C29" s="107">
        <f t="shared" si="5"/>
        <v>26</v>
      </c>
      <c r="D29" s="107">
        <f t="shared" si="6"/>
        <v>66</v>
      </c>
      <c r="E29" s="15">
        <f t="shared" si="0"/>
        <v>94</v>
      </c>
      <c r="F29" s="110">
        <f t="shared" si="1"/>
        <v>409</v>
      </c>
      <c r="H29" s="114">
        <v>26</v>
      </c>
      <c r="I29" s="114">
        <v>409</v>
      </c>
      <c r="K29" s="103">
        <v>452</v>
      </c>
      <c r="L29" s="15">
        <f>IF(IFERROR(INDEX($K$4:$K$85, MATCH(0, INDEX(COUNTIF($L$3:L28, $K$4:$K$85), 0, 0), 0)), "")=0,"",IFERROR(INDEX($K$4:$K$85, MATCH(0, INDEX(COUNTIF($L$3:L28, $K$4:$K$85), 0, 0), 0)), ""))</f>
        <v>409</v>
      </c>
    </row>
    <row r="30" spans="2:12" x14ac:dyDescent="0.25">
      <c r="B30" s="105">
        <f t="shared" si="2"/>
        <v>27</v>
      </c>
      <c r="C30" s="107">
        <f t="shared" si="5"/>
        <v>27</v>
      </c>
      <c r="D30" s="107">
        <f t="shared" si="6"/>
        <v>66</v>
      </c>
      <c r="E30" s="15">
        <f t="shared" si="0"/>
        <v>94</v>
      </c>
      <c r="F30" s="110">
        <f t="shared" si="1"/>
        <v>408</v>
      </c>
      <c r="H30" s="114">
        <v>27</v>
      </c>
      <c r="I30" s="114">
        <v>408</v>
      </c>
      <c r="K30" s="103">
        <v>442</v>
      </c>
      <c r="L30" s="15">
        <f>IF(IFERROR(INDEX($K$4:$K$85, MATCH(0, INDEX(COUNTIF($L$3:L29, $K$4:$K$85), 0, 0), 0)), "")=0,"",IFERROR(INDEX($K$4:$K$85, MATCH(0, INDEX(COUNTIF($L$3:L29, $K$4:$K$85), 0, 0), 0)), ""))</f>
        <v>408</v>
      </c>
    </row>
    <row r="31" spans="2:12" x14ac:dyDescent="0.25">
      <c r="B31" s="105">
        <f t="shared" si="2"/>
        <v>28</v>
      </c>
      <c r="C31" s="107">
        <f t="shared" si="5"/>
        <v>28</v>
      </c>
      <c r="D31" s="107">
        <f t="shared" si="6"/>
        <v>66</v>
      </c>
      <c r="E31" s="15">
        <f t="shared" si="0"/>
        <v>94</v>
      </c>
      <c r="F31" s="110">
        <f t="shared" si="1"/>
        <v>404</v>
      </c>
      <c r="H31" s="114">
        <v>28</v>
      </c>
      <c r="I31" s="114">
        <v>404</v>
      </c>
      <c r="K31" s="103">
        <v>420</v>
      </c>
      <c r="L31" s="15">
        <f>IF(IFERROR(INDEX($K$4:$K$85, MATCH(0, INDEX(COUNTIF($L$3:L30, $K$4:$K$85), 0, 0), 0)), "")=0,"",IFERROR(INDEX($K$4:$K$85, MATCH(0, INDEX(COUNTIF($L$3:L30, $K$4:$K$85), 0, 0), 0)), ""))</f>
        <v>404</v>
      </c>
    </row>
    <row r="32" spans="2:12" x14ac:dyDescent="0.25">
      <c r="B32" s="105">
        <f t="shared" si="2"/>
        <v>29</v>
      </c>
      <c r="C32" s="107">
        <f t="shared" si="5"/>
        <v>29</v>
      </c>
      <c r="D32" s="107">
        <f t="shared" si="6"/>
        <v>66</v>
      </c>
      <c r="E32" s="15">
        <f t="shared" si="0"/>
        <v>94</v>
      </c>
      <c r="F32" s="110">
        <f t="shared" si="1"/>
        <v>399</v>
      </c>
      <c r="H32" s="114">
        <v>29</v>
      </c>
      <c r="I32" s="114">
        <v>399</v>
      </c>
      <c r="K32" s="103">
        <v>420</v>
      </c>
      <c r="L32" s="15">
        <f>IF(IFERROR(INDEX($K$4:$K$85, MATCH(0, INDEX(COUNTIF($L$3:L31, $K$4:$K$85), 0, 0), 0)), "")=0,"",IFERROR(INDEX($K$4:$K$85, MATCH(0, INDEX(COUNTIF($L$3:L31, $K$4:$K$85), 0, 0), 0)), ""))</f>
        <v>399</v>
      </c>
    </row>
    <row r="33" spans="2:12" x14ac:dyDescent="0.25">
      <c r="B33" s="105">
        <f t="shared" si="2"/>
        <v>30</v>
      </c>
      <c r="C33" s="107">
        <f t="shared" si="5"/>
        <v>30</v>
      </c>
      <c r="D33" s="107">
        <f t="shared" si="6"/>
        <v>66</v>
      </c>
      <c r="E33" s="15">
        <f t="shared" si="0"/>
        <v>94</v>
      </c>
      <c r="F33" s="110">
        <f t="shared" si="1"/>
        <v>396</v>
      </c>
      <c r="H33" s="114">
        <v>30</v>
      </c>
      <c r="I33" s="114">
        <v>396</v>
      </c>
      <c r="K33" s="103">
        <v>410</v>
      </c>
      <c r="L33" s="15">
        <f>IF(IFERROR(INDEX($K$4:$K$85, MATCH(0, INDEX(COUNTIF($L$3:L32, $K$4:$K$85), 0, 0), 0)), "")=0,"",IFERROR(INDEX($K$4:$K$85, MATCH(0, INDEX(COUNTIF($L$3:L32, $K$4:$K$85), 0, 0), 0)), ""))</f>
        <v>396</v>
      </c>
    </row>
    <row r="34" spans="2:12" x14ac:dyDescent="0.25">
      <c r="B34" s="105">
        <f t="shared" si="2"/>
        <v>31</v>
      </c>
      <c r="C34" s="107">
        <f t="shared" si="5"/>
        <v>31</v>
      </c>
      <c r="D34" s="107">
        <f t="shared" si="6"/>
        <v>66</v>
      </c>
      <c r="E34" s="15">
        <f t="shared" si="0"/>
        <v>94</v>
      </c>
      <c r="F34" s="110">
        <f t="shared" si="1"/>
        <v>384</v>
      </c>
      <c r="H34" s="114">
        <v>31</v>
      </c>
      <c r="I34" s="114">
        <v>384</v>
      </c>
      <c r="K34" s="103">
        <v>410</v>
      </c>
      <c r="L34" s="15">
        <f>IF(IFERROR(INDEX($K$4:$K$85, MATCH(0, INDEX(COUNTIF($L$3:L33, $K$4:$K$85), 0, 0), 0)), "")=0,"",IFERROR(INDEX($K$4:$K$85, MATCH(0, INDEX(COUNTIF($L$3:L33, $K$4:$K$85), 0, 0), 0)), ""))</f>
        <v>384</v>
      </c>
    </row>
    <row r="35" spans="2:12" x14ac:dyDescent="0.25">
      <c r="B35" s="105">
        <f t="shared" si="2"/>
        <v>32</v>
      </c>
      <c r="C35" s="107">
        <f t="shared" si="5"/>
        <v>32</v>
      </c>
      <c r="D35" s="107">
        <f t="shared" si="6"/>
        <v>66</v>
      </c>
      <c r="E35" s="15">
        <f t="shared" si="0"/>
        <v>94</v>
      </c>
      <c r="F35" s="110">
        <f t="shared" si="1"/>
        <v>381</v>
      </c>
      <c r="H35" s="114">
        <v>32</v>
      </c>
      <c r="I35" s="114">
        <v>381</v>
      </c>
      <c r="K35" s="103">
        <v>409</v>
      </c>
      <c r="L35" s="15">
        <f>IF(IFERROR(INDEX($K$4:$K$85, MATCH(0, INDEX(COUNTIF($L$3:L34, $K$4:$K$85), 0, 0), 0)), "")=0,"",IFERROR(INDEX($K$4:$K$85, MATCH(0, INDEX(COUNTIF($L$3:L34, $K$4:$K$85), 0, 0), 0)), ""))</f>
        <v>381</v>
      </c>
    </row>
    <row r="36" spans="2:12" x14ac:dyDescent="0.25">
      <c r="B36" s="105">
        <f t="shared" si="2"/>
        <v>33</v>
      </c>
      <c r="C36" s="107">
        <f t="shared" si="5"/>
        <v>33</v>
      </c>
      <c r="D36" s="107">
        <f t="shared" si="6"/>
        <v>66</v>
      </c>
      <c r="E36" s="15">
        <f t="shared" si="0"/>
        <v>94</v>
      </c>
      <c r="F36" s="110">
        <f t="shared" si="1"/>
        <v>376</v>
      </c>
      <c r="H36" s="114">
        <v>33</v>
      </c>
      <c r="I36" s="114">
        <v>376</v>
      </c>
      <c r="K36" s="103">
        <v>408</v>
      </c>
      <c r="L36" s="15">
        <f>IF(IFERROR(INDEX($K$4:$K$85, MATCH(0, INDEX(COUNTIF($L$3:L35, $K$4:$K$85), 0, 0), 0)), "")=0,"",IFERROR(INDEX($K$4:$K$85, MATCH(0, INDEX(COUNTIF($L$3:L35, $K$4:$K$85), 0, 0), 0)), ""))</f>
        <v>376</v>
      </c>
    </row>
    <row r="37" spans="2:12" x14ac:dyDescent="0.25">
      <c r="B37" s="105">
        <f t="shared" si="2"/>
        <v>34</v>
      </c>
      <c r="C37" s="107">
        <f t="shared" si="5"/>
        <v>34</v>
      </c>
      <c r="D37" s="107">
        <f t="shared" si="6"/>
        <v>66</v>
      </c>
      <c r="E37" s="15">
        <f t="shared" si="0"/>
        <v>94</v>
      </c>
      <c r="F37" s="110">
        <f t="shared" si="1"/>
        <v>370</v>
      </c>
      <c r="H37" s="114">
        <v>34</v>
      </c>
      <c r="I37" s="114">
        <v>370</v>
      </c>
      <c r="K37" s="103">
        <v>404</v>
      </c>
      <c r="L37" s="15">
        <f>IF(IFERROR(INDEX($K$4:$K$85, MATCH(0, INDEX(COUNTIF($L$3:L36, $K$4:$K$85), 0, 0), 0)), "")=0,"",IFERROR(INDEX($K$4:$K$85, MATCH(0, INDEX(COUNTIF($L$3:L36, $K$4:$K$85), 0, 0), 0)), ""))</f>
        <v>370</v>
      </c>
    </row>
    <row r="38" spans="2:12" x14ac:dyDescent="0.25">
      <c r="B38" s="105">
        <f t="shared" si="2"/>
        <v>35</v>
      </c>
      <c r="C38" s="107">
        <f t="shared" si="5"/>
        <v>35</v>
      </c>
      <c r="D38" s="107">
        <f t="shared" si="6"/>
        <v>66</v>
      </c>
      <c r="E38" s="15">
        <f t="shared" si="0"/>
        <v>94</v>
      </c>
      <c r="F38" s="110">
        <f t="shared" si="1"/>
        <v>362</v>
      </c>
      <c r="H38" s="114">
        <v>35</v>
      </c>
      <c r="I38" s="114">
        <v>362</v>
      </c>
      <c r="K38" s="103">
        <v>399</v>
      </c>
      <c r="L38" s="15">
        <f>IF(IFERROR(INDEX($K$4:$K$85, MATCH(0, INDEX(COUNTIF($L$3:L37, $K$4:$K$85), 0, 0), 0)), "")=0,"",IFERROR(INDEX($K$4:$K$85, MATCH(0, INDEX(COUNTIF($L$3:L37, $K$4:$K$85), 0, 0), 0)), ""))</f>
        <v>362</v>
      </c>
    </row>
    <row r="39" spans="2:12" x14ac:dyDescent="0.25">
      <c r="B39" s="105">
        <f t="shared" si="2"/>
        <v>36</v>
      </c>
      <c r="C39" s="107">
        <f t="shared" si="5"/>
        <v>36</v>
      </c>
      <c r="D39" s="107">
        <f t="shared" si="6"/>
        <v>66</v>
      </c>
      <c r="E39" s="15">
        <f t="shared" si="0"/>
        <v>94</v>
      </c>
      <c r="F39" s="110">
        <f t="shared" si="1"/>
        <v>357</v>
      </c>
      <c r="H39" s="114">
        <v>36</v>
      </c>
      <c r="I39" s="114">
        <v>357</v>
      </c>
      <c r="K39" s="103">
        <v>396</v>
      </c>
      <c r="L39" s="15">
        <f>IF(IFERROR(INDEX($K$4:$K$85, MATCH(0, INDEX(COUNTIF($L$3:L38, $K$4:$K$85), 0, 0), 0)), "")=0,"",IFERROR(INDEX($K$4:$K$85, MATCH(0, INDEX(COUNTIF($L$3:L38, $K$4:$K$85), 0, 0), 0)), ""))</f>
        <v>357</v>
      </c>
    </row>
    <row r="40" spans="2:12" x14ac:dyDescent="0.25">
      <c r="B40" s="105">
        <f t="shared" si="2"/>
        <v>37</v>
      </c>
      <c r="C40" s="107">
        <f t="shared" si="5"/>
        <v>37</v>
      </c>
      <c r="D40" s="107">
        <f t="shared" si="6"/>
        <v>66</v>
      </c>
      <c r="E40" s="15">
        <f t="shared" si="0"/>
        <v>94</v>
      </c>
      <c r="F40" s="110">
        <f t="shared" si="1"/>
        <v>351</v>
      </c>
      <c r="H40" s="114">
        <v>37</v>
      </c>
      <c r="I40" s="114">
        <v>351</v>
      </c>
      <c r="K40" s="103">
        <v>384</v>
      </c>
      <c r="L40" s="15">
        <f>IF(IFERROR(INDEX($K$4:$K$85, MATCH(0, INDEX(COUNTIF($L$3:L39, $K$4:$K$85), 0, 0), 0)), "")=0,"",IFERROR(INDEX($K$4:$K$85, MATCH(0, INDEX(COUNTIF($L$3:L39, $K$4:$K$85), 0, 0), 0)), ""))</f>
        <v>351</v>
      </c>
    </row>
    <row r="41" spans="2:12" x14ac:dyDescent="0.25">
      <c r="B41" s="105">
        <f t="shared" si="2"/>
        <v>38</v>
      </c>
      <c r="C41" s="107">
        <f t="shared" si="5"/>
        <v>38</v>
      </c>
      <c r="D41" s="107">
        <f t="shared" si="6"/>
        <v>66</v>
      </c>
      <c r="E41" s="15">
        <f t="shared" si="0"/>
        <v>94</v>
      </c>
      <c r="F41" s="110">
        <f t="shared" si="1"/>
        <v>339</v>
      </c>
      <c r="H41" s="114">
        <v>38</v>
      </c>
      <c r="I41" s="114">
        <v>339</v>
      </c>
      <c r="K41" s="103">
        <v>384</v>
      </c>
      <c r="L41" s="15">
        <f>IF(IFERROR(INDEX($K$4:$K$85, MATCH(0, INDEX(COUNTIF($L$3:L40, $K$4:$K$85), 0, 0), 0)), "")=0,"",IFERROR(INDEX($K$4:$K$85, MATCH(0, INDEX(COUNTIF($L$3:L40, $K$4:$K$85), 0, 0), 0)), ""))</f>
        <v>339</v>
      </c>
    </row>
    <row r="42" spans="2:12" x14ac:dyDescent="0.25">
      <c r="B42" s="105">
        <f t="shared" si="2"/>
        <v>39</v>
      </c>
      <c r="C42" s="107">
        <f t="shared" si="5"/>
        <v>39</v>
      </c>
      <c r="D42" s="107">
        <f t="shared" si="6"/>
        <v>66</v>
      </c>
      <c r="E42" s="15">
        <f t="shared" si="0"/>
        <v>94</v>
      </c>
      <c r="F42" s="110">
        <f t="shared" si="1"/>
        <v>304</v>
      </c>
      <c r="H42" s="114">
        <v>39</v>
      </c>
      <c r="I42" s="114">
        <v>304</v>
      </c>
      <c r="K42" s="103">
        <v>381</v>
      </c>
      <c r="L42" s="15">
        <f>IF(IFERROR(INDEX($K$4:$K$85, MATCH(0, INDEX(COUNTIF($L$3:L41, $K$4:$K$85), 0, 0), 0)), "")=0,"",IFERROR(INDEX($K$4:$K$85, MATCH(0, INDEX(COUNTIF($L$3:L41, $K$4:$K$85), 0, 0), 0)), ""))</f>
        <v>304</v>
      </c>
    </row>
    <row r="43" spans="2:12" x14ac:dyDescent="0.25">
      <c r="B43" s="105">
        <f t="shared" si="2"/>
        <v>40</v>
      </c>
      <c r="C43" s="107">
        <f t="shared" si="5"/>
        <v>40</v>
      </c>
      <c r="D43" s="107">
        <f t="shared" si="6"/>
        <v>66</v>
      </c>
      <c r="E43" s="15">
        <f t="shared" si="0"/>
        <v>94</v>
      </c>
      <c r="F43" s="110">
        <f t="shared" si="1"/>
        <v>301</v>
      </c>
      <c r="H43" s="114">
        <v>40</v>
      </c>
      <c r="I43" s="114">
        <v>301</v>
      </c>
      <c r="K43" s="103">
        <v>376</v>
      </c>
      <c r="L43" s="15">
        <f>IF(IFERROR(INDEX($K$4:$K$85, MATCH(0, INDEX(COUNTIF($L$3:L42, $K$4:$K$85), 0, 0), 0)), "")=0,"",IFERROR(INDEX($K$4:$K$85, MATCH(0, INDEX(COUNTIF($L$3:L42, $K$4:$K$85), 0, 0), 0)), ""))</f>
        <v>301</v>
      </c>
    </row>
    <row r="44" spans="2:12" x14ac:dyDescent="0.25">
      <c r="B44" s="105">
        <f t="shared" si="2"/>
        <v>41</v>
      </c>
      <c r="C44" s="107">
        <f t="shared" si="5"/>
        <v>41</v>
      </c>
      <c r="D44" s="107">
        <f t="shared" si="6"/>
        <v>66</v>
      </c>
      <c r="E44" s="15">
        <f t="shared" si="0"/>
        <v>94</v>
      </c>
      <c r="F44" s="110">
        <f t="shared" si="1"/>
        <v>300</v>
      </c>
      <c r="H44" s="114">
        <v>41</v>
      </c>
      <c r="I44" s="114">
        <v>300</v>
      </c>
      <c r="K44" s="103">
        <v>376</v>
      </c>
      <c r="L44" s="15">
        <f>IF(IFERROR(INDEX($K$4:$K$85, MATCH(0, INDEX(COUNTIF($L$3:L43, $K$4:$K$85), 0, 0), 0)), "")=0,"",IFERROR(INDEX($K$4:$K$85, MATCH(0, INDEX(COUNTIF($L$3:L43, $K$4:$K$85), 0, 0), 0)), ""))</f>
        <v>300</v>
      </c>
    </row>
    <row r="45" spans="2:12" x14ac:dyDescent="0.25">
      <c r="B45" s="105">
        <f t="shared" si="2"/>
        <v>42</v>
      </c>
      <c r="C45" s="107">
        <f t="shared" si="5"/>
        <v>42</v>
      </c>
      <c r="D45" s="107">
        <f t="shared" si="6"/>
        <v>66</v>
      </c>
      <c r="E45" s="15">
        <f t="shared" si="0"/>
        <v>94</v>
      </c>
      <c r="F45" s="110">
        <f t="shared" si="1"/>
        <v>288</v>
      </c>
      <c r="H45" s="114">
        <v>42</v>
      </c>
      <c r="I45" s="114">
        <v>288</v>
      </c>
      <c r="K45" s="103">
        <v>370</v>
      </c>
      <c r="L45" s="15">
        <f>IF(IFERROR(INDEX($K$4:$K$85, MATCH(0, INDEX(COUNTIF($L$3:L44, $K$4:$K$85), 0, 0), 0)), "")=0,"",IFERROR(INDEX($K$4:$K$85, MATCH(0, INDEX(COUNTIF($L$3:L44, $K$4:$K$85), 0, 0), 0)), ""))</f>
        <v>288</v>
      </c>
    </row>
    <row r="46" spans="2:12" x14ac:dyDescent="0.25">
      <c r="B46" s="105">
        <f t="shared" si="2"/>
        <v>43</v>
      </c>
      <c r="C46" s="107">
        <f t="shared" si="5"/>
        <v>43</v>
      </c>
      <c r="D46" s="107">
        <f t="shared" si="6"/>
        <v>66</v>
      </c>
      <c r="E46" s="15">
        <f t="shared" si="0"/>
        <v>94</v>
      </c>
      <c r="F46" s="110">
        <f t="shared" si="1"/>
        <v>273</v>
      </c>
      <c r="H46" s="114">
        <v>43</v>
      </c>
      <c r="I46" s="114">
        <v>273</v>
      </c>
      <c r="K46" s="103">
        <v>370</v>
      </c>
      <c r="L46" s="15">
        <f>IF(IFERROR(INDEX($K$4:$K$85, MATCH(0, INDEX(COUNTIF($L$3:L45, $K$4:$K$85), 0, 0), 0)), "")=0,"",IFERROR(INDEX($K$4:$K$85, MATCH(0, INDEX(COUNTIF($L$3:L45, $K$4:$K$85), 0, 0), 0)), ""))</f>
        <v>273</v>
      </c>
    </row>
    <row r="47" spans="2:12" x14ac:dyDescent="0.25">
      <c r="B47" s="105">
        <f t="shared" si="2"/>
        <v>44</v>
      </c>
      <c r="C47" s="107">
        <f t="shared" si="5"/>
        <v>44</v>
      </c>
      <c r="D47" s="107">
        <f t="shared" si="6"/>
        <v>66</v>
      </c>
      <c r="E47" s="15">
        <f t="shared" si="0"/>
        <v>94</v>
      </c>
      <c r="F47" s="110">
        <f t="shared" si="1"/>
        <v>268</v>
      </c>
      <c r="H47" s="114">
        <v>44</v>
      </c>
      <c r="I47" s="114">
        <v>268</v>
      </c>
      <c r="K47" s="103">
        <v>362</v>
      </c>
      <c r="L47" s="15">
        <f>IF(IFERROR(INDEX($K$4:$K$85, MATCH(0, INDEX(COUNTIF($L$3:L46, $K$4:$K$85), 0, 0), 0)), "")=0,"",IFERROR(INDEX($K$4:$K$85, MATCH(0, INDEX(COUNTIF($L$3:L46, $K$4:$K$85), 0, 0), 0)), ""))</f>
        <v>268</v>
      </c>
    </row>
    <row r="48" spans="2:12" x14ac:dyDescent="0.25">
      <c r="B48" s="105">
        <f t="shared" si="2"/>
        <v>45</v>
      </c>
      <c r="C48" s="107">
        <f t="shared" si="5"/>
        <v>45</v>
      </c>
      <c r="D48" s="107">
        <f t="shared" si="6"/>
        <v>66</v>
      </c>
      <c r="E48" s="15">
        <f t="shared" si="0"/>
        <v>94</v>
      </c>
      <c r="F48" s="110">
        <f t="shared" si="1"/>
        <v>262</v>
      </c>
      <c r="H48" s="114">
        <v>45</v>
      </c>
      <c r="I48" s="114">
        <v>262</v>
      </c>
      <c r="K48" s="103">
        <v>357</v>
      </c>
      <c r="L48" s="15">
        <f>IF(IFERROR(INDEX($K$4:$K$85, MATCH(0, INDEX(COUNTIF($L$3:L47, $K$4:$K$85), 0, 0), 0)), "")=0,"",IFERROR(INDEX($K$4:$K$85, MATCH(0, INDEX(COUNTIF($L$3:L47, $K$4:$K$85), 0, 0), 0)), ""))</f>
        <v>262</v>
      </c>
    </row>
    <row r="49" spans="2:12" x14ac:dyDescent="0.25">
      <c r="B49" s="105">
        <f t="shared" si="2"/>
        <v>46</v>
      </c>
      <c r="C49" s="107">
        <f t="shared" si="5"/>
        <v>46</v>
      </c>
      <c r="D49" s="107">
        <f t="shared" si="6"/>
        <v>66</v>
      </c>
      <c r="E49" s="15">
        <f t="shared" si="0"/>
        <v>94</v>
      </c>
      <c r="F49" s="110">
        <f t="shared" si="1"/>
        <v>248</v>
      </c>
      <c r="H49" s="114">
        <v>46</v>
      </c>
      <c r="I49" s="114">
        <v>248</v>
      </c>
      <c r="K49" s="103">
        <v>351</v>
      </c>
      <c r="L49" s="15">
        <f>IF(IFERROR(INDEX($K$4:$K$85, MATCH(0, INDEX(COUNTIF($L$3:L48, $K$4:$K$85), 0, 0), 0)), "")=0,"",IFERROR(INDEX($K$4:$K$85, MATCH(0, INDEX(COUNTIF($L$3:L48, $K$4:$K$85), 0, 0), 0)), ""))</f>
        <v>248</v>
      </c>
    </row>
    <row r="50" spans="2:12" x14ac:dyDescent="0.25">
      <c r="B50" s="105">
        <f t="shared" si="2"/>
        <v>47</v>
      </c>
      <c r="C50" s="107">
        <f t="shared" si="5"/>
        <v>47</v>
      </c>
      <c r="D50" s="107">
        <f t="shared" si="6"/>
        <v>66</v>
      </c>
      <c r="E50" s="15">
        <f t="shared" si="0"/>
        <v>94</v>
      </c>
      <c r="F50" s="110">
        <f t="shared" si="1"/>
        <v>246</v>
      </c>
      <c r="H50" s="114">
        <v>47</v>
      </c>
      <c r="I50" s="114">
        <v>246</v>
      </c>
      <c r="K50" s="103">
        <v>339</v>
      </c>
      <c r="L50" s="15">
        <f>IF(IFERROR(INDEX($K$4:$K$85, MATCH(0, INDEX(COUNTIF($L$3:L49, $K$4:$K$85), 0, 0), 0)), "")=0,"",IFERROR(INDEX($K$4:$K$85, MATCH(0, INDEX(COUNTIF($L$3:L49, $K$4:$K$85), 0, 0), 0)), ""))</f>
        <v>246</v>
      </c>
    </row>
    <row r="51" spans="2:12" x14ac:dyDescent="0.25">
      <c r="B51" s="105">
        <f t="shared" si="2"/>
        <v>48</v>
      </c>
      <c r="C51" s="107">
        <f t="shared" si="5"/>
        <v>48</v>
      </c>
      <c r="D51" s="107">
        <f t="shared" si="6"/>
        <v>66</v>
      </c>
      <c r="E51" s="15">
        <f t="shared" si="0"/>
        <v>94</v>
      </c>
      <c r="F51" s="110">
        <f t="shared" si="1"/>
        <v>236</v>
      </c>
      <c r="H51" s="114">
        <v>48</v>
      </c>
      <c r="I51" s="114">
        <v>236</v>
      </c>
      <c r="K51" s="103">
        <v>304</v>
      </c>
      <c r="L51" s="15">
        <f>IF(IFERROR(INDEX($K$4:$K$85, MATCH(0, INDEX(COUNTIF($L$3:L50, $K$4:$K$85), 0, 0), 0)), "")=0,"",IFERROR(INDEX($K$4:$K$85, MATCH(0, INDEX(COUNTIF($L$3:L50, $K$4:$K$85), 0, 0), 0)), ""))</f>
        <v>236</v>
      </c>
    </row>
    <row r="52" spans="2:12" x14ac:dyDescent="0.25">
      <c r="B52" s="105">
        <f t="shared" si="2"/>
        <v>49</v>
      </c>
      <c r="C52" s="107">
        <f t="shared" si="5"/>
        <v>49</v>
      </c>
      <c r="D52" s="107">
        <f t="shared" si="6"/>
        <v>66</v>
      </c>
      <c r="E52" s="15">
        <f t="shared" si="0"/>
        <v>94</v>
      </c>
      <c r="F52" s="110">
        <f t="shared" si="1"/>
        <v>231</v>
      </c>
      <c r="H52" s="114">
        <v>49</v>
      </c>
      <c r="I52" s="114">
        <v>231</v>
      </c>
      <c r="K52" s="103">
        <v>301</v>
      </c>
      <c r="L52" s="15">
        <f>IF(IFERROR(INDEX($K$4:$K$85, MATCH(0, INDEX(COUNTIF($L$3:L51, $K$4:$K$85), 0, 0), 0)), "")=0,"",IFERROR(INDEX($K$4:$K$85, MATCH(0, INDEX(COUNTIF($L$3:L51, $K$4:$K$85), 0, 0), 0)), ""))</f>
        <v>231</v>
      </c>
    </row>
    <row r="53" spans="2:12" x14ac:dyDescent="0.25">
      <c r="B53" s="105">
        <f t="shared" si="2"/>
        <v>50</v>
      </c>
      <c r="C53" s="107">
        <f t="shared" si="5"/>
        <v>50</v>
      </c>
      <c r="D53" s="107">
        <f t="shared" si="6"/>
        <v>66</v>
      </c>
      <c r="E53" s="15">
        <f t="shared" si="0"/>
        <v>94</v>
      </c>
      <c r="F53" s="110">
        <f t="shared" si="1"/>
        <v>227</v>
      </c>
      <c r="H53" s="114">
        <v>50</v>
      </c>
      <c r="I53" s="114">
        <v>227</v>
      </c>
      <c r="K53" s="103">
        <v>300</v>
      </c>
      <c r="L53" s="15">
        <f>IF(IFERROR(INDEX($K$4:$K$85, MATCH(0, INDEX(COUNTIF($L$3:L52, $K$4:$K$85), 0, 0), 0)), "")=0,"",IFERROR(INDEX($K$4:$K$85, MATCH(0, INDEX(COUNTIF($L$3:L52, $K$4:$K$85), 0, 0), 0)), ""))</f>
        <v>227</v>
      </c>
    </row>
    <row r="54" spans="2:12" x14ac:dyDescent="0.25">
      <c r="B54" s="105">
        <f t="shared" si="2"/>
        <v>51</v>
      </c>
      <c r="C54" s="107">
        <f t="shared" si="5"/>
        <v>51</v>
      </c>
      <c r="D54" s="107">
        <f t="shared" si="6"/>
        <v>66</v>
      </c>
      <c r="E54" s="15">
        <f t="shared" si="0"/>
        <v>94</v>
      </c>
      <c r="F54" s="110">
        <f t="shared" si="1"/>
        <v>224</v>
      </c>
      <c r="H54" s="114">
        <v>51</v>
      </c>
      <c r="I54" s="114">
        <v>224</v>
      </c>
      <c r="K54" s="103">
        <v>288</v>
      </c>
      <c r="L54" s="15">
        <f>IF(IFERROR(INDEX($K$4:$K$85, MATCH(0, INDEX(COUNTIF($L$3:L53, $K$4:$K$85), 0, 0), 0)), "")=0,"",IFERROR(INDEX($K$4:$K$85, MATCH(0, INDEX(COUNTIF($L$3:L53, $K$4:$K$85), 0, 0), 0)), ""))</f>
        <v>224</v>
      </c>
    </row>
    <row r="55" spans="2:12" x14ac:dyDescent="0.25">
      <c r="B55" s="105">
        <f t="shared" si="2"/>
        <v>52</v>
      </c>
      <c r="C55" s="107">
        <f t="shared" si="5"/>
        <v>52</v>
      </c>
      <c r="D55" s="107">
        <f t="shared" si="6"/>
        <v>66</v>
      </c>
      <c r="E55" s="15">
        <f t="shared" si="0"/>
        <v>94</v>
      </c>
      <c r="F55" s="110">
        <f t="shared" si="1"/>
        <v>217</v>
      </c>
      <c r="H55" s="114">
        <v>52</v>
      </c>
      <c r="I55" s="114">
        <v>217</v>
      </c>
      <c r="K55" s="103">
        <v>273</v>
      </c>
      <c r="L55" s="15">
        <f>IF(IFERROR(INDEX($K$4:$K$85, MATCH(0, INDEX(COUNTIF($L$3:L54, $K$4:$K$85), 0, 0), 0)), "")=0,"",IFERROR(INDEX($K$4:$K$85, MATCH(0, INDEX(COUNTIF($L$3:L54, $K$4:$K$85), 0, 0), 0)), ""))</f>
        <v>217</v>
      </c>
    </row>
    <row r="56" spans="2:12" x14ac:dyDescent="0.25">
      <c r="B56" s="105">
        <f t="shared" si="2"/>
        <v>53</v>
      </c>
      <c r="C56" s="107">
        <f t="shared" si="5"/>
        <v>53</v>
      </c>
      <c r="D56" s="107">
        <f t="shared" si="6"/>
        <v>66</v>
      </c>
      <c r="E56" s="15">
        <f t="shared" si="0"/>
        <v>94</v>
      </c>
      <c r="F56" s="110">
        <f t="shared" si="1"/>
        <v>213</v>
      </c>
      <c r="H56" s="114">
        <v>53</v>
      </c>
      <c r="I56" s="114">
        <v>213</v>
      </c>
      <c r="K56" s="103">
        <v>268</v>
      </c>
      <c r="L56" s="15">
        <f>IF(IFERROR(INDEX($K$4:$K$85, MATCH(0, INDEX(COUNTIF($L$3:L55, $K$4:$K$85), 0, 0), 0)), "")=0,"",IFERROR(INDEX($K$4:$K$85, MATCH(0, INDEX(COUNTIF($L$3:L55, $K$4:$K$85), 0, 0), 0)), ""))</f>
        <v>213</v>
      </c>
    </row>
    <row r="57" spans="2:12" x14ac:dyDescent="0.25">
      <c r="B57" s="105">
        <f t="shared" si="2"/>
        <v>54</v>
      </c>
      <c r="C57" s="107">
        <f t="shared" si="5"/>
        <v>54</v>
      </c>
      <c r="D57" s="107">
        <f t="shared" si="6"/>
        <v>66</v>
      </c>
      <c r="E57" s="15">
        <f t="shared" si="0"/>
        <v>94</v>
      </c>
      <c r="F57" s="110">
        <f t="shared" si="1"/>
        <v>212</v>
      </c>
      <c r="H57" s="114">
        <v>54</v>
      </c>
      <c r="I57" s="114">
        <v>212</v>
      </c>
      <c r="K57" s="103">
        <v>262</v>
      </c>
      <c r="L57" s="15">
        <f>IF(IFERROR(INDEX($K$4:$K$85, MATCH(0, INDEX(COUNTIF($L$3:L56, $K$4:$K$85), 0, 0), 0)), "")=0,"",IFERROR(INDEX($K$4:$K$85, MATCH(0, INDEX(COUNTIF($L$3:L56, $K$4:$K$85), 0, 0), 0)), ""))</f>
        <v>212</v>
      </c>
    </row>
    <row r="58" spans="2:12" x14ac:dyDescent="0.25">
      <c r="B58" s="105">
        <f t="shared" si="2"/>
        <v>55</v>
      </c>
      <c r="C58" s="107">
        <f t="shared" si="5"/>
        <v>55</v>
      </c>
      <c r="D58" s="107">
        <f t="shared" si="6"/>
        <v>66</v>
      </c>
      <c r="E58" s="15">
        <f t="shared" si="0"/>
        <v>94</v>
      </c>
      <c r="F58" s="110">
        <f t="shared" si="1"/>
        <v>211</v>
      </c>
      <c r="H58" s="114">
        <v>55</v>
      </c>
      <c r="I58" s="114">
        <v>211</v>
      </c>
      <c r="K58" s="103">
        <v>248</v>
      </c>
      <c r="L58" s="15">
        <f>IF(IFERROR(INDEX($K$4:$K$85, MATCH(0, INDEX(COUNTIF($L$3:L57, $K$4:$K$85), 0, 0), 0)), "")=0,"",IFERROR(INDEX($K$4:$K$85, MATCH(0, INDEX(COUNTIF($L$3:L57, $K$4:$K$85), 0, 0), 0)), ""))</f>
        <v>211</v>
      </c>
    </row>
    <row r="59" spans="2:12" x14ac:dyDescent="0.25">
      <c r="B59" s="105">
        <f t="shared" si="2"/>
        <v>56</v>
      </c>
      <c r="C59" s="107">
        <f t="shared" si="5"/>
        <v>56</v>
      </c>
      <c r="D59" s="107">
        <f t="shared" si="6"/>
        <v>66</v>
      </c>
      <c r="E59" s="15">
        <f t="shared" si="0"/>
        <v>94</v>
      </c>
      <c r="F59" s="110">
        <f t="shared" si="1"/>
        <v>209</v>
      </c>
      <c r="H59" s="114">
        <v>56</v>
      </c>
      <c r="I59" s="114">
        <v>209</v>
      </c>
      <c r="K59" s="103">
        <v>246</v>
      </c>
      <c r="L59" s="15">
        <f>IF(IFERROR(INDEX($K$4:$K$85, MATCH(0, INDEX(COUNTIF($L$3:L58, $K$4:$K$85), 0, 0), 0)), "")=0,"",IFERROR(INDEX($K$4:$K$85, MATCH(0, INDEX(COUNTIF($L$3:L58, $K$4:$K$85), 0, 0), 0)), ""))</f>
        <v>209</v>
      </c>
    </row>
    <row r="60" spans="2:12" x14ac:dyDescent="0.25">
      <c r="B60" s="105">
        <f t="shared" si="2"/>
        <v>57</v>
      </c>
      <c r="C60" s="107">
        <f t="shared" si="5"/>
        <v>57</v>
      </c>
      <c r="D60" s="107">
        <f t="shared" si="6"/>
        <v>66</v>
      </c>
      <c r="E60" s="15">
        <f t="shared" si="0"/>
        <v>94</v>
      </c>
      <c r="F60" s="110">
        <f t="shared" si="1"/>
        <v>208</v>
      </c>
      <c r="H60" s="114">
        <v>57</v>
      </c>
      <c r="I60" s="114">
        <v>208</v>
      </c>
      <c r="K60" s="103">
        <v>246</v>
      </c>
      <c r="L60" s="15">
        <f>IF(IFERROR(INDEX($K$4:$K$85, MATCH(0, INDEX(COUNTIF($L$3:L59, $K$4:$K$85), 0, 0), 0)), "")=0,"",IFERROR(INDEX($K$4:$K$85, MATCH(0, INDEX(COUNTIF($L$3:L59, $K$4:$K$85), 0, 0), 0)), ""))</f>
        <v>208</v>
      </c>
    </row>
    <row r="61" spans="2:12" x14ac:dyDescent="0.25">
      <c r="B61" s="105">
        <f t="shared" si="2"/>
        <v>58</v>
      </c>
      <c r="C61" s="107">
        <f t="shared" si="5"/>
        <v>58</v>
      </c>
      <c r="D61" s="107">
        <f t="shared" si="6"/>
        <v>66</v>
      </c>
      <c r="E61" s="15">
        <f t="shared" si="0"/>
        <v>94</v>
      </c>
      <c r="F61" s="110">
        <f t="shared" si="1"/>
        <v>204</v>
      </c>
      <c r="H61" s="114">
        <v>58</v>
      </c>
      <c r="I61" s="114">
        <v>204</v>
      </c>
      <c r="K61" s="103">
        <v>236</v>
      </c>
      <c r="L61" s="15">
        <f>IF(IFERROR(INDEX($K$4:$K$85, MATCH(0, INDEX(COUNTIF($L$3:L60, $K$4:$K$85), 0, 0), 0)), "")=0,"",IFERROR(INDEX($K$4:$K$85, MATCH(0, INDEX(COUNTIF($L$3:L60, $K$4:$K$85), 0, 0), 0)), ""))</f>
        <v>204</v>
      </c>
    </row>
    <row r="62" spans="2:12" x14ac:dyDescent="0.25">
      <c r="B62" s="105">
        <f t="shared" si="2"/>
        <v>59</v>
      </c>
      <c r="C62" s="107">
        <f t="shared" si="5"/>
        <v>59</v>
      </c>
      <c r="D62" s="107">
        <f t="shared" si="6"/>
        <v>66</v>
      </c>
      <c r="E62" s="15">
        <f t="shared" si="0"/>
        <v>94</v>
      </c>
      <c r="F62" s="110">
        <f t="shared" si="1"/>
        <v>200</v>
      </c>
      <c r="H62" s="114">
        <v>59</v>
      </c>
      <c r="I62" s="114">
        <v>200</v>
      </c>
      <c r="K62" s="103">
        <v>236</v>
      </c>
      <c r="L62" s="15">
        <f>IF(IFERROR(INDEX($K$4:$K$85, MATCH(0, INDEX(COUNTIF($L$3:L61, $K$4:$K$85), 0, 0), 0)), "")=0,"",IFERROR(INDEX($K$4:$K$85, MATCH(0, INDEX(COUNTIF($L$3:L61, $K$4:$K$85), 0, 0), 0)), ""))</f>
        <v>200</v>
      </c>
    </row>
    <row r="63" spans="2:12" x14ac:dyDescent="0.25">
      <c r="B63" s="105">
        <f t="shared" si="2"/>
        <v>60</v>
      </c>
      <c r="C63" s="107">
        <f t="shared" si="5"/>
        <v>60</v>
      </c>
      <c r="D63" s="107">
        <f t="shared" si="6"/>
        <v>66</v>
      </c>
      <c r="E63" s="15">
        <f t="shared" si="0"/>
        <v>94</v>
      </c>
      <c r="F63" s="110">
        <f t="shared" si="1"/>
        <v>199</v>
      </c>
      <c r="H63" s="114">
        <v>60</v>
      </c>
      <c r="I63" s="114">
        <v>199</v>
      </c>
      <c r="K63" s="103">
        <v>231</v>
      </c>
      <c r="L63" s="15">
        <f>IF(IFERROR(INDEX($K$4:$K$85, MATCH(0, INDEX(COUNTIF($L$3:L62, $K$4:$K$85), 0, 0), 0)), "")=0,"",IFERROR(INDEX($K$4:$K$85, MATCH(0, INDEX(COUNTIF($L$3:L62, $K$4:$K$85), 0, 0), 0)), ""))</f>
        <v>199</v>
      </c>
    </row>
    <row r="64" spans="2:12" x14ac:dyDescent="0.25">
      <c r="B64" s="105">
        <f t="shared" si="2"/>
        <v>61</v>
      </c>
      <c r="C64" s="107">
        <f t="shared" si="5"/>
        <v>61</v>
      </c>
      <c r="D64" s="107">
        <f t="shared" si="6"/>
        <v>66</v>
      </c>
      <c r="E64" s="15">
        <f t="shared" si="0"/>
        <v>94</v>
      </c>
      <c r="F64" s="110">
        <f t="shared" si="1"/>
        <v>193</v>
      </c>
      <c r="H64" s="114">
        <v>61</v>
      </c>
      <c r="I64" s="114">
        <v>193</v>
      </c>
      <c r="K64" s="103">
        <v>227</v>
      </c>
      <c r="L64" s="15">
        <f>IF(IFERROR(INDEX($K$4:$K$85, MATCH(0, INDEX(COUNTIF($L$3:L63, $K$4:$K$85), 0, 0), 0)), "")=0,"",IFERROR(INDEX($K$4:$K$85, MATCH(0, INDEX(COUNTIF($L$3:L63, $K$4:$K$85), 0, 0), 0)), ""))</f>
        <v>193</v>
      </c>
    </row>
    <row r="65" spans="2:12" x14ac:dyDescent="0.25">
      <c r="B65" s="105">
        <f t="shared" si="2"/>
        <v>62</v>
      </c>
      <c r="C65" s="107">
        <f t="shared" si="5"/>
        <v>62</v>
      </c>
      <c r="D65" s="107">
        <f t="shared" si="6"/>
        <v>66</v>
      </c>
      <c r="E65" s="15">
        <f t="shared" si="0"/>
        <v>94</v>
      </c>
      <c r="F65" s="110">
        <f t="shared" si="1"/>
        <v>192</v>
      </c>
      <c r="H65" s="114">
        <v>62</v>
      </c>
      <c r="I65" s="137">
        <v>192</v>
      </c>
      <c r="K65" s="103">
        <v>224</v>
      </c>
      <c r="L65" s="15">
        <f>IF(IFERROR(INDEX($K$4:$K$85, MATCH(0, INDEX(COUNTIF($L$3:L64, $K$4:$K$85), 0, 0), 0)), "")=0,"",IFERROR(INDEX($K$4:$K$85, MATCH(0, INDEX(COUNTIF($L$3:L64, $K$4:$K$85), 0, 0), 0)), ""))</f>
        <v>192</v>
      </c>
    </row>
    <row r="66" spans="2:12" x14ac:dyDescent="0.25">
      <c r="B66" s="105">
        <f t="shared" si="2"/>
        <v>63</v>
      </c>
      <c r="C66" s="107">
        <f t="shared" si="5"/>
        <v>63</v>
      </c>
      <c r="D66" s="107">
        <f t="shared" si="6"/>
        <v>66</v>
      </c>
      <c r="E66" s="15">
        <f t="shared" si="0"/>
        <v>94</v>
      </c>
      <c r="F66" s="110">
        <f t="shared" si="1"/>
        <v>168</v>
      </c>
      <c r="H66" s="114">
        <v>63</v>
      </c>
      <c r="I66" s="137">
        <v>168</v>
      </c>
      <c r="K66" s="103">
        <v>224</v>
      </c>
      <c r="L66" s="15">
        <f>IF(IFERROR(INDEX($K$4:$K$85, MATCH(0, INDEX(COUNTIF($L$3:L65, $K$4:$K$85), 0, 0), 0)), "")=0,"",IFERROR(INDEX($K$4:$K$85, MATCH(0, INDEX(COUNTIF($L$3:L65, $K$4:$K$85), 0, 0), 0)), ""))</f>
        <v>168</v>
      </c>
    </row>
    <row r="67" spans="2:12" x14ac:dyDescent="0.25">
      <c r="B67" s="105">
        <f t="shared" si="2"/>
        <v>64</v>
      </c>
      <c r="C67" s="107">
        <f t="shared" si="5"/>
        <v>64</v>
      </c>
      <c r="D67" s="107">
        <f t="shared" si="6"/>
        <v>66</v>
      </c>
      <c r="E67" s="15">
        <f t="shared" si="0"/>
        <v>94</v>
      </c>
      <c r="F67" s="110">
        <f t="shared" si="1"/>
        <v>142</v>
      </c>
      <c r="H67" s="114">
        <v>64</v>
      </c>
      <c r="I67" s="137">
        <v>142</v>
      </c>
      <c r="K67" s="103">
        <v>217</v>
      </c>
      <c r="L67" s="15">
        <f>IF(IFERROR(INDEX($K$4:$K$85, MATCH(0, INDEX(COUNTIF($L$3:L66, $K$4:$K$85), 0, 0), 0)), "")=0,"",IFERROR(INDEX($K$4:$K$85, MATCH(0, INDEX(COUNTIF($L$3:L66, $K$4:$K$85), 0, 0), 0)), ""))</f>
        <v>142</v>
      </c>
    </row>
    <row r="68" spans="2:12" x14ac:dyDescent="0.25">
      <c r="B68" s="105">
        <f t="shared" si="2"/>
        <v>65</v>
      </c>
      <c r="C68" s="107">
        <f t="shared" si="5"/>
        <v>65</v>
      </c>
      <c r="D68" s="107">
        <f t="shared" si="6"/>
        <v>66</v>
      </c>
      <c r="E68" s="15">
        <f t="shared" ref="E68:E131" si="7">IFERROR(VLOOKUP(D68,$H$4:$I$69,2,0),"")</f>
        <v>94</v>
      </c>
      <c r="F68" s="110">
        <f t="shared" ref="F68:F131" si="8">IFERROR(VLOOKUP(C68,$H$4:$I$69,2,0),"")</f>
        <v>138</v>
      </c>
      <c r="H68" s="114">
        <v>65</v>
      </c>
      <c r="I68" s="137">
        <v>138</v>
      </c>
      <c r="K68" s="103">
        <v>217</v>
      </c>
      <c r="L68" s="15">
        <f>IF(IFERROR(INDEX($K$4:$K$85, MATCH(0, INDEX(COUNTIF($L$3:L67, $K$4:$K$85), 0, 0), 0)), "")=0,"",IFERROR(INDEX($K$4:$K$85, MATCH(0, INDEX(COUNTIF($L$3:L67, $K$4:$K$85), 0, 0), 0)), ""))</f>
        <v>138</v>
      </c>
    </row>
    <row r="69" spans="2:12" x14ac:dyDescent="0.25">
      <c r="B69" s="105">
        <f t="shared" ref="B69:B132" si="9">ROW()-3</f>
        <v>66</v>
      </c>
      <c r="C69" s="107">
        <f t="shared" si="5"/>
        <v>1</v>
      </c>
      <c r="D69" s="107">
        <f t="shared" si="6"/>
        <v>65</v>
      </c>
      <c r="E69" s="15">
        <f t="shared" si="7"/>
        <v>138</v>
      </c>
      <c r="F69" s="110">
        <f t="shared" si="8"/>
        <v>1048</v>
      </c>
      <c r="H69" s="114">
        <v>66</v>
      </c>
      <c r="I69" s="137">
        <v>94</v>
      </c>
      <c r="K69" s="103">
        <v>217</v>
      </c>
      <c r="L69" s="15">
        <f>IF(IFERROR(INDEX($K$4:$K$85, MATCH(0, INDEX(COUNTIF($L$3:L68, $K$4:$K$85), 0, 0), 0)), "")=0,"",IFERROR(INDEX($K$4:$K$85, MATCH(0, INDEX(COUNTIF($L$3:L68, $K$4:$K$85), 0, 0), 0)), ""))</f>
        <v>94</v>
      </c>
    </row>
    <row r="70" spans="2:12" x14ac:dyDescent="0.25">
      <c r="B70" s="105">
        <f t="shared" si="9"/>
        <v>67</v>
      </c>
      <c r="C70" s="107">
        <f t="shared" ref="C70:C133" si="10">IF((D69-C69)=1,1,C69+1)</f>
        <v>2</v>
      </c>
      <c r="D70" s="107">
        <f t="shared" ref="D70:D133" si="11">IF((D69-C69)=1,D69-1,D69)</f>
        <v>65</v>
      </c>
      <c r="E70" s="15">
        <f t="shared" si="7"/>
        <v>138</v>
      </c>
      <c r="F70" s="110">
        <f t="shared" si="8"/>
        <v>1025</v>
      </c>
      <c r="K70" s="103">
        <v>213</v>
      </c>
      <c r="L70" s="15" t="str">
        <f>IF(IFERROR(INDEX($K$4:$K$85, MATCH(0, INDEX(COUNTIF($L$3:L69, $K$4:$K$85), 0, 0), 0)), "")=0,"",IFERROR(INDEX($K$4:$K$85, MATCH(0, INDEX(COUNTIF($L$3:L69, $K$4:$K$85), 0, 0), 0)), ""))</f>
        <v/>
      </c>
    </row>
    <row r="71" spans="2:12" x14ac:dyDescent="0.25">
      <c r="B71" s="105">
        <f t="shared" si="9"/>
        <v>68</v>
      </c>
      <c r="C71" s="107">
        <f t="shared" si="10"/>
        <v>3</v>
      </c>
      <c r="D71" s="107">
        <f t="shared" si="11"/>
        <v>65</v>
      </c>
      <c r="E71" s="15">
        <f t="shared" si="7"/>
        <v>138</v>
      </c>
      <c r="F71" s="110">
        <f t="shared" si="8"/>
        <v>805</v>
      </c>
      <c r="K71" s="103">
        <v>212</v>
      </c>
      <c r="L71" s="15" t="str">
        <f>IF(IFERROR(INDEX($K$4:$K$85, MATCH(0, INDEX(COUNTIF($L$3:L70, $K$4:$K$85), 0, 0), 0)), "")=0,"",IFERROR(INDEX($K$4:$K$85, MATCH(0, INDEX(COUNTIF($L$3:L70, $K$4:$K$85), 0, 0), 0)), ""))</f>
        <v/>
      </c>
    </row>
    <row r="72" spans="2:12" x14ac:dyDescent="0.25">
      <c r="B72" s="105">
        <f t="shared" si="9"/>
        <v>69</v>
      </c>
      <c r="C72" s="107">
        <f t="shared" si="10"/>
        <v>4</v>
      </c>
      <c r="D72" s="107">
        <f t="shared" si="11"/>
        <v>65</v>
      </c>
      <c r="E72" s="15">
        <f t="shared" si="7"/>
        <v>138</v>
      </c>
      <c r="F72" s="110">
        <f t="shared" si="8"/>
        <v>666</v>
      </c>
      <c r="K72" s="103">
        <v>211</v>
      </c>
      <c r="L72" s="15" t="str">
        <f>IF(IFERROR(INDEX($K$4:$K$85, MATCH(0, INDEX(COUNTIF($L$3:L71, $K$4:$K$85), 0, 0), 0)), "")=0,"",IFERROR(INDEX($K$4:$K$85, MATCH(0, INDEX(COUNTIF($L$3:L71, $K$4:$K$85), 0, 0), 0)), ""))</f>
        <v/>
      </c>
    </row>
    <row r="73" spans="2:12" x14ac:dyDescent="0.25">
      <c r="B73" s="105">
        <f t="shared" si="9"/>
        <v>70</v>
      </c>
      <c r="C73" s="107">
        <f t="shared" si="10"/>
        <v>5</v>
      </c>
      <c r="D73" s="107">
        <f t="shared" si="11"/>
        <v>65</v>
      </c>
      <c r="E73" s="15">
        <f t="shared" si="7"/>
        <v>138</v>
      </c>
      <c r="F73" s="110">
        <f t="shared" si="8"/>
        <v>655</v>
      </c>
      <c r="K73" s="103">
        <v>209</v>
      </c>
      <c r="L73" s="15" t="str">
        <f>IF(IFERROR(INDEX($K$4:$K$85, MATCH(0, INDEX(COUNTIF($L$3:L72, $K$4:$K$85), 0, 0), 0)), "")=0,"",IFERROR(INDEX($K$4:$K$85, MATCH(0, INDEX(COUNTIF($L$3:L72, $K$4:$K$85), 0, 0), 0)), ""))</f>
        <v/>
      </c>
    </row>
    <row r="74" spans="2:12" x14ac:dyDescent="0.25">
      <c r="B74" s="105">
        <f t="shared" si="9"/>
        <v>71</v>
      </c>
      <c r="C74" s="107">
        <f t="shared" si="10"/>
        <v>6</v>
      </c>
      <c r="D74" s="107">
        <f t="shared" si="11"/>
        <v>65</v>
      </c>
      <c r="E74" s="15">
        <f t="shared" si="7"/>
        <v>138</v>
      </c>
      <c r="F74" s="110">
        <f t="shared" si="8"/>
        <v>652</v>
      </c>
      <c r="K74" s="103">
        <v>208</v>
      </c>
      <c r="L74" s="15" t="str">
        <f>IF(IFERROR(INDEX($K$4:$K$85, MATCH(0, INDEX(COUNTIF($L$3:L73, $K$4:$K$85), 0, 0), 0)), "")=0,"",IFERROR(INDEX($K$4:$K$85, MATCH(0, INDEX(COUNTIF($L$3:L73, $K$4:$K$85), 0, 0), 0)), ""))</f>
        <v/>
      </c>
    </row>
    <row r="75" spans="2:12" x14ac:dyDescent="0.25">
      <c r="B75" s="105">
        <f t="shared" si="9"/>
        <v>72</v>
      </c>
      <c r="C75" s="107">
        <f t="shared" si="10"/>
        <v>7</v>
      </c>
      <c r="D75" s="107">
        <f t="shared" si="11"/>
        <v>65</v>
      </c>
      <c r="E75" s="15">
        <f t="shared" si="7"/>
        <v>138</v>
      </c>
      <c r="F75" s="110">
        <f t="shared" si="8"/>
        <v>633</v>
      </c>
      <c r="K75" s="103">
        <v>204</v>
      </c>
      <c r="L75" s="15" t="str">
        <f>IF(IFERROR(INDEX($K$4:$K$85, MATCH(0, INDEX(COUNTIF($L$3:L74, $K$4:$K$85), 0, 0), 0)), "")=0,"",IFERROR(INDEX($K$4:$K$85, MATCH(0, INDEX(COUNTIF($L$3:L74, $K$4:$K$85), 0, 0), 0)), ""))</f>
        <v/>
      </c>
    </row>
    <row r="76" spans="2:12" x14ac:dyDescent="0.25">
      <c r="B76" s="105">
        <f t="shared" si="9"/>
        <v>73</v>
      </c>
      <c r="C76" s="107">
        <f t="shared" si="10"/>
        <v>8</v>
      </c>
      <c r="D76" s="107">
        <f t="shared" si="11"/>
        <v>65</v>
      </c>
      <c r="E76" s="15">
        <f t="shared" si="7"/>
        <v>138</v>
      </c>
      <c r="F76" s="110">
        <f t="shared" si="8"/>
        <v>632</v>
      </c>
      <c r="K76" s="103">
        <v>204</v>
      </c>
      <c r="L76" s="15" t="str">
        <f>IF(IFERROR(INDEX($K$4:$K$85, MATCH(0, INDEX(COUNTIF($L$3:L75, $K$4:$K$85), 0, 0), 0)), "")=0,"",IFERROR(INDEX($K$4:$K$85, MATCH(0, INDEX(COUNTIF($L$3:L75, $K$4:$K$85), 0, 0), 0)), ""))</f>
        <v/>
      </c>
    </row>
    <row r="77" spans="2:12" x14ac:dyDescent="0.25">
      <c r="B77" s="105">
        <f t="shared" si="9"/>
        <v>74</v>
      </c>
      <c r="C77" s="107">
        <f t="shared" si="10"/>
        <v>9</v>
      </c>
      <c r="D77" s="107">
        <f t="shared" si="11"/>
        <v>65</v>
      </c>
      <c r="E77" s="15">
        <f t="shared" si="7"/>
        <v>138</v>
      </c>
      <c r="F77" s="110">
        <f t="shared" si="8"/>
        <v>625</v>
      </c>
      <c r="K77" s="103">
        <v>200</v>
      </c>
      <c r="L77" s="15" t="str">
        <f>IF(IFERROR(INDEX($K$4:$K$85, MATCH(0, INDEX(COUNTIF($L$3:L76, $K$4:$K$85), 0, 0), 0)), "")=0,"",IFERROR(INDEX($K$4:$K$85, MATCH(0, INDEX(COUNTIF($L$3:L76, $K$4:$K$85), 0, 0), 0)), ""))</f>
        <v/>
      </c>
    </row>
    <row r="78" spans="2:12" x14ac:dyDescent="0.25">
      <c r="B78" s="105">
        <f t="shared" si="9"/>
        <v>75</v>
      </c>
      <c r="C78" s="107">
        <f t="shared" si="10"/>
        <v>10</v>
      </c>
      <c r="D78" s="107">
        <f t="shared" si="11"/>
        <v>65</v>
      </c>
      <c r="E78" s="15">
        <f t="shared" si="7"/>
        <v>138</v>
      </c>
      <c r="F78" s="110">
        <f t="shared" si="8"/>
        <v>619</v>
      </c>
      <c r="K78" s="103">
        <v>199</v>
      </c>
      <c r="L78" s="15" t="str">
        <f>IF(IFERROR(INDEX($K$4:$K$85, MATCH(0, INDEX(COUNTIF($L$3:L77, $K$4:$K$85), 0, 0), 0)), "")=0,"",IFERROR(INDEX($K$4:$K$85, MATCH(0, INDEX(COUNTIF($L$3:L77, $K$4:$K$85), 0, 0), 0)), ""))</f>
        <v/>
      </c>
    </row>
    <row r="79" spans="2:12" x14ac:dyDescent="0.25">
      <c r="B79" s="105">
        <f t="shared" si="9"/>
        <v>76</v>
      </c>
      <c r="C79" s="107">
        <f t="shared" si="10"/>
        <v>11</v>
      </c>
      <c r="D79" s="107">
        <f t="shared" si="11"/>
        <v>65</v>
      </c>
      <c r="E79" s="15">
        <f t="shared" si="7"/>
        <v>138</v>
      </c>
      <c r="F79" s="110">
        <f t="shared" si="8"/>
        <v>610</v>
      </c>
      <c r="K79" s="103">
        <v>193</v>
      </c>
      <c r="L79" s="15" t="str">
        <f>IF(IFERROR(INDEX($K$4:$K$85, MATCH(0, INDEX(COUNTIF($L$3:L78, $K$4:$K$85), 0, 0), 0)), "")=0,"",IFERROR(INDEX($K$4:$K$85, MATCH(0, INDEX(COUNTIF($L$3:L78, $K$4:$K$85), 0, 0), 0)), ""))</f>
        <v/>
      </c>
    </row>
    <row r="80" spans="2:12" x14ac:dyDescent="0.25">
      <c r="B80" s="105">
        <f t="shared" si="9"/>
        <v>77</v>
      </c>
      <c r="C80" s="107">
        <f t="shared" si="10"/>
        <v>12</v>
      </c>
      <c r="D80" s="107">
        <f t="shared" si="11"/>
        <v>65</v>
      </c>
      <c r="E80" s="15">
        <f t="shared" si="7"/>
        <v>138</v>
      </c>
      <c r="F80" s="110">
        <f t="shared" si="8"/>
        <v>599</v>
      </c>
      <c r="K80" s="103">
        <v>192</v>
      </c>
      <c r="L80" s="15" t="str">
        <f>IF(IFERROR(INDEX($K$4:$K$85, MATCH(0, INDEX(COUNTIF($L$3:L79, $K$4:$K$85), 0, 0), 0)), "")=0,"",IFERROR(INDEX($K$4:$K$85, MATCH(0, INDEX(COUNTIF($L$3:L79, $K$4:$K$85), 0, 0), 0)), ""))</f>
        <v/>
      </c>
    </row>
    <row r="81" spans="2:12" x14ac:dyDescent="0.25">
      <c r="B81" s="105">
        <f t="shared" si="9"/>
        <v>78</v>
      </c>
      <c r="C81" s="107">
        <f t="shared" si="10"/>
        <v>13</v>
      </c>
      <c r="D81" s="107">
        <f t="shared" si="11"/>
        <v>65</v>
      </c>
      <c r="E81" s="15">
        <f t="shared" si="7"/>
        <v>138</v>
      </c>
      <c r="F81" s="110">
        <f t="shared" si="8"/>
        <v>559</v>
      </c>
      <c r="K81" s="103">
        <v>168</v>
      </c>
      <c r="L81" s="15" t="str">
        <f>IF(IFERROR(INDEX($K$4:$K$85, MATCH(0, INDEX(COUNTIF($L$3:L80, $K$4:$K$85), 0, 0), 0)), "")=0,"",IFERROR(INDEX($K$4:$K$85, MATCH(0, INDEX(COUNTIF($L$3:L80, $K$4:$K$85), 0, 0), 0)), ""))</f>
        <v/>
      </c>
    </row>
    <row r="82" spans="2:12" x14ac:dyDescent="0.25">
      <c r="B82" s="105">
        <f t="shared" si="9"/>
        <v>79</v>
      </c>
      <c r="C82" s="107">
        <f t="shared" si="10"/>
        <v>14</v>
      </c>
      <c r="D82" s="107">
        <f t="shared" si="11"/>
        <v>65</v>
      </c>
      <c r="E82" s="15">
        <f t="shared" si="7"/>
        <v>138</v>
      </c>
      <c r="F82" s="110">
        <f t="shared" si="8"/>
        <v>556</v>
      </c>
      <c r="K82" s="103">
        <v>142</v>
      </c>
      <c r="L82" s="15" t="str">
        <f>IF(IFERROR(INDEX($K$4:$K$85, MATCH(0, INDEX(COUNTIF($L$3:L81, $K$4:$K$85), 0, 0), 0)), "")=0,"",IFERROR(INDEX($K$4:$K$85, MATCH(0, INDEX(COUNTIF($L$3:L81, $K$4:$K$85), 0, 0), 0)), ""))</f>
        <v/>
      </c>
    </row>
    <row r="83" spans="2:12" x14ac:dyDescent="0.25">
      <c r="B83" s="105">
        <f t="shared" si="9"/>
        <v>80</v>
      </c>
      <c r="C83" s="107">
        <f t="shared" si="10"/>
        <v>15</v>
      </c>
      <c r="D83" s="107">
        <f t="shared" si="11"/>
        <v>65</v>
      </c>
      <c r="E83" s="15">
        <f t="shared" si="7"/>
        <v>138</v>
      </c>
      <c r="F83" s="110">
        <f t="shared" si="8"/>
        <v>540</v>
      </c>
      <c r="K83" s="103">
        <v>138</v>
      </c>
      <c r="L83" s="15" t="str">
        <f>IF(IFERROR(INDEX($K$4:$K$85, MATCH(0, INDEX(COUNTIF($L$3:L82, $K$4:$K$85), 0, 0), 0)), "")=0,"",IFERROR(INDEX($K$4:$K$85, MATCH(0, INDEX(COUNTIF($L$3:L82, $K$4:$K$85), 0, 0), 0)), ""))</f>
        <v/>
      </c>
    </row>
    <row r="84" spans="2:12" x14ac:dyDescent="0.25">
      <c r="B84" s="105">
        <f t="shared" si="9"/>
        <v>81</v>
      </c>
      <c r="C84" s="107">
        <f t="shared" si="10"/>
        <v>16</v>
      </c>
      <c r="D84" s="107">
        <f t="shared" si="11"/>
        <v>65</v>
      </c>
      <c r="E84" s="15">
        <f t="shared" si="7"/>
        <v>138</v>
      </c>
      <c r="F84" s="110">
        <f t="shared" si="8"/>
        <v>536</v>
      </c>
      <c r="K84" s="103">
        <v>94</v>
      </c>
      <c r="L84" s="15" t="str">
        <f>IF(IFERROR(INDEX($K$4:$K$85, MATCH(0, INDEX(COUNTIF($L$3:L83, $K$4:$K$85), 0, 0), 0)), "")=0,"",IFERROR(INDEX($K$4:$K$85, MATCH(0, INDEX(COUNTIF($L$3:L83, $K$4:$K$85), 0, 0), 0)), ""))</f>
        <v/>
      </c>
    </row>
    <row r="85" spans="2:12" x14ac:dyDescent="0.25">
      <c r="B85" s="105">
        <f t="shared" si="9"/>
        <v>82</v>
      </c>
      <c r="C85" s="107">
        <f t="shared" si="10"/>
        <v>17</v>
      </c>
      <c r="D85" s="107">
        <f t="shared" si="11"/>
        <v>65</v>
      </c>
      <c r="E85" s="15">
        <f t="shared" si="7"/>
        <v>138</v>
      </c>
      <c r="F85" s="110">
        <f t="shared" si="8"/>
        <v>527</v>
      </c>
      <c r="K85" s="103">
        <v>94</v>
      </c>
      <c r="L85" s="15" t="str">
        <f>IF(IFERROR(INDEX($K$4:$K$85, MATCH(0, INDEX(COUNTIF($L$3:L84, $K$4:$K$85), 0, 0), 0)), "")=0,"",IFERROR(INDEX($K$4:$K$85, MATCH(0, INDEX(COUNTIF($L$3:L84, $K$4:$K$85), 0, 0), 0)), ""))</f>
        <v/>
      </c>
    </row>
    <row r="86" spans="2:12" x14ac:dyDescent="0.25">
      <c r="B86" s="105">
        <f t="shared" si="9"/>
        <v>83</v>
      </c>
      <c r="C86" s="107">
        <f t="shared" si="10"/>
        <v>18</v>
      </c>
      <c r="D86" s="107">
        <f t="shared" si="11"/>
        <v>65</v>
      </c>
      <c r="E86" s="15">
        <f t="shared" si="7"/>
        <v>138</v>
      </c>
      <c r="F86" s="110">
        <f t="shared" si="8"/>
        <v>478</v>
      </c>
    </row>
    <row r="87" spans="2:12" x14ac:dyDescent="0.25">
      <c r="B87" s="105">
        <f t="shared" si="9"/>
        <v>84</v>
      </c>
      <c r="C87" s="107">
        <f t="shared" si="10"/>
        <v>19</v>
      </c>
      <c r="D87" s="107">
        <f t="shared" si="11"/>
        <v>65</v>
      </c>
      <c r="E87" s="15">
        <f t="shared" si="7"/>
        <v>138</v>
      </c>
      <c r="F87" s="110">
        <f t="shared" si="8"/>
        <v>474</v>
      </c>
    </row>
    <row r="88" spans="2:12" x14ac:dyDescent="0.25">
      <c r="B88" s="105">
        <f t="shared" si="9"/>
        <v>85</v>
      </c>
      <c r="C88" s="107">
        <f t="shared" si="10"/>
        <v>20</v>
      </c>
      <c r="D88" s="107">
        <f t="shared" si="11"/>
        <v>65</v>
      </c>
      <c r="E88" s="15">
        <f t="shared" si="7"/>
        <v>138</v>
      </c>
      <c r="F88" s="110">
        <f t="shared" si="8"/>
        <v>468</v>
      </c>
    </row>
    <row r="89" spans="2:12" x14ac:dyDescent="0.25">
      <c r="B89" s="105">
        <f t="shared" si="9"/>
        <v>86</v>
      </c>
      <c r="C89" s="107">
        <f t="shared" si="10"/>
        <v>21</v>
      </c>
      <c r="D89" s="107">
        <f t="shared" si="11"/>
        <v>65</v>
      </c>
      <c r="E89" s="15">
        <f t="shared" si="7"/>
        <v>138</v>
      </c>
      <c r="F89" s="110">
        <f t="shared" si="8"/>
        <v>457</v>
      </c>
    </row>
    <row r="90" spans="2:12" x14ac:dyDescent="0.25">
      <c r="B90" s="105">
        <f t="shared" si="9"/>
        <v>87</v>
      </c>
      <c r="C90" s="107">
        <f t="shared" si="10"/>
        <v>22</v>
      </c>
      <c r="D90" s="107">
        <f t="shared" si="11"/>
        <v>65</v>
      </c>
      <c r="E90" s="15">
        <f t="shared" si="7"/>
        <v>138</v>
      </c>
      <c r="F90" s="110">
        <f t="shared" si="8"/>
        <v>452</v>
      </c>
    </row>
    <row r="91" spans="2:12" x14ac:dyDescent="0.25">
      <c r="B91" s="105">
        <f t="shared" si="9"/>
        <v>88</v>
      </c>
      <c r="C91" s="107">
        <f t="shared" si="10"/>
        <v>23</v>
      </c>
      <c r="D91" s="107">
        <f t="shared" si="11"/>
        <v>65</v>
      </c>
      <c r="E91" s="15">
        <f t="shared" si="7"/>
        <v>138</v>
      </c>
      <c r="F91" s="110">
        <f t="shared" si="8"/>
        <v>442</v>
      </c>
    </row>
    <row r="92" spans="2:12" x14ac:dyDescent="0.25">
      <c r="B92" s="105">
        <f t="shared" si="9"/>
        <v>89</v>
      </c>
      <c r="C92" s="107">
        <f t="shared" si="10"/>
        <v>24</v>
      </c>
      <c r="D92" s="107">
        <f t="shared" si="11"/>
        <v>65</v>
      </c>
      <c r="E92" s="15">
        <f t="shared" si="7"/>
        <v>138</v>
      </c>
      <c r="F92" s="110">
        <f t="shared" si="8"/>
        <v>420</v>
      </c>
    </row>
    <row r="93" spans="2:12" x14ac:dyDescent="0.25">
      <c r="B93" s="105">
        <f t="shared" si="9"/>
        <v>90</v>
      </c>
      <c r="C93" s="107">
        <f t="shared" si="10"/>
        <v>25</v>
      </c>
      <c r="D93" s="107">
        <f t="shared" si="11"/>
        <v>65</v>
      </c>
      <c r="E93" s="15">
        <f t="shared" si="7"/>
        <v>138</v>
      </c>
      <c r="F93" s="110">
        <f t="shared" si="8"/>
        <v>410</v>
      </c>
    </row>
    <row r="94" spans="2:12" x14ac:dyDescent="0.25">
      <c r="B94" s="105">
        <f t="shared" si="9"/>
        <v>91</v>
      </c>
      <c r="C94" s="107">
        <f t="shared" si="10"/>
        <v>26</v>
      </c>
      <c r="D94" s="107">
        <f t="shared" si="11"/>
        <v>65</v>
      </c>
      <c r="E94" s="15">
        <f t="shared" si="7"/>
        <v>138</v>
      </c>
      <c r="F94" s="110">
        <f t="shared" si="8"/>
        <v>409</v>
      </c>
    </row>
    <row r="95" spans="2:12" x14ac:dyDescent="0.25">
      <c r="B95" s="105">
        <f t="shared" si="9"/>
        <v>92</v>
      </c>
      <c r="C95" s="107">
        <f t="shared" si="10"/>
        <v>27</v>
      </c>
      <c r="D95" s="107">
        <f t="shared" si="11"/>
        <v>65</v>
      </c>
      <c r="E95" s="15">
        <f t="shared" si="7"/>
        <v>138</v>
      </c>
      <c r="F95" s="110">
        <f t="shared" si="8"/>
        <v>408</v>
      </c>
    </row>
    <row r="96" spans="2:12" x14ac:dyDescent="0.25">
      <c r="B96" s="105">
        <f t="shared" si="9"/>
        <v>93</v>
      </c>
      <c r="C96" s="107">
        <f t="shared" si="10"/>
        <v>28</v>
      </c>
      <c r="D96" s="107">
        <f t="shared" si="11"/>
        <v>65</v>
      </c>
      <c r="E96" s="15">
        <f t="shared" si="7"/>
        <v>138</v>
      </c>
      <c r="F96" s="110">
        <f t="shared" si="8"/>
        <v>404</v>
      </c>
    </row>
    <row r="97" spans="2:6" x14ac:dyDescent="0.25">
      <c r="B97" s="105">
        <f t="shared" si="9"/>
        <v>94</v>
      </c>
      <c r="C97" s="107">
        <f t="shared" si="10"/>
        <v>29</v>
      </c>
      <c r="D97" s="107">
        <f t="shared" si="11"/>
        <v>65</v>
      </c>
      <c r="E97" s="15">
        <f t="shared" si="7"/>
        <v>138</v>
      </c>
      <c r="F97" s="110">
        <f t="shared" si="8"/>
        <v>399</v>
      </c>
    </row>
    <row r="98" spans="2:6" x14ac:dyDescent="0.25">
      <c r="B98" s="105">
        <f t="shared" si="9"/>
        <v>95</v>
      </c>
      <c r="C98" s="107">
        <f t="shared" si="10"/>
        <v>30</v>
      </c>
      <c r="D98" s="107">
        <f t="shared" si="11"/>
        <v>65</v>
      </c>
      <c r="E98" s="15">
        <f t="shared" si="7"/>
        <v>138</v>
      </c>
      <c r="F98" s="110">
        <f t="shared" si="8"/>
        <v>396</v>
      </c>
    </row>
    <row r="99" spans="2:6" x14ac:dyDescent="0.25">
      <c r="B99" s="105">
        <f t="shared" si="9"/>
        <v>96</v>
      </c>
      <c r="C99" s="107">
        <f t="shared" si="10"/>
        <v>31</v>
      </c>
      <c r="D99" s="107">
        <f t="shared" si="11"/>
        <v>65</v>
      </c>
      <c r="E99" s="15">
        <f t="shared" si="7"/>
        <v>138</v>
      </c>
      <c r="F99" s="110">
        <f t="shared" si="8"/>
        <v>384</v>
      </c>
    </row>
    <row r="100" spans="2:6" x14ac:dyDescent="0.25">
      <c r="B100" s="105">
        <f t="shared" si="9"/>
        <v>97</v>
      </c>
      <c r="C100" s="107">
        <f t="shared" si="10"/>
        <v>32</v>
      </c>
      <c r="D100" s="107">
        <f t="shared" si="11"/>
        <v>65</v>
      </c>
      <c r="E100" s="15">
        <f t="shared" si="7"/>
        <v>138</v>
      </c>
      <c r="F100" s="110">
        <f t="shared" si="8"/>
        <v>381</v>
      </c>
    </row>
    <row r="101" spans="2:6" x14ac:dyDescent="0.25">
      <c r="B101" s="105">
        <f t="shared" si="9"/>
        <v>98</v>
      </c>
      <c r="C101" s="107">
        <f t="shared" si="10"/>
        <v>33</v>
      </c>
      <c r="D101" s="107">
        <f t="shared" si="11"/>
        <v>65</v>
      </c>
      <c r="E101" s="15">
        <f t="shared" si="7"/>
        <v>138</v>
      </c>
      <c r="F101" s="110">
        <f t="shared" si="8"/>
        <v>376</v>
      </c>
    </row>
    <row r="102" spans="2:6" x14ac:dyDescent="0.25">
      <c r="B102" s="105">
        <f t="shared" si="9"/>
        <v>99</v>
      </c>
      <c r="C102" s="107">
        <f t="shared" si="10"/>
        <v>34</v>
      </c>
      <c r="D102" s="107">
        <f t="shared" si="11"/>
        <v>65</v>
      </c>
      <c r="E102" s="15">
        <f t="shared" si="7"/>
        <v>138</v>
      </c>
      <c r="F102" s="110">
        <f t="shared" si="8"/>
        <v>370</v>
      </c>
    </row>
    <row r="103" spans="2:6" x14ac:dyDescent="0.25">
      <c r="B103" s="105">
        <f t="shared" si="9"/>
        <v>100</v>
      </c>
      <c r="C103" s="107">
        <f t="shared" si="10"/>
        <v>35</v>
      </c>
      <c r="D103" s="107">
        <f t="shared" si="11"/>
        <v>65</v>
      </c>
      <c r="E103" s="15">
        <f t="shared" si="7"/>
        <v>138</v>
      </c>
      <c r="F103" s="110">
        <f t="shared" si="8"/>
        <v>362</v>
      </c>
    </row>
    <row r="104" spans="2:6" x14ac:dyDescent="0.25">
      <c r="B104" s="105">
        <f t="shared" si="9"/>
        <v>101</v>
      </c>
      <c r="C104" s="107">
        <f t="shared" si="10"/>
        <v>36</v>
      </c>
      <c r="D104" s="107">
        <f t="shared" si="11"/>
        <v>65</v>
      </c>
      <c r="E104" s="15">
        <f t="shared" si="7"/>
        <v>138</v>
      </c>
      <c r="F104" s="110">
        <f t="shared" si="8"/>
        <v>357</v>
      </c>
    </row>
    <row r="105" spans="2:6" x14ac:dyDescent="0.25">
      <c r="B105" s="105">
        <f t="shared" si="9"/>
        <v>102</v>
      </c>
      <c r="C105" s="107">
        <f t="shared" si="10"/>
        <v>37</v>
      </c>
      <c r="D105" s="107">
        <f t="shared" si="11"/>
        <v>65</v>
      </c>
      <c r="E105" s="15">
        <f t="shared" si="7"/>
        <v>138</v>
      </c>
      <c r="F105" s="110">
        <f t="shared" si="8"/>
        <v>351</v>
      </c>
    </row>
    <row r="106" spans="2:6" x14ac:dyDescent="0.25">
      <c r="B106" s="105">
        <f t="shared" si="9"/>
        <v>103</v>
      </c>
      <c r="C106" s="107">
        <f t="shared" si="10"/>
        <v>38</v>
      </c>
      <c r="D106" s="107">
        <f t="shared" si="11"/>
        <v>65</v>
      </c>
      <c r="E106" s="15">
        <f t="shared" si="7"/>
        <v>138</v>
      </c>
      <c r="F106" s="110">
        <f t="shared" si="8"/>
        <v>339</v>
      </c>
    </row>
    <row r="107" spans="2:6" x14ac:dyDescent="0.25">
      <c r="B107" s="105">
        <f t="shared" si="9"/>
        <v>104</v>
      </c>
      <c r="C107" s="107">
        <f t="shared" si="10"/>
        <v>39</v>
      </c>
      <c r="D107" s="107">
        <f t="shared" si="11"/>
        <v>65</v>
      </c>
      <c r="E107" s="15">
        <f t="shared" si="7"/>
        <v>138</v>
      </c>
      <c r="F107" s="110">
        <f t="shared" si="8"/>
        <v>304</v>
      </c>
    </row>
    <row r="108" spans="2:6" x14ac:dyDescent="0.25">
      <c r="B108" s="105">
        <f t="shared" si="9"/>
        <v>105</v>
      </c>
      <c r="C108" s="107">
        <f t="shared" si="10"/>
        <v>40</v>
      </c>
      <c r="D108" s="107">
        <f t="shared" si="11"/>
        <v>65</v>
      </c>
      <c r="E108" s="15">
        <f t="shared" si="7"/>
        <v>138</v>
      </c>
      <c r="F108" s="110">
        <f t="shared" si="8"/>
        <v>301</v>
      </c>
    </row>
    <row r="109" spans="2:6" x14ac:dyDescent="0.25">
      <c r="B109" s="105">
        <f t="shared" si="9"/>
        <v>106</v>
      </c>
      <c r="C109" s="107">
        <f t="shared" si="10"/>
        <v>41</v>
      </c>
      <c r="D109" s="107">
        <f t="shared" si="11"/>
        <v>65</v>
      </c>
      <c r="E109" s="15">
        <f t="shared" si="7"/>
        <v>138</v>
      </c>
      <c r="F109" s="110">
        <f t="shared" si="8"/>
        <v>300</v>
      </c>
    </row>
    <row r="110" spans="2:6" x14ac:dyDescent="0.25">
      <c r="B110" s="105">
        <f t="shared" si="9"/>
        <v>107</v>
      </c>
      <c r="C110" s="107">
        <f t="shared" si="10"/>
        <v>42</v>
      </c>
      <c r="D110" s="107">
        <f t="shared" si="11"/>
        <v>65</v>
      </c>
      <c r="E110" s="15">
        <f t="shared" si="7"/>
        <v>138</v>
      </c>
      <c r="F110" s="110">
        <f t="shared" si="8"/>
        <v>288</v>
      </c>
    </row>
    <row r="111" spans="2:6" x14ac:dyDescent="0.25">
      <c r="B111" s="105">
        <f t="shared" si="9"/>
        <v>108</v>
      </c>
      <c r="C111" s="107">
        <f t="shared" si="10"/>
        <v>43</v>
      </c>
      <c r="D111" s="107">
        <f t="shared" si="11"/>
        <v>65</v>
      </c>
      <c r="E111" s="15">
        <f t="shared" si="7"/>
        <v>138</v>
      </c>
      <c r="F111" s="110">
        <f t="shared" si="8"/>
        <v>273</v>
      </c>
    </row>
    <row r="112" spans="2:6" x14ac:dyDescent="0.25">
      <c r="B112" s="105">
        <f t="shared" si="9"/>
        <v>109</v>
      </c>
      <c r="C112" s="107">
        <f t="shared" si="10"/>
        <v>44</v>
      </c>
      <c r="D112" s="107">
        <f t="shared" si="11"/>
        <v>65</v>
      </c>
      <c r="E112" s="15">
        <f t="shared" si="7"/>
        <v>138</v>
      </c>
      <c r="F112" s="110">
        <f t="shared" si="8"/>
        <v>268</v>
      </c>
    </row>
    <row r="113" spans="2:6" x14ac:dyDescent="0.25">
      <c r="B113" s="105">
        <f t="shared" si="9"/>
        <v>110</v>
      </c>
      <c r="C113" s="107">
        <f t="shared" si="10"/>
        <v>45</v>
      </c>
      <c r="D113" s="107">
        <f t="shared" si="11"/>
        <v>65</v>
      </c>
      <c r="E113" s="15">
        <f t="shared" si="7"/>
        <v>138</v>
      </c>
      <c r="F113" s="110">
        <f t="shared" si="8"/>
        <v>262</v>
      </c>
    </row>
    <row r="114" spans="2:6" x14ac:dyDescent="0.25">
      <c r="B114" s="105">
        <f t="shared" si="9"/>
        <v>111</v>
      </c>
      <c r="C114" s="107">
        <f t="shared" si="10"/>
        <v>46</v>
      </c>
      <c r="D114" s="107">
        <f t="shared" si="11"/>
        <v>65</v>
      </c>
      <c r="E114" s="15">
        <f t="shared" si="7"/>
        <v>138</v>
      </c>
      <c r="F114" s="110">
        <f t="shared" si="8"/>
        <v>248</v>
      </c>
    </row>
    <row r="115" spans="2:6" x14ac:dyDescent="0.25">
      <c r="B115" s="105">
        <f t="shared" si="9"/>
        <v>112</v>
      </c>
      <c r="C115" s="107">
        <f t="shared" si="10"/>
        <v>47</v>
      </c>
      <c r="D115" s="107">
        <f t="shared" si="11"/>
        <v>65</v>
      </c>
      <c r="E115" s="15">
        <f t="shared" si="7"/>
        <v>138</v>
      </c>
      <c r="F115" s="110">
        <f t="shared" si="8"/>
        <v>246</v>
      </c>
    </row>
    <row r="116" spans="2:6" x14ac:dyDescent="0.25">
      <c r="B116" s="105">
        <f t="shared" si="9"/>
        <v>113</v>
      </c>
      <c r="C116" s="107">
        <f t="shared" si="10"/>
        <v>48</v>
      </c>
      <c r="D116" s="107">
        <f t="shared" si="11"/>
        <v>65</v>
      </c>
      <c r="E116" s="15">
        <f t="shared" si="7"/>
        <v>138</v>
      </c>
      <c r="F116" s="110">
        <f t="shared" si="8"/>
        <v>236</v>
      </c>
    </row>
    <row r="117" spans="2:6" x14ac:dyDescent="0.25">
      <c r="B117" s="105">
        <f t="shared" si="9"/>
        <v>114</v>
      </c>
      <c r="C117" s="107">
        <f t="shared" si="10"/>
        <v>49</v>
      </c>
      <c r="D117" s="107">
        <f t="shared" si="11"/>
        <v>65</v>
      </c>
      <c r="E117" s="15">
        <f t="shared" si="7"/>
        <v>138</v>
      </c>
      <c r="F117" s="110">
        <f t="shared" si="8"/>
        <v>231</v>
      </c>
    </row>
    <row r="118" spans="2:6" x14ac:dyDescent="0.25">
      <c r="B118" s="105">
        <f t="shared" si="9"/>
        <v>115</v>
      </c>
      <c r="C118" s="107">
        <f t="shared" si="10"/>
        <v>50</v>
      </c>
      <c r="D118" s="107">
        <f t="shared" si="11"/>
        <v>65</v>
      </c>
      <c r="E118" s="15">
        <f t="shared" si="7"/>
        <v>138</v>
      </c>
      <c r="F118" s="110">
        <f t="shared" si="8"/>
        <v>227</v>
      </c>
    </row>
    <row r="119" spans="2:6" x14ac:dyDescent="0.25">
      <c r="B119" s="105">
        <f t="shared" si="9"/>
        <v>116</v>
      </c>
      <c r="C119" s="107">
        <f t="shared" si="10"/>
        <v>51</v>
      </c>
      <c r="D119" s="107">
        <f t="shared" si="11"/>
        <v>65</v>
      </c>
      <c r="E119" s="15">
        <f t="shared" si="7"/>
        <v>138</v>
      </c>
      <c r="F119" s="110">
        <f t="shared" si="8"/>
        <v>224</v>
      </c>
    </row>
    <row r="120" spans="2:6" x14ac:dyDescent="0.25">
      <c r="B120" s="105">
        <f t="shared" si="9"/>
        <v>117</v>
      </c>
      <c r="C120" s="107">
        <f t="shared" si="10"/>
        <v>52</v>
      </c>
      <c r="D120" s="107">
        <f t="shared" si="11"/>
        <v>65</v>
      </c>
      <c r="E120" s="15">
        <f t="shared" si="7"/>
        <v>138</v>
      </c>
      <c r="F120" s="110">
        <f t="shared" si="8"/>
        <v>217</v>
      </c>
    </row>
    <row r="121" spans="2:6" x14ac:dyDescent="0.25">
      <c r="B121" s="105">
        <f t="shared" si="9"/>
        <v>118</v>
      </c>
      <c r="C121" s="107">
        <f t="shared" si="10"/>
        <v>53</v>
      </c>
      <c r="D121" s="107">
        <f t="shared" si="11"/>
        <v>65</v>
      </c>
      <c r="E121" s="15">
        <f t="shared" si="7"/>
        <v>138</v>
      </c>
      <c r="F121" s="110">
        <f t="shared" si="8"/>
        <v>213</v>
      </c>
    </row>
    <row r="122" spans="2:6" x14ac:dyDescent="0.25">
      <c r="B122" s="105">
        <f t="shared" si="9"/>
        <v>119</v>
      </c>
      <c r="C122" s="107">
        <f t="shared" si="10"/>
        <v>54</v>
      </c>
      <c r="D122" s="107">
        <f t="shared" si="11"/>
        <v>65</v>
      </c>
      <c r="E122" s="15">
        <f t="shared" si="7"/>
        <v>138</v>
      </c>
      <c r="F122" s="110">
        <f t="shared" si="8"/>
        <v>212</v>
      </c>
    </row>
    <row r="123" spans="2:6" x14ac:dyDescent="0.25">
      <c r="B123" s="105">
        <f t="shared" si="9"/>
        <v>120</v>
      </c>
      <c r="C123" s="107">
        <f t="shared" si="10"/>
        <v>55</v>
      </c>
      <c r="D123" s="107">
        <f t="shared" si="11"/>
        <v>65</v>
      </c>
      <c r="E123" s="15">
        <f t="shared" si="7"/>
        <v>138</v>
      </c>
      <c r="F123" s="110">
        <f t="shared" si="8"/>
        <v>211</v>
      </c>
    </row>
    <row r="124" spans="2:6" x14ac:dyDescent="0.25">
      <c r="B124" s="105">
        <f t="shared" si="9"/>
        <v>121</v>
      </c>
      <c r="C124" s="107">
        <f t="shared" si="10"/>
        <v>56</v>
      </c>
      <c r="D124" s="107">
        <f t="shared" si="11"/>
        <v>65</v>
      </c>
      <c r="E124" s="15">
        <f t="shared" si="7"/>
        <v>138</v>
      </c>
      <c r="F124" s="110">
        <f t="shared" si="8"/>
        <v>209</v>
      </c>
    </row>
    <row r="125" spans="2:6" x14ac:dyDescent="0.25">
      <c r="B125" s="105">
        <f t="shared" si="9"/>
        <v>122</v>
      </c>
      <c r="C125" s="107">
        <f t="shared" si="10"/>
        <v>57</v>
      </c>
      <c r="D125" s="107">
        <f t="shared" si="11"/>
        <v>65</v>
      </c>
      <c r="E125" s="15">
        <f t="shared" si="7"/>
        <v>138</v>
      </c>
      <c r="F125" s="110">
        <f t="shared" si="8"/>
        <v>208</v>
      </c>
    </row>
    <row r="126" spans="2:6" x14ac:dyDescent="0.25">
      <c r="B126" s="105">
        <f t="shared" si="9"/>
        <v>123</v>
      </c>
      <c r="C126" s="107">
        <f t="shared" si="10"/>
        <v>58</v>
      </c>
      <c r="D126" s="107">
        <f t="shared" si="11"/>
        <v>65</v>
      </c>
      <c r="E126" s="15">
        <f t="shared" si="7"/>
        <v>138</v>
      </c>
      <c r="F126" s="110">
        <f t="shared" si="8"/>
        <v>204</v>
      </c>
    </row>
    <row r="127" spans="2:6" x14ac:dyDescent="0.25">
      <c r="B127" s="105">
        <f t="shared" si="9"/>
        <v>124</v>
      </c>
      <c r="C127" s="107">
        <f t="shared" si="10"/>
        <v>59</v>
      </c>
      <c r="D127" s="107">
        <f t="shared" si="11"/>
        <v>65</v>
      </c>
      <c r="E127" s="15">
        <f t="shared" si="7"/>
        <v>138</v>
      </c>
      <c r="F127" s="110">
        <f t="shared" si="8"/>
        <v>200</v>
      </c>
    </row>
    <row r="128" spans="2:6" x14ac:dyDescent="0.25">
      <c r="B128" s="105">
        <f t="shared" si="9"/>
        <v>125</v>
      </c>
      <c r="C128" s="107">
        <f t="shared" si="10"/>
        <v>60</v>
      </c>
      <c r="D128" s="107">
        <f t="shared" si="11"/>
        <v>65</v>
      </c>
      <c r="E128" s="15">
        <f t="shared" si="7"/>
        <v>138</v>
      </c>
      <c r="F128" s="110">
        <f t="shared" si="8"/>
        <v>199</v>
      </c>
    </row>
    <row r="129" spans="2:6" x14ac:dyDescent="0.25">
      <c r="B129" s="105">
        <f t="shared" si="9"/>
        <v>126</v>
      </c>
      <c r="C129" s="107">
        <f t="shared" si="10"/>
        <v>61</v>
      </c>
      <c r="D129" s="107">
        <f t="shared" si="11"/>
        <v>65</v>
      </c>
      <c r="E129" s="15">
        <f t="shared" si="7"/>
        <v>138</v>
      </c>
      <c r="F129" s="110">
        <f t="shared" si="8"/>
        <v>193</v>
      </c>
    </row>
    <row r="130" spans="2:6" x14ac:dyDescent="0.25">
      <c r="B130" s="105">
        <f t="shared" si="9"/>
        <v>127</v>
      </c>
      <c r="C130" s="107">
        <f t="shared" si="10"/>
        <v>62</v>
      </c>
      <c r="D130" s="107">
        <f t="shared" si="11"/>
        <v>65</v>
      </c>
      <c r="E130" s="15">
        <f t="shared" si="7"/>
        <v>138</v>
      </c>
      <c r="F130" s="110">
        <f t="shared" si="8"/>
        <v>192</v>
      </c>
    </row>
    <row r="131" spans="2:6" x14ac:dyDescent="0.25">
      <c r="B131" s="105">
        <f t="shared" si="9"/>
        <v>128</v>
      </c>
      <c r="C131" s="107">
        <f t="shared" si="10"/>
        <v>63</v>
      </c>
      <c r="D131" s="107">
        <f t="shared" si="11"/>
        <v>65</v>
      </c>
      <c r="E131" s="15">
        <f t="shared" si="7"/>
        <v>138</v>
      </c>
      <c r="F131" s="110">
        <f t="shared" si="8"/>
        <v>168</v>
      </c>
    </row>
    <row r="132" spans="2:6" x14ac:dyDescent="0.25">
      <c r="B132" s="105">
        <f t="shared" si="9"/>
        <v>129</v>
      </c>
      <c r="C132" s="107">
        <f t="shared" si="10"/>
        <v>64</v>
      </c>
      <c r="D132" s="107">
        <f t="shared" si="11"/>
        <v>65</v>
      </c>
      <c r="E132" s="15">
        <f t="shared" ref="E132:E195" si="12">IFERROR(VLOOKUP(D132,$H$4:$I$69,2,0),"")</f>
        <v>138</v>
      </c>
      <c r="F132" s="110">
        <f t="shared" ref="F132:F195" si="13">IFERROR(VLOOKUP(C132,$H$4:$I$69,2,0),"")</f>
        <v>142</v>
      </c>
    </row>
    <row r="133" spans="2:6" x14ac:dyDescent="0.25">
      <c r="B133" s="105">
        <f t="shared" ref="B133:B196" si="14">ROW()-3</f>
        <v>130</v>
      </c>
      <c r="C133" s="107">
        <f t="shared" si="10"/>
        <v>1</v>
      </c>
      <c r="D133" s="107">
        <f t="shared" si="11"/>
        <v>64</v>
      </c>
      <c r="E133" s="15">
        <f t="shared" si="12"/>
        <v>142</v>
      </c>
      <c r="F133" s="110">
        <f t="shared" si="13"/>
        <v>1048</v>
      </c>
    </row>
    <row r="134" spans="2:6" x14ac:dyDescent="0.25">
      <c r="B134" s="105">
        <f t="shared" si="14"/>
        <v>131</v>
      </c>
      <c r="C134" s="107">
        <f t="shared" ref="C134:C197" si="15">IF((D133-C133)=1,1,C133+1)</f>
        <v>2</v>
      </c>
      <c r="D134" s="107">
        <f t="shared" ref="D134:D197" si="16">IF((D133-C133)=1,D133-1,D133)</f>
        <v>64</v>
      </c>
      <c r="E134" s="15">
        <f t="shared" si="12"/>
        <v>142</v>
      </c>
      <c r="F134" s="110">
        <f t="shared" si="13"/>
        <v>1025</v>
      </c>
    </row>
    <row r="135" spans="2:6" x14ac:dyDescent="0.25">
      <c r="B135" s="105">
        <f t="shared" si="14"/>
        <v>132</v>
      </c>
      <c r="C135" s="107">
        <f t="shared" si="15"/>
        <v>3</v>
      </c>
      <c r="D135" s="107">
        <f t="shared" si="16"/>
        <v>64</v>
      </c>
      <c r="E135" s="15">
        <f t="shared" si="12"/>
        <v>142</v>
      </c>
      <c r="F135" s="110">
        <f t="shared" si="13"/>
        <v>805</v>
      </c>
    </row>
    <row r="136" spans="2:6" x14ac:dyDescent="0.25">
      <c r="B136" s="105">
        <f t="shared" si="14"/>
        <v>133</v>
      </c>
      <c r="C136" s="107">
        <f t="shared" si="15"/>
        <v>4</v>
      </c>
      <c r="D136" s="107">
        <f t="shared" si="16"/>
        <v>64</v>
      </c>
      <c r="E136" s="15">
        <f t="shared" si="12"/>
        <v>142</v>
      </c>
      <c r="F136" s="110">
        <f t="shared" si="13"/>
        <v>666</v>
      </c>
    </row>
    <row r="137" spans="2:6" x14ac:dyDescent="0.25">
      <c r="B137" s="105">
        <f t="shared" si="14"/>
        <v>134</v>
      </c>
      <c r="C137" s="107">
        <f t="shared" si="15"/>
        <v>5</v>
      </c>
      <c r="D137" s="107">
        <f t="shared" si="16"/>
        <v>64</v>
      </c>
      <c r="E137" s="15">
        <f t="shared" si="12"/>
        <v>142</v>
      </c>
      <c r="F137" s="110">
        <f t="shared" si="13"/>
        <v>655</v>
      </c>
    </row>
    <row r="138" spans="2:6" x14ac:dyDescent="0.25">
      <c r="B138" s="105">
        <f t="shared" si="14"/>
        <v>135</v>
      </c>
      <c r="C138" s="107">
        <f t="shared" si="15"/>
        <v>6</v>
      </c>
      <c r="D138" s="107">
        <f t="shared" si="16"/>
        <v>64</v>
      </c>
      <c r="E138" s="15">
        <f t="shared" si="12"/>
        <v>142</v>
      </c>
      <c r="F138" s="110">
        <f t="shared" si="13"/>
        <v>652</v>
      </c>
    </row>
    <row r="139" spans="2:6" x14ac:dyDescent="0.25">
      <c r="B139" s="105">
        <f t="shared" si="14"/>
        <v>136</v>
      </c>
      <c r="C139" s="107">
        <f t="shared" si="15"/>
        <v>7</v>
      </c>
      <c r="D139" s="107">
        <f t="shared" si="16"/>
        <v>64</v>
      </c>
      <c r="E139" s="15">
        <f t="shared" si="12"/>
        <v>142</v>
      </c>
      <c r="F139" s="110">
        <f t="shared" si="13"/>
        <v>633</v>
      </c>
    </row>
    <row r="140" spans="2:6" x14ac:dyDescent="0.25">
      <c r="B140" s="105">
        <f t="shared" si="14"/>
        <v>137</v>
      </c>
      <c r="C140" s="107">
        <f t="shared" si="15"/>
        <v>8</v>
      </c>
      <c r="D140" s="107">
        <f t="shared" si="16"/>
        <v>64</v>
      </c>
      <c r="E140" s="15">
        <f t="shared" si="12"/>
        <v>142</v>
      </c>
      <c r="F140" s="110">
        <f t="shared" si="13"/>
        <v>632</v>
      </c>
    </row>
    <row r="141" spans="2:6" x14ac:dyDescent="0.25">
      <c r="B141" s="105">
        <f t="shared" si="14"/>
        <v>138</v>
      </c>
      <c r="C141" s="107">
        <f t="shared" si="15"/>
        <v>9</v>
      </c>
      <c r="D141" s="107">
        <f t="shared" si="16"/>
        <v>64</v>
      </c>
      <c r="E141" s="15">
        <f t="shared" si="12"/>
        <v>142</v>
      </c>
      <c r="F141" s="110">
        <f t="shared" si="13"/>
        <v>625</v>
      </c>
    </row>
    <row r="142" spans="2:6" x14ac:dyDescent="0.25">
      <c r="B142" s="105">
        <f t="shared" si="14"/>
        <v>139</v>
      </c>
      <c r="C142" s="107">
        <f t="shared" si="15"/>
        <v>10</v>
      </c>
      <c r="D142" s="107">
        <f t="shared" si="16"/>
        <v>64</v>
      </c>
      <c r="E142" s="15">
        <f t="shared" si="12"/>
        <v>142</v>
      </c>
      <c r="F142" s="110">
        <f t="shared" si="13"/>
        <v>619</v>
      </c>
    </row>
    <row r="143" spans="2:6" x14ac:dyDescent="0.25">
      <c r="B143" s="105">
        <f t="shared" si="14"/>
        <v>140</v>
      </c>
      <c r="C143" s="107">
        <f t="shared" si="15"/>
        <v>11</v>
      </c>
      <c r="D143" s="107">
        <f t="shared" si="16"/>
        <v>64</v>
      </c>
      <c r="E143" s="15">
        <f t="shared" si="12"/>
        <v>142</v>
      </c>
      <c r="F143" s="110">
        <f t="shared" si="13"/>
        <v>610</v>
      </c>
    </row>
    <row r="144" spans="2:6" x14ac:dyDescent="0.25">
      <c r="B144" s="105">
        <f t="shared" si="14"/>
        <v>141</v>
      </c>
      <c r="C144" s="107">
        <f t="shared" si="15"/>
        <v>12</v>
      </c>
      <c r="D144" s="107">
        <f t="shared" si="16"/>
        <v>64</v>
      </c>
      <c r="E144" s="15">
        <f t="shared" si="12"/>
        <v>142</v>
      </c>
      <c r="F144" s="110">
        <f t="shared" si="13"/>
        <v>599</v>
      </c>
    </row>
    <row r="145" spans="2:6" x14ac:dyDescent="0.25">
      <c r="B145" s="105">
        <f t="shared" si="14"/>
        <v>142</v>
      </c>
      <c r="C145" s="107">
        <f t="shared" si="15"/>
        <v>13</v>
      </c>
      <c r="D145" s="107">
        <f t="shared" si="16"/>
        <v>64</v>
      </c>
      <c r="E145" s="15">
        <f t="shared" si="12"/>
        <v>142</v>
      </c>
      <c r="F145" s="110">
        <f t="shared" si="13"/>
        <v>559</v>
      </c>
    </row>
    <row r="146" spans="2:6" x14ac:dyDescent="0.25">
      <c r="B146" s="105">
        <f t="shared" si="14"/>
        <v>143</v>
      </c>
      <c r="C146" s="107">
        <f t="shared" si="15"/>
        <v>14</v>
      </c>
      <c r="D146" s="107">
        <f t="shared" si="16"/>
        <v>64</v>
      </c>
      <c r="E146" s="15">
        <f t="shared" si="12"/>
        <v>142</v>
      </c>
      <c r="F146" s="110">
        <f t="shared" si="13"/>
        <v>556</v>
      </c>
    </row>
    <row r="147" spans="2:6" x14ac:dyDescent="0.25">
      <c r="B147" s="105">
        <f t="shared" si="14"/>
        <v>144</v>
      </c>
      <c r="C147" s="107">
        <f t="shared" si="15"/>
        <v>15</v>
      </c>
      <c r="D147" s="107">
        <f t="shared" si="16"/>
        <v>64</v>
      </c>
      <c r="E147" s="15">
        <f t="shared" si="12"/>
        <v>142</v>
      </c>
      <c r="F147" s="110">
        <f t="shared" si="13"/>
        <v>540</v>
      </c>
    </row>
    <row r="148" spans="2:6" x14ac:dyDescent="0.25">
      <c r="B148" s="105">
        <f t="shared" si="14"/>
        <v>145</v>
      </c>
      <c r="C148" s="107">
        <f t="shared" si="15"/>
        <v>16</v>
      </c>
      <c r="D148" s="107">
        <f t="shared" si="16"/>
        <v>64</v>
      </c>
      <c r="E148" s="15">
        <f t="shared" si="12"/>
        <v>142</v>
      </c>
      <c r="F148" s="110">
        <f t="shared" si="13"/>
        <v>536</v>
      </c>
    </row>
    <row r="149" spans="2:6" x14ac:dyDescent="0.25">
      <c r="B149" s="105">
        <f t="shared" si="14"/>
        <v>146</v>
      </c>
      <c r="C149" s="107">
        <f t="shared" si="15"/>
        <v>17</v>
      </c>
      <c r="D149" s="107">
        <f t="shared" si="16"/>
        <v>64</v>
      </c>
      <c r="E149" s="15">
        <f t="shared" si="12"/>
        <v>142</v>
      </c>
      <c r="F149" s="110">
        <f t="shared" si="13"/>
        <v>527</v>
      </c>
    </row>
    <row r="150" spans="2:6" x14ac:dyDescent="0.25">
      <c r="B150" s="105">
        <f t="shared" si="14"/>
        <v>147</v>
      </c>
      <c r="C150" s="107">
        <f t="shared" si="15"/>
        <v>18</v>
      </c>
      <c r="D150" s="107">
        <f t="shared" si="16"/>
        <v>64</v>
      </c>
      <c r="E150" s="15">
        <f t="shared" si="12"/>
        <v>142</v>
      </c>
      <c r="F150" s="110">
        <f t="shared" si="13"/>
        <v>478</v>
      </c>
    </row>
    <row r="151" spans="2:6" x14ac:dyDescent="0.25">
      <c r="B151" s="105">
        <f t="shared" si="14"/>
        <v>148</v>
      </c>
      <c r="C151" s="107">
        <f t="shared" si="15"/>
        <v>19</v>
      </c>
      <c r="D151" s="107">
        <f t="shared" si="16"/>
        <v>64</v>
      </c>
      <c r="E151" s="15">
        <f t="shared" si="12"/>
        <v>142</v>
      </c>
      <c r="F151" s="110">
        <f t="shared" si="13"/>
        <v>474</v>
      </c>
    </row>
    <row r="152" spans="2:6" x14ac:dyDescent="0.25">
      <c r="B152" s="105">
        <f t="shared" si="14"/>
        <v>149</v>
      </c>
      <c r="C152" s="107">
        <f t="shared" si="15"/>
        <v>20</v>
      </c>
      <c r="D152" s="107">
        <f t="shared" si="16"/>
        <v>64</v>
      </c>
      <c r="E152" s="15">
        <f t="shared" si="12"/>
        <v>142</v>
      </c>
      <c r="F152" s="110">
        <f t="shared" si="13"/>
        <v>468</v>
      </c>
    </row>
    <row r="153" spans="2:6" x14ac:dyDescent="0.25">
      <c r="B153" s="105">
        <f t="shared" si="14"/>
        <v>150</v>
      </c>
      <c r="C153" s="107">
        <f t="shared" si="15"/>
        <v>21</v>
      </c>
      <c r="D153" s="107">
        <f t="shared" si="16"/>
        <v>64</v>
      </c>
      <c r="E153" s="15">
        <f t="shared" si="12"/>
        <v>142</v>
      </c>
      <c r="F153" s="110">
        <f t="shared" si="13"/>
        <v>457</v>
      </c>
    </row>
    <row r="154" spans="2:6" x14ac:dyDescent="0.25">
      <c r="B154" s="105">
        <f t="shared" si="14"/>
        <v>151</v>
      </c>
      <c r="C154" s="107">
        <f t="shared" si="15"/>
        <v>22</v>
      </c>
      <c r="D154" s="107">
        <f t="shared" si="16"/>
        <v>64</v>
      </c>
      <c r="E154" s="15">
        <f t="shared" si="12"/>
        <v>142</v>
      </c>
      <c r="F154" s="110">
        <f t="shared" si="13"/>
        <v>452</v>
      </c>
    </row>
    <row r="155" spans="2:6" x14ac:dyDescent="0.25">
      <c r="B155" s="105">
        <f t="shared" si="14"/>
        <v>152</v>
      </c>
      <c r="C155" s="107">
        <f t="shared" si="15"/>
        <v>23</v>
      </c>
      <c r="D155" s="107">
        <f t="shared" si="16"/>
        <v>64</v>
      </c>
      <c r="E155" s="15">
        <f t="shared" si="12"/>
        <v>142</v>
      </c>
      <c r="F155" s="110">
        <f t="shared" si="13"/>
        <v>442</v>
      </c>
    </row>
    <row r="156" spans="2:6" x14ac:dyDescent="0.25">
      <c r="B156" s="105">
        <f t="shared" si="14"/>
        <v>153</v>
      </c>
      <c r="C156" s="107">
        <f t="shared" si="15"/>
        <v>24</v>
      </c>
      <c r="D156" s="107">
        <f t="shared" si="16"/>
        <v>64</v>
      </c>
      <c r="E156" s="15">
        <f t="shared" si="12"/>
        <v>142</v>
      </c>
      <c r="F156" s="110">
        <f t="shared" si="13"/>
        <v>420</v>
      </c>
    </row>
    <row r="157" spans="2:6" x14ac:dyDescent="0.25">
      <c r="B157" s="105">
        <f t="shared" si="14"/>
        <v>154</v>
      </c>
      <c r="C157" s="107">
        <f t="shared" si="15"/>
        <v>25</v>
      </c>
      <c r="D157" s="107">
        <f t="shared" si="16"/>
        <v>64</v>
      </c>
      <c r="E157" s="15">
        <f t="shared" si="12"/>
        <v>142</v>
      </c>
      <c r="F157" s="110">
        <f t="shared" si="13"/>
        <v>410</v>
      </c>
    </row>
    <row r="158" spans="2:6" x14ac:dyDescent="0.25">
      <c r="B158" s="105">
        <f t="shared" si="14"/>
        <v>155</v>
      </c>
      <c r="C158" s="107">
        <f t="shared" si="15"/>
        <v>26</v>
      </c>
      <c r="D158" s="107">
        <f t="shared" si="16"/>
        <v>64</v>
      </c>
      <c r="E158" s="15">
        <f t="shared" si="12"/>
        <v>142</v>
      </c>
      <c r="F158" s="110">
        <f t="shared" si="13"/>
        <v>409</v>
      </c>
    </row>
    <row r="159" spans="2:6" x14ac:dyDescent="0.25">
      <c r="B159" s="105">
        <f t="shared" si="14"/>
        <v>156</v>
      </c>
      <c r="C159" s="107">
        <f t="shared" si="15"/>
        <v>27</v>
      </c>
      <c r="D159" s="107">
        <f t="shared" si="16"/>
        <v>64</v>
      </c>
      <c r="E159" s="15">
        <f t="shared" si="12"/>
        <v>142</v>
      </c>
      <c r="F159" s="110">
        <f t="shared" si="13"/>
        <v>408</v>
      </c>
    </row>
    <row r="160" spans="2:6" x14ac:dyDescent="0.25">
      <c r="B160" s="105">
        <f t="shared" si="14"/>
        <v>157</v>
      </c>
      <c r="C160" s="107">
        <f t="shared" si="15"/>
        <v>28</v>
      </c>
      <c r="D160" s="107">
        <f t="shared" si="16"/>
        <v>64</v>
      </c>
      <c r="E160" s="15">
        <f t="shared" si="12"/>
        <v>142</v>
      </c>
      <c r="F160" s="110">
        <f t="shared" si="13"/>
        <v>404</v>
      </c>
    </row>
    <row r="161" spans="2:6" x14ac:dyDescent="0.25">
      <c r="B161" s="105">
        <f t="shared" si="14"/>
        <v>158</v>
      </c>
      <c r="C161" s="107">
        <f t="shared" si="15"/>
        <v>29</v>
      </c>
      <c r="D161" s="107">
        <f t="shared" si="16"/>
        <v>64</v>
      </c>
      <c r="E161" s="15">
        <f t="shared" si="12"/>
        <v>142</v>
      </c>
      <c r="F161" s="110">
        <f t="shared" si="13"/>
        <v>399</v>
      </c>
    </row>
    <row r="162" spans="2:6" x14ac:dyDescent="0.25">
      <c r="B162" s="105">
        <f t="shared" si="14"/>
        <v>159</v>
      </c>
      <c r="C162" s="107">
        <f t="shared" si="15"/>
        <v>30</v>
      </c>
      <c r="D162" s="107">
        <f t="shared" si="16"/>
        <v>64</v>
      </c>
      <c r="E162" s="15">
        <f t="shared" si="12"/>
        <v>142</v>
      </c>
      <c r="F162" s="110">
        <f t="shared" si="13"/>
        <v>396</v>
      </c>
    </row>
    <row r="163" spans="2:6" x14ac:dyDescent="0.25">
      <c r="B163" s="105">
        <f t="shared" si="14"/>
        <v>160</v>
      </c>
      <c r="C163" s="107">
        <f t="shared" si="15"/>
        <v>31</v>
      </c>
      <c r="D163" s="107">
        <f t="shared" si="16"/>
        <v>64</v>
      </c>
      <c r="E163" s="15">
        <f t="shared" si="12"/>
        <v>142</v>
      </c>
      <c r="F163" s="110">
        <f t="shared" si="13"/>
        <v>384</v>
      </c>
    </row>
    <row r="164" spans="2:6" x14ac:dyDescent="0.25">
      <c r="B164" s="105">
        <f t="shared" si="14"/>
        <v>161</v>
      </c>
      <c r="C164" s="107">
        <f t="shared" si="15"/>
        <v>32</v>
      </c>
      <c r="D164" s="107">
        <f t="shared" si="16"/>
        <v>64</v>
      </c>
      <c r="E164" s="15">
        <f t="shared" si="12"/>
        <v>142</v>
      </c>
      <c r="F164" s="110">
        <f t="shared" si="13"/>
        <v>381</v>
      </c>
    </row>
    <row r="165" spans="2:6" x14ac:dyDescent="0.25">
      <c r="B165" s="105">
        <f t="shared" si="14"/>
        <v>162</v>
      </c>
      <c r="C165" s="107">
        <f t="shared" si="15"/>
        <v>33</v>
      </c>
      <c r="D165" s="107">
        <f t="shared" si="16"/>
        <v>64</v>
      </c>
      <c r="E165" s="15">
        <f t="shared" si="12"/>
        <v>142</v>
      </c>
      <c r="F165" s="110">
        <f t="shared" si="13"/>
        <v>376</v>
      </c>
    </row>
    <row r="166" spans="2:6" x14ac:dyDescent="0.25">
      <c r="B166" s="105">
        <f t="shared" si="14"/>
        <v>163</v>
      </c>
      <c r="C166" s="107">
        <f t="shared" si="15"/>
        <v>34</v>
      </c>
      <c r="D166" s="107">
        <f t="shared" si="16"/>
        <v>64</v>
      </c>
      <c r="E166" s="15">
        <f t="shared" si="12"/>
        <v>142</v>
      </c>
      <c r="F166" s="110">
        <f t="shared" si="13"/>
        <v>370</v>
      </c>
    </row>
    <row r="167" spans="2:6" x14ac:dyDescent="0.25">
      <c r="B167" s="105">
        <f t="shared" si="14"/>
        <v>164</v>
      </c>
      <c r="C167" s="107">
        <f t="shared" si="15"/>
        <v>35</v>
      </c>
      <c r="D167" s="107">
        <f t="shared" si="16"/>
        <v>64</v>
      </c>
      <c r="E167" s="15">
        <f t="shared" si="12"/>
        <v>142</v>
      </c>
      <c r="F167" s="110">
        <f t="shared" si="13"/>
        <v>362</v>
      </c>
    </row>
    <row r="168" spans="2:6" x14ac:dyDescent="0.25">
      <c r="B168" s="105">
        <f t="shared" si="14"/>
        <v>165</v>
      </c>
      <c r="C168" s="107">
        <f t="shared" si="15"/>
        <v>36</v>
      </c>
      <c r="D168" s="107">
        <f t="shared" si="16"/>
        <v>64</v>
      </c>
      <c r="E168" s="15">
        <f t="shared" si="12"/>
        <v>142</v>
      </c>
      <c r="F168" s="110">
        <f t="shared" si="13"/>
        <v>357</v>
      </c>
    </row>
    <row r="169" spans="2:6" x14ac:dyDescent="0.25">
      <c r="B169" s="105">
        <f t="shared" si="14"/>
        <v>166</v>
      </c>
      <c r="C169" s="107">
        <f t="shared" si="15"/>
        <v>37</v>
      </c>
      <c r="D169" s="107">
        <f t="shared" si="16"/>
        <v>64</v>
      </c>
      <c r="E169" s="15">
        <f t="shared" si="12"/>
        <v>142</v>
      </c>
      <c r="F169" s="110">
        <f t="shared" si="13"/>
        <v>351</v>
      </c>
    </row>
    <row r="170" spans="2:6" x14ac:dyDescent="0.25">
      <c r="B170" s="105">
        <f t="shared" si="14"/>
        <v>167</v>
      </c>
      <c r="C170" s="107">
        <f t="shared" si="15"/>
        <v>38</v>
      </c>
      <c r="D170" s="107">
        <f t="shared" si="16"/>
        <v>64</v>
      </c>
      <c r="E170" s="15">
        <f t="shared" si="12"/>
        <v>142</v>
      </c>
      <c r="F170" s="110">
        <f t="shared" si="13"/>
        <v>339</v>
      </c>
    </row>
    <row r="171" spans="2:6" x14ac:dyDescent="0.25">
      <c r="B171" s="105">
        <f t="shared" si="14"/>
        <v>168</v>
      </c>
      <c r="C171" s="107">
        <f t="shared" si="15"/>
        <v>39</v>
      </c>
      <c r="D171" s="107">
        <f t="shared" si="16"/>
        <v>64</v>
      </c>
      <c r="E171" s="15">
        <f t="shared" si="12"/>
        <v>142</v>
      </c>
      <c r="F171" s="110">
        <f t="shared" si="13"/>
        <v>304</v>
      </c>
    </row>
    <row r="172" spans="2:6" x14ac:dyDescent="0.25">
      <c r="B172" s="105">
        <f t="shared" si="14"/>
        <v>169</v>
      </c>
      <c r="C172" s="107">
        <f t="shared" si="15"/>
        <v>40</v>
      </c>
      <c r="D172" s="107">
        <f t="shared" si="16"/>
        <v>64</v>
      </c>
      <c r="E172" s="15">
        <f t="shared" si="12"/>
        <v>142</v>
      </c>
      <c r="F172" s="110">
        <f t="shared" si="13"/>
        <v>301</v>
      </c>
    </row>
    <row r="173" spans="2:6" x14ac:dyDescent="0.25">
      <c r="B173" s="105">
        <f t="shared" si="14"/>
        <v>170</v>
      </c>
      <c r="C173" s="107">
        <f t="shared" si="15"/>
        <v>41</v>
      </c>
      <c r="D173" s="107">
        <f t="shared" si="16"/>
        <v>64</v>
      </c>
      <c r="E173" s="15">
        <f t="shared" si="12"/>
        <v>142</v>
      </c>
      <c r="F173" s="110">
        <f t="shared" si="13"/>
        <v>300</v>
      </c>
    </row>
    <row r="174" spans="2:6" x14ac:dyDescent="0.25">
      <c r="B174" s="105">
        <f t="shared" si="14"/>
        <v>171</v>
      </c>
      <c r="C174" s="107">
        <f t="shared" si="15"/>
        <v>42</v>
      </c>
      <c r="D174" s="107">
        <f t="shared" si="16"/>
        <v>64</v>
      </c>
      <c r="E174" s="15">
        <f t="shared" si="12"/>
        <v>142</v>
      </c>
      <c r="F174" s="110">
        <f t="shared" si="13"/>
        <v>288</v>
      </c>
    </row>
    <row r="175" spans="2:6" x14ac:dyDescent="0.25">
      <c r="B175" s="105">
        <f t="shared" si="14"/>
        <v>172</v>
      </c>
      <c r="C175" s="107">
        <f t="shared" si="15"/>
        <v>43</v>
      </c>
      <c r="D175" s="107">
        <f t="shared" si="16"/>
        <v>64</v>
      </c>
      <c r="E175" s="15">
        <f t="shared" si="12"/>
        <v>142</v>
      </c>
      <c r="F175" s="110">
        <f t="shared" si="13"/>
        <v>273</v>
      </c>
    </row>
    <row r="176" spans="2:6" x14ac:dyDescent="0.25">
      <c r="B176" s="105">
        <f t="shared" si="14"/>
        <v>173</v>
      </c>
      <c r="C176" s="107">
        <f t="shared" si="15"/>
        <v>44</v>
      </c>
      <c r="D176" s="107">
        <f t="shared" si="16"/>
        <v>64</v>
      </c>
      <c r="E176" s="15">
        <f t="shared" si="12"/>
        <v>142</v>
      </c>
      <c r="F176" s="110">
        <f t="shared" si="13"/>
        <v>268</v>
      </c>
    </row>
    <row r="177" spans="2:6" x14ac:dyDescent="0.25">
      <c r="B177" s="105">
        <f t="shared" si="14"/>
        <v>174</v>
      </c>
      <c r="C177" s="107">
        <f t="shared" si="15"/>
        <v>45</v>
      </c>
      <c r="D177" s="107">
        <f t="shared" si="16"/>
        <v>64</v>
      </c>
      <c r="E177" s="15">
        <f t="shared" si="12"/>
        <v>142</v>
      </c>
      <c r="F177" s="110">
        <f t="shared" si="13"/>
        <v>262</v>
      </c>
    </row>
    <row r="178" spans="2:6" x14ac:dyDescent="0.25">
      <c r="B178" s="105">
        <f t="shared" si="14"/>
        <v>175</v>
      </c>
      <c r="C178" s="107">
        <f t="shared" si="15"/>
        <v>46</v>
      </c>
      <c r="D178" s="107">
        <f t="shared" si="16"/>
        <v>64</v>
      </c>
      <c r="E178" s="15">
        <f t="shared" si="12"/>
        <v>142</v>
      </c>
      <c r="F178" s="110">
        <f t="shared" si="13"/>
        <v>248</v>
      </c>
    </row>
    <row r="179" spans="2:6" x14ac:dyDescent="0.25">
      <c r="B179" s="105">
        <f t="shared" si="14"/>
        <v>176</v>
      </c>
      <c r="C179" s="107">
        <f t="shared" si="15"/>
        <v>47</v>
      </c>
      <c r="D179" s="107">
        <f t="shared" si="16"/>
        <v>64</v>
      </c>
      <c r="E179" s="15">
        <f t="shared" si="12"/>
        <v>142</v>
      </c>
      <c r="F179" s="110">
        <f t="shared" si="13"/>
        <v>246</v>
      </c>
    </row>
    <row r="180" spans="2:6" x14ac:dyDescent="0.25">
      <c r="B180" s="105">
        <f t="shared" si="14"/>
        <v>177</v>
      </c>
      <c r="C180" s="107">
        <f t="shared" si="15"/>
        <v>48</v>
      </c>
      <c r="D180" s="107">
        <f t="shared" si="16"/>
        <v>64</v>
      </c>
      <c r="E180" s="15">
        <f t="shared" si="12"/>
        <v>142</v>
      </c>
      <c r="F180" s="110">
        <f t="shared" si="13"/>
        <v>236</v>
      </c>
    </row>
    <row r="181" spans="2:6" x14ac:dyDescent="0.25">
      <c r="B181" s="105">
        <f t="shared" si="14"/>
        <v>178</v>
      </c>
      <c r="C181" s="107">
        <f t="shared" si="15"/>
        <v>49</v>
      </c>
      <c r="D181" s="107">
        <f t="shared" si="16"/>
        <v>64</v>
      </c>
      <c r="E181" s="15">
        <f t="shared" si="12"/>
        <v>142</v>
      </c>
      <c r="F181" s="110">
        <f t="shared" si="13"/>
        <v>231</v>
      </c>
    </row>
    <row r="182" spans="2:6" x14ac:dyDescent="0.25">
      <c r="B182" s="105">
        <f t="shared" si="14"/>
        <v>179</v>
      </c>
      <c r="C182" s="107">
        <f t="shared" si="15"/>
        <v>50</v>
      </c>
      <c r="D182" s="107">
        <f t="shared" si="16"/>
        <v>64</v>
      </c>
      <c r="E182" s="15">
        <f t="shared" si="12"/>
        <v>142</v>
      </c>
      <c r="F182" s="110">
        <f t="shared" si="13"/>
        <v>227</v>
      </c>
    </row>
    <row r="183" spans="2:6" x14ac:dyDescent="0.25">
      <c r="B183" s="105">
        <f t="shared" si="14"/>
        <v>180</v>
      </c>
      <c r="C183" s="107">
        <f t="shared" si="15"/>
        <v>51</v>
      </c>
      <c r="D183" s="107">
        <f t="shared" si="16"/>
        <v>64</v>
      </c>
      <c r="E183" s="15">
        <f t="shared" si="12"/>
        <v>142</v>
      </c>
      <c r="F183" s="110">
        <f t="shared" si="13"/>
        <v>224</v>
      </c>
    </row>
    <row r="184" spans="2:6" x14ac:dyDescent="0.25">
      <c r="B184" s="105">
        <f t="shared" si="14"/>
        <v>181</v>
      </c>
      <c r="C184" s="107">
        <f t="shared" si="15"/>
        <v>52</v>
      </c>
      <c r="D184" s="107">
        <f t="shared" si="16"/>
        <v>64</v>
      </c>
      <c r="E184" s="15">
        <f t="shared" si="12"/>
        <v>142</v>
      </c>
      <c r="F184" s="110">
        <f t="shared" si="13"/>
        <v>217</v>
      </c>
    </row>
    <row r="185" spans="2:6" x14ac:dyDescent="0.25">
      <c r="B185" s="105">
        <f t="shared" si="14"/>
        <v>182</v>
      </c>
      <c r="C185" s="107">
        <f t="shared" si="15"/>
        <v>53</v>
      </c>
      <c r="D185" s="107">
        <f t="shared" si="16"/>
        <v>64</v>
      </c>
      <c r="E185" s="15">
        <f t="shared" si="12"/>
        <v>142</v>
      </c>
      <c r="F185" s="110">
        <f t="shared" si="13"/>
        <v>213</v>
      </c>
    </row>
    <row r="186" spans="2:6" x14ac:dyDescent="0.25">
      <c r="B186" s="105">
        <f t="shared" si="14"/>
        <v>183</v>
      </c>
      <c r="C186" s="107">
        <f t="shared" si="15"/>
        <v>54</v>
      </c>
      <c r="D186" s="107">
        <f t="shared" si="16"/>
        <v>64</v>
      </c>
      <c r="E186" s="15">
        <f t="shared" si="12"/>
        <v>142</v>
      </c>
      <c r="F186" s="110">
        <f t="shared" si="13"/>
        <v>212</v>
      </c>
    </row>
    <row r="187" spans="2:6" x14ac:dyDescent="0.25">
      <c r="B187" s="105">
        <f t="shared" si="14"/>
        <v>184</v>
      </c>
      <c r="C187" s="107">
        <f t="shared" si="15"/>
        <v>55</v>
      </c>
      <c r="D187" s="107">
        <f t="shared" si="16"/>
        <v>64</v>
      </c>
      <c r="E187" s="15">
        <f t="shared" si="12"/>
        <v>142</v>
      </c>
      <c r="F187" s="110">
        <f t="shared" si="13"/>
        <v>211</v>
      </c>
    </row>
    <row r="188" spans="2:6" x14ac:dyDescent="0.25">
      <c r="B188" s="105">
        <f t="shared" si="14"/>
        <v>185</v>
      </c>
      <c r="C188" s="107">
        <f t="shared" si="15"/>
        <v>56</v>
      </c>
      <c r="D188" s="107">
        <f t="shared" si="16"/>
        <v>64</v>
      </c>
      <c r="E188" s="15">
        <f t="shared" si="12"/>
        <v>142</v>
      </c>
      <c r="F188" s="110">
        <f t="shared" si="13"/>
        <v>209</v>
      </c>
    </row>
    <row r="189" spans="2:6" x14ac:dyDescent="0.25">
      <c r="B189" s="105">
        <f t="shared" si="14"/>
        <v>186</v>
      </c>
      <c r="C189" s="107">
        <f t="shared" si="15"/>
        <v>57</v>
      </c>
      <c r="D189" s="107">
        <f t="shared" si="16"/>
        <v>64</v>
      </c>
      <c r="E189" s="15">
        <f t="shared" si="12"/>
        <v>142</v>
      </c>
      <c r="F189" s="110">
        <f t="shared" si="13"/>
        <v>208</v>
      </c>
    </row>
    <row r="190" spans="2:6" x14ac:dyDescent="0.25">
      <c r="B190" s="105">
        <f t="shared" si="14"/>
        <v>187</v>
      </c>
      <c r="C190" s="107">
        <f t="shared" si="15"/>
        <v>58</v>
      </c>
      <c r="D190" s="107">
        <f t="shared" si="16"/>
        <v>64</v>
      </c>
      <c r="E190" s="15">
        <f t="shared" si="12"/>
        <v>142</v>
      </c>
      <c r="F190" s="110">
        <f t="shared" si="13"/>
        <v>204</v>
      </c>
    </row>
    <row r="191" spans="2:6" x14ac:dyDescent="0.25">
      <c r="B191" s="105">
        <f t="shared" si="14"/>
        <v>188</v>
      </c>
      <c r="C191" s="107">
        <f t="shared" si="15"/>
        <v>59</v>
      </c>
      <c r="D191" s="107">
        <f t="shared" si="16"/>
        <v>64</v>
      </c>
      <c r="E191" s="15">
        <f t="shared" si="12"/>
        <v>142</v>
      </c>
      <c r="F191" s="110">
        <f t="shared" si="13"/>
        <v>200</v>
      </c>
    </row>
    <row r="192" spans="2:6" x14ac:dyDescent="0.25">
      <c r="B192" s="105">
        <f t="shared" si="14"/>
        <v>189</v>
      </c>
      <c r="C192" s="107">
        <f t="shared" si="15"/>
        <v>60</v>
      </c>
      <c r="D192" s="107">
        <f t="shared" si="16"/>
        <v>64</v>
      </c>
      <c r="E192" s="15">
        <f t="shared" si="12"/>
        <v>142</v>
      </c>
      <c r="F192" s="110">
        <f t="shared" si="13"/>
        <v>199</v>
      </c>
    </row>
    <row r="193" spans="2:6" x14ac:dyDescent="0.25">
      <c r="B193" s="105">
        <f t="shared" si="14"/>
        <v>190</v>
      </c>
      <c r="C193" s="107">
        <f t="shared" si="15"/>
        <v>61</v>
      </c>
      <c r="D193" s="107">
        <f t="shared" si="16"/>
        <v>64</v>
      </c>
      <c r="E193" s="15">
        <f t="shared" si="12"/>
        <v>142</v>
      </c>
      <c r="F193" s="110">
        <f t="shared" si="13"/>
        <v>193</v>
      </c>
    </row>
    <row r="194" spans="2:6" x14ac:dyDescent="0.25">
      <c r="B194" s="105">
        <f t="shared" si="14"/>
        <v>191</v>
      </c>
      <c r="C194" s="107">
        <f t="shared" si="15"/>
        <v>62</v>
      </c>
      <c r="D194" s="107">
        <f t="shared" si="16"/>
        <v>64</v>
      </c>
      <c r="E194" s="15">
        <f t="shared" si="12"/>
        <v>142</v>
      </c>
      <c r="F194" s="110">
        <f t="shared" si="13"/>
        <v>192</v>
      </c>
    </row>
    <row r="195" spans="2:6" x14ac:dyDescent="0.25">
      <c r="B195" s="105">
        <f t="shared" si="14"/>
        <v>192</v>
      </c>
      <c r="C195" s="107">
        <f t="shared" si="15"/>
        <v>63</v>
      </c>
      <c r="D195" s="107">
        <f t="shared" si="16"/>
        <v>64</v>
      </c>
      <c r="E195" s="15">
        <f t="shared" si="12"/>
        <v>142</v>
      </c>
      <c r="F195" s="110">
        <f t="shared" si="13"/>
        <v>168</v>
      </c>
    </row>
    <row r="196" spans="2:6" x14ac:dyDescent="0.25">
      <c r="B196" s="105">
        <f t="shared" si="14"/>
        <v>193</v>
      </c>
      <c r="C196" s="107">
        <f t="shared" si="15"/>
        <v>1</v>
      </c>
      <c r="D196" s="107">
        <f t="shared" si="16"/>
        <v>63</v>
      </c>
      <c r="E196" s="15">
        <f t="shared" ref="E196:E259" si="17">IFERROR(VLOOKUP(D196,$H$4:$I$69,2,0),"")</f>
        <v>168</v>
      </c>
      <c r="F196" s="110">
        <f t="shared" ref="F196:F259" si="18">IFERROR(VLOOKUP(C196,$H$4:$I$69,2,0),"")</f>
        <v>1048</v>
      </c>
    </row>
    <row r="197" spans="2:6" x14ac:dyDescent="0.25">
      <c r="B197" s="105">
        <f t="shared" ref="B197:B260" si="19">ROW()-3</f>
        <v>194</v>
      </c>
      <c r="C197" s="107">
        <f t="shared" si="15"/>
        <v>2</v>
      </c>
      <c r="D197" s="107">
        <f t="shared" si="16"/>
        <v>63</v>
      </c>
      <c r="E197" s="15">
        <f t="shared" si="17"/>
        <v>168</v>
      </c>
      <c r="F197" s="110">
        <f t="shared" si="18"/>
        <v>1025</v>
      </c>
    </row>
    <row r="198" spans="2:6" x14ac:dyDescent="0.25">
      <c r="B198" s="105">
        <f t="shared" si="19"/>
        <v>195</v>
      </c>
      <c r="C198" s="107">
        <f t="shared" ref="C198:C261" si="20">IF((D197-C197)=1,1,C197+1)</f>
        <v>3</v>
      </c>
      <c r="D198" s="107">
        <f t="shared" ref="D198:D261" si="21">IF((D197-C197)=1,D197-1,D197)</f>
        <v>63</v>
      </c>
      <c r="E198" s="15">
        <f t="shared" si="17"/>
        <v>168</v>
      </c>
      <c r="F198" s="110">
        <f t="shared" si="18"/>
        <v>805</v>
      </c>
    </row>
    <row r="199" spans="2:6" x14ac:dyDescent="0.25">
      <c r="B199" s="105">
        <f t="shared" si="19"/>
        <v>196</v>
      </c>
      <c r="C199" s="107">
        <f t="shared" si="20"/>
        <v>4</v>
      </c>
      <c r="D199" s="107">
        <f t="shared" si="21"/>
        <v>63</v>
      </c>
      <c r="E199" s="15">
        <f t="shared" si="17"/>
        <v>168</v>
      </c>
      <c r="F199" s="110">
        <f t="shared" si="18"/>
        <v>666</v>
      </c>
    </row>
    <row r="200" spans="2:6" x14ac:dyDescent="0.25">
      <c r="B200" s="105">
        <f t="shared" si="19"/>
        <v>197</v>
      </c>
      <c r="C200" s="107">
        <f t="shared" si="20"/>
        <v>5</v>
      </c>
      <c r="D200" s="107">
        <f t="shared" si="21"/>
        <v>63</v>
      </c>
      <c r="E200" s="15">
        <f t="shared" si="17"/>
        <v>168</v>
      </c>
      <c r="F200" s="110">
        <f t="shared" si="18"/>
        <v>655</v>
      </c>
    </row>
    <row r="201" spans="2:6" x14ac:dyDescent="0.25">
      <c r="B201" s="105">
        <f t="shared" si="19"/>
        <v>198</v>
      </c>
      <c r="C201" s="107">
        <f t="shared" si="20"/>
        <v>6</v>
      </c>
      <c r="D201" s="107">
        <f t="shared" si="21"/>
        <v>63</v>
      </c>
      <c r="E201" s="15">
        <f t="shared" si="17"/>
        <v>168</v>
      </c>
      <c r="F201" s="110">
        <f t="shared" si="18"/>
        <v>652</v>
      </c>
    </row>
    <row r="202" spans="2:6" x14ac:dyDescent="0.25">
      <c r="B202" s="105">
        <f t="shared" si="19"/>
        <v>199</v>
      </c>
      <c r="C202" s="107">
        <f t="shared" si="20"/>
        <v>7</v>
      </c>
      <c r="D202" s="107">
        <f t="shared" si="21"/>
        <v>63</v>
      </c>
      <c r="E202" s="15">
        <f t="shared" si="17"/>
        <v>168</v>
      </c>
      <c r="F202" s="110">
        <f t="shared" si="18"/>
        <v>633</v>
      </c>
    </row>
    <row r="203" spans="2:6" x14ac:dyDescent="0.25">
      <c r="B203" s="105">
        <f t="shared" si="19"/>
        <v>200</v>
      </c>
      <c r="C203" s="107">
        <f t="shared" si="20"/>
        <v>8</v>
      </c>
      <c r="D203" s="107">
        <f t="shared" si="21"/>
        <v>63</v>
      </c>
      <c r="E203" s="15">
        <f t="shared" si="17"/>
        <v>168</v>
      </c>
      <c r="F203" s="110">
        <f t="shared" si="18"/>
        <v>632</v>
      </c>
    </row>
    <row r="204" spans="2:6" x14ac:dyDescent="0.25">
      <c r="B204" s="105">
        <f t="shared" si="19"/>
        <v>201</v>
      </c>
      <c r="C204" s="107">
        <f t="shared" si="20"/>
        <v>9</v>
      </c>
      <c r="D204" s="107">
        <f t="shared" si="21"/>
        <v>63</v>
      </c>
      <c r="E204" s="15">
        <f t="shared" si="17"/>
        <v>168</v>
      </c>
      <c r="F204" s="110">
        <f t="shared" si="18"/>
        <v>625</v>
      </c>
    </row>
    <row r="205" spans="2:6" x14ac:dyDescent="0.25">
      <c r="B205" s="105">
        <f t="shared" si="19"/>
        <v>202</v>
      </c>
      <c r="C205" s="107">
        <f t="shared" si="20"/>
        <v>10</v>
      </c>
      <c r="D205" s="107">
        <f t="shared" si="21"/>
        <v>63</v>
      </c>
      <c r="E205" s="15">
        <f t="shared" si="17"/>
        <v>168</v>
      </c>
      <c r="F205" s="110">
        <f t="shared" si="18"/>
        <v>619</v>
      </c>
    </row>
    <row r="206" spans="2:6" x14ac:dyDescent="0.25">
      <c r="B206" s="105">
        <f t="shared" si="19"/>
        <v>203</v>
      </c>
      <c r="C206" s="107">
        <f t="shared" si="20"/>
        <v>11</v>
      </c>
      <c r="D206" s="107">
        <f t="shared" si="21"/>
        <v>63</v>
      </c>
      <c r="E206" s="15">
        <f t="shared" si="17"/>
        <v>168</v>
      </c>
      <c r="F206" s="110">
        <f t="shared" si="18"/>
        <v>610</v>
      </c>
    </row>
    <row r="207" spans="2:6" x14ac:dyDescent="0.25">
      <c r="B207" s="105">
        <f t="shared" si="19"/>
        <v>204</v>
      </c>
      <c r="C207" s="107">
        <f t="shared" si="20"/>
        <v>12</v>
      </c>
      <c r="D207" s="107">
        <f t="shared" si="21"/>
        <v>63</v>
      </c>
      <c r="E207" s="15">
        <f t="shared" si="17"/>
        <v>168</v>
      </c>
      <c r="F207" s="110">
        <f t="shared" si="18"/>
        <v>599</v>
      </c>
    </row>
    <row r="208" spans="2:6" x14ac:dyDescent="0.25">
      <c r="B208" s="105">
        <f t="shared" si="19"/>
        <v>205</v>
      </c>
      <c r="C208" s="107">
        <f t="shared" si="20"/>
        <v>13</v>
      </c>
      <c r="D208" s="107">
        <f t="shared" si="21"/>
        <v>63</v>
      </c>
      <c r="E208" s="15">
        <f t="shared" si="17"/>
        <v>168</v>
      </c>
      <c r="F208" s="110">
        <f t="shared" si="18"/>
        <v>559</v>
      </c>
    </row>
    <row r="209" spans="2:6" x14ac:dyDescent="0.25">
      <c r="B209" s="105">
        <f t="shared" si="19"/>
        <v>206</v>
      </c>
      <c r="C209" s="107">
        <f t="shared" si="20"/>
        <v>14</v>
      </c>
      <c r="D209" s="107">
        <f t="shared" si="21"/>
        <v>63</v>
      </c>
      <c r="E209" s="15">
        <f t="shared" si="17"/>
        <v>168</v>
      </c>
      <c r="F209" s="110">
        <f t="shared" si="18"/>
        <v>556</v>
      </c>
    </row>
    <row r="210" spans="2:6" x14ac:dyDescent="0.25">
      <c r="B210" s="105">
        <f t="shared" si="19"/>
        <v>207</v>
      </c>
      <c r="C210" s="107">
        <f t="shared" si="20"/>
        <v>15</v>
      </c>
      <c r="D210" s="107">
        <f t="shared" si="21"/>
        <v>63</v>
      </c>
      <c r="E210" s="15">
        <f t="shared" si="17"/>
        <v>168</v>
      </c>
      <c r="F210" s="110">
        <f t="shared" si="18"/>
        <v>540</v>
      </c>
    </row>
    <row r="211" spans="2:6" x14ac:dyDescent="0.25">
      <c r="B211" s="105">
        <f t="shared" si="19"/>
        <v>208</v>
      </c>
      <c r="C211" s="107">
        <f t="shared" si="20"/>
        <v>16</v>
      </c>
      <c r="D211" s="107">
        <f t="shared" si="21"/>
        <v>63</v>
      </c>
      <c r="E211" s="15">
        <f t="shared" si="17"/>
        <v>168</v>
      </c>
      <c r="F211" s="110">
        <f t="shared" si="18"/>
        <v>536</v>
      </c>
    </row>
    <row r="212" spans="2:6" x14ac:dyDescent="0.25">
      <c r="B212" s="105">
        <f t="shared" si="19"/>
        <v>209</v>
      </c>
      <c r="C212" s="107">
        <f t="shared" si="20"/>
        <v>17</v>
      </c>
      <c r="D212" s="107">
        <f t="shared" si="21"/>
        <v>63</v>
      </c>
      <c r="E212" s="15">
        <f t="shared" si="17"/>
        <v>168</v>
      </c>
      <c r="F212" s="110">
        <f t="shared" si="18"/>
        <v>527</v>
      </c>
    </row>
    <row r="213" spans="2:6" x14ac:dyDescent="0.25">
      <c r="B213" s="105">
        <f t="shared" si="19"/>
        <v>210</v>
      </c>
      <c r="C213" s="107">
        <f t="shared" si="20"/>
        <v>18</v>
      </c>
      <c r="D213" s="107">
        <f t="shared" si="21"/>
        <v>63</v>
      </c>
      <c r="E213" s="15">
        <f t="shared" si="17"/>
        <v>168</v>
      </c>
      <c r="F213" s="110">
        <f t="shared" si="18"/>
        <v>478</v>
      </c>
    </row>
    <row r="214" spans="2:6" x14ac:dyDescent="0.25">
      <c r="B214" s="105">
        <f t="shared" si="19"/>
        <v>211</v>
      </c>
      <c r="C214" s="107">
        <f t="shared" si="20"/>
        <v>19</v>
      </c>
      <c r="D214" s="107">
        <f t="shared" si="21"/>
        <v>63</v>
      </c>
      <c r="E214" s="15">
        <f t="shared" si="17"/>
        <v>168</v>
      </c>
      <c r="F214" s="110">
        <f t="shared" si="18"/>
        <v>474</v>
      </c>
    </row>
    <row r="215" spans="2:6" x14ac:dyDescent="0.25">
      <c r="B215" s="105">
        <f t="shared" si="19"/>
        <v>212</v>
      </c>
      <c r="C215" s="107">
        <f t="shared" si="20"/>
        <v>20</v>
      </c>
      <c r="D215" s="107">
        <f t="shared" si="21"/>
        <v>63</v>
      </c>
      <c r="E215" s="15">
        <f t="shared" si="17"/>
        <v>168</v>
      </c>
      <c r="F215" s="110">
        <f t="shared" si="18"/>
        <v>468</v>
      </c>
    </row>
    <row r="216" spans="2:6" x14ac:dyDescent="0.25">
      <c r="B216" s="105">
        <f t="shared" si="19"/>
        <v>213</v>
      </c>
      <c r="C216" s="107">
        <f t="shared" si="20"/>
        <v>21</v>
      </c>
      <c r="D216" s="107">
        <f t="shared" si="21"/>
        <v>63</v>
      </c>
      <c r="E216" s="15">
        <f t="shared" si="17"/>
        <v>168</v>
      </c>
      <c r="F216" s="110">
        <f t="shared" si="18"/>
        <v>457</v>
      </c>
    </row>
    <row r="217" spans="2:6" x14ac:dyDescent="0.25">
      <c r="B217" s="105">
        <f t="shared" si="19"/>
        <v>214</v>
      </c>
      <c r="C217" s="107">
        <f t="shared" si="20"/>
        <v>22</v>
      </c>
      <c r="D217" s="107">
        <f t="shared" si="21"/>
        <v>63</v>
      </c>
      <c r="E217" s="15">
        <f t="shared" si="17"/>
        <v>168</v>
      </c>
      <c r="F217" s="110">
        <f t="shared" si="18"/>
        <v>452</v>
      </c>
    </row>
    <row r="218" spans="2:6" x14ac:dyDescent="0.25">
      <c r="B218" s="105">
        <f t="shared" si="19"/>
        <v>215</v>
      </c>
      <c r="C218" s="107">
        <f t="shared" si="20"/>
        <v>23</v>
      </c>
      <c r="D218" s="107">
        <f t="shared" si="21"/>
        <v>63</v>
      </c>
      <c r="E218" s="15">
        <f t="shared" si="17"/>
        <v>168</v>
      </c>
      <c r="F218" s="110">
        <f t="shared" si="18"/>
        <v>442</v>
      </c>
    </row>
    <row r="219" spans="2:6" x14ac:dyDescent="0.25">
      <c r="B219" s="105">
        <f t="shared" si="19"/>
        <v>216</v>
      </c>
      <c r="C219" s="107">
        <f t="shared" si="20"/>
        <v>24</v>
      </c>
      <c r="D219" s="107">
        <f t="shared" si="21"/>
        <v>63</v>
      </c>
      <c r="E219" s="15">
        <f t="shared" si="17"/>
        <v>168</v>
      </c>
      <c r="F219" s="110">
        <f t="shared" si="18"/>
        <v>420</v>
      </c>
    </row>
    <row r="220" spans="2:6" x14ac:dyDescent="0.25">
      <c r="B220" s="105">
        <f t="shared" si="19"/>
        <v>217</v>
      </c>
      <c r="C220" s="107">
        <f t="shared" si="20"/>
        <v>25</v>
      </c>
      <c r="D220" s="107">
        <f t="shared" si="21"/>
        <v>63</v>
      </c>
      <c r="E220" s="15">
        <f t="shared" si="17"/>
        <v>168</v>
      </c>
      <c r="F220" s="110">
        <f t="shared" si="18"/>
        <v>410</v>
      </c>
    </row>
    <row r="221" spans="2:6" x14ac:dyDescent="0.25">
      <c r="B221" s="105">
        <f t="shared" si="19"/>
        <v>218</v>
      </c>
      <c r="C221" s="107">
        <f t="shared" si="20"/>
        <v>26</v>
      </c>
      <c r="D221" s="107">
        <f t="shared" si="21"/>
        <v>63</v>
      </c>
      <c r="E221" s="15">
        <f t="shared" si="17"/>
        <v>168</v>
      </c>
      <c r="F221" s="110">
        <f t="shared" si="18"/>
        <v>409</v>
      </c>
    </row>
    <row r="222" spans="2:6" x14ac:dyDescent="0.25">
      <c r="B222" s="105">
        <f t="shared" si="19"/>
        <v>219</v>
      </c>
      <c r="C222" s="107">
        <f t="shared" si="20"/>
        <v>27</v>
      </c>
      <c r="D222" s="107">
        <f t="shared" si="21"/>
        <v>63</v>
      </c>
      <c r="E222" s="15">
        <f t="shared" si="17"/>
        <v>168</v>
      </c>
      <c r="F222" s="110">
        <f t="shared" si="18"/>
        <v>408</v>
      </c>
    </row>
    <row r="223" spans="2:6" x14ac:dyDescent="0.25">
      <c r="B223" s="105">
        <f t="shared" si="19"/>
        <v>220</v>
      </c>
      <c r="C223" s="107">
        <f t="shared" si="20"/>
        <v>28</v>
      </c>
      <c r="D223" s="107">
        <f t="shared" si="21"/>
        <v>63</v>
      </c>
      <c r="E223" s="15">
        <f t="shared" si="17"/>
        <v>168</v>
      </c>
      <c r="F223" s="110">
        <f t="shared" si="18"/>
        <v>404</v>
      </c>
    </row>
    <row r="224" spans="2:6" x14ac:dyDescent="0.25">
      <c r="B224" s="105">
        <f t="shared" si="19"/>
        <v>221</v>
      </c>
      <c r="C224" s="107">
        <f t="shared" si="20"/>
        <v>29</v>
      </c>
      <c r="D224" s="107">
        <f t="shared" si="21"/>
        <v>63</v>
      </c>
      <c r="E224" s="15">
        <f t="shared" si="17"/>
        <v>168</v>
      </c>
      <c r="F224" s="110">
        <f t="shared" si="18"/>
        <v>399</v>
      </c>
    </row>
    <row r="225" spans="2:6" x14ac:dyDescent="0.25">
      <c r="B225" s="105">
        <f t="shared" si="19"/>
        <v>222</v>
      </c>
      <c r="C225" s="107">
        <f t="shared" si="20"/>
        <v>30</v>
      </c>
      <c r="D225" s="107">
        <f t="shared" si="21"/>
        <v>63</v>
      </c>
      <c r="E225" s="15">
        <f t="shared" si="17"/>
        <v>168</v>
      </c>
      <c r="F225" s="110">
        <f t="shared" si="18"/>
        <v>396</v>
      </c>
    </row>
    <row r="226" spans="2:6" x14ac:dyDescent="0.25">
      <c r="B226" s="105">
        <f t="shared" si="19"/>
        <v>223</v>
      </c>
      <c r="C226" s="107">
        <f t="shared" si="20"/>
        <v>31</v>
      </c>
      <c r="D226" s="107">
        <f t="shared" si="21"/>
        <v>63</v>
      </c>
      <c r="E226" s="15">
        <f t="shared" si="17"/>
        <v>168</v>
      </c>
      <c r="F226" s="110">
        <f t="shared" si="18"/>
        <v>384</v>
      </c>
    </row>
    <row r="227" spans="2:6" x14ac:dyDescent="0.25">
      <c r="B227" s="105">
        <f t="shared" si="19"/>
        <v>224</v>
      </c>
      <c r="C227" s="107">
        <f t="shared" si="20"/>
        <v>32</v>
      </c>
      <c r="D227" s="107">
        <f t="shared" si="21"/>
        <v>63</v>
      </c>
      <c r="E227" s="15">
        <f t="shared" si="17"/>
        <v>168</v>
      </c>
      <c r="F227" s="110">
        <f t="shared" si="18"/>
        <v>381</v>
      </c>
    </row>
    <row r="228" spans="2:6" x14ac:dyDescent="0.25">
      <c r="B228" s="105">
        <f t="shared" si="19"/>
        <v>225</v>
      </c>
      <c r="C228" s="107">
        <f t="shared" si="20"/>
        <v>33</v>
      </c>
      <c r="D228" s="107">
        <f t="shared" si="21"/>
        <v>63</v>
      </c>
      <c r="E228" s="15">
        <f t="shared" si="17"/>
        <v>168</v>
      </c>
      <c r="F228" s="110">
        <f t="shared" si="18"/>
        <v>376</v>
      </c>
    </row>
    <row r="229" spans="2:6" x14ac:dyDescent="0.25">
      <c r="B229" s="105">
        <f t="shared" si="19"/>
        <v>226</v>
      </c>
      <c r="C229" s="107">
        <f t="shared" si="20"/>
        <v>34</v>
      </c>
      <c r="D229" s="107">
        <f t="shared" si="21"/>
        <v>63</v>
      </c>
      <c r="E229" s="15">
        <f t="shared" si="17"/>
        <v>168</v>
      </c>
      <c r="F229" s="110">
        <f t="shared" si="18"/>
        <v>370</v>
      </c>
    </row>
    <row r="230" spans="2:6" x14ac:dyDescent="0.25">
      <c r="B230" s="105">
        <f t="shared" si="19"/>
        <v>227</v>
      </c>
      <c r="C230" s="107">
        <f t="shared" si="20"/>
        <v>35</v>
      </c>
      <c r="D230" s="107">
        <f t="shared" si="21"/>
        <v>63</v>
      </c>
      <c r="E230" s="15">
        <f t="shared" si="17"/>
        <v>168</v>
      </c>
      <c r="F230" s="110">
        <f t="shared" si="18"/>
        <v>362</v>
      </c>
    </row>
    <row r="231" spans="2:6" x14ac:dyDescent="0.25">
      <c r="B231" s="105">
        <f t="shared" si="19"/>
        <v>228</v>
      </c>
      <c r="C231" s="107">
        <f t="shared" si="20"/>
        <v>36</v>
      </c>
      <c r="D231" s="107">
        <f t="shared" si="21"/>
        <v>63</v>
      </c>
      <c r="E231" s="15">
        <f t="shared" si="17"/>
        <v>168</v>
      </c>
      <c r="F231" s="110">
        <f t="shared" si="18"/>
        <v>357</v>
      </c>
    </row>
    <row r="232" spans="2:6" x14ac:dyDescent="0.25">
      <c r="B232" s="105">
        <f t="shared" si="19"/>
        <v>229</v>
      </c>
      <c r="C232" s="107">
        <f t="shared" si="20"/>
        <v>37</v>
      </c>
      <c r="D232" s="107">
        <f t="shared" si="21"/>
        <v>63</v>
      </c>
      <c r="E232" s="15">
        <f t="shared" si="17"/>
        <v>168</v>
      </c>
      <c r="F232" s="110">
        <f t="shared" si="18"/>
        <v>351</v>
      </c>
    </row>
    <row r="233" spans="2:6" x14ac:dyDescent="0.25">
      <c r="B233" s="105">
        <f t="shared" si="19"/>
        <v>230</v>
      </c>
      <c r="C233" s="107">
        <f t="shared" si="20"/>
        <v>38</v>
      </c>
      <c r="D233" s="107">
        <f t="shared" si="21"/>
        <v>63</v>
      </c>
      <c r="E233" s="15">
        <f t="shared" si="17"/>
        <v>168</v>
      </c>
      <c r="F233" s="110">
        <f t="shared" si="18"/>
        <v>339</v>
      </c>
    </row>
    <row r="234" spans="2:6" x14ac:dyDescent="0.25">
      <c r="B234" s="105">
        <f t="shared" si="19"/>
        <v>231</v>
      </c>
      <c r="C234" s="107">
        <f t="shared" si="20"/>
        <v>39</v>
      </c>
      <c r="D234" s="107">
        <f t="shared" si="21"/>
        <v>63</v>
      </c>
      <c r="E234" s="15">
        <f t="shared" si="17"/>
        <v>168</v>
      </c>
      <c r="F234" s="110">
        <f t="shared" si="18"/>
        <v>304</v>
      </c>
    </row>
    <row r="235" spans="2:6" x14ac:dyDescent="0.25">
      <c r="B235" s="105">
        <f t="shared" si="19"/>
        <v>232</v>
      </c>
      <c r="C235" s="107">
        <f t="shared" si="20"/>
        <v>40</v>
      </c>
      <c r="D235" s="107">
        <f t="shared" si="21"/>
        <v>63</v>
      </c>
      <c r="E235" s="15">
        <f t="shared" si="17"/>
        <v>168</v>
      </c>
      <c r="F235" s="110">
        <f t="shared" si="18"/>
        <v>301</v>
      </c>
    </row>
    <row r="236" spans="2:6" x14ac:dyDescent="0.25">
      <c r="B236" s="105">
        <f t="shared" si="19"/>
        <v>233</v>
      </c>
      <c r="C236" s="107">
        <f t="shared" si="20"/>
        <v>41</v>
      </c>
      <c r="D236" s="107">
        <f t="shared" si="21"/>
        <v>63</v>
      </c>
      <c r="E236" s="15">
        <f t="shared" si="17"/>
        <v>168</v>
      </c>
      <c r="F236" s="110">
        <f t="shared" si="18"/>
        <v>300</v>
      </c>
    </row>
    <row r="237" spans="2:6" x14ac:dyDescent="0.25">
      <c r="B237" s="105">
        <f t="shared" si="19"/>
        <v>234</v>
      </c>
      <c r="C237" s="107">
        <f t="shared" si="20"/>
        <v>42</v>
      </c>
      <c r="D237" s="107">
        <f t="shared" si="21"/>
        <v>63</v>
      </c>
      <c r="E237" s="15">
        <f t="shared" si="17"/>
        <v>168</v>
      </c>
      <c r="F237" s="110">
        <f t="shared" si="18"/>
        <v>288</v>
      </c>
    </row>
    <row r="238" spans="2:6" x14ac:dyDescent="0.25">
      <c r="B238" s="105">
        <f t="shared" si="19"/>
        <v>235</v>
      </c>
      <c r="C238" s="107">
        <f t="shared" si="20"/>
        <v>43</v>
      </c>
      <c r="D238" s="107">
        <f t="shared" si="21"/>
        <v>63</v>
      </c>
      <c r="E238" s="15">
        <f t="shared" si="17"/>
        <v>168</v>
      </c>
      <c r="F238" s="110">
        <f t="shared" si="18"/>
        <v>273</v>
      </c>
    </row>
    <row r="239" spans="2:6" x14ac:dyDescent="0.25">
      <c r="B239" s="105">
        <f t="shared" si="19"/>
        <v>236</v>
      </c>
      <c r="C239" s="107">
        <f t="shared" si="20"/>
        <v>44</v>
      </c>
      <c r="D239" s="107">
        <f t="shared" si="21"/>
        <v>63</v>
      </c>
      <c r="E239" s="15">
        <f t="shared" si="17"/>
        <v>168</v>
      </c>
      <c r="F239" s="110">
        <f t="shared" si="18"/>
        <v>268</v>
      </c>
    </row>
    <row r="240" spans="2:6" x14ac:dyDescent="0.25">
      <c r="B240" s="105">
        <f t="shared" si="19"/>
        <v>237</v>
      </c>
      <c r="C240" s="107">
        <f t="shared" si="20"/>
        <v>45</v>
      </c>
      <c r="D240" s="107">
        <f t="shared" si="21"/>
        <v>63</v>
      </c>
      <c r="E240" s="15">
        <f t="shared" si="17"/>
        <v>168</v>
      </c>
      <c r="F240" s="110">
        <f t="shared" si="18"/>
        <v>262</v>
      </c>
    </row>
    <row r="241" spans="2:6" x14ac:dyDescent="0.25">
      <c r="B241" s="105">
        <f t="shared" si="19"/>
        <v>238</v>
      </c>
      <c r="C241" s="107">
        <f t="shared" si="20"/>
        <v>46</v>
      </c>
      <c r="D241" s="107">
        <f t="shared" si="21"/>
        <v>63</v>
      </c>
      <c r="E241" s="15">
        <f t="shared" si="17"/>
        <v>168</v>
      </c>
      <c r="F241" s="110">
        <f t="shared" si="18"/>
        <v>248</v>
      </c>
    </row>
    <row r="242" spans="2:6" x14ac:dyDescent="0.25">
      <c r="B242" s="105">
        <f t="shared" si="19"/>
        <v>239</v>
      </c>
      <c r="C242" s="107">
        <f t="shared" si="20"/>
        <v>47</v>
      </c>
      <c r="D242" s="107">
        <f t="shared" si="21"/>
        <v>63</v>
      </c>
      <c r="E242" s="15">
        <f t="shared" si="17"/>
        <v>168</v>
      </c>
      <c r="F242" s="110">
        <f t="shared" si="18"/>
        <v>246</v>
      </c>
    </row>
    <row r="243" spans="2:6" x14ac:dyDescent="0.25">
      <c r="B243" s="105">
        <f t="shared" si="19"/>
        <v>240</v>
      </c>
      <c r="C243" s="107">
        <f t="shared" si="20"/>
        <v>48</v>
      </c>
      <c r="D243" s="107">
        <f t="shared" si="21"/>
        <v>63</v>
      </c>
      <c r="E243" s="15">
        <f t="shared" si="17"/>
        <v>168</v>
      </c>
      <c r="F243" s="110">
        <f t="shared" si="18"/>
        <v>236</v>
      </c>
    </row>
    <row r="244" spans="2:6" x14ac:dyDescent="0.25">
      <c r="B244" s="105">
        <f t="shared" si="19"/>
        <v>241</v>
      </c>
      <c r="C244" s="107">
        <f t="shared" si="20"/>
        <v>49</v>
      </c>
      <c r="D244" s="107">
        <f t="shared" si="21"/>
        <v>63</v>
      </c>
      <c r="E244" s="15">
        <f t="shared" si="17"/>
        <v>168</v>
      </c>
      <c r="F244" s="110">
        <f t="shared" si="18"/>
        <v>231</v>
      </c>
    </row>
    <row r="245" spans="2:6" x14ac:dyDescent="0.25">
      <c r="B245" s="105">
        <f t="shared" si="19"/>
        <v>242</v>
      </c>
      <c r="C245" s="107">
        <f t="shared" si="20"/>
        <v>50</v>
      </c>
      <c r="D245" s="107">
        <f t="shared" si="21"/>
        <v>63</v>
      </c>
      <c r="E245" s="15">
        <f t="shared" si="17"/>
        <v>168</v>
      </c>
      <c r="F245" s="110">
        <f t="shared" si="18"/>
        <v>227</v>
      </c>
    </row>
    <row r="246" spans="2:6" x14ac:dyDescent="0.25">
      <c r="B246" s="105">
        <f t="shared" si="19"/>
        <v>243</v>
      </c>
      <c r="C246" s="107">
        <f t="shared" si="20"/>
        <v>51</v>
      </c>
      <c r="D246" s="107">
        <f t="shared" si="21"/>
        <v>63</v>
      </c>
      <c r="E246" s="15">
        <f t="shared" si="17"/>
        <v>168</v>
      </c>
      <c r="F246" s="110">
        <f t="shared" si="18"/>
        <v>224</v>
      </c>
    </row>
    <row r="247" spans="2:6" x14ac:dyDescent="0.25">
      <c r="B247" s="105">
        <f t="shared" si="19"/>
        <v>244</v>
      </c>
      <c r="C247" s="107">
        <f t="shared" si="20"/>
        <v>52</v>
      </c>
      <c r="D247" s="107">
        <f t="shared" si="21"/>
        <v>63</v>
      </c>
      <c r="E247" s="15">
        <f t="shared" si="17"/>
        <v>168</v>
      </c>
      <c r="F247" s="110">
        <f t="shared" si="18"/>
        <v>217</v>
      </c>
    </row>
    <row r="248" spans="2:6" x14ac:dyDescent="0.25">
      <c r="B248" s="105">
        <f t="shared" si="19"/>
        <v>245</v>
      </c>
      <c r="C248" s="107">
        <f t="shared" si="20"/>
        <v>53</v>
      </c>
      <c r="D248" s="107">
        <f t="shared" si="21"/>
        <v>63</v>
      </c>
      <c r="E248" s="15">
        <f t="shared" si="17"/>
        <v>168</v>
      </c>
      <c r="F248" s="110">
        <f t="shared" si="18"/>
        <v>213</v>
      </c>
    </row>
    <row r="249" spans="2:6" x14ac:dyDescent="0.25">
      <c r="B249" s="105">
        <f t="shared" si="19"/>
        <v>246</v>
      </c>
      <c r="C249" s="107">
        <f t="shared" si="20"/>
        <v>54</v>
      </c>
      <c r="D249" s="107">
        <f t="shared" si="21"/>
        <v>63</v>
      </c>
      <c r="E249" s="15">
        <f t="shared" si="17"/>
        <v>168</v>
      </c>
      <c r="F249" s="110">
        <f t="shared" si="18"/>
        <v>212</v>
      </c>
    </row>
    <row r="250" spans="2:6" x14ac:dyDescent="0.25">
      <c r="B250" s="105">
        <f t="shared" si="19"/>
        <v>247</v>
      </c>
      <c r="C250" s="107">
        <f t="shared" si="20"/>
        <v>55</v>
      </c>
      <c r="D250" s="107">
        <f t="shared" si="21"/>
        <v>63</v>
      </c>
      <c r="E250" s="15">
        <f t="shared" si="17"/>
        <v>168</v>
      </c>
      <c r="F250" s="110">
        <f t="shared" si="18"/>
        <v>211</v>
      </c>
    </row>
    <row r="251" spans="2:6" x14ac:dyDescent="0.25">
      <c r="B251" s="105">
        <f t="shared" si="19"/>
        <v>248</v>
      </c>
      <c r="C251" s="107">
        <f t="shared" si="20"/>
        <v>56</v>
      </c>
      <c r="D251" s="107">
        <f t="shared" si="21"/>
        <v>63</v>
      </c>
      <c r="E251" s="15">
        <f t="shared" si="17"/>
        <v>168</v>
      </c>
      <c r="F251" s="110">
        <f t="shared" si="18"/>
        <v>209</v>
      </c>
    </row>
    <row r="252" spans="2:6" x14ac:dyDescent="0.25">
      <c r="B252" s="105">
        <f t="shared" si="19"/>
        <v>249</v>
      </c>
      <c r="C252" s="107">
        <f t="shared" si="20"/>
        <v>57</v>
      </c>
      <c r="D252" s="107">
        <f t="shared" si="21"/>
        <v>63</v>
      </c>
      <c r="E252" s="15">
        <f t="shared" si="17"/>
        <v>168</v>
      </c>
      <c r="F252" s="110">
        <f t="shared" si="18"/>
        <v>208</v>
      </c>
    </row>
    <row r="253" spans="2:6" x14ac:dyDescent="0.25">
      <c r="B253" s="105">
        <f t="shared" si="19"/>
        <v>250</v>
      </c>
      <c r="C253" s="107">
        <f t="shared" si="20"/>
        <v>58</v>
      </c>
      <c r="D253" s="107">
        <f t="shared" si="21"/>
        <v>63</v>
      </c>
      <c r="E253" s="15">
        <f t="shared" si="17"/>
        <v>168</v>
      </c>
      <c r="F253" s="110">
        <f t="shared" si="18"/>
        <v>204</v>
      </c>
    </row>
    <row r="254" spans="2:6" x14ac:dyDescent="0.25">
      <c r="B254" s="105">
        <f t="shared" si="19"/>
        <v>251</v>
      </c>
      <c r="C254" s="107">
        <f t="shared" si="20"/>
        <v>59</v>
      </c>
      <c r="D254" s="107">
        <f t="shared" si="21"/>
        <v>63</v>
      </c>
      <c r="E254" s="15">
        <f t="shared" si="17"/>
        <v>168</v>
      </c>
      <c r="F254" s="110">
        <f t="shared" si="18"/>
        <v>200</v>
      </c>
    </row>
    <row r="255" spans="2:6" x14ac:dyDescent="0.25">
      <c r="B255" s="105">
        <f t="shared" si="19"/>
        <v>252</v>
      </c>
      <c r="C255" s="107">
        <f t="shared" si="20"/>
        <v>60</v>
      </c>
      <c r="D255" s="107">
        <f t="shared" si="21"/>
        <v>63</v>
      </c>
      <c r="E255" s="15">
        <f t="shared" si="17"/>
        <v>168</v>
      </c>
      <c r="F255" s="110">
        <f t="shared" si="18"/>
        <v>199</v>
      </c>
    </row>
    <row r="256" spans="2:6" x14ac:dyDescent="0.25">
      <c r="B256" s="105">
        <f t="shared" si="19"/>
        <v>253</v>
      </c>
      <c r="C256" s="107">
        <f t="shared" si="20"/>
        <v>61</v>
      </c>
      <c r="D256" s="107">
        <f t="shared" si="21"/>
        <v>63</v>
      </c>
      <c r="E256" s="15">
        <f t="shared" si="17"/>
        <v>168</v>
      </c>
      <c r="F256" s="110">
        <f t="shared" si="18"/>
        <v>193</v>
      </c>
    </row>
    <row r="257" spans="2:6" x14ac:dyDescent="0.25">
      <c r="B257" s="105">
        <f t="shared" si="19"/>
        <v>254</v>
      </c>
      <c r="C257" s="107">
        <f t="shared" si="20"/>
        <v>62</v>
      </c>
      <c r="D257" s="107">
        <f t="shared" si="21"/>
        <v>63</v>
      </c>
      <c r="E257" s="15">
        <f t="shared" si="17"/>
        <v>168</v>
      </c>
      <c r="F257" s="110">
        <f t="shared" si="18"/>
        <v>192</v>
      </c>
    </row>
    <row r="258" spans="2:6" x14ac:dyDescent="0.25">
      <c r="B258" s="105">
        <f t="shared" si="19"/>
        <v>255</v>
      </c>
      <c r="C258" s="107">
        <f t="shared" si="20"/>
        <v>1</v>
      </c>
      <c r="D258" s="107">
        <f t="shared" si="21"/>
        <v>62</v>
      </c>
      <c r="E258" s="15">
        <f t="shared" si="17"/>
        <v>192</v>
      </c>
      <c r="F258" s="110">
        <f t="shared" si="18"/>
        <v>1048</v>
      </c>
    </row>
    <row r="259" spans="2:6" x14ac:dyDescent="0.25">
      <c r="B259" s="105">
        <f t="shared" si="19"/>
        <v>256</v>
      </c>
      <c r="C259" s="107">
        <f t="shared" si="20"/>
        <v>2</v>
      </c>
      <c r="D259" s="107">
        <f t="shared" si="21"/>
        <v>62</v>
      </c>
      <c r="E259" s="15">
        <f t="shared" si="17"/>
        <v>192</v>
      </c>
      <c r="F259" s="110">
        <f t="shared" si="18"/>
        <v>1025</v>
      </c>
    </row>
    <row r="260" spans="2:6" x14ac:dyDescent="0.25">
      <c r="B260" s="105">
        <f t="shared" si="19"/>
        <v>257</v>
      </c>
      <c r="C260" s="107">
        <f t="shared" si="20"/>
        <v>3</v>
      </c>
      <c r="D260" s="107">
        <f t="shared" si="21"/>
        <v>62</v>
      </c>
      <c r="E260" s="15">
        <f t="shared" ref="E260:E323" si="22">IFERROR(VLOOKUP(D260,$H$4:$I$69,2,0),"")</f>
        <v>192</v>
      </c>
      <c r="F260" s="110">
        <f t="shared" ref="F260:F323" si="23">IFERROR(VLOOKUP(C260,$H$4:$I$69,2,0),"")</f>
        <v>805</v>
      </c>
    </row>
    <row r="261" spans="2:6" x14ac:dyDescent="0.25">
      <c r="B261" s="105">
        <f t="shared" ref="B261:B324" si="24">ROW()-3</f>
        <v>258</v>
      </c>
      <c r="C261" s="107">
        <f t="shared" si="20"/>
        <v>4</v>
      </c>
      <c r="D261" s="107">
        <f t="shared" si="21"/>
        <v>62</v>
      </c>
      <c r="E261" s="15">
        <f t="shared" si="22"/>
        <v>192</v>
      </c>
      <c r="F261" s="110">
        <f t="shared" si="23"/>
        <v>666</v>
      </c>
    </row>
    <row r="262" spans="2:6" x14ac:dyDescent="0.25">
      <c r="B262" s="105">
        <f t="shared" si="24"/>
        <v>259</v>
      </c>
      <c r="C262" s="107">
        <f t="shared" ref="C262:C325" si="25">IF((D261-C261)=1,1,C261+1)</f>
        <v>5</v>
      </c>
      <c r="D262" s="107">
        <f t="shared" ref="D262:D325" si="26">IF((D261-C261)=1,D261-1,D261)</f>
        <v>62</v>
      </c>
      <c r="E262" s="15">
        <f t="shared" si="22"/>
        <v>192</v>
      </c>
      <c r="F262" s="110">
        <f t="shared" si="23"/>
        <v>655</v>
      </c>
    </row>
    <row r="263" spans="2:6" x14ac:dyDescent="0.25">
      <c r="B263" s="105">
        <f t="shared" si="24"/>
        <v>260</v>
      </c>
      <c r="C263" s="107">
        <f t="shared" si="25"/>
        <v>6</v>
      </c>
      <c r="D263" s="107">
        <f t="shared" si="26"/>
        <v>62</v>
      </c>
      <c r="E263" s="15">
        <f t="shared" si="22"/>
        <v>192</v>
      </c>
      <c r="F263" s="110">
        <f t="shared" si="23"/>
        <v>652</v>
      </c>
    </row>
    <row r="264" spans="2:6" x14ac:dyDescent="0.25">
      <c r="B264" s="105">
        <f t="shared" si="24"/>
        <v>261</v>
      </c>
      <c r="C264" s="107">
        <f t="shared" si="25"/>
        <v>7</v>
      </c>
      <c r="D264" s="107">
        <f t="shared" si="26"/>
        <v>62</v>
      </c>
      <c r="E264" s="15">
        <f t="shared" si="22"/>
        <v>192</v>
      </c>
      <c r="F264" s="110">
        <f t="shared" si="23"/>
        <v>633</v>
      </c>
    </row>
    <row r="265" spans="2:6" x14ac:dyDescent="0.25">
      <c r="B265" s="105">
        <f t="shared" si="24"/>
        <v>262</v>
      </c>
      <c r="C265" s="107">
        <f t="shared" si="25"/>
        <v>8</v>
      </c>
      <c r="D265" s="107">
        <f t="shared" si="26"/>
        <v>62</v>
      </c>
      <c r="E265" s="15">
        <f t="shared" si="22"/>
        <v>192</v>
      </c>
      <c r="F265" s="110">
        <f t="shared" si="23"/>
        <v>632</v>
      </c>
    </row>
    <row r="266" spans="2:6" x14ac:dyDescent="0.25">
      <c r="B266" s="105">
        <f t="shared" si="24"/>
        <v>263</v>
      </c>
      <c r="C266" s="107">
        <f t="shared" si="25"/>
        <v>9</v>
      </c>
      <c r="D266" s="107">
        <f t="shared" si="26"/>
        <v>62</v>
      </c>
      <c r="E266" s="15">
        <f t="shared" si="22"/>
        <v>192</v>
      </c>
      <c r="F266" s="110">
        <f t="shared" si="23"/>
        <v>625</v>
      </c>
    </row>
    <row r="267" spans="2:6" x14ac:dyDescent="0.25">
      <c r="B267" s="105">
        <f t="shared" si="24"/>
        <v>264</v>
      </c>
      <c r="C267" s="107">
        <f t="shared" si="25"/>
        <v>10</v>
      </c>
      <c r="D267" s="107">
        <f t="shared" si="26"/>
        <v>62</v>
      </c>
      <c r="E267" s="15">
        <f t="shared" si="22"/>
        <v>192</v>
      </c>
      <c r="F267" s="110">
        <f t="shared" si="23"/>
        <v>619</v>
      </c>
    </row>
    <row r="268" spans="2:6" x14ac:dyDescent="0.25">
      <c r="B268" s="105">
        <f t="shared" si="24"/>
        <v>265</v>
      </c>
      <c r="C268" s="107">
        <f t="shared" si="25"/>
        <v>11</v>
      </c>
      <c r="D268" s="107">
        <f t="shared" si="26"/>
        <v>62</v>
      </c>
      <c r="E268" s="15">
        <f t="shared" si="22"/>
        <v>192</v>
      </c>
      <c r="F268" s="110">
        <f t="shared" si="23"/>
        <v>610</v>
      </c>
    </row>
    <row r="269" spans="2:6" x14ac:dyDescent="0.25">
      <c r="B269" s="105">
        <f t="shared" si="24"/>
        <v>266</v>
      </c>
      <c r="C269" s="107">
        <f t="shared" si="25"/>
        <v>12</v>
      </c>
      <c r="D269" s="107">
        <f t="shared" si="26"/>
        <v>62</v>
      </c>
      <c r="E269" s="15">
        <f t="shared" si="22"/>
        <v>192</v>
      </c>
      <c r="F269" s="110">
        <f t="shared" si="23"/>
        <v>599</v>
      </c>
    </row>
    <row r="270" spans="2:6" x14ac:dyDescent="0.25">
      <c r="B270" s="105">
        <f t="shared" si="24"/>
        <v>267</v>
      </c>
      <c r="C270" s="107">
        <f t="shared" si="25"/>
        <v>13</v>
      </c>
      <c r="D270" s="107">
        <f t="shared" si="26"/>
        <v>62</v>
      </c>
      <c r="E270" s="15">
        <f t="shared" si="22"/>
        <v>192</v>
      </c>
      <c r="F270" s="110">
        <f t="shared" si="23"/>
        <v>559</v>
      </c>
    </row>
    <row r="271" spans="2:6" x14ac:dyDescent="0.25">
      <c r="B271" s="105">
        <f t="shared" si="24"/>
        <v>268</v>
      </c>
      <c r="C271" s="107">
        <f t="shared" si="25"/>
        <v>14</v>
      </c>
      <c r="D271" s="107">
        <f t="shared" si="26"/>
        <v>62</v>
      </c>
      <c r="E271" s="15">
        <f t="shared" si="22"/>
        <v>192</v>
      </c>
      <c r="F271" s="110">
        <f t="shared" si="23"/>
        <v>556</v>
      </c>
    </row>
    <row r="272" spans="2:6" x14ac:dyDescent="0.25">
      <c r="B272" s="105">
        <f t="shared" si="24"/>
        <v>269</v>
      </c>
      <c r="C272" s="107">
        <f t="shared" si="25"/>
        <v>15</v>
      </c>
      <c r="D272" s="107">
        <f t="shared" si="26"/>
        <v>62</v>
      </c>
      <c r="E272" s="15">
        <f t="shared" si="22"/>
        <v>192</v>
      </c>
      <c r="F272" s="110">
        <f t="shared" si="23"/>
        <v>540</v>
      </c>
    </row>
    <row r="273" spans="2:6" x14ac:dyDescent="0.25">
      <c r="B273" s="105">
        <f t="shared" si="24"/>
        <v>270</v>
      </c>
      <c r="C273" s="107">
        <f t="shared" si="25"/>
        <v>16</v>
      </c>
      <c r="D273" s="107">
        <f t="shared" si="26"/>
        <v>62</v>
      </c>
      <c r="E273" s="15">
        <f t="shared" si="22"/>
        <v>192</v>
      </c>
      <c r="F273" s="110">
        <f t="shared" si="23"/>
        <v>536</v>
      </c>
    </row>
    <row r="274" spans="2:6" x14ac:dyDescent="0.25">
      <c r="B274" s="105">
        <f t="shared" si="24"/>
        <v>271</v>
      </c>
      <c r="C274" s="107">
        <f t="shared" si="25"/>
        <v>17</v>
      </c>
      <c r="D274" s="107">
        <f t="shared" si="26"/>
        <v>62</v>
      </c>
      <c r="E274" s="15">
        <f t="shared" si="22"/>
        <v>192</v>
      </c>
      <c r="F274" s="110">
        <f t="shared" si="23"/>
        <v>527</v>
      </c>
    </row>
    <row r="275" spans="2:6" x14ac:dyDescent="0.25">
      <c r="B275" s="105">
        <f t="shared" si="24"/>
        <v>272</v>
      </c>
      <c r="C275" s="107">
        <f t="shared" si="25"/>
        <v>18</v>
      </c>
      <c r="D275" s="107">
        <f t="shared" si="26"/>
        <v>62</v>
      </c>
      <c r="E275" s="15">
        <f t="shared" si="22"/>
        <v>192</v>
      </c>
      <c r="F275" s="110">
        <f t="shared" si="23"/>
        <v>478</v>
      </c>
    </row>
    <row r="276" spans="2:6" x14ac:dyDescent="0.25">
      <c r="B276" s="105">
        <f t="shared" si="24"/>
        <v>273</v>
      </c>
      <c r="C276" s="107">
        <f t="shared" si="25"/>
        <v>19</v>
      </c>
      <c r="D276" s="107">
        <f t="shared" si="26"/>
        <v>62</v>
      </c>
      <c r="E276" s="15">
        <f t="shared" si="22"/>
        <v>192</v>
      </c>
      <c r="F276" s="110">
        <f t="shared" si="23"/>
        <v>474</v>
      </c>
    </row>
    <row r="277" spans="2:6" x14ac:dyDescent="0.25">
      <c r="B277" s="105">
        <f t="shared" si="24"/>
        <v>274</v>
      </c>
      <c r="C277" s="107">
        <f t="shared" si="25"/>
        <v>20</v>
      </c>
      <c r="D277" s="107">
        <f t="shared" si="26"/>
        <v>62</v>
      </c>
      <c r="E277" s="15">
        <f t="shared" si="22"/>
        <v>192</v>
      </c>
      <c r="F277" s="110">
        <f t="shared" si="23"/>
        <v>468</v>
      </c>
    </row>
    <row r="278" spans="2:6" x14ac:dyDescent="0.25">
      <c r="B278" s="105">
        <f t="shared" si="24"/>
        <v>275</v>
      </c>
      <c r="C278" s="107">
        <f t="shared" si="25"/>
        <v>21</v>
      </c>
      <c r="D278" s="107">
        <f t="shared" si="26"/>
        <v>62</v>
      </c>
      <c r="E278" s="15">
        <f t="shared" si="22"/>
        <v>192</v>
      </c>
      <c r="F278" s="110">
        <f t="shared" si="23"/>
        <v>457</v>
      </c>
    </row>
    <row r="279" spans="2:6" x14ac:dyDescent="0.25">
      <c r="B279" s="105">
        <f t="shared" si="24"/>
        <v>276</v>
      </c>
      <c r="C279" s="107">
        <f t="shared" si="25"/>
        <v>22</v>
      </c>
      <c r="D279" s="107">
        <f t="shared" si="26"/>
        <v>62</v>
      </c>
      <c r="E279" s="15">
        <f t="shared" si="22"/>
        <v>192</v>
      </c>
      <c r="F279" s="110">
        <f t="shared" si="23"/>
        <v>452</v>
      </c>
    </row>
    <row r="280" spans="2:6" x14ac:dyDescent="0.25">
      <c r="B280" s="105">
        <f t="shared" si="24"/>
        <v>277</v>
      </c>
      <c r="C280" s="107">
        <f t="shared" si="25"/>
        <v>23</v>
      </c>
      <c r="D280" s="107">
        <f t="shared" si="26"/>
        <v>62</v>
      </c>
      <c r="E280" s="15">
        <f t="shared" si="22"/>
        <v>192</v>
      </c>
      <c r="F280" s="110">
        <f t="shared" si="23"/>
        <v>442</v>
      </c>
    </row>
    <row r="281" spans="2:6" x14ac:dyDescent="0.25">
      <c r="B281" s="105">
        <f t="shared" si="24"/>
        <v>278</v>
      </c>
      <c r="C281" s="107">
        <f t="shared" si="25"/>
        <v>24</v>
      </c>
      <c r="D281" s="107">
        <f t="shared" si="26"/>
        <v>62</v>
      </c>
      <c r="E281" s="15">
        <f t="shared" si="22"/>
        <v>192</v>
      </c>
      <c r="F281" s="110">
        <f t="shared" si="23"/>
        <v>420</v>
      </c>
    </row>
    <row r="282" spans="2:6" x14ac:dyDescent="0.25">
      <c r="B282" s="105">
        <f t="shared" si="24"/>
        <v>279</v>
      </c>
      <c r="C282" s="107">
        <f t="shared" si="25"/>
        <v>25</v>
      </c>
      <c r="D282" s="107">
        <f t="shared" si="26"/>
        <v>62</v>
      </c>
      <c r="E282" s="15">
        <f t="shared" si="22"/>
        <v>192</v>
      </c>
      <c r="F282" s="110">
        <f t="shared" si="23"/>
        <v>410</v>
      </c>
    </row>
    <row r="283" spans="2:6" x14ac:dyDescent="0.25">
      <c r="B283" s="105">
        <f t="shared" si="24"/>
        <v>280</v>
      </c>
      <c r="C283" s="107">
        <f t="shared" si="25"/>
        <v>26</v>
      </c>
      <c r="D283" s="107">
        <f t="shared" si="26"/>
        <v>62</v>
      </c>
      <c r="E283" s="15">
        <f t="shared" si="22"/>
        <v>192</v>
      </c>
      <c r="F283" s="110">
        <f t="shared" si="23"/>
        <v>409</v>
      </c>
    </row>
    <row r="284" spans="2:6" x14ac:dyDescent="0.25">
      <c r="B284" s="105">
        <f t="shared" si="24"/>
        <v>281</v>
      </c>
      <c r="C284" s="107">
        <f t="shared" si="25"/>
        <v>27</v>
      </c>
      <c r="D284" s="107">
        <f t="shared" si="26"/>
        <v>62</v>
      </c>
      <c r="E284" s="15">
        <f t="shared" si="22"/>
        <v>192</v>
      </c>
      <c r="F284" s="110">
        <f t="shared" si="23"/>
        <v>408</v>
      </c>
    </row>
    <row r="285" spans="2:6" x14ac:dyDescent="0.25">
      <c r="B285" s="105">
        <f t="shared" si="24"/>
        <v>282</v>
      </c>
      <c r="C285" s="107">
        <f t="shared" si="25"/>
        <v>28</v>
      </c>
      <c r="D285" s="107">
        <f t="shared" si="26"/>
        <v>62</v>
      </c>
      <c r="E285" s="15">
        <f t="shared" si="22"/>
        <v>192</v>
      </c>
      <c r="F285" s="110">
        <f t="shared" si="23"/>
        <v>404</v>
      </c>
    </row>
    <row r="286" spans="2:6" x14ac:dyDescent="0.25">
      <c r="B286" s="105">
        <f t="shared" si="24"/>
        <v>283</v>
      </c>
      <c r="C286" s="107">
        <f t="shared" si="25"/>
        <v>29</v>
      </c>
      <c r="D286" s="107">
        <f t="shared" si="26"/>
        <v>62</v>
      </c>
      <c r="E286" s="15">
        <f t="shared" si="22"/>
        <v>192</v>
      </c>
      <c r="F286" s="110">
        <f t="shared" si="23"/>
        <v>399</v>
      </c>
    </row>
    <row r="287" spans="2:6" x14ac:dyDescent="0.25">
      <c r="B287" s="105">
        <f t="shared" si="24"/>
        <v>284</v>
      </c>
      <c r="C287" s="107">
        <f t="shared" si="25"/>
        <v>30</v>
      </c>
      <c r="D287" s="107">
        <f t="shared" si="26"/>
        <v>62</v>
      </c>
      <c r="E287" s="15">
        <f t="shared" si="22"/>
        <v>192</v>
      </c>
      <c r="F287" s="110">
        <f t="shared" si="23"/>
        <v>396</v>
      </c>
    </row>
    <row r="288" spans="2:6" x14ac:dyDescent="0.25">
      <c r="B288" s="105">
        <f t="shared" si="24"/>
        <v>285</v>
      </c>
      <c r="C288" s="107">
        <f t="shared" si="25"/>
        <v>31</v>
      </c>
      <c r="D288" s="107">
        <f t="shared" si="26"/>
        <v>62</v>
      </c>
      <c r="E288" s="15">
        <f t="shared" si="22"/>
        <v>192</v>
      </c>
      <c r="F288" s="110">
        <f t="shared" si="23"/>
        <v>384</v>
      </c>
    </row>
    <row r="289" spans="2:6" x14ac:dyDescent="0.25">
      <c r="B289" s="105">
        <f t="shared" si="24"/>
        <v>286</v>
      </c>
      <c r="C289" s="107">
        <f t="shared" si="25"/>
        <v>32</v>
      </c>
      <c r="D289" s="107">
        <f t="shared" si="26"/>
        <v>62</v>
      </c>
      <c r="E289" s="15">
        <f t="shared" si="22"/>
        <v>192</v>
      </c>
      <c r="F289" s="110">
        <f t="shared" si="23"/>
        <v>381</v>
      </c>
    </row>
    <row r="290" spans="2:6" x14ac:dyDescent="0.25">
      <c r="B290" s="105">
        <f t="shared" si="24"/>
        <v>287</v>
      </c>
      <c r="C290" s="107">
        <f t="shared" si="25"/>
        <v>33</v>
      </c>
      <c r="D290" s="107">
        <f t="shared" si="26"/>
        <v>62</v>
      </c>
      <c r="E290" s="15">
        <f t="shared" si="22"/>
        <v>192</v>
      </c>
      <c r="F290" s="110">
        <f t="shared" si="23"/>
        <v>376</v>
      </c>
    </row>
    <row r="291" spans="2:6" x14ac:dyDescent="0.25">
      <c r="B291" s="105">
        <f t="shared" si="24"/>
        <v>288</v>
      </c>
      <c r="C291" s="107">
        <f t="shared" si="25"/>
        <v>34</v>
      </c>
      <c r="D291" s="107">
        <f t="shared" si="26"/>
        <v>62</v>
      </c>
      <c r="E291" s="15">
        <f t="shared" si="22"/>
        <v>192</v>
      </c>
      <c r="F291" s="110">
        <f t="shared" si="23"/>
        <v>370</v>
      </c>
    </row>
    <row r="292" spans="2:6" x14ac:dyDescent="0.25">
      <c r="B292" s="105">
        <f t="shared" si="24"/>
        <v>289</v>
      </c>
      <c r="C292" s="107">
        <f t="shared" si="25"/>
        <v>35</v>
      </c>
      <c r="D292" s="107">
        <f t="shared" si="26"/>
        <v>62</v>
      </c>
      <c r="E292" s="15">
        <f t="shared" si="22"/>
        <v>192</v>
      </c>
      <c r="F292" s="110">
        <f t="shared" si="23"/>
        <v>362</v>
      </c>
    </row>
    <row r="293" spans="2:6" x14ac:dyDescent="0.25">
      <c r="B293" s="105">
        <f t="shared" si="24"/>
        <v>290</v>
      </c>
      <c r="C293" s="107">
        <f t="shared" si="25"/>
        <v>36</v>
      </c>
      <c r="D293" s="107">
        <f t="shared" si="26"/>
        <v>62</v>
      </c>
      <c r="E293" s="15">
        <f t="shared" si="22"/>
        <v>192</v>
      </c>
      <c r="F293" s="110">
        <f t="shared" si="23"/>
        <v>357</v>
      </c>
    </row>
    <row r="294" spans="2:6" x14ac:dyDescent="0.25">
      <c r="B294" s="105">
        <f t="shared" si="24"/>
        <v>291</v>
      </c>
      <c r="C294" s="107">
        <f t="shared" si="25"/>
        <v>37</v>
      </c>
      <c r="D294" s="107">
        <f t="shared" si="26"/>
        <v>62</v>
      </c>
      <c r="E294" s="15">
        <f t="shared" si="22"/>
        <v>192</v>
      </c>
      <c r="F294" s="110">
        <f t="shared" si="23"/>
        <v>351</v>
      </c>
    </row>
    <row r="295" spans="2:6" x14ac:dyDescent="0.25">
      <c r="B295" s="105">
        <f t="shared" si="24"/>
        <v>292</v>
      </c>
      <c r="C295" s="107">
        <f t="shared" si="25"/>
        <v>38</v>
      </c>
      <c r="D295" s="107">
        <f t="shared" si="26"/>
        <v>62</v>
      </c>
      <c r="E295" s="15">
        <f t="shared" si="22"/>
        <v>192</v>
      </c>
      <c r="F295" s="110">
        <f t="shared" si="23"/>
        <v>339</v>
      </c>
    </row>
    <row r="296" spans="2:6" x14ac:dyDescent="0.25">
      <c r="B296" s="105">
        <f t="shared" si="24"/>
        <v>293</v>
      </c>
      <c r="C296" s="107">
        <f t="shared" si="25"/>
        <v>39</v>
      </c>
      <c r="D296" s="107">
        <f t="shared" si="26"/>
        <v>62</v>
      </c>
      <c r="E296" s="15">
        <f t="shared" si="22"/>
        <v>192</v>
      </c>
      <c r="F296" s="110">
        <f t="shared" si="23"/>
        <v>304</v>
      </c>
    </row>
    <row r="297" spans="2:6" x14ac:dyDescent="0.25">
      <c r="B297" s="105">
        <f t="shared" si="24"/>
        <v>294</v>
      </c>
      <c r="C297" s="107">
        <f t="shared" si="25"/>
        <v>40</v>
      </c>
      <c r="D297" s="107">
        <f t="shared" si="26"/>
        <v>62</v>
      </c>
      <c r="E297" s="15">
        <f t="shared" si="22"/>
        <v>192</v>
      </c>
      <c r="F297" s="110">
        <f t="shared" si="23"/>
        <v>301</v>
      </c>
    </row>
    <row r="298" spans="2:6" x14ac:dyDescent="0.25">
      <c r="B298" s="105">
        <f t="shared" si="24"/>
        <v>295</v>
      </c>
      <c r="C298" s="107">
        <f t="shared" si="25"/>
        <v>41</v>
      </c>
      <c r="D298" s="107">
        <f t="shared" si="26"/>
        <v>62</v>
      </c>
      <c r="E298" s="15">
        <f t="shared" si="22"/>
        <v>192</v>
      </c>
      <c r="F298" s="110">
        <f t="shared" si="23"/>
        <v>300</v>
      </c>
    </row>
    <row r="299" spans="2:6" x14ac:dyDescent="0.25">
      <c r="B299" s="105">
        <f t="shared" si="24"/>
        <v>296</v>
      </c>
      <c r="C299" s="107">
        <f t="shared" si="25"/>
        <v>42</v>
      </c>
      <c r="D299" s="107">
        <f t="shared" si="26"/>
        <v>62</v>
      </c>
      <c r="E299" s="15">
        <f t="shared" si="22"/>
        <v>192</v>
      </c>
      <c r="F299" s="110">
        <f t="shared" si="23"/>
        <v>288</v>
      </c>
    </row>
    <row r="300" spans="2:6" x14ac:dyDescent="0.25">
      <c r="B300" s="105">
        <f t="shared" si="24"/>
        <v>297</v>
      </c>
      <c r="C300" s="107">
        <f t="shared" si="25"/>
        <v>43</v>
      </c>
      <c r="D300" s="107">
        <f t="shared" si="26"/>
        <v>62</v>
      </c>
      <c r="E300" s="15">
        <f t="shared" si="22"/>
        <v>192</v>
      </c>
      <c r="F300" s="110">
        <f t="shared" si="23"/>
        <v>273</v>
      </c>
    </row>
    <row r="301" spans="2:6" x14ac:dyDescent="0.25">
      <c r="B301" s="105">
        <f t="shared" si="24"/>
        <v>298</v>
      </c>
      <c r="C301" s="107">
        <f t="shared" si="25"/>
        <v>44</v>
      </c>
      <c r="D301" s="107">
        <f t="shared" si="26"/>
        <v>62</v>
      </c>
      <c r="E301" s="15">
        <f t="shared" si="22"/>
        <v>192</v>
      </c>
      <c r="F301" s="110">
        <f t="shared" si="23"/>
        <v>268</v>
      </c>
    </row>
    <row r="302" spans="2:6" x14ac:dyDescent="0.25">
      <c r="B302" s="105">
        <f t="shared" si="24"/>
        <v>299</v>
      </c>
      <c r="C302" s="107">
        <f t="shared" si="25"/>
        <v>45</v>
      </c>
      <c r="D302" s="107">
        <f t="shared" si="26"/>
        <v>62</v>
      </c>
      <c r="E302" s="15">
        <f t="shared" si="22"/>
        <v>192</v>
      </c>
      <c r="F302" s="110">
        <f t="shared" si="23"/>
        <v>262</v>
      </c>
    </row>
    <row r="303" spans="2:6" x14ac:dyDescent="0.25">
      <c r="B303" s="105">
        <f t="shared" si="24"/>
        <v>300</v>
      </c>
      <c r="C303" s="107">
        <f t="shared" si="25"/>
        <v>46</v>
      </c>
      <c r="D303" s="107">
        <f t="shared" si="26"/>
        <v>62</v>
      </c>
      <c r="E303" s="15">
        <f t="shared" si="22"/>
        <v>192</v>
      </c>
      <c r="F303" s="110">
        <f t="shared" si="23"/>
        <v>248</v>
      </c>
    </row>
    <row r="304" spans="2:6" x14ac:dyDescent="0.25">
      <c r="B304" s="105">
        <f t="shared" si="24"/>
        <v>301</v>
      </c>
      <c r="C304" s="107">
        <f t="shared" si="25"/>
        <v>47</v>
      </c>
      <c r="D304" s="107">
        <f t="shared" si="26"/>
        <v>62</v>
      </c>
      <c r="E304" s="15">
        <f t="shared" si="22"/>
        <v>192</v>
      </c>
      <c r="F304" s="110">
        <f t="shared" si="23"/>
        <v>246</v>
      </c>
    </row>
    <row r="305" spans="2:6" x14ac:dyDescent="0.25">
      <c r="B305" s="105">
        <f t="shared" si="24"/>
        <v>302</v>
      </c>
      <c r="C305" s="107">
        <f t="shared" si="25"/>
        <v>48</v>
      </c>
      <c r="D305" s="107">
        <f t="shared" si="26"/>
        <v>62</v>
      </c>
      <c r="E305" s="15">
        <f t="shared" si="22"/>
        <v>192</v>
      </c>
      <c r="F305" s="110">
        <f t="shared" si="23"/>
        <v>236</v>
      </c>
    </row>
    <row r="306" spans="2:6" x14ac:dyDescent="0.25">
      <c r="B306" s="105">
        <f t="shared" si="24"/>
        <v>303</v>
      </c>
      <c r="C306" s="107">
        <f t="shared" si="25"/>
        <v>49</v>
      </c>
      <c r="D306" s="107">
        <f t="shared" si="26"/>
        <v>62</v>
      </c>
      <c r="E306" s="15">
        <f t="shared" si="22"/>
        <v>192</v>
      </c>
      <c r="F306" s="110">
        <f t="shared" si="23"/>
        <v>231</v>
      </c>
    </row>
    <row r="307" spans="2:6" x14ac:dyDescent="0.25">
      <c r="B307" s="105">
        <f t="shared" si="24"/>
        <v>304</v>
      </c>
      <c r="C307" s="107">
        <f t="shared" si="25"/>
        <v>50</v>
      </c>
      <c r="D307" s="107">
        <f t="shared" si="26"/>
        <v>62</v>
      </c>
      <c r="E307" s="15">
        <f t="shared" si="22"/>
        <v>192</v>
      </c>
      <c r="F307" s="110">
        <f t="shared" si="23"/>
        <v>227</v>
      </c>
    </row>
    <row r="308" spans="2:6" x14ac:dyDescent="0.25">
      <c r="B308" s="105">
        <f t="shared" si="24"/>
        <v>305</v>
      </c>
      <c r="C308" s="107">
        <f t="shared" si="25"/>
        <v>51</v>
      </c>
      <c r="D308" s="107">
        <f t="shared" si="26"/>
        <v>62</v>
      </c>
      <c r="E308" s="15">
        <f t="shared" si="22"/>
        <v>192</v>
      </c>
      <c r="F308" s="110">
        <f t="shared" si="23"/>
        <v>224</v>
      </c>
    </row>
    <row r="309" spans="2:6" x14ac:dyDescent="0.25">
      <c r="B309" s="105">
        <f t="shared" si="24"/>
        <v>306</v>
      </c>
      <c r="C309" s="107">
        <f t="shared" si="25"/>
        <v>52</v>
      </c>
      <c r="D309" s="107">
        <f t="shared" si="26"/>
        <v>62</v>
      </c>
      <c r="E309" s="15">
        <f t="shared" si="22"/>
        <v>192</v>
      </c>
      <c r="F309" s="110">
        <f t="shared" si="23"/>
        <v>217</v>
      </c>
    </row>
    <row r="310" spans="2:6" x14ac:dyDescent="0.25">
      <c r="B310" s="105">
        <f t="shared" si="24"/>
        <v>307</v>
      </c>
      <c r="C310" s="107">
        <f t="shared" si="25"/>
        <v>53</v>
      </c>
      <c r="D310" s="107">
        <f t="shared" si="26"/>
        <v>62</v>
      </c>
      <c r="E310" s="15">
        <f t="shared" si="22"/>
        <v>192</v>
      </c>
      <c r="F310" s="110">
        <f t="shared" si="23"/>
        <v>213</v>
      </c>
    </row>
    <row r="311" spans="2:6" x14ac:dyDescent="0.25">
      <c r="B311" s="105">
        <f t="shared" si="24"/>
        <v>308</v>
      </c>
      <c r="C311" s="107">
        <f t="shared" si="25"/>
        <v>54</v>
      </c>
      <c r="D311" s="107">
        <f t="shared" si="26"/>
        <v>62</v>
      </c>
      <c r="E311" s="15">
        <f t="shared" si="22"/>
        <v>192</v>
      </c>
      <c r="F311" s="110">
        <f t="shared" si="23"/>
        <v>212</v>
      </c>
    </row>
    <row r="312" spans="2:6" x14ac:dyDescent="0.25">
      <c r="B312" s="105">
        <f t="shared" si="24"/>
        <v>309</v>
      </c>
      <c r="C312" s="107">
        <f t="shared" si="25"/>
        <v>55</v>
      </c>
      <c r="D312" s="107">
        <f t="shared" si="26"/>
        <v>62</v>
      </c>
      <c r="E312" s="15">
        <f t="shared" si="22"/>
        <v>192</v>
      </c>
      <c r="F312" s="110">
        <f t="shared" si="23"/>
        <v>211</v>
      </c>
    </row>
    <row r="313" spans="2:6" x14ac:dyDescent="0.25">
      <c r="B313" s="105">
        <f t="shared" si="24"/>
        <v>310</v>
      </c>
      <c r="C313" s="107">
        <f t="shared" si="25"/>
        <v>56</v>
      </c>
      <c r="D313" s="107">
        <f t="shared" si="26"/>
        <v>62</v>
      </c>
      <c r="E313" s="15">
        <f t="shared" si="22"/>
        <v>192</v>
      </c>
      <c r="F313" s="110">
        <f t="shared" si="23"/>
        <v>209</v>
      </c>
    </row>
    <row r="314" spans="2:6" x14ac:dyDescent="0.25">
      <c r="B314" s="105">
        <f t="shared" si="24"/>
        <v>311</v>
      </c>
      <c r="C314" s="107">
        <f t="shared" si="25"/>
        <v>57</v>
      </c>
      <c r="D314" s="107">
        <f t="shared" si="26"/>
        <v>62</v>
      </c>
      <c r="E314" s="15">
        <f t="shared" si="22"/>
        <v>192</v>
      </c>
      <c r="F314" s="110">
        <f t="shared" si="23"/>
        <v>208</v>
      </c>
    </row>
    <row r="315" spans="2:6" x14ac:dyDescent="0.25">
      <c r="B315" s="105">
        <f t="shared" si="24"/>
        <v>312</v>
      </c>
      <c r="C315" s="107">
        <f t="shared" si="25"/>
        <v>58</v>
      </c>
      <c r="D315" s="107">
        <f t="shared" si="26"/>
        <v>62</v>
      </c>
      <c r="E315" s="15">
        <f t="shared" si="22"/>
        <v>192</v>
      </c>
      <c r="F315" s="110">
        <f t="shared" si="23"/>
        <v>204</v>
      </c>
    </row>
    <row r="316" spans="2:6" x14ac:dyDescent="0.25">
      <c r="B316" s="105">
        <f t="shared" si="24"/>
        <v>313</v>
      </c>
      <c r="C316" s="107">
        <f t="shared" si="25"/>
        <v>59</v>
      </c>
      <c r="D316" s="107">
        <f t="shared" si="26"/>
        <v>62</v>
      </c>
      <c r="E316" s="15">
        <f t="shared" si="22"/>
        <v>192</v>
      </c>
      <c r="F316" s="110">
        <f t="shared" si="23"/>
        <v>200</v>
      </c>
    </row>
    <row r="317" spans="2:6" x14ac:dyDescent="0.25">
      <c r="B317" s="105">
        <f t="shared" si="24"/>
        <v>314</v>
      </c>
      <c r="C317" s="107">
        <f t="shared" si="25"/>
        <v>60</v>
      </c>
      <c r="D317" s="107">
        <f t="shared" si="26"/>
        <v>62</v>
      </c>
      <c r="E317" s="15">
        <f t="shared" si="22"/>
        <v>192</v>
      </c>
      <c r="F317" s="110">
        <f t="shared" si="23"/>
        <v>199</v>
      </c>
    </row>
    <row r="318" spans="2:6" x14ac:dyDescent="0.25">
      <c r="B318" s="105">
        <f t="shared" si="24"/>
        <v>315</v>
      </c>
      <c r="C318" s="107">
        <f t="shared" si="25"/>
        <v>61</v>
      </c>
      <c r="D318" s="107">
        <f t="shared" si="26"/>
        <v>62</v>
      </c>
      <c r="E318" s="15">
        <f t="shared" si="22"/>
        <v>192</v>
      </c>
      <c r="F318" s="110">
        <f t="shared" si="23"/>
        <v>193</v>
      </c>
    </row>
    <row r="319" spans="2:6" x14ac:dyDescent="0.25">
      <c r="B319" s="105">
        <f t="shared" si="24"/>
        <v>316</v>
      </c>
      <c r="C319" s="107">
        <f t="shared" si="25"/>
        <v>1</v>
      </c>
      <c r="D319" s="107">
        <f t="shared" si="26"/>
        <v>61</v>
      </c>
      <c r="E319" s="15">
        <f t="shared" si="22"/>
        <v>193</v>
      </c>
      <c r="F319" s="110">
        <f t="shared" si="23"/>
        <v>1048</v>
      </c>
    </row>
    <row r="320" spans="2:6" x14ac:dyDescent="0.25">
      <c r="B320" s="105">
        <f t="shared" si="24"/>
        <v>317</v>
      </c>
      <c r="C320" s="107">
        <f t="shared" si="25"/>
        <v>2</v>
      </c>
      <c r="D320" s="107">
        <f t="shared" si="26"/>
        <v>61</v>
      </c>
      <c r="E320" s="15">
        <f t="shared" si="22"/>
        <v>193</v>
      </c>
      <c r="F320" s="110">
        <f t="shared" si="23"/>
        <v>1025</v>
      </c>
    </row>
    <row r="321" spans="2:6" x14ac:dyDescent="0.25">
      <c r="B321" s="105">
        <f t="shared" si="24"/>
        <v>318</v>
      </c>
      <c r="C321" s="107">
        <f t="shared" si="25"/>
        <v>3</v>
      </c>
      <c r="D321" s="107">
        <f t="shared" si="26"/>
        <v>61</v>
      </c>
      <c r="E321" s="15">
        <f t="shared" si="22"/>
        <v>193</v>
      </c>
      <c r="F321" s="110">
        <f t="shared" si="23"/>
        <v>805</v>
      </c>
    </row>
    <row r="322" spans="2:6" x14ac:dyDescent="0.25">
      <c r="B322" s="105">
        <f t="shared" si="24"/>
        <v>319</v>
      </c>
      <c r="C322" s="107">
        <f t="shared" si="25"/>
        <v>4</v>
      </c>
      <c r="D322" s="107">
        <f t="shared" si="26"/>
        <v>61</v>
      </c>
      <c r="E322" s="15">
        <f t="shared" si="22"/>
        <v>193</v>
      </c>
      <c r="F322" s="110">
        <f t="shared" si="23"/>
        <v>666</v>
      </c>
    </row>
    <row r="323" spans="2:6" x14ac:dyDescent="0.25">
      <c r="B323" s="105">
        <f t="shared" si="24"/>
        <v>320</v>
      </c>
      <c r="C323" s="107">
        <f t="shared" si="25"/>
        <v>5</v>
      </c>
      <c r="D323" s="107">
        <f t="shared" si="26"/>
        <v>61</v>
      </c>
      <c r="E323" s="15">
        <f t="shared" si="22"/>
        <v>193</v>
      </c>
      <c r="F323" s="110">
        <f t="shared" si="23"/>
        <v>655</v>
      </c>
    </row>
    <row r="324" spans="2:6" x14ac:dyDescent="0.25">
      <c r="B324" s="105">
        <f t="shared" si="24"/>
        <v>321</v>
      </c>
      <c r="C324" s="107">
        <f t="shared" si="25"/>
        <v>6</v>
      </c>
      <c r="D324" s="107">
        <f t="shared" si="26"/>
        <v>61</v>
      </c>
      <c r="E324" s="15">
        <f t="shared" ref="E324:E387" si="27">IFERROR(VLOOKUP(D324,$H$4:$I$69,2,0),"")</f>
        <v>193</v>
      </c>
      <c r="F324" s="110">
        <f t="shared" ref="F324:F387" si="28">IFERROR(VLOOKUP(C324,$H$4:$I$69,2,0),"")</f>
        <v>652</v>
      </c>
    </row>
    <row r="325" spans="2:6" x14ac:dyDescent="0.25">
      <c r="B325" s="105">
        <f t="shared" ref="B325:B388" si="29">ROW()-3</f>
        <v>322</v>
      </c>
      <c r="C325" s="107">
        <f t="shared" si="25"/>
        <v>7</v>
      </c>
      <c r="D325" s="107">
        <f t="shared" si="26"/>
        <v>61</v>
      </c>
      <c r="E325" s="15">
        <f t="shared" si="27"/>
        <v>193</v>
      </c>
      <c r="F325" s="110">
        <f t="shared" si="28"/>
        <v>633</v>
      </c>
    </row>
    <row r="326" spans="2:6" x14ac:dyDescent="0.25">
      <c r="B326" s="105">
        <f t="shared" si="29"/>
        <v>323</v>
      </c>
      <c r="C326" s="107">
        <f t="shared" ref="C326:C389" si="30">IF((D325-C325)=1,1,C325+1)</f>
        <v>8</v>
      </c>
      <c r="D326" s="107">
        <f t="shared" ref="D326:D389" si="31">IF((D325-C325)=1,D325-1,D325)</f>
        <v>61</v>
      </c>
      <c r="E326" s="15">
        <f t="shared" si="27"/>
        <v>193</v>
      </c>
      <c r="F326" s="110">
        <f t="shared" si="28"/>
        <v>632</v>
      </c>
    </row>
    <row r="327" spans="2:6" x14ac:dyDescent="0.25">
      <c r="B327" s="105">
        <f t="shared" si="29"/>
        <v>324</v>
      </c>
      <c r="C327" s="107">
        <f t="shared" si="30"/>
        <v>9</v>
      </c>
      <c r="D327" s="107">
        <f t="shared" si="31"/>
        <v>61</v>
      </c>
      <c r="E327" s="15">
        <f t="shared" si="27"/>
        <v>193</v>
      </c>
      <c r="F327" s="110">
        <f t="shared" si="28"/>
        <v>625</v>
      </c>
    </row>
    <row r="328" spans="2:6" x14ac:dyDescent="0.25">
      <c r="B328" s="105">
        <f t="shared" si="29"/>
        <v>325</v>
      </c>
      <c r="C328" s="107">
        <f t="shared" si="30"/>
        <v>10</v>
      </c>
      <c r="D328" s="107">
        <f t="shared" si="31"/>
        <v>61</v>
      </c>
      <c r="E328" s="15">
        <f t="shared" si="27"/>
        <v>193</v>
      </c>
      <c r="F328" s="110">
        <f t="shared" si="28"/>
        <v>619</v>
      </c>
    </row>
    <row r="329" spans="2:6" x14ac:dyDescent="0.25">
      <c r="B329" s="105">
        <f t="shared" si="29"/>
        <v>326</v>
      </c>
      <c r="C329" s="107">
        <f t="shared" si="30"/>
        <v>11</v>
      </c>
      <c r="D329" s="107">
        <f t="shared" si="31"/>
        <v>61</v>
      </c>
      <c r="E329" s="15">
        <f t="shared" si="27"/>
        <v>193</v>
      </c>
      <c r="F329" s="110">
        <f t="shared" si="28"/>
        <v>610</v>
      </c>
    </row>
    <row r="330" spans="2:6" x14ac:dyDescent="0.25">
      <c r="B330" s="105">
        <f t="shared" si="29"/>
        <v>327</v>
      </c>
      <c r="C330" s="107">
        <f t="shared" si="30"/>
        <v>12</v>
      </c>
      <c r="D330" s="107">
        <f t="shared" si="31"/>
        <v>61</v>
      </c>
      <c r="E330" s="15">
        <f t="shared" si="27"/>
        <v>193</v>
      </c>
      <c r="F330" s="110">
        <f t="shared" si="28"/>
        <v>599</v>
      </c>
    </row>
    <row r="331" spans="2:6" x14ac:dyDescent="0.25">
      <c r="B331" s="105">
        <f t="shared" si="29"/>
        <v>328</v>
      </c>
      <c r="C331" s="107">
        <f t="shared" si="30"/>
        <v>13</v>
      </c>
      <c r="D331" s="107">
        <f t="shared" si="31"/>
        <v>61</v>
      </c>
      <c r="E331" s="15">
        <f t="shared" si="27"/>
        <v>193</v>
      </c>
      <c r="F331" s="110">
        <f t="shared" si="28"/>
        <v>559</v>
      </c>
    </row>
    <row r="332" spans="2:6" x14ac:dyDescent="0.25">
      <c r="B332" s="105">
        <f t="shared" si="29"/>
        <v>329</v>
      </c>
      <c r="C332" s="107">
        <f t="shared" si="30"/>
        <v>14</v>
      </c>
      <c r="D332" s="107">
        <f t="shared" si="31"/>
        <v>61</v>
      </c>
      <c r="E332" s="15">
        <f t="shared" si="27"/>
        <v>193</v>
      </c>
      <c r="F332" s="110">
        <f t="shared" si="28"/>
        <v>556</v>
      </c>
    </row>
    <row r="333" spans="2:6" x14ac:dyDescent="0.25">
      <c r="B333" s="105">
        <f t="shared" si="29"/>
        <v>330</v>
      </c>
      <c r="C333" s="107">
        <f t="shared" si="30"/>
        <v>15</v>
      </c>
      <c r="D333" s="107">
        <f t="shared" si="31"/>
        <v>61</v>
      </c>
      <c r="E333" s="15">
        <f t="shared" si="27"/>
        <v>193</v>
      </c>
      <c r="F333" s="110">
        <f t="shared" si="28"/>
        <v>540</v>
      </c>
    </row>
    <row r="334" spans="2:6" x14ac:dyDescent="0.25">
      <c r="B334" s="105">
        <f t="shared" si="29"/>
        <v>331</v>
      </c>
      <c r="C334" s="107">
        <f t="shared" si="30"/>
        <v>16</v>
      </c>
      <c r="D334" s="107">
        <f t="shared" si="31"/>
        <v>61</v>
      </c>
      <c r="E334" s="15">
        <f t="shared" si="27"/>
        <v>193</v>
      </c>
      <c r="F334" s="110">
        <f t="shared" si="28"/>
        <v>536</v>
      </c>
    </row>
    <row r="335" spans="2:6" x14ac:dyDescent="0.25">
      <c r="B335" s="105">
        <f t="shared" si="29"/>
        <v>332</v>
      </c>
      <c r="C335" s="107">
        <f t="shared" si="30"/>
        <v>17</v>
      </c>
      <c r="D335" s="107">
        <f t="shared" si="31"/>
        <v>61</v>
      </c>
      <c r="E335" s="15">
        <f t="shared" si="27"/>
        <v>193</v>
      </c>
      <c r="F335" s="110">
        <f t="shared" si="28"/>
        <v>527</v>
      </c>
    </row>
    <row r="336" spans="2:6" x14ac:dyDescent="0.25">
      <c r="B336" s="105">
        <f t="shared" si="29"/>
        <v>333</v>
      </c>
      <c r="C336" s="107">
        <f t="shared" si="30"/>
        <v>18</v>
      </c>
      <c r="D336" s="107">
        <f t="shared" si="31"/>
        <v>61</v>
      </c>
      <c r="E336" s="15">
        <f t="shared" si="27"/>
        <v>193</v>
      </c>
      <c r="F336" s="110">
        <f t="shared" si="28"/>
        <v>478</v>
      </c>
    </row>
    <row r="337" spans="2:6" x14ac:dyDescent="0.25">
      <c r="B337" s="105">
        <f t="shared" si="29"/>
        <v>334</v>
      </c>
      <c r="C337" s="107">
        <f t="shared" si="30"/>
        <v>19</v>
      </c>
      <c r="D337" s="107">
        <f t="shared" si="31"/>
        <v>61</v>
      </c>
      <c r="E337" s="15">
        <f t="shared" si="27"/>
        <v>193</v>
      </c>
      <c r="F337" s="110">
        <f t="shared" si="28"/>
        <v>474</v>
      </c>
    </row>
    <row r="338" spans="2:6" x14ac:dyDescent="0.25">
      <c r="B338" s="105">
        <f t="shared" si="29"/>
        <v>335</v>
      </c>
      <c r="C338" s="107">
        <f t="shared" si="30"/>
        <v>20</v>
      </c>
      <c r="D338" s="107">
        <f t="shared" si="31"/>
        <v>61</v>
      </c>
      <c r="E338" s="15">
        <f t="shared" si="27"/>
        <v>193</v>
      </c>
      <c r="F338" s="110">
        <f t="shared" si="28"/>
        <v>468</v>
      </c>
    </row>
    <row r="339" spans="2:6" x14ac:dyDescent="0.25">
      <c r="B339" s="105">
        <f t="shared" si="29"/>
        <v>336</v>
      </c>
      <c r="C339" s="107">
        <f t="shared" si="30"/>
        <v>21</v>
      </c>
      <c r="D339" s="107">
        <f t="shared" si="31"/>
        <v>61</v>
      </c>
      <c r="E339" s="15">
        <f t="shared" si="27"/>
        <v>193</v>
      </c>
      <c r="F339" s="110">
        <f t="shared" si="28"/>
        <v>457</v>
      </c>
    </row>
    <row r="340" spans="2:6" x14ac:dyDescent="0.25">
      <c r="B340" s="105">
        <f t="shared" si="29"/>
        <v>337</v>
      </c>
      <c r="C340" s="107">
        <f t="shared" si="30"/>
        <v>22</v>
      </c>
      <c r="D340" s="107">
        <f t="shared" si="31"/>
        <v>61</v>
      </c>
      <c r="E340" s="15">
        <f t="shared" si="27"/>
        <v>193</v>
      </c>
      <c r="F340" s="110">
        <f t="shared" si="28"/>
        <v>452</v>
      </c>
    </row>
    <row r="341" spans="2:6" x14ac:dyDescent="0.25">
      <c r="B341" s="105">
        <f t="shared" si="29"/>
        <v>338</v>
      </c>
      <c r="C341" s="107">
        <f t="shared" si="30"/>
        <v>23</v>
      </c>
      <c r="D341" s="107">
        <f t="shared" si="31"/>
        <v>61</v>
      </c>
      <c r="E341" s="15">
        <f t="shared" si="27"/>
        <v>193</v>
      </c>
      <c r="F341" s="110">
        <f t="shared" si="28"/>
        <v>442</v>
      </c>
    </row>
    <row r="342" spans="2:6" x14ac:dyDescent="0.25">
      <c r="B342" s="105">
        <f t="shared" si="29"/>
        <v>339</v>
      </c>
      <c r="C342" s="107">
        <f t="shared" si="30"/>
        <v>24</v>
      </c>
      <c r="D342" s="107">
        <f t="shared" si="31"/>
        <v>61</v>
      </c>
      <c r="E342" s="15">
        <f t="shared" si="27"/>
        <v>193</v>
      </c>
      <c r="F342" s="110">
        <f t="shared" si="28"/>
        <v>420</v>
      </c>
    </row>
    <row r="343" spans="2:6" x14ac:dyDescent="0.25">
      <c r="B343" s="105">
        <f t="shared" si="29"/>
        <v>340</v>
      </c>
      <c r="C343" s="107">
        <f t="shared" si="30"/>
        <v>25</v>
      </c>
      <c r="D343" s="107">
        <f t="shared" si="31"/>
        <v>61</v>
      </c>
      <c r="E343" s="15">
        <f t="shared" si="27"/>
        <v>193</v>
      </c>
      <c r="F343" s="110">
        <f t="shared" si="28"/>
        <v>410</v>
      </c>
    </row>
    <row r="344" spans="2:6" x14ac:dyDescent="0.25">
      <c r="B344" s="105">
        <f t="shared" si="29"/>
        <v>341</v>
      </c>
      <c r="C344" s="107">
        <f t="shared" si="30"/>
        <v>26</v>
      </c>
      <c r="D344" s="107">
        <f t="shared" si="31"/>
        <v>61</v>
      </c>
      <c r="E344" s="15">
        <f t="shared" si="27"/>
        <v>193</v>
      </c>
      <c r="F344" s="110">
        <f t="shared" si="28"/>
        <v>409</v>
      </c>
    </row>
    <row r="345" spans="2:6" x14ac:dyDescent="0.25">
      <c r="B345" s="105">
        <f t="shared" si="29"/>
        <v>342</v>
      </c>
      <c r="C345" s="107">
        <f t="shared" si="30"/>
        <v>27</v>
      </c>
      <c r="D345" s="107">
        <f t="shared" si="31"/>
        <v>61</v>
      </c>
      <c r="E345" s="15">
        <f t="shared" si="27"/>
        <v>193</v>
      </c>
      <c r="F345" s="110">
        <f t="shared" si="28"/>
        <v>408</v>
      </c>
    </row>
    <row r="346" spans="2:6" x14ac:dyDescent="0.25">
      <c r="B346" s="105">
        <f t="shared" si="29"/>
        <v>343</v>
      </c>
      <c r="C346" s="107">
        <f t="shared" si="30"/>
        <v>28</v>
      </c>
      <c r="D346" s="107">
        <f t="shared" si="31"/>
        <v>61</v>
      </c>
      <c r="E346" s="15">
        <f t="shared" si="27"/>
        <v>193</v>
      </c>
      <c r="F346" s="110">
        <f t="shared" si="28"/>
        <v>404</v>
      </c>
    </row>
    <row r="347" spans="2:6" x14ac:dyDescent="0.25">
      <c r="B347" s="105">
        <f t="shared" si="29"/>
        <v>344</v>
      </c>
      <c r="C347" s="107">
        <f t="shared" si="30"/>
        <v>29</v>
      </c>
      <c r="D347" s="107">
        <f t="shared" si="31"/>
        <v>61</v>
      </c>
      <c r="E347" s="15">
        <f t="shared" si="27"/>
        <v>193</v>
      </c>
      <c r="F347" s="110">
        <f t="shared" si="28"/>
        <v>399</v>
      </c>
    </row>
    <row r="348" spans="2:6" x14ac:dyDescent="0.25">
      <c r="B348" s="105">
        <f t="shared" si="29"/>
        <v>345</v>
      </c>
      <c r="C348" s="107">
        <f t="shared" si="30"/>
        <v>30</v>
      </c>
      <c r="D348" s="107">
        <f t="shared" si="31"/>
        <v>61</v>
      </c>
      <c r="E348" s="15">
        <f t="shared" si="27"/>
        <v>193</v>
      </c>
      <c r="F348" s="110">
        <f t="shared" si="28"/>
        <v>396</v>
      </c>
    </row>
    <row r="349" spans="2:6" x14ac:dyDescent="0.25">
      <c r="B349" s="105">
        <f t="shared" si="29"/>
        <v>346</v>
      </c>
      <c r="C349" s="107">
        <f t="shared" si="30"/>
        <v>31</v>
      </c>
      <c r="D349" s="107">
        <f t="shared" si="31"/>
        <v>61</v>
      </c>
      <c r="E349" s="15">
        <f t="shared" si="27"/>
        <v>193</v>
      </c>
      <c r="F349" s="110">
        <f t="shared" si="28"/>
        <v>384</v>
      </c>
    </row>
    <row r="350" spans="2:6" x14ac:dyDescent="0.25">
      <c r="B350" s="105">
        <f t="shared" si="29"/>
        <v>347</v>
      </c>
      <c r="C350" s="107">
        <f t="shared" si="30"/>
        <v>32</v>
      </c>
      <c r="D350" s="107">
        <f t="shared" si="31"/>
        <v>61</v>
      </c>
      <c r="E350" s="15">
        <f t="shared" si="27"/>
        <v>193</v>
      </c>
      <c r="F350" s="110">
        <f t="shared" si="28"/>
        <v>381</v>
      </c>
    </row>
    <row r="351" spans="2:6" x14ac:dyDescent="0.25">
      <c r="B351" s="105">
        <f t="shared" si="29"/>
        <v>348</v>
      </c>
      <c r="C351" s="107">
        <f t="shared" si="30"/>
        <v>33</v>
      </c>
      <c r="D351" s="107">
        <f t="shared" si="31"/>
        <v>61</v>
      </c>
      <c r="E351" s="15">
        <f t="shared" si="27"/>
        <v>193</v>
      </c>
      <c r="F351" s="110">
        <f t="shared" si="28"/>
        <v>376</v>
      </c>
    </row>
    <row r="352" spans="2:6" x14ac:dyDescent="0.25">
      <c r="B352" s="105">
        <f t="shared" si="29"/>
        <v>349</v>
      </c>
      <c r="C352" s="107">
        <f t="shared" si="30"/>
        <v>34</v>
      </c>
      <c r="D352" s="107">
        <f t="shared" si="31"/>
        <v>61</v>
      </c>
      <c r="E352" s="15">
        <f t="shared" si="27"/>
        <v>193</v>
      </c>
      <c r="F352" s="110">
        <f t="shared" si="28"/>
        <v>370</v>
      </c>
    </row>
    <row r="353" spans="2:6" x14ac:dyDescent="0.25">
      <c r="B353" s="105">
        <f t="shared" si="29"/>
        <v>350</v>
      </c>
      <c r="C353" s="107">
        <f t="shared" si="30"/>
        <v>35</v>
      </c>
      <c r="D353" s="107">
        <f t="shared" si="31"/>
        <v>61</v>
      </c>
      <c r="E353" s="15">
        <f t="shared" si="27"/>
        <v>193</v>
      </c>
      <c r="F353" s="110">
        <f t="shared" si="28"/>
        <v>362</v>
      </c>
    </row>
    <row r="354" spans="2:6" x14ac:dyDescent="0.25">
      <c r="B354" s="105">
        <f t="shared" si="29"/>
        <v>351</v>
      </c>
      <c r="C354" s="107">
        <f t="shared" si="30"/>
        <v>36</v>
      </c>
      <c r="D354" s="107">
        <f t="shared" si="31"/>
        <v>61</v>
      </c>
      <c r="E354" s="15">
        <f t="shared" si="27"/>
        <v>193</v>
      </c>
      <c r="F354" s="110">
        <f t="shared" si="28"/>
        <v>357</v>
      </c>
    </row>
    <row r="355" spans="2:6" x14ac:dyDescent="0.25">
      <c r="B355" s="105">
        <f t="shared" si="29"/>
        <v>352</v>
      </c>
      <c r="C355" s="107">
        <f t="shared" si="30"/>
        <v>37</v>
      </c>
      <c r="D355" s="107">
        <f t="shared" si="31"/>
        <v>61</v>
      </c>
      <c r="E355" s="15">
        <f t="shared" si="27"/>
        <v>193</v>
      </c>
      <c r="F355" s="110">
        <f t="shared" si="28"/>
        <v>351</v>
      </c>
    </row>
    <row r="356" spans="2:6" x14ac:dyDescent="0.25">
      <c r="B356" s="105">
        <f t="shared" si="29"/>
        <v>353</v>
      </c>
      <c r="C356" s="107">
        <f t="shared" si="30"/>
        <v>38</v>
      </c>
      <c r="D356" s="107">
        <f t="shared" si="31"/>
        <v>61</v>
      </c>
      <c r="E356" s="15">
        <f t="shared" si="27"/>
        <v>193</v>
      </c>
      <c r="F356" s="110">
        <f t="shared" si="28"/>
        <v>339</v>
      </c>
    </row>
    <row r="357" spans="2:6" x14ac:dyDescent="0.25">
      <c r="B357" s="105">
        <f t="shared" si="29"/>
        <v>354</v>
      </c>
      <c r="C357" s="107">
        <f t="shared" si="30"/>
        <v>39</v>
      </c>
      <c r="D357" s="107">
        <f t="shared" si="31"/>
        <v>61</v>
      </c>
      <c r="E357" s="15">
        <f t="shared" si="27"/>
        <v>193</v>
      </c>
      <c r="F357" s="110">
        <f t="shared" si="28"/>
        <v>304</v>
      </c>
    </row>
    <row r="358" spans="2:6" x14ac:dyDescent="0.25">
      <c r="B358" s="105">
        <f t="shared" si="29"/>
        <v>355</v>
      </c>
      <c r="C358" s="107">
        <f t="shared" si="30"/>
        <v>40</v>
      </c>
      <c r="D358" s="107">
        <f t="shared" si="31"/>
        <v>61</v>
      </c>
      <c r="E358" s="15">
        <f t="shared" si="27"/>
        <v>193</v>
      </c>
      <c r="F358" s="110">
        <f t="shared" si="28"/>
        <v>301</v>
      </c>
    </row>
    <row r="359" spans="2:6" x14ac:dyDescent="0.25">
      <c r="B359" s="105">
        <f t="shared" si="29"/>
        <v>356</v>
      </c>
      <c r="C359" s="107">
        <f t="shared" si="30"/>
        <v>41</v>
      </c>
      <c r="D359" s="107">
        <f t="shared" si="31"/>
        <v>61</v>
      </c>
      <c r="E359" s="15">
        <f t="shared" si="27"/>
        <v>193</v>
      </c>
      <c r="F359" s="110">
        <f t="shared" si="28"/>
        <v>300</v>
      </c>
    </row>
    <row r="360" spans="2:6" x14ac:dyDescent="0.25">
      <c r="B360" s="105">
        <f t="shared" si="29"/>
        <v>357</v>
      </c>
      <c r="C360" s="107">
        <f t="shared" si="30"/>
        <v>42</v>
      </c>
      <c r="D360" s="107">
        <f t="shared" si="31"/>
        <v>61</v>
      </c>
      <c r="E360" s="15">
        <f t="shared" si="27"/>
        <v>193</v>
      </c>
      <c r="F360" s="110">
        <f t="shared" si="28"/>
        <v>288</v>
      </c>
    </row>
    <row r="361" spans="2:6" x14ac:dyDescent="0.25">
      <c r="B361" s="105">
        <f t="shared" si="29"/>
        <v>358</v>
      </c>
      <c r="C361" s="107">
        <f t="shared" si="30"/>
        <v>43</v>
      </c>
      <c r="D361" s="107">
        <f t="shared" si="31"/>
        <v>61</v>
      </c>
      <c r="E361" s="15">
        <f t="shared" si="27"/>
        <v>193</v>
      </c>
      <c r="F361" s="110">
        <f t="shared" si="28"/>
        <v>273</v>
      </c>
    </row>
    <row r="362" spans="2:6" x14ac:dyDescent="0.25">
      <c r="B362" s="105">
        <f t="shared" si="29"/>
        <v>359</v>
      </c>
      <c r="C362" s="107">
        <f t="shared" si="30"/>
        <v>44</v>
      </c>
      <c r="D362" s="107">
        <f t="shared" si="31"/>
        <v>61</v>
      </c>
      <c r="E362" s="15">
        <f t="shared" si="27"/>
        <v>193</v>
      </c>
      <c r="F362" s="110">
        <f t="shared" si="28"/>
        <v>268</v>
      </c>
    </row>
    <row r="363" spans="2:6" x14ac:dyDescent="0.25">
      <c r="B363" s="105">
        <f t="shared" si="29"/>
        <v>360</v>
      </c>
      <c r="C363" s="107">
        <f t="shared" si="30"/>
        <v>45</v>
      </c>
      <c r="D363" s="107">
        <f t="shared" si="31"/>
        <v>61</v>
      </c>
      <c r="E363" s="15">
        <f t="shared" si="27"/>
        <v>193</v>
      </c>
      <c r="F363" s="110">
        <f t="shared" si="28"/>
        <v>262</v>
      </c>
    </row>
    <row r="364" spans="2:6" x14ac:dyDescent="0.25">
      <c r="B364" s="105">
        <f t="shared" si="29"/>
        <v>361</v>
      </c>
      <c r="C364" s="107">
        <f t="shared" si="30"/>
        <v>46</v>
      </c>
      <c r="D364" s="107">
        <f t="shared" si="31"/>
        <v>61</v>
      </c>
      <c r="E364" s="15">
        <f t="shared" si="27"/>
        <v>193</v>
      </c>
      <c r="F364" s="110">
        <f t="shared" si="28"/>
        <v>248</v>
      </c>
    </row>
    <row r="365" spans="2:6" x14ac:dyDescent="0.25">
      <c r="B365" s="105">
        <f t="shared" si="29"/>
        <v>362</v>
      </c>
      <c r="C365" s="107">
        <f t="shared" si="30"/>
        <v>47</v>
      </c>
      <c r="D365" s="107">
        <f t="shared" si="31"/>
        <v>61</v>
      </c>
      <c r="E365" s="15">
        <f t="shared" si="27"/>
        <v>193</v>
      </c>
      <c r="F365" s="110">
        <f t="shared" si="28"/>
        <v>246</v>
      </c>
    </row>
    <row r="366" spans="2:6" x14ac:dyDescent="0.25">
      <c r="B366" s="105">
        <f t="shared" si="29"/>
        <v>363</v>
      </c>
      <c r="C366" s="107">
        <f t="shared" si="30"/>
        <v>48</v>
      </c>
      <c r="D366" s="107">
        <f t="shared" si="31"/>
        <v>61</v>
      </c>
      <c r="E366" s="15">
        <f t="shared" si="27"/>
        <v>193</v>
      </c>
      <c r="F366" s="110">
        <f t="shared" si="28"/>
        <v>236</v>
      </c>
    </row>
    <row r="367" spans="2:6" x14ac:dyDescent="0.25">
      <c r="B367" s="105">
        <f t="shared" si="29"/>
        <v>364</v>
      </c>
      <c r="C367" s="107">
        <f t="shared" si="30"/>
        <v>49</v>
      </c>
      <c r="D367" s="107">
        <f t="shared" si="31"/>
        <v>61</v>
      </c>
      <c r="E367" s="15">
        <f t="shared" si="27"/>
        <v>193</v>
      </c>
      <c r="F367" s="110">
        <f t="shared" si="28"/>
        <v>231</v>
      </c>
    </row>
    <row r="368" spans="2:6" x14ac:dyDescent="0.25">
      <c r="B368" s="105">
        <f t="shared" si="29"/>
        <v>365</v>
      </c>
      <c r="C368" s="107">
        <f t="shared" si="30"/>
        <v>50</v>
      </c>
      <c r="D368" s="107">
        <f t="shared" si="31"/>
        <v>61</v>
      </c>
      <c r="E368" s="15">
        <f t="shared" si="27"/>
        <v>193</v>
      </c>
      <c r="F368" s="110">
        <f t="shared" si="28"/>
        <v>227</v>
      </c>
    </row>
    <row r="369" spans="2:6" x14ac:dyDescent="0.25">
      <c r="B369" s="105">
        <f t="shared" si="29"/>
        <v>366</v>
      </c>
      <c r="C369" s="107">
        <f t="shared" si="30"/>
        <v>51</v>
      </c>
      <c r="D369" s="107">
        <f t="shared" si="31"/>
        <v>61</v>
      </c>
      <c r="E369" s="15">
        <f t="shared" si="27"/>
        <v>193</v>
      </c>
      <c r="F369" s="110">
        <f t="shared" si="28"/>
        <v>224</v>
      </c>
    </row>
    <row r="370" spans="2:6" x14ac:dyDescent="0.25">
      <c r="B370" s="105">
        <f t="shared" si="29"/>
        <v>367</v>
      </c>
      <c r="C370" s="107">
        <f t="shared" si="30"/>
        <v>52</v>
      </c>
      <c r="D370" s="107">
        <f t="shared" si="31"/>
        <v>61</v>
      </c>
      <c r="E370" s="15">
        <f t="shared" si="27"/>
        <v>193</v>
      </c>
      <c r="F370" s="110">
        <f t="shared" si="28"/>
        <v>217</v>
      </c>
    </row>
    <row r="371" spans="2:6" x14ac:dyDescent="0.25">
      <c r="B371" s="105">
        <f t="shared" si="29"/>
        <v>368</v>
      </c>
      <c r="C371" s="107">
        <f t="shared" si="30"/>
        <v>53</v>
      </c>
      <c r="D371" s="107">
        <f t="shared" si="31"/>
        <v>61</v>
      </c>
      <c r="E371" s="15">
        <f t="shared" si="27"/>
        <v>193</v>
      </c>
      <c r="F371" s="110">
        <f t="shared" si="28"/>
        <v>213</v>
      </c>
    </row>
    <row r="372" spans="2:6" x14ac:dyDescent="0.25">
      <c r="B372" s="105">
        <f t="shared" si="29"/>
        <v>369</v>
      </c>
      <c r="C372" s="107">
        <f t="shared" si="30"/>
        <v>54</v>
      </c>
      <c r="D372" s="107">
        <f t="shared" si="31"/>
        <v>61</v>
      </c>
      <c r="E372" s="15">
        <f t="shared" si="27"/>
        <v>193</v>
      </c>
      <c r="F372" s="110">
        <f t="shared" si="28"/>
        <v>212</v>
      </c>
    </row>
    <row r="373" spans="2:6" x14ac:dyDescent="0.25">
      <c r="B373" s="105">
        <f t="shared" si="29"/>
        <v>370</v>
      </c>
      <c r="C373" s="107">
        <f t="shared" si="30"/>
        <v>55</v>
      </c>
      <c r="D373" s="107">
        <f t="shared" si="31"/>
        <v>61</v>
      </c>
      <c r="E373" s="15">
        <f t="shared" si="27"/>
        <v>193</v>
      </c>
      <c r="F373" s="110">
        <f t="shared" si="28"/>
        <v>211</v>
      </c>
    </row>
    <row r="374" spans="2:6" x14ac:dyDescent="0.25">
      <c r="B374" s="105">
        <f t="shared" si="29"/>
        <v>371</v>
      </c>
      <c r="C374" s="107">
        <f t="shared" si="30"/>
        <v>56</v>
      </c>
      <c r="D374" s="107">
        <f t="shared" si="31"/>
        <v>61</v>
      </c>
      <c r="E374" s="15">
        <f t="shared" si="27"/>
        <v>193</v>
      </c>
      <c r="F374" s="110">
        <f t="shared" si="28"/>
        <v>209</v>
      </c>
    </row>
    <row r="375" spans="2:6" x14ac:dyDescent="0.25">
      <c r="B375" s="105">
        <f t="shared" si="29"/>
        <v>372</v>
      </c>
      <c r="C375" s="107">
        <f t="shared" si="30"/>
        <v>57</v>
      </c>
      <c r="D375" s="107">
        <f t="shared" si="31"/>
        <v>61</v>
      </c>
      <c r="E375" s="15">
        <f t="shared" si="27"/>
        <v>193</v>
      </c>
      <c r="F375" s="110">
        <f t="shared" si="28"/>
        <v>208</v>
      </c>
    </row>
    <row r="376" spans="2:6" x14ac:dyDescent="0.25">
      <c r="B376" s="105">
        <f t="shared" si="29"/>
        <v>373</v>
      </c>
      <c r="C376" s="107">
        <f t="shared" si="30"/>
        <v>58</v>
      </c>
      <c r="D376" s="107">
        <f t="shared" si="31"/>
        <v>61</v>
      </c>
      <c r="E376" s="15">
        <f t="shared" si="27"/>
        <v>193</v>
      </c>
      <c r="F376" s="110">
        <f t="shared" si="28"/>
        <v>204</v>
      </c>
    </row>
    <row r="377" spans="2:6" x14ac:dyDescent="0.25">
      <c r="B377" s="105">
        <f t="shared" si="29"/>
        <v>374</v>
      </c>
      <c r="C377" s="107">
        <f t="shared" si="30"/>
        <v>59</v>
      </c>
      <c r="D377" s="107">
        <f t="shared" si="31"/>
        <v>61</v>
      </c>
      <c r="E377" s="15">
        <f t="shared" si="27"/>
        <v>193</v>
      </c>
      <c r="F377" s="110">
        <f t="shared" si="28"/>
        <v>200</v>
      </c>
    </row>
    <row r="378" spans="2:6" x14ac:dyDescent="0.25">
      <c r="B378" s="105">
        <f t="shared" si="29"/>
        <v>375</v>
      </c>
      <c r="C378" s="107">
        <f t="shared" si="30"/>
        <v>60</v>
      </c>
      <c r="D378" s="107">
        <f t="shared" si="31"/>
        <v>61</v>
      </c>
      <c r="E378" s="15">
        <f t="shared" si="27"/>
        <v>193</v>
      </c>
      <c r="F378" s="110">
        <f t="shared" si="28"/>
        <v>199</v>
      </c>
    </row>
    <row r="379" spans="2:6" x14ac:dyDescent="0.25">
      <c r="B379" s="105">
        <f t="shared" si="29"/>
        <v>376</v>
      </c>
      <c r="C379" s="107">
        <f t="shared" si="30"/>
        <v>1</v>
      </c>
      <c r="D379" s="107">
        <f t="shared" si="31"/>
        <v>60</v>
      </c>
      <c r="E379" s="15">
        <f t="shared" si="27"/>
        <v>199</v>
      </c>
      <c r="F379" s="110">
        <f t="shared" si="28"/>
        <v>1048</v>
      </c>
    </row>
    <row r="380" spans="2:6" x14ac:dyDescent="0.25">
      <c r="B380" s="105">
        <f t="shared" si="29"/>
        <v>377</v>
      </c>
      <c r="C380" s="107">
        <f t="shared" si="30"/>
        <v>2</v>
      </c>
      <c r="D380" s="107">
        <f t="shared" si="31"/>
        <v>60</v>
      </c>
      <c r="E380" s="15">
        <f t="shared" si="27"/>
        <v>199</v>
      </c>
      <c r="F380" s="110">
        <f t="shared" si="28"/>
        <v>1025</v>
      </c>
    </row>
    <row r="381" spans="2:6" x14ac:dyDescent="0.25">
      <c r="B381" s="105">
        <f t="shared" si="29"/>
        <v>378</v>
      </c>
      <c r="C381" s="107">
        <f t="shared" si="30"/>
        <v>3</v>
      </c>
      <c r="D381" s="107">
        <f t="shared" si="31"/>
        <v>60</v>
      </c>
      <c r="E381" s="15">
        <f t="shared" si="27"/>
        <v>199</v>
      </c>
      <c r="F381" s="110">
        <f t="shared" si="28"/>
        <v>805</v>
      </c>
    </row>
    <row r="382" spans="2:6" x14ac:dyDescent="0.25">
      <c r="B382" s="105">
        <f t="shared" si="29"/>
        <v>379</v>
      </c>
      <c r="C382" s="107">
        <f t="shared" si="30"/>
        <v>4</v>
      </c>
      <c r="D382" s="107">
        <f t="shared" si="31"/>
        <v>60</v>
      </c>
      <c r="E382" s="15">
        <f t="shared" si="27"/>
        <v>199</v>
      </c>
      <c r="F382" s="110">
        <f t="shared" si="28"/>
        <v>666</v>
      </c>
    </row>
    <row r="383" spans="2:6" x14ac:dyDescent="0.25">
      <c r="B383" s="105">
        <f t="shared" si="29"/>
        <v>380</v>
      </c>
      <c r="C383" s="107">
        <f t="shared" si="30"/>
        <v>5</v>
      </c>
      <c r="D383" s="107">
        <f t="shared" si="31"/>
        <v>60</v>
      </c>
      <c r="E383" s="15">
        <f t="shared" si="27"/>
        <v>199</v>
      </c>
      <c r="F383" s="110">
        <f t="shared" si="28"/>
        <v>655</v>
      </c>
    </row>
    <row r="384" spans="2:6" x14ac:dyDescent="0.25">
      <c r="B384" s="105">
        <f t="shared" si="29"/>
        <v>381</v>
      </c>
      <c r="C384" s="107">
        <f t="shared" si="30"/>
        <v>6</v>
      </c>
      <c r="D384" s="107">
        <f t="shared" si="31"/>
        <v>60</v>
      </c>
      <c r="E384" s="15">
        <f t="shared" si="27"/>
        <v>199</v>
      </c>
      <c r="F384" s="110">
        <f t="shared" si="28"/>
        <v>652</v>
      </c>
    </row>
    <row r="385" spans="2:6" x14ac:dyDescent="0.25">
      <c r="B385" s="105">
        <f t="shared" si="29"/>
        <v>382</v>
      </c>
      <c r="C385" s="107">
        <f t="shared" si="30"/>
        <v>7</v>
      </c>
      <c r="D385" s="107">
        <f t="shared" si="31"/>
        <v>60</v>
      </c>
      <c r="E385" s="15">
        <f t="shared" si="27"/>
        <v>199</v>
      </c>
      <c r="F385" s="110">
        <f t="shared" si="28"/>
        <v>633</v>
      </c>
    </row>
    <row r="386" spans="2:6" x14ac:dyDescent="0.25">
      <c r="B386" s="105">
        <f t="shared" si="29"/>
        <v>383</v>
      </c>
      <c r="C386" s="107">
        <f t="shared" si="30"/>
        <v>8</v>
      </c>
      <c r="D386" s="107">
        <f t="shared" si="31"/>
        <v>60</v>
      </c>
      <c r="E386" s="15">
        <f t="shared" si="27"/>
        <v>199</v>
      </c>
      <c r="F386" s="110">
        <f t="shared" si="28"/>
        <v>632</v>
      </c>
    </row>
    <row r="387" spans="2:6" x14ac:dyDescent="0.25">
      <c r="B387" s="105">
        <f t="shared" si="29"/>
        <v>384</v>
      </c>
      <c r="C387" s="107">
        <f t="shared" si="30"/>
        <v>9</v>
      </c>
      <c r="D387" s="107">
        <f t="shared" si="31"/>
        <v>60</v>
      </c>
      <c r="E387" s="15">
        <f t="shared" si="27"/>
        <v>199</v>
      </c>
      <c r="F387" s="110">
        <f t="shared" si="28"/>
        <v>625</v>
      </c>
    </row>
    <row r="388" spans="2:6" x14ac:dyDescent="0.25">
      <c r="B388" s="105">
        <f t="shared" si="29"/>
        <v>385</v>
      </c>
      <c r="C388" s="107">
        <f t="shared" si="30"/>
        <v>10</v>
      </c>
      <c r="D388" s="107">
        <f t="shared" si="31"/>
        <v>60</v>
      </c>
      <c r="E388" s="15">
        <f t="shared" ref="E388:E451" si="32">IFERROR(VLOOKUP(D388,$H$4:$I$69,2,0),"")</f>
        <v>199</v>
      </c>
      <c r="F388" s="110">
        <f t="shared" ref="F388:F451" si="33">IFERROR(VLOOKUP(C388,$H$4:$I$69,2,0),"")</f>
        <v>619</v>
      </c>
    </row>
    <row r="389" spans="2:6" x14ac:dyDescent="0.25">
      <c r="B389" s="105">
        <f t="shared" ref="B389:B452" si="34">ROW()-3</f>
        <v>386</v>
      </c>
      <c r="C389" s="107">
        <f t="shared" si="30"/>
        <v>11</v>
      </c>
      <c r="D389" s="107">
        <f t="shared" si="31"/>
        <v>60</v>
      </c>
      <c r="E389" s="15">
        <f t="shared" si="32"/>
        <v>199</v>
      </c>
      <c r="F389" s="110">
        <f t="shared" si="33"/>
        <v>610</v>
      </c>
    </row>
    <row r="390" spans="2:6" x14ac:dyDescent="0.25">
      <c r="B390" s="105">
        <f t="shared" si="34"/>
        <v>387</v>
      </c>
      <c r="C390" s="107">
        <f t="shared" ref="C390:C453" si="35">IF((D389-C389)=1,1,C389+1)</f>
        <v>12</v>
      </c>
      <c r="D390" s="107">
        <f t="shared" ref="D390:D453" si="36">IF((D389-C389)=1,D389-1,D389)</f>
        <v>60</v>
      </c>
      <c r="E390" s="15">
        <f t="shared" si="32"/>
        <v>199</v>
      </c>
      <c r="F390" s="110">
        <f t="shared" si="33"/>
        <v>599</v>
      </c>
    </row>
    <row r="391" spans="2:6" x14ac:dyDescent="0.25">
      <c r="B391" s="105">
        <f t="shared" si="34"/>
        <v>388</v>
      </c>
      <c r="C391" s="107">
        <f t="shared" si="35"/>
        <v>13</v>
      </c>
      <c r="D391" s="107">
        <f t="shared" si="36"/>
        <v>60</v>
      </c>
      <c r="E391" s="15">
        <f t="shared" si="32"/>
        <v>199</v>
      </c>
      <c r="F391" s="110">
        <f t="shared" si="33"/>
        <v>559</v>
      </c>
    </row>
    <row r="392" spans="2:6" x14ac:dyDescent="0.25">
      <c r="B392" s="105">
        <f t="shared" si="34"/>
        <v>389</v>
      </c>
      <c r="C392" s="107">
        <f t="shared" si="35"/>
        <v>14</v>
      </c>
      <c r="D392" s="107">
        <f t="shared" si="36"/>
        <v>60</v>
      </c>
      <c r="E392" s="15">
        <f t="shared" si="32"/>
        <v>199</v>
      </c>
      <c r="F392" s="110">
        <f t="shared" si="33"/>
        <v>556</v>
      </c>
    </row>
    <row r="393" spans="2:6" x14ac:dyDescent="0.25">
      <c r="B393" s="105">
        <f t="shared" si="34"/>
        <v>390</v>
      </c>
      <c r="C393" s="107">
        <f t="shared" si="35"/>
        <v>15</v>
      </c>
      <c r="D393" s="107">
        <f t="shared" si="36"/>
        <v>60</v>
      </c>
      <c r="E393" s="15">
        <f t="shared" si="32"/>
        <v>199</v>
      </c>
      <c r="F393" s="110">
        <f t="shared" si="33"/>
        <v>540</v>
      </c>
    </row>
    <row r="394" spans="2:6" x14ac:dyDescent="0.25">
      <c r="B394" s="105">
        <f t="shared" si="34"/>
        <v>391</v>
      </c>
      <c r="C394" s="107">
        <f t="shared" si="35"/>
        <v>16</v>
      </c>
      <c r="D394" s="107">
        <f t="shared" si="36"/>
        <v>60</v>
      </c>
      <c r="E394" s="15">
        <f t="shared" si="32"/>
        <v>199</v>
      </c>
      <c r="F394" s="110">
        <f t="shared" si="33"/>
        <v>536</v>
      </c>
    </row>
    <row r="395" spans="2:6" x14ac:dyDescent="0.25">
      <c r="B395" s="105">
        <f t="shared" si="34"/>
        <v>392</v>
      </c>
      <c r="C395" s="107">
        <f t="shared" si="35"/>
        <v>17</v>
      </c>
      <c r="D395" s="107">
        <f t="shared" si="36"/>
        <v>60</v>
      </c>
      <c r="E395" s="15">
        <f t="shared" si="32"/>
        <v>199</v>
      </c>
      <c r="F395" s="110">
        <f t="shared" si="33"/>
        <v>527</v>
      </c>
    </row>
    <row r="396" spans="2:6" x14ac:dyDescent="0.25">
      <c r="B396" s="105">
        <f t="shared" si="34"/>
        <v>393</v>
      </c>
      <c r="C396" s="107">
        <f t="shared" si="35"/>
        <v>18</v>
      </c>
      <c r="D396" s="107">
        <f t="shared" si="36"/>
        <v>60</v>
      </c>
      <c r="E396" s="15">
        <f t="shared" si="32"/>
        <v>199</v>
      </c>
      <c r="F396" s="110">
        <f t="shared" si="33"/>
        <v>478</v>
      </c>
    </row>
    <row r="397" spans="2:6" x14ac:dyDescent="0.25">
      <c r="B397" s="105">
        <f t="shared" si="34"/>
        <v>394</v>
      </c>
      <c r="C397" s="107">
        <f t="shared" si="35"/>
        <v>19</v>
      </c>
      <c r="D397" s="107">
        <f t="shared" si="36"/>
        <v>60</v>
      </c>
      <c r="E397" s="15">
        <f t="shared" si="32"/>
        <v>199</v>
      </c>
      <c r="F397" s="110">
        <f t="shared" si="33"/>
        <v>474</v>
      </c>
    </row>
    <row r="398" spans="2:6" x14ac:dyDescent="0.25">
      <c r="B398" s="105">
        <f t="shared" si="34"/>
        <v>395</v>
      </c>
      <c r="C398" s="107">
        <f t="shared" si="35"/>
        <v>20</v>
      </c>
      <c r="D398" s="107">
        <f t="shared" si="36"/>
        <v>60</v>
      </c>
      <c r="E398" s="15">
        <f t="shared" si="32"/>
        <v>199</v>
      </c>
      <c r="F398" s="110">
        <f t="shared" si="33"/>
        <v>468</v>
      </c>
    </row>
    <row r="399" spans="2:6" x14ac:dyDescent="0.25">
      <c r="B399" s="105">
        <f t="shared" si="34"/>
        <v>396</v>
      </c>
      <c r="C399" s="107">
        <f t="shared" si="35"/>
        <v>21</v>
      </c>
      <c r="D399" s="107">
        <f t="shared" si="36"/>
        <v>60</v>
      </c>
      <c r="E399" s="15">
        <f t="shared" si="32"/>
        <v>199</v>
      </c>
      <c r="F399" s="110">
        <f t="shared" si="33"/>
        <v>457</v>
      </c>
    </row>
    <row r="400" spans="2:6" x14ac:dyDescent="0.25">
      <c r="B400" s="105">
        <f t="shared" si="34"/>
        <v>397</v>
      </c>
      <c r="C400" s="107">
        <f t="shared" si="35"/>
        <v>22</v>
      </c>
      <c r="D400" s="107">
        <f t="shared" si="36"/>
        <v>60</v>
      </c>
      <c r="E400" s="15">
        <f t="shared" si="32"/>
        <v>199</v>
      </c>
      <c r="F400" s="110">
        <f t="shared" si="33"/>
        <v>452</v>
      </c>
    </row>
    <row r="401" spans="2:6" x14ac:dyDescent="0.25">
      <c r="B401" s="105">
        <f t="shared" si="34"/>
        <v>398</v>
      </c>
      <c r="C401" s="107">
        <f t="shared" si="35"/>
        <v>23</v>
      </c>
      <c r="D401" s="107">
        <f t="shared" si="36"/>
        <v>60</v>
      </c>
      <c r="E401" s="15">
        <f t="shared" si="32"/>
        <v>199</v>
      </c>
      <c r="F401" s="110">
        <f t="shared" si="33"/>
        <v>442</v>
      </c>
    </row>
    <row r="402" spans="2:6" x14ac:dyDescent="0.25">
      <c r="B402" s="105">
        <f t="shared" si="34"/>
        <v>399</v>
      </c>
      <c r="C402" s="107">
        <f t="shared" si="35"/>
        <v>24</v>
      </c>
      <c r="D402" s="107">
        <f t="shared" si="36"/>
        <v>60</v>
      </c>
      <c r="E402" s="15">
        <f t="shared" si="32"/>
        <v>199</v>
      </c>
      <c r="F402" s="110">
        <f t="shared" si="33"/>
        <v>420</v>
      </c>
    </row>
    <row r="403" spans="2:6" x14ac:dyDescent="0.25">
      <c r="B403" s="105">
        <f t="shared" si="34"/>
        <v>400</v>
      </c>
      <c r="C403" s="107">
        <f t="shared" si="35"/>
        <v>25</v>
      </c>
      <c r="D403" s="107">
        <f t="shared" si="36"/>
        <v>60</v>
      </c>
      <c r="E403" s="15">
        <f t="shared" si="32"/>
        <v>199</v>
      </c>
      <c r="F403" s="110">
        <f t="shared" si="33"/>
        <v>410</v>
      </c>
    </row>
    <row r="404" spans="2:6" x14ac:dyDescent="0.25">
      <c r="B404" s="105">
        <f t="shared" si="34"/>
        <v>401</v>
      </c>
      <c r="C404" s="107">
        <f t="shared" si="35"/>
        <v>26</v>
      </c>
      <c r="D404" s="107">
        <f t="shared" si="36"/>
        <v>60</v>
      </c>
      <c r="E404" s="15">
        <f t="shared" si="32"/>
        <v>199</v>
      </c>
      <c r="F404" s="110">
        <f t="shared" si="33"/>
        <v>409</v>
      </c>
    </row>
    <row r="405" spans="2:6" x14ac:dyDescent="0.25">
      <c r="B405" s="105">
        <f t="shared" si="34"/>
        <v>402</v>
      </c>
      <c r="C405" s="107">
        <f t="shared" si="35"/>
        <v>27</v>
      </c>
      <c r="D405" s="107">
        <f t="shared" si="36"/>
        <v>60</v>
      </c>
      <c r="E405" s="15">
        <f t="shared" si="32"/>
        <v>199</v>
      </c>
      <c r="F405" s="110">
        <f t="shared" si="33"/>
        <v>408</v>
      </c>
    </row>
    <row r="406" spans="2:6" x14ac:dyDescent="0.25">
      <c r="B406" s="105">
        <f t="shared" si="34"/>
        <v>403</v>
      </c>
      <c r="C406" s="107">
        <f t="shared" si="35"/>
        <v>28</v>
      </c>
      <c r="D406" s="107">
        <f t="shared" si="36"/>
        <v>60</v>
      </c>
      <c r="E406" s="15">
        <f t="shared" si="32"/>
        <v>199</v>
      </c>
      <c r="F406" s="110">
        <f t="shared" si="33"/>
        <v>404</v>
      </c>
    </row>
    <row r="407" spans="2:6" x14ac:dyDescent="0.25">
      <c r="B407" s="105">
        <f t="shared" si="34"/>
        <v>404</v>
      </c>
      <c r="C407" s="107">
        <f t="shared" si="35"/>
        <v>29</v>
      </c>
      <c r="D407" s="107">
        <f t="shared" si="36"/>
        <v>60</v>
      </c>
      <c r="E407" s="15">
        <f t="shared" si="32"/>
        <v>199</v>
      </c>
      <c r="F407" s="110">
        <f t="shared" si="33"/>
        <v>399</v>
      </c>
    </row>
    <row r="408" spans="2:6" x14ac:dyDescent="0.25">
      <c r="B408" s="105">
        <f t="shared" si="34"/>
        <v>405</v>
      </c>
      <c r="C408" s="107">
        <f t="shared" si="35"/>
        <v>30</v>
      </c>
      <c r="D408" s="107">
        <f t="shared" si="36"/>
        <v>60</v>
      </c>
      <c r="E408" s="15">
        <f t="shared" si="32"/>
        <v>199</v>
      </c>
      <c r="F408" s="110">
        <f t="shared" si="33"/>
        <v>396</v>
      </c>
    </row>
    <row r="409" spans="2:6" x14ac:dyDescent="0.25">
      <c r="B409" s="105">
        <f t="shared" si="34"/>
        <v>406</v>
      </c>
      <c r="C409" s="107">
        <f t="shared" si="35"/>
        <v>31</v>
      </c>
      <c r="D409" s="107">
        <f t="shared" si="36"/>
        <v>60</v>
      </c>
      <c r="E409" s="15">
        <f t="shared" si="32"/>
        <v>199</v>
      </c>
      <c r="F409" s="110">
        <f t="shared" si="33"/>
        <v>384</v>
      </c>
    </row>
    <row r="410" spans="2:6" x14ac:dyDescent="0.25">
      <c r="B410" s="105">
        <f t="shared" si="34"/>
        <v>407</v>
      </c>
      <c r="C410" s="107">
        <f t="shared" si="35"/>
        <v>32</v>
      </c>
      <c r="D410" s="107">
        <f t="shared" si="36"/>
        <v>60</v>
      </c>
      <c r="E410" s="15">
        <f t="shared" si="32"/>
        <v>199</v>
      </c>
      <c r="F410" s="110">
        <f t="shared" si="33"/>
        <v>381</v>
      </c>
    </row>
    <row r="411" spans="2:6" x14ac:dyDescent="0.25">
      <c r="B411" s="105">
        <f t="shared" si="34"/>
        <v>408</v>
      </c>
      <c r="C411" s="107">
        <f t="shared" si="35"/>
        <v>33</v>
      </c>
      <c r="D411" s="107">
        <f t="shared" si="36"/>
        <v>60</v>
      </c>
      <c r="E411" s="15">
        <f t="shared" si="32"/>
        <v>199</v>
      </c>
      <c r="F411" s="110">
        <f t="shared" si="33"/>
        <v>376</v>
      </c>
    </row>
    <row r="412" spans="2:6" x14ac:dyDescent="0.25">
      <c r="B412" s="105">
        <f t="shared" si="34"/>
        <v>409</v>
      </c>
      <c r="C412" s="107">
        <f t="shared" si="35"/>
        <v>34</v>
      </c>
      <c r="D412" s="107">
        <f t="shared" si="36"/>
        <v>60</v>
      </c>
      <c r="E412" s="15">
        <f t="shared" si="32"/>
        <v>199</v>
      </c>
      <c r="F412" s="110">
        <f t="shared" si="33"/>
        <v>370</v>
      </c>
    </row>
    <row r="413" spans="2:6" x14ac:dyDescent="0.25">
      <c r="B413" s="105">
        <f t="shared" si="34"/>
        <v>410</v>
      </c>
      <c r="C413" s="107">
        <f t="shared" si="35"/>
        <v>35</v>
      </c>
      <c r="D413" s="107">
        <f t="shared" si="36"/>
        <v>60</v>
      </c>
      <c r="E413" s="15">
        <f t="shared" si="32"/>
        <v>199</v>
      </c>
      <c r="F413" s="110">
        <f t="shared" si="33"/>
        <v>362</v>
      </c>
    </row>
    <row r="414" spans="2:6" x14ac:dyDescent="0.25">
      <c r="B414" s="105">
        <f t="shared" si="34"/>
        <v>411</v>
      </c>
      <c r="C414" s="107">
        <f t="shared" si="35"/>
        <v>36</v>
      </c>
      <c r="D414" s="107">
        <f t="shared" si="36"/>
        <v>60</v>
      </c>
      <c r="E414" s="15">
        <f t="shared" si="32"/>
        <v>199</v>
      </c>
      <c r="F414" s="110">
        <f t="shared" si="33"/>
        <v>357</v>
      </c>
    </row>
    <row r="415" spans="2:6" x14ac:dyDescent="0.25">
      <c r="B415" s="105">
        <f t="shared" si="34"/>
        <v>412</v>
      </c>
      <c r="C415" s="107">
        <f t="shared" si="35"/>
        <v>37</v>
      </c>
      <c r="D415" s="107">
        <f t="shared" si="36"/>
        <v>60</v>
      </c>
      <c r="E415" s="15">
        <f t="shared" si="32"/>
        <v>199</v>
      </c>
      <c r="F415" s="110">
        <f t="shared" si="33"/>
        <v>351</v>
      </c>
    </row>
    <row r="416" spans="2:6" x14ac:dyDescent="0.25">
      <c r="B416" s="105">
        <f t="shared" si="34"/>
        <v>413</v>
      </c>
      <c r="C416" s="107">
        <f t="shared" si="35"/>
        <v>38</v>
      </c>
      <c r="D416" s="107">
        <f t="shared" si="36"/>
        <v>60</v>
      </c>
      <c r="E416" s="15">
        <f t="shared" si="32"/>
        <v>199</v>
      </c>
      <c r="F416" s="110">
        <f t="shared" si="33"/>
        <v>339</v>
      </c>
    </row>
    <row r="417" spans="2:6" x14ac:dyDescent="0.25">
      <c r="B417" s="105">
        <f t="shared" si="34"/>
        <v>414</v>
      </c>
      <c r="C417" s="107">
        <f t="shared" si="35"/>
        <v>39</v>
      </c>
      <c r="D417" s="107">
        <f t="shared" si="36"/>
        <v>60</v>
      </c>
      <c r="E417" s="15">
        <f t="shared" si="32"/>
        <v>199</v>
      </c>
      <c r="F417" s="110">
        <f t="shared" si="33"/>
        <v>304</v>
      </c>
    </row>
    <row r="418" spans="2:6" x14ac:dyDescent="0.25">
      <c r="B418" s="105">
        <f t="shared" si="34"/>
        <v>415</v>
      </c>
      <c r="C418" s="107">
        <f t="shared" si="35"/>
        <v>40</v>
      </c>
      <c r="D418" s="107">
        <f t="shared" si="36"/>
        <v>60</v>
      </c>
      <c r="E418" s="15">
        <f t="shared" si="32"/>
        <v>199</v>
      </c>
      <c r="F418" s="110">
        <f t="shared" si="33"/>
        <v>301</v>
      </c>
    </row>
    <row r="419" spans="2:6" x14ac:dyDescent="0.25">
      <c r="B419" s="105">
        <f t="shared" si="34"/>
        <v>416</v>
      </c>
      <c r="C419" s="107">
        <f t="shared" si="35"/>
        <v>41</v>
      </c>
      <c r="D419" s="107">
        <f t="shared" si="36"/>
        <v>60</v>
      </c>
      <c r="E419" s="15">
        <f t="shared" si="32"/>
        <v>199</v>
      </c>
      <c r="F419" s="110">
        <f t="shared" si="33"/>
        <v>300</v>
      </c>
    </row>
    <row r="420" spans="2:6" x14ac:dyDescent="0.25">
      <c r="B420" s="105">
        <f t="shared" si="34"/>
        <v>417</v>
      </c>
      <c r="C420" s="107">
        <f t="shared" si="35"/>
        <v>42</v>
      </c>
      <c r="D420" s="107">
        <f t="shared" si="36"/>
        <v>60</v>
      </c>
      <c r="E420" s="15">
        <f t="shared" si="32"/>
        <v>199</v>
      </c>
      <c r="F420" s="110">
        <f t="shared" si="33"/>
        <v>288</v>
      </c>
    </row>
    <row r="421" spans="2:6" x14ac:dyDescent="0.25">
      <c r="B421" s="105">
        <f t="shared" si="34"/>
        <v>418</v>
      </c>
      <c r="C421" s="107">
        <f t="shared" si="35"/>
        <v>43</v>
      </c>
      <c r="D421" s="107">
        <f t="shared" si="36"/>
        <v>60</v>
      </c>
      <c r="E421" s="15">
        <f t="shared" si="32"/>
        <v>199</v>
      </c>
      <c r="F421" s="110">
        <f t="shared" si="33"/>
        <v>273</v>
      </c>
    </row>
    <row r="422" spans="2:6" x14ac:dyDescent="0.25">
      <c r="B422" s="105">
        <f t="shared" si="34"/>
        <v>419</v>
      </c>
      <c r="C422" s="107">
        <f t="shared" si="35"/>
        <v>44</v>
      </c>
      <c r="D422" s="107">
        <f t="shared" si="36"/>
        <v>60</v>
      </c>
      <c r="E422" s="15">
        <f t="shared" si="32"/>
        <v>199</v>
      </c>
      <c r="F422" s="110">
        <f t="shared" si="33"/>
        <v>268</v>
      </c>
    </row>
    <row r="423" spans="2:6" x14ac:dyDescent="0.25">
      <c r="B423" s="105">
        <f t="shared" si="34"/>
        <v>420</v>
      </c>
      <c r="C423" s="107">
        <f t="shared" si="35"/>
        <v>45</v>
      </c>
      <c r="D423" s="107">
        <f t="shared" si="36"/>
        <v>60</v>
      </c>
      <c r="E423" s="15">
        <f t="shared" si="32"/>
        <v>199</v>
      </c>
      <c r="F423" s="110">
        <f t="shared" si="33"/>
        <v>262</v>
      </c>
    </row>
    <row r="424" spans="2:6" x14ac:dyDescent="0.25">
      <c r="B424" s="105">
        <f t="shared" si="34"/>
        <v>421</v>
      </c>
      <c r="C424" s="107">
        <f t="shared" si="35"/>
        <v>46</v>
      </c>
      <c r="D424" s="107">
        <f t="shared" si="36"/>
        <v>60</v>
      </c>
      <c r="E424" s="15">
        <f t="shared" si="32"/>
        <v>199</v>
      </c>
      <c r="F424" s="110">
        <f t="shared" si="33"/>
        <v>248</v>
      </c>
    </row>
    <row r="425" spans="2:6" x14ac:dyDescent="0.25">
      <c r="B425" s="105">
        <f t="shared" si="34"/>
        <v>422</v>
      </c>
      <c r="C425" s="107">
        <f t="shared" si="35"/>
        <v>47</v>
      </c>
      <c r="D425" s="107">
        <f t="shared" si="36"/>
        <v>60</v>
      </c>
      <c r="E425" s="15">
        <f t="shared" si="32"/>
        <v>199</v>
      </c>
      <c r="F425" s="110">
        <f t="shared" si="33"/>
        <v>246</v>
      </c>
    </row>
    <row r="426" spans="2:6" x14ac:dyDescent="0.25">
      <c r="B426" s="105">
        <f t="shared" si="34"/>
        <v>423</v>
      </c>
      <c r="C426" s="107">
        <f t="shared" si="35"/>
        <v>48</v>
      </c>
      <c r="D426" s="107">
        <f t="shared" si="36"/>
        <v>60</v>
      </c>
      <c r="E426" s="15">
        <f t="shared" si="32"/>
        <v>199</v>
      </c>
      <c r="F426" s="110">
        <f t="shared" si="33"/>
        <v>236</v>
      </c>
    </row>
    <row r="427" spans="2:6" x14ac:dyDescent="0.25">
      <c r="B427" s="105">
        <f t="shared" si="34"/>
        <v>424</v>
      </c>
      <c r="C427" s="107">
        <f t="shared" si="35"/>
        <v>49</v>
      </c>
      <c r="D427" s="107">
        <f t="shared" si="36"/>
        <v>60</v>
      </c>
      <c r="E427" s="15">
        <f t="shared" si="32"/>
        <v>199</v>
      </c>
      <c r="F427" s="110">
        <f t="shared" si="33"/>
        <v>231</v>
      </c>
    </row>
    <row r="428" spans="2:6" x14ac:dyDescent="0.25">
      <c r="B428" s="105">
        <f t="shared" si="34"/>
        <v>425</v>
      </c>
      <c r="C428" s="107">
        <f t="shared" si="35"/>
        <v>50</v>
      </c>
      <c r="D428" s="107">
        <f t="shared" si="36"/>
        <v>60</v>
      </c>
      <c r="E428" s="15">
        <f t="shared" si="32"/>
        <v>199</v>
      </c>
      <c r="F428" s="110">
        <f t="shared" si="33"/>
        <v>227</v>
      </c>
    </row>
    <row r="429" spans="2:6" x14ac:dyDescent="0.25">
      <c r="B429" s="105">
        <f t="shared" si="34"/>
        <v>426</v>
      </c>
      <c r="C429" s="107">
        <f t="shared" si="35"/>
        <v>51</v>
      </c>
      <c r="D429" s="107">
        <f t="shared" si="36"/>
        <v>60</v>
      </c>
      <c r="E429" s="15">
        <f t="shared" si="32"/>
        <v>199</v>
      </c>
      <c r="F429" s="110">
        <f t="shared" si="33"/>
        <v>224</v>
      </c>
    </row>
    <row r="430" spans="2:6" x14ac:dyDescent="0.25">
      <c r="B430" s="105">
        <f t="shared" si="34"/>
        <v>427</v>
      </c>
      <c r="C430" s="107">
        <f t="shared" si="35"/>
        <v>52</v>
      </c>
      <c r="D430" s="107">
        <f t="shared" si="36"/>
        <v>60</v>
      </c>
      <c r="E430" s="15">
        <f t="shared" si="32"/>
        <v>199</v>
      </c>
      <c r="F430" s="110">
        <f t="shared" si="33"/>
        <v>217</v>
      </c>
    </row>
    <row r="431" spans="2:6" x14ac:dyDescent="0.25">
      <c r="B431" s="105">
        <f t="shared" si="34"/>
        <v>428</v>
      </c>
      <c r="C431" s="107">
        <f t="shared" si="35"/>
        <v>53</v>
      </c>
      <c r="D431" s="107">
        <f t="shared" si="36"/>
        <v>60</v>
      </c>
      <c r="E431" s="15">
        <f t="shared" si="32"/>
        <v>199</v>
      </c>
      <c r="F431" s="110">
        <f t="shared" si="33"/>
        <v>213</v>
      </c>
    </row>
    <row r="432" spans="2:6" x14ac:dyDescent="0.25">
      <c r="B432" s="105">
        <f t="shared" si="34"/>
        <v>429</v>
      </c>
      <c r="C432" s="107">
        <f t="shared" si="35"/>
        <v>54</v>
      </c>
      <c r="D432" s="107">
        <f t="shared" si="36"/>
        <v>60</v>
      </c>
      <c r="E432" s="15">
        <f t="shared" si="32"/>
        <v>199</v>
      </c>
      <c r="F432" s="110">
        <f t="shared" si="33"/>
        <v>212</v>
      </c>
    </row>
    <row r="433" spans="2:6" x14ac:dyDescent="0.25">
      <c r="B433" s="105">
        <f t="shared" si="34"/>
        <v>430</v>
      </c>
      <c r="C433" s="107">
        <f t="shared" si="35"/>
        <v>55</v>
      </c>
      <c r="D433" s="107">
        <f t="shared" si="36"/>
        <v>60</v>
      </c>
      <c r="E433" s="15">
        <f t="shared" si="32"/>
        <v>199</v>
      </c>
      <c r="F433" s="110">
        <f t="shared" si="33"/>
        <v>211</v>
      </c>
    </row>
    <row r="434" spans="2:6" x14ac:dyDescent="0.25">
      <c r="B434" s="105">
        <f t="shared" si="34"/>
        <v>431</v>
      </c>
      <c r="C434" s="107">
        <f t="shared" si="35"/>
        <v>56</v>
      </c>
      <c r="D434" s="107">
        <f t="shared" si="36"/>
        <v>60</v>
      </c>
      <c r="E434" s="15">
        <f t="shared" si="32"/>
        <v>199</v>
      </c>
      <c r="F434" s="110">
        <f t="shared" si="33"/>
        <v>209</v>
      </c>
    </row>
    <row r="435" spans="2:6" x14ac:dyDescent="0.25">
      <c r="B435" s="105">
        <f t="shared" si="34"/>
        <v>432</v>
      </c>
      <c r="C435" s="107">
        <f t="shared" si="35"/>
        <v>57</v>
      </c>
      <c r="D435" s="107">
        <f t="shared" si="36"/>
        <v>60</v>
      </c>
      <c r="E435" s="15">
        <f t="shared" si="32"/>
        <v>199</v>
      </c>
      <c r="F435" s="110">
        <f t="shared" si="33"/>
        <v>208</v>
      </c>
    </row>
    <row r="436" spans="2:6" x14ac:dyDescent="0.25">
      <c r="B436" s="105">
        <f t="shared" si="34"/>
        <v>433</v>
      </c>
      <c r="C436" s="107">
        <f t="shared" si="35"/>
        <v>58</v>
      </c>
      <c r="D436" s="107">
        <f t="shared" si="36"/>
        <v>60</v>
      </c>
      <c r="E436" s="15">
        <f t="shared" si="32"/>
        <v>199</v>
      </c>
      <c r="F436" s="110">
        <f t="shared" si="33"/>
        <v>204</v>
      </c>
    </row>
    <row r="437" spans="2:6" x14ac:dyDescent="0.25">
      <c r="B437" s="105">
        <f t="shared" si="34"/>
        <v>434</v>
      </c>
      <c r="C437" s="107">
        <f t="shared" si="35"/>
        <v>59</v>
      </c>
      <c r="D437" s="107">
        <f t="shared" si="36"/>
        <v>60</v>
      </c>
      <c r="E437" s="15">
        <f t="shared" si="32"/>
        <v>199</v>
      </c>
      <c r="F437" s="110">
        <f t="shared" si="33"/>
        <v>200</v>
      </c>
    </row>
    <row r="438" spans="2:6" x14ac:dyDescent="0.25">
      <c r="B438" s="105">
        <f t="shared" si="34"/>
        <v>435</v>
      </c>
      <c r="C438" s="107">
        <f t="shared" si="35"/>
        <v>1</v>
      </c>
      <c r="D438" s="107">
        <f t="shared" si="36"/>
        <v>59</v>
      </c>
      <c r="E438" s="15">
        <f t="shared" si="32"/>
        <v>200</v>
      </c>
      <c r="F438" s="110">
        <f t="shared" si="33"/>
        <v>1048</v>
      </c>
    </row>
    <row r="439" spans="2:6" x14ac:dyDescent="0.25">
      <c r="B439" s="105">
        <f t="shared" si="34"/>
        <v>436</v>
      </c>
      <c r="C439" s="107">
        <f t="shared" si="35"/>
        <v>2</v>
      </c>
      <c r="D439" s="107">
        <f t="shared" si="36"/>
        <v>59</v>
      </c>
      <c r="E439" s="15">
        <f t="shared" si="32"/>
        <v>200</v>
      </c>
      <c r="F439" s="110">
        <f t="shared" si="33"/>
        <v>1025</v>
      </c>
    </row>
    <row r="440" spans="2:6" x14ac:dyDescent="0.25">
      <c r="B440" s="105">
        <f t="shared" si="34"/>
        <v>437</v>
      </c>
      <c r="C440" s="107">
        <f t="shared" si="35"/>
        <v>3</v>
      </c>
      <c r="D440" s="107">
        <f t="shared" si="36"/>
        <v>59</v>
      </c>
      <c r="E440" s="15">
        <f t="shared" si="32"/>
        <v>200</v>
      </c>
      <c r="F440" s="110">
        <f t="shared" si="33"/>
        <v>805</v>
      </c>
    </row>
    <row r="441" spans="2:6" x14ac:dyDescent="0.25">
      <c r="B441" s="105">
        <f t="shared" si="34"/>
        <v>438</v>
      </c>
      <c r="C441" s="107">
        <f t="shared" si="35"/>
        <v>4</v>
      </c>
      <c r="D441" s="107">
        <f t="shared" si="36"/>
        <v>59</v>
      </c>
      <c r="E441" s="15">
        <f t="shared" si="32"/>
        <v>200</v>
      </c>
      <c r="F441" s="110">
        <f t="shared" si="33"/>
        <v>666</v>
      </c>
    </row>
    <row r="442" spans="2:6" x14ac:dyDescent="0.25">
      <c r="B442" s="105">
        <f t="shared" si="34"/>
        <v>439</v>
      </c>
      <c r="C442" s="107">
        <f t="shared" si="35"/>
        <v>5</v>
      </c>
      <c r="D442" s="107">
        <f t="shared" si="36"/>
        <v>59</v>
      </c>
      <c r="E442" s="15">
        <f t="shared" si="32"/>
        <v>200</v>
      </c>
      <c r="F442" s="110">
        <f t="shared" si="33"/>
        <v>655</v>
      </c>
    </row>
    <row r="443" spans="2:6" x14ac:dyDescent="0.25">
      <c r="B443" s="105">
        <f t="shared" si="34"/>
        <v>440</v>
      </c>
      <c r="C443" s="107">
        <f t="shared" si="35"/>
        <v>6</v>
      </c>
      <c r="D443" s="107">
        <f t="shared" si="36"/>
        <v>59</v>
      </c>
      <c r="E443" s="15">
        <f t="shared" si="32"/>
        <v>200</v>
      </c>
      <c r="F443" s="110">
        <f t="shared" si="33"/>
        <v>652</v>
      </c>
    </row>
    <row r="444" spans="2:6" x14ac:dyDescent="0.25">
      <c r="B444" s="105">
        <f t="shared" si="34"/>
        <v>441</v>
      </c>
      <c r="C444" s="107">
        <f t="shared" si="35"/>
        <v>7</v>
      </c>
      <c r="D444" s="107">
        <f t="shared" si="36"/>
        <v>59</v>
      </c>
      <c r="E444" s="15">
        <f t="shared" si="32"/>
        <v>200</v>
      </c>
      <c r="F444" s="110">
        <f t="shared" si="33"/>
        <v>633</v>
      </c>
    </row>
    <row r="445" spans="2:6" x14ac:dyDescent="0.25">
      <c r="B445" s="105">
        <f t="shared" si="34"/>
        <v>442</v>
      </c>
      <c r="C445" s="107">
        <f t="shared" si="35"/>
        <v>8</v>
      </c>
      <c r="D445" s="107">
        <f t="shared" si="36"/>
        <v>59</v>
      </c>
      <c r="E445" s="15">
        <f t="shared" si="32"/>
        <v>200</v>
      </c>
      <c r="F445" s="110">
        <f t="shared" si="33"/>
        <v>632</v>
      </c>
    </row>
    <row r="446" spans="2:6" x14ac:dyDescent="0.25">
      <c r="B446" s="105">
        <f t="shared" si="34"/>
        <v>443</v>
      </c>
      <c r="C446" s="107">
        <f t="shared" si="35"/>
        <v>9</v>
      </c>
      <c r="D446" s="107">
        <f t="shared" si="36"/>
        <v>59</v>
      </c>
      <c r="E446" s="15">
        <f t="shared" si="32"/>
        <v>200</v>
      </c>
      <c r="F446" s="110">
        <f t="shared" si="33"/>
        <v>625</v>
      </c>
    </row>
    <row r="447" spans="2:6" x14ac:dyDescent="0.25">
      <c r="B447" s="105">
        <f t="shared" si="34"/>
        <v>444</v>
      </c>
      <c r="C447" s="107">
        <f t="shared" si="35"/>
        <v>10</v>
      </c>
      <c r="D447" s="107">
        <f t="shared" si="36"/>
        <v>59</v>
      </c>
      <c r="E447" s="15">
        <f t="shared" si="32"/>
        <v>200</v>
      </c>
      <c r="F447" s="110">
        <f t="shared" si="33"/>
        <v>619</v>
      </c>
    </row>
    <row r="448" spans="2:6" x14ac:dyDescent="0.25">
      <c r="B448" s="105">
        <f t="shared" si="34"/>
        <v>445</v>
      </c>
      <c r="C448" s="107">
        <f t="shared" si="35"/>
        <v>11</v>
      </c>
      <c r="D448" s="107">
        <f t="shared" si="36"/>
        <v>59</v>
      </c>
      <c r="E448" s="15">
        <f t="shared" si="32"/>
        <v>200</v>
      </c>
      <c r="F448" s="110">
        <f t="shared" si="33"/>
        <v>610</v>
      </c>
    </row>
    <row r="449" spans="2:6" x14ac:dyDescent="0.25">
      <c r="B449" s="105">
        <f t="shared" si="34"/>
        <v>446</v>
      </c>
      <c r="C449" s="107">
        <f t="shared" si="35"/>
        <v>12</v>
      </c>
      <c r="D449" s="107">
        <f t="shared" si="36"/>
        <v>59</v>
      </c>
      <c r="E449" s="15">
        <f t="shared" si="32"/>
        <v>200</v>
      </c>
      <c r="F449" s="110">
        <f t="shared" si="33"/>
        <v>599</v>
      </c>
    </row>
    <row r="450" spans="2:6" x14ac:dyDescent="0.25">
      <c r="B450" s="105">
        <f t="shared" si="34"/>
        <v>447</v>
      </c>
      <c r="C450" s="107">
        <f t="shared" si="35"/>
        <v>13</v>
      </c>
      <c r="D450" s="107">
        <f t="shared" si="36"/>
        <v>59</v>
      </c>
      <c r="E450" s="15">
        <f t="shared" si="32"/>
        <v>200</v>
      </c>
      <c r="F450" s="110">
        <f t="shared" si="33"/>
        <v>559</v>
      </c>
    </row>
    <row r="451" spans="2:6" x14ac:dyDescent="0.25">
      <c r="B451" s="105">
        <f t="shared" si="34"/>
        <v>448</v>
      </c>
      <c r="C451" s="107">
        <f t="shared" si="35"/>
        <v>14</v>
      </c>
      <c r="D451" s="107">
        <f t="shared" si="36"/>
        <v>59</v>
      </c>
      <c r="E451" s="15">
        <f t="shared" si="32"/>
        <v>200</v>
      </c>
      <c r="F451" s="110">
        <f t="shared" si="33"/>
        <v>556</v>
      </c>
    </row>
    <row r="452" spans="2:6" x14ac:dyDescent="0.25">
      <c r="B452" s="105">
        <f t="shared" si="34"/>
        <v>449</v>
      </c>
      <c r="C452" s="107">
        <f t="shared" si="35"/>
        <v>15</v>
      </c>
      <c r="D452" s="107">
        <f t="shared" si="36"/>
        <v>59</v>
      </c>
      <c r="E452" s="15">
        <f t="shared" ref="E452:E515" si="37">IFERROR(VLOOKUP(D452,$H$4:$I$69,2,0),"")</f>
        <v>200</v>
      </c>
      <c r="F452" s="110">
        <f t="shared" ref="F452:F515" si="38">IFERROR(VLOOKUP(C452,$H$4:$I$69,2,0),"")</f>
        <v>540</v>
      </c>
    </row>
    <row r="453" spans="2:6" x14ac:dyDescent="0.25">
      <c r="B453" s="105">
        <f t="shared" ref="B453:B516" si="39">ROW()-3</f>
        <v>450</v>
      </c>
      <c r="C453" s="107">
        <f t="shared" si="35"/>
        <v>16</v>
      </c>
      <c r="D453" s="107">
        <f t="shared" si="36"/>
        <v>59</v>
      </c>
      <c r="E453" s="15">
        <f t="shared" si="37"/>
        <v>200</v>
      </c>
      <c r="F453" s="110">
        <f t="shared" si="38"/>
        <v>536</v>
      </c>
    </row>
    <row r="454" spans="2:6" x14ac:dyDescent="0.25">
      <c r="B454" s="105">
        <f t="shared" si="39"/>
        <v>451</v>
      </c>
      <c r="C454" s="107">
        <f t="shared" ref="C454:C517" si="40">IF((D453-C453)=1,1,C453+1)</f>
        <v>17</v>
      </c>
      <c r="D454" s="107">
        <f t="shared" ref="D454:D517" si="41">IF((D453-C453)=1,D453-1,D453)</f>
        <v>59</v>
      </c>
      <c r="E454" s="15">
        <f t="shared" si="37"/>
        <v>200</v>
      </c>
      <c r="F454" s="110">
        <f t="shared" si="38"/>
        <v>527</v>
      </c>
    </row>
    <row r="455" spans="2:6" x14ac:dyDescent="0.25">
      <c r="B455" s="105">
        <f t="shared" si="39"/>
        <v>452</v>
      </c>
      <c r="C455" s="107">
        <f t="shared" si="40"/>
        <v>18</v>
      </c>
      <c r="D455" s="107">
        <f t="shared" si="41"/>
        <v>59</v>
      </c>
      <c r="E455" s="15">
        <f t="shared" si="37"/>
        <v>200</v>
      </c>
      <c r="F455" s="110">
        <f t="shared" si="38"/>
        <v>478</v>
      </c>
    </row>
    <row r="456" spans="2:6" x14ac:dyDescent="0.25">
      <c r="B456" s="105">
        <f t="shared" si="39"/>
        <v>453</v>
      </c>
      <c r="C456" s="107">
        <f t="shared" si="40"/>
        <v>19</v>
      </c>
      <c r="D456" s="107">
        <f t="shared" si="41"/>
        <v>59</v>
      </c>
      <c r="E456" s="15">
        <f t="shared" si="37"/>
        <v>200</v>
      </c>
      <c r="F456" s="110">
        <f t="shared" si="38"/>
        <v>474</v>
      </c>
    </row>
    <row r="457" spans="2:6" x14ac:dyDescent="0.25">
      <c r="B457" s="105">
        <f t="shared" si="39"/>
        <v>454</v>
      </c>
      <c r="C457" s="107">
        <f t="shared" si="40"/>
        <v>20</v>
      </c>
      <c r="D457" s="107">
        <f t="shared" si="41"/>
        <v>59</v>
      </c>
      <c r="E457" s="15">
        <f t="shared" si="37"/>
        <v>200</v>
      </c>
      <c r="F457" s="110">
        <f t="shared" si="38"/>
        <v>468</v>
      </c>
    </row>
    <row r="458" spans="2:6" x14ac:dyDescent="0.25">
      <c r="B458" s="105">
        <f t="shared" si="39"/>
        <v>455</v>
      </c>
      <c r="C458" s="107">
        <f t="shared" si="40"/>
        <v>21</v>
      </c>
      <c r="D458" s="107">
        <f t="shared" si="41"/>
        <v>59</v>
      </c>
      <c r="E458" s="15">
        <f t="shared" si="37"/>
        <v>200</v>
      </c>
      <c r="F458" s="110">
        <f t="shared" si="38"/>
        <v>457</v>
      </c>
    </row>
    <row r="459" spans="2:6" x14ac:dyDescent="0.25">
      <c r="B459" s="105">
        <f t="shared" si="39"/>
        <v>456</v>
      </c>
      <c r="C459" s="107">
        <f t="shared" si="40"/>
        <v>22</v>
      </c>
      <c r="D459" s="107">
        <f t="shared" si="41"/>
        <v>59</v>
      </c>
      <c r="E459" s="15">
        <f t="shared" si="37"/>
        <v>200</v>
      </c>
      <c r="F459" s="110">
        <f t="shared" si="38"/>
        <v>452</v>
      </c>
    </row>
    <row r="460" spans="2:6" x14ac:dyDescent="0.25">
      <c r="B460" s="105">
        <f t="shared" si="39"/>
        <v>457</v>
      </c>
      <c r="C460" s="107">
        <f t="shared" si="40"/>
        <v>23</v>
      </c>
      <c r="D460" s="107">
        <f t="shared" si="41"/>
        <v>59</v>
      </c>
      <c r="E460" s="15">
        <f t="shared" si="37"/>
        <v>200</v>
      </c>
      <c r="F460" s="110">
        <f t="shared" si="38"/>
        <v>442</v>
      </c>
    </row>
    <row r="461" spans="2:6" x14ac:dyDescent="0.25">
      <c r="B461" s="105">
        <f t="shared" si="39"/>
        <v>458</v>
      </c>
      <c r="C461" s="107">
        <f t="shared" si="40"/>
        <v>24</v>
      </c>
      <c r="D461" s="107">
        <f t="shared" si="41"/>
        <v>59</v>
      </c>
      <c r="E461" s="15">
        <f t="shared" si="37"/>
        <v>200</v>
      </c>
      <c r="F461" s="110">
        <f t="shared" si="38"/>
        <v>420</v>
      </c>
    </row>
    <row r="462" spans="2:6" x14ac:dyDescent="0.25">
      <c r="B462" s="105">
        <f t="shared" si="39"/>
        <v>459</v>
      </c>
      <c r="C462" s="107">
        <f t="shared" si="40"/>
        <v>25</v>
      </c>
      <c r="D462" s="107">
        <f t="shared" si="41"/>
        <v>59</v>
      </c>
      <c r="E462" s="15">
        <f t="shared" si="37"/>
        <v>200</v>
      </c>
      <c r="F462" s="110">
        <f t="shared" si="38"/>
        <v>410</v>
      </c>
    </row>
    <row r="463" spans="2:6" x14ac:dyDescent="0.25">
      <c r="B463" s="105">
        <f t="shared" si="39"/>
        <v>460</v>
      </c>
      <c r="C463" s="107">
        <f t="shared" si="40"/>
        <v>26</v>
      </c>
      <c r="D463" s="107">
        <f t="shared" si="41"/>
        <v>59</v>
      </c>
      <c r="E463" s="15">
        <f t="shared" si="37"/>
        <v>200</v>
      </c>
      <c r="F463" s="110">
        <f t="shared" si="38"/>
        <v>409</v>
      </c>
    </row>
    <row r="464" spans="2:6" x14ac:dyDescent="0.25">
      <c r="B464" s="105">
        <f t="shared" si="39"/>
        <v>461</v>
      </c>
      <c r="C464" s="107">
        <f t="shared" si="40"/>
        <v>27</v>
      </c>
      <c r="D464" s="107">
        <f t="shared" si="41"/>
        <v>59</v>
      </c>
      <c r="E464" s="15">
        <f t="shared" si="37"/>
        <v>200</v>
      </c>
      <c r="F464" s="110">
        <f t="shared" si="38"/>
        <v>408</v>
      </c>
    </row>
    <row r="465" spans="2:6" x14ac:dyDescent="0.25">
      <c r="B465" s="105">
        <f t="shared" si="39"/>
        <v>462</v>
      </c>
      <c r="C465" s="107">
        <f t="shared" si="40"/>
        <v>28</v>
      </c>
      <c r="D465" s="107">
        <f t="shared" si="41"/>
        <v>59</v>
      </c>
      <c r="E465" s="15">
        <f t="shared" si="37"/>
        <v>200</v>
      </c>
      <c r="F465" s="110">
        <f t="shared" si="38"/>
        <v>404</v>
      </c>
    </row>
    <row r="466" spans="2:6" x14ac:dyDescent="0.25">
      <c r="B466" s="105">
        <f t="shared" si="39"/>
        <v>463</v>
      </c>
      <c r="C466" s="107">
        <f t="shared" si="40"/>
        <v>29</v>
      </c>
      <c r="D466" s="107">
        <f t="shared" si="41"/>
        <v>59</v>
      </c>
      <c r="E466" s="15">
        <f t="shared" si="37"/>
        <v>200</v>
      </c>
      <c r="F466" s="110">
        <f t="shared" si="38"/>
        <v>399</v>
      </c>
    </row>
    <row r="467" spans="2:6" x14ac:dyDescent="0.25">
      <c r="B467" s="105">
        <f t="shared" si="39"/>
        <v>464</v>
      </c>
      <c r="C467" s="107">
        <f t="shared" si="40"/>
        <v>30</v>
      </c>
      <c r="D467" s="107">
        <f t="shared" si="41"/>
        <v>59</v>
      </c>
      <c r="E467" s="15">
        <f t="shared" si="37"/>
        <v>200</v>
      </c>
      <c r="F467" s="110">
        <f t="shared" si="38"/>
        <v>396</v>
      </c>
    </row>
    <row r="468" spans="2:6" x14ac:dyDescent="0.25">
      <c r="B468" s="105">
        <f t="shared" si="39"/>
        <v>465</v>
      </c>
      <c r="C468" s="107">
        <f t="shared" si="40"/>
        <v>31</v>
      </c>
      <c r="D468" s="107">
        <f t="shared" si="41"/>
        <v>59</v>
      </c>
      <c r="E468" s="15">
        <f t="shared" si="37"/>
        <v>200</v>
      </c>
      <c r="F468" s="110">
        <f t="shared" si="38"/>
        <v>384</v>
      </c>
    </row>
    <row r="469" spans="2:6" x14ac:dyDescent="0.25">
      <c r="B469" s="105">
        <f t="shared" si="39"/>
        <v>466</v>
      </c>
      <c r="C469" s="107">
        <f t="shared" si="40"/>
        <v>32</v>
      </c>
      <c r="D469" s="107">
        <f t="shared" si="41"/>
        <v>59</v>
      </c>
      <c r="E469" s="15">
        <f t="shared" si="37"/>
        <v>200</v>
      </c>
      <c r="F469" s="110">
        <f t="shared" si="38"/>
        <v>381</v>
      </c>
    </row>
    <row r="470" spans="2:6" x14ac:dyDescent="0.25">
      <c r="B470" s="105">
        <f t="shared" si="39"/>
        <v>467</v>
      </c>
      <c r="C470" s="107">
        <f t="shared" si="40"/>
        <v>33</v>
      </c>
      <c r="D470" s="107">
        <f t="shared" si="41"/>
        <v>59</v>
      </c>
      <c r="E470" s="15">
        <f t="shared" si="37"/>
        <v>200</v>
      </c>
      <c r="F470" s="110">
        <f t="shared" si="38"/>
        <v>376</v>
      </c>
    </row>
    <row r="471" spans="2:6" x14ac:dyDescent="0.25">
      <c r="B471" s="105">
        <f t="shared" si="39"/>
        <v>468</v>
      </c>
      <c r="C471" s="107">
        <f t="shared" si="40"/>
        <v>34</v>
      </c>
      <c r="D471" s="107">
        <f t="shared" si="41"/>
        <v>59</v>
      </c>
      <c r="E471" s="15">
        <f t="shared" si="37"/>
        <v>200</v>
      </c>
      <c r="F471" s="110">
        <f t="shared" si="38"/>
        <v>370</v>
      </c>
    </row>
    <row r="472" spans="2:6" x14ac:dyDescent="0.25">
      <c r="B472" s="105">
        <f t="shared" si="39"/>
        <v>469</v>
      </c>
      <c r="C472" s="107">
        <f t="shared" si="40"/>
        <v>35</v>
      </c>
      <c r="D472" s="107">
        <f t="shared" si="41"/>
        <v>59</v>
      </c>
      <c r="E472" s="15">
        <f t="shared" si="37"/>
        <v>200</v>
      </c>
      <c r="F472" s="110">
        <f t="shared" si="38"/>
        <v>362</v>
      </c>
    </row>
    <row r="473" spans="2:6" x14ac:dyDescent="0.25">
      <c r="B473" s="105">
        <f t="shared" si="39"/>
        <v>470</v>
      </c>
      <c r="C473" s="107">
        <f t="shared" si="40"/>
        <v>36</v>
      </c>
      <c r="D473" s="107">
        <f t="shared" si="41"/>
        <v>59</v>
      </c>
      <c r="E473" s="15">
        <f t="shared" si="37"/>
        <v>200</v>
      </c>
      <c r="F473" s="110">
        <f t="shared" si="38"/>
        <v>357</v>
      </c>
    </row>
    <row r="474" spans="2:6" x14ac:dyDescent="0.25">
      <c r="B474" s="105">
        <f t="shared" si="39"/>
        <v>471</v>
      </c>
      <c r="C474" s="107">
        <f t="shared" si="40"/>
        <v>37</v>
      </c>
      <c r="D474" s="107">
        <f t="shared" si="41"/>
        <v>59</v>
      </c>
      <c r="E474" s="15">
        <f t="shared" si="37"/>
        <v>200</v>
      </c>
      <c r="F474" s="110">
        <f t="shared" si="38"/>
        <v>351</v>
      </c>
    </row>
    <row r="475" spans="2:6" x14ac:dyDescent="0.25">
      <c r="B475" s="105">
        <f t="shared" si="39"/>
        <v>472</v>
      </c>
      <c r="C475" s="107">
        <f t="shared" si="40"/>
        <v>38</v>
      </c>
      <c r="D475" s="107">
        <f t="shared" si="41"/>
        <v>59</v>
      </c>
      <c r="E475" s="15">
        <f t="shared" si="37"/>
        <v>200</v>
      </c>
      <c r="F475" s="110">
        <f t="shared" si="38"/>
        <v>339</v>
      </c>
    </row>
    <row r="476" spans="2:6" x14ac:dyDescent="0.25">
      <c r="B476" s="105">
        <f t="shared" si="39"/>
        <v>473</v>
      </c>
      <c r="C476" s="107">
        <f t="shared" si="40"/>
        <v>39</v>
      </c>
      <c r="D476" s="107">
        <f t="shared" si="41"/>
        <v>59</v>
      </c>
      <c r="E476" s="15">
        <f t="shared" si="37"/>
        <v>200</v>
      </c>
      <c r="F476" s="110">
        <f t="shared" si="38"/>
        <v>304</v>
      </c>
    </row>
    <row r="477" spans="2:6" x14ac:dyDescent="0.25">
      <c r="B477" s="105">
        <f t="shared" si="39"/>
        <v>474</v>
      </c>
      <c r="C477" s="107">
        <f t="shared" si="40"/>
        <v>40</v>
      </c>
      <c r="D477" s="107">
        <f t="shared" si="41"/>
        <v>59</v>
      </c>
      <c r="E477" s="15">
        <f t="shared" si="37"/>
        <v>200</v>
      </c>
      <c r="F477" s="110">
        <f t="shared" si="38"/>
        <v>301</v>
      </c>
    </row>
    <row r="478" spans="2:6" x14ac:dyDescent="0.25">
      <c r="B478" s="105">
        <f t="shared" si="39"/>
        <v>475</v>
      </c>
      <c r="C478" s="107">
        <f t="shared" si="40"/>
        <v>41</v>
      </c>
      <c r="D478" s="107">
        <f t="shared" si="41"/>
        <v>59</v>
      </c>
      <c r="E478" s="15">
        <f t="shared" si="37"/>
        <v>200</v>
      </c>
      <c r="F478" s="110">
        <f t="shared" si="38"/>
        <v>300</v>
      </c>
    </row>
    <row r="479" spans="2:6" x14ac:dyDescent="0.25">
      <c r="B479" s="105">
        <f t="shared" si="39"/>
        <v>476</v>
      </c>
      <c r="C479" s="107">
        <f t="shared" si="40"/>
        <v>42</v>
      </c>
      <c r="D479" s="107">
        <f t="shared" si="41"/>
        <v>59</v>
      </c>
      <c r="E479" s="15">
        <f t="shared" si="37"/>
        <v>200</v>
      </c>
      <c r="F479" s="110">
        <f t="shared" si="38"/>
        <v>288</v>
      </c>
    </row>
    <row r="480" spans="2:6" x14ac:dyDescent="0.25">
      <c r="B480" s="105">
        <f t="shared" si="39"/>
        <v>477</v>
      </c>
      <c r="C480" s="107">
        <f t="shared" si="40"/>
        <v>43</v>
      </c>
      <c r="D480" s="107">
        <f t="shared" si="41"/>
        <v>59</v>
      </c>
      <c r="E480" s="15">
        <f t="shared" si="37"/>
        <v>200</v>
      </c>
      <c r="F480" s="110">
        <f t="shared" si="38"/>
        <v>273</v>
      </c>
    </row>
    <row r="481" spans="2:6" x14ac:dyDescent="0.25">
      <c r="B481" s="105">
        <f t="shared" si="39"/>
        <v>478</v>
      </c>
      <c r="C481" s="107">
        <f t="shared" si="40"/>
        <v>44</v>
      </c>
      <c r="D481" s="107">
        <f t="shared" si="41"/>
        <v>59</v>
      </c>
      <c r="E481" s="15">
        <f t="shared" si="37"/>
        <v>200</v>
      </c>
      <c r="F481" s="110">
        <f t="shared" si="38"/>
        <v>268</v>
      </c>
    </row>
    <row r="482" spans="2:6" x14ac:dyDescent="0.25">
      <c r="B482" s="105">
        <f t="shared" si="39"/>
        <v>479</v>
      </c>
      <c r="C482" s="107">
        <f t="shared" si="40"/>
        <v>45</v>
      </c>
      <c r="D482" s="107">
        <f t="shared" si="41"/>
        <v>59</v>
      </c>
      <c r="E482" s="15">
        <f t="shared" si="37"/>
        <v>200</v>
      </c>
      <c r="F482" s="110">
        <f t="shared" si="38"/>
        <v>262</v>
      </c>
    </row>
    <row r="483" spans="2:6" x14ac:dyDescent="0.25">
      <c r="B483" s="105">
        <f t="shared" si="39"/>
        <v>480</v>
      </c>
      <c r="C483" s="107">
        <f t="shared" si="40"/>
        <v>46</v>
      </c>
      <c r="D483" s="107">
        <f t="shared" si="41"/>
        <v>59</v>
      </c>
      <c r="E483" s="15">
        <f t="shared" si="37"/>
        <v>200</v>
      </c>
      <c r="F483" s="110">
        <f t="shared" si="38"/>
        <v>248</v>
      </c>
    </row>
    <row r="484" spans="2:6" x14ac:dyDescent="0.25">
      <c r="B484" s="105">
        <f t="shared" si="39"/>
        <v>481</v>
      </c>
      <c r="C484" s="107">
        <f t="shared" si="40"/>
        <v>47</v>
      </c>
      <c r="D484" s="107">
        <f t="shared" si="41"/>
        <v>59</v>
      </c>
      <c r="E484" s="15">
        <f t="shared" si="37"/>
        <v>200</v>
      </c>
      <c r="F484" s="110">
        <f t="shared" si="38"/>
        <v>246</v>
      </c>
    </row>
    <row r="485" spans="2:6" x14ac:dyDescent="0.25">
      <c r="B485" s="105">
        <f t="shared" si="39"/>
        <v>482</v>
      </c>
      <c r="C485" s="107">
        <f t="shared" si="40"/>
        <v>48</v>
      </c>
      <c r="D485" s="107">
        <f t="shared" si="41"/>
        <v>59</v>
      </c>
      <c r="E485" s="15">
        <f t="shared" si="37"/>
        <v>200</v>
      </c>
      <c r="F485" s="110">
        <f t="shared" si="38"/>
        <v>236</v>
      </c>
    </row>
    <row r="486" spans="2:6" x14ac:dyDescent="0.25">
      <c r="B486" s="105">
        <f t="shared" si="39"/>
        <v>483</v>
      </c>
      <c r="C486" s="107">
        <f t="shared" si="40"/>
        <v>49</v>
      </c>
      <c r="D486" s="107">
        <f t="shared" si="41"/>
        <v>59</v>
      </c>
      <c r="E486" s="15">
        <f t="shared" si="37"/>
        <v>200</v>
      </c>
      <c r="F486" s="110">
        <f t="shared" si="38"/>
        <v>231</v>
      </c>
    </row>
    <row r="487" spans="2:6" x14ac:dyDescent="0.25">
      <c r="B487" s="105">
        <f t="shared" si="39"/>
        <v>484</v>
      </c>
      <c r="C487" s="107">
        <f t="shared" si="40"/>
        <v>50</v>
      </c>
      <c r="D487" s="107">
        <f t="shared" si="41"/>
        <v>59</v>
      </c>
      <c r="E487" s="15">
        <f t="shared" si="37"/>
        <v>200</v>
      </c>
      <c r="F487" s="110">
        <f t="shared" si="38"/>
        <v>227</v>
      </c>
    </row>
    <row r="488" spans="2:6" x14ac:dyDescent="0.25">
      <c r="B488" s="105">
        <f t="shared" si="39"/>
        <v>485</v>
      </c>
      <c r="C488" s="107">
        <f t="shared" si="40"/>
        <v>51</v>
      </c>
      <c r="D488" s="107">
        <f t="shared" si="41"/>
        <v>59</v>
      </c>
      <c r="E488" s="15">
        <f t="shared" si="37"/>
        <v>200</v>
      </c>
      <c r="F488" s="110">
        <f t="shared" si="38"/>
        <v>224</v>
      </c>
    </row>
    <row r="489" spans="2:6" x14ac:dyDescent="0.25">
      <c r="B489" s="105">
        <f t="shared" si="39"/>
        <v>486</v>
      </c>
      <c r="C489" s="107">
        <f t="shared" si="40"/>
        <v>52</v>
      </c>
      <c r="D489" s="107">
        <f t="shared" si="41"/>
        <v>59</v>
      </c>
      <c r="E489" s="15">
        <f t="shared" si="37"/>
        <v>200</v>
      </c>
      <c r="F489" s="110">
        <f t="shared" si="38"/>
        <v>217</v>
      </c>
    </row>
    <row r="490" spans="2:6" x14ac:dyDescent="0.25">
      <c r="B490" s="105">
        <f t="shared" si="39"/>
        <v>487</v>
      </c>
      <c r="C490" s="107">
        <f t="shared" si="40"/>
        <v>53</v>
      </c>
      <c r="D490" s="107">
        <f t="shared" si="41"/>
        <v>59</v>
      </c>
      <c r="E490" s="15">
        <f t="shared" si="37"/>
        <v>200</v>
      </c>
      <c r="F490" s="110">
        <f t="shared" si="38"/>
        <v>213</v>
      </c>
    </row>
    <row r="491" spans="2:6" x14ac:dyDescent="0.25">
      <c r="B491" s="105">
        <f t="shared" si="39"/>
        <v>488</v>
      </c>
      <c r="C491" s="107">
        <f t="shared" si="40"/>
        <v>54</v>
      </c>
      <c r="D491" s="107">
        <f t="shared" si="41"/>
        <v>59</v>
      </c>
      <c r="E491" s="15">
        <f t="shared" si="37"/>
        <v>200</v>
      </c>
      <c r="F491" s="110">
        <f t="shared" si="38"/>
        <v>212</v>
      </c>
    </row>
    <row r="492" spans="2:6" x14ac:dyDescent="0.25">
      <c r="B492" s="105">
        <f t="shared" si="39"/>
        <v>489</v>
      </c>
      <c r="C492" s="107">
        <f t="shared" si="40"/>
        <v>55</v>
      </c>
      <c r="D492" s="107">
        <f t="shared" si="41"/>
        <v>59</v>
      </c>
      <c r="E492" s="15">
        <f t="shared" si="37"/>
        <v>200</v>
      </c>
      <c r="F492" s="110">
        <f t="shared" si="38"/>
        <v>211</v>
      </c>
    </row>
    <row r="493" spans="2:6" x14ac:dyDescent="0.25">
      <c r="B493" s="105">
        <f t="shared" si="39"/>
        <v>490</v>
      </c>
      <c r="C493" s="107">
        <f t="shared" si="40"/>
        <v>56</v>
      </c>
      <c r="D493" s="107">
        <f t="shared" si="41"/>
        <v>59</v>
      </c>
      <c r="E493" s="15">
        <f t="shared" si="37"/>
        <v>200</v>
      </c>
      <c r="F493" s="110">
        <f t="shared" si="38"/>
        <v>209</v>
      </c>
    </row>
    <row r="494" spans="2:6" x14ac:dyDescent="0.25">
      <c r="B494" s="105">
        <f t="shared" si="39"/>
        <v>491</v>
      </c>
      <c r="C494" s="107">
        <f t="shared" si="40"/>
        <v>57</v>
      </c>
      <c r="D494" s="107">
        <f t="shared" si="41"/>
        <v>59</v>
      </c>
      <c r="E494" s="15">
        <f t="shared" si="37"/>
        <v>200</v>
      </c>
      <c r="F494" s="110">
        <f t="shared" si="38"/>
        <v>208</v>
      </c>
    </row>
    <row r="495" spans="2:6" x14ac:dyDescent="0.25">
      <c r="B495" s="105">
        <f t="shared" si="39"/>
        <v>492</v>
      </c>
      <c r="C495" s="107">
        <f t="shared" si="40"/>
        <v>58</v>
      </c>
      <c r="D495" s="107">
        <f t="shared" si="41"/>
        <v>59</v>
      </c>
      <c r="E495" s="15">
        <f t="shared" si="37"/>
        <v>200</v>
      </c>
      <c r="F495" s="110">
        <f t="shared" si="38"/>
        <v>204</v>
      </c>
    </row>
    <row r="496" spans="2:6" x14ac:dyDescent="0.25">
      <c r="B496" s="105">
        <f t="shared" si="39"/>
        <v>493</v>
      </c>
      <c r="C496" s="107">
        <f t="shared" si="40"/>
        <v>1</v>
      </c>
      <c r="D496" s="107">
        <f t="shared" si="41"/>
        <v>58</v>
      </c>
      <c r="E496" s="15">
        <f t="shared" si="37"/>
        <v>204</v>
      </c>
      <c r="F496" s="110">
        <f t="shared" si="38"/>
        <v>1048</v>
      </c>
    </row>
    <row r="497" spans="2:6" x14ac:dyDescent="0.25">
      <c r="B497" s="105">
        <f t="shared" si="39"/>
        <v>494</v>
      </c>
      <c r="C497" s="107">
        <f t="shared" si="40"/>
        <v>2</v>
      </c>
      <c r="D497" s="107">
        <f t="shared" si="41"/>
        <v>58</v>
      </c>
      <c r="E497" s="15">
        <f t="shared" si="37"/>
        <v>204</v>
      </c>
      <c r="F497" s="110">
        <f t="shared" si="38"/>
        <v>1025</v>
      </c>
    </row>
    <row r="498" spans="2:6" x14ac:dyDescent="0.25">
      <c r="B498" s="105">
        <f t="shared" si="39"/>
        <v>495</v>
      </c>
      <c r="C498" s="107">
        <f t="shared" si="40"/>
        <v>3</v>
      </c>
      <c r="D498" s="107">
        <f t="shared" si="41"/>
        <v>58</v>
      </c>
      <c r="E498" s="15">
        <f t="shared" si="37"/>
        <v>204</v>
      </c>
      <c r="F498" s="110">
        <f t="shared" si="38"/>
        <v>805</v>
      </c>
    </row>
    <row r="499" spans="2:6" x14ac:dyDescent="0.25">
      <c r="B499" s="108">
        <f t="shared" si="39"/>
        <v>496</v>
      </c>
      <c r="C499" s="109">
        <f t="shared" si="40"/>
        <v>4</v>
      </c>
      <c r="D499" s="109">
        <f t="shared" si="41"/>
        <v>58</v>
      </c>
      <c r="E499" s="15">
        <f t="shared" si="37"/>
        <v>204</v>
      </c>
      <c r="F499" s="110">
        <f t="shared" si="38"/>
        <v>666</v>
      </c>
    </row>
    <row r="500" spans="2:6" x14ac:dyDescent="0.25">
      <c r="B500" s="105">
        <f t="shared" si="39"/>
        <v>497</v>
      </c>
      <c r="C500" s="107">
        <f t="shared" si="40"/>
        <v>5</v>
      </c>
      <c r="D500" s="107">
        <f t="shared" si="41"/>
        <v>58</v>
      </c>
      <c r="E500" s="15">
        <f t="shared" si="37"/>
        <v>204</v>
      </c>
      <c r="F500" s="110">
        <f t="shared" si="38"/>
        <v>655</v>
      </c>
    </row>
    <row r="501" spans="2:6" x14ac:dyDescent="0.25">
      <c r="B501" s="105">
        <f t="shared" si="39"/>
        <v>498</v>
      </c>
      <c r="C501" s="107">
        <f t="shared" si="40"/>
        <v>6</v>
      </c>
      <c r="D501" s="107">
        <f t="shared" si="41"/>
        <v>58</v>
      </c>
      <c r="E501" s="15">
        <f t="shared" si="37"/>
        <v>204</v>
      </c>
      <c r="F501" s="110">
        <f t="shared" si="38"/>
        <v>652</v>
      </c>
    </row>
    <row r="502" spans="2:6" x14ac:dyDescent="0.25">
      <c r="B502" s="105">
        <f t="shared" si="39"/>
        <v>499</v>
      </c>
      <c r="C502" s="107">
        <f t="shared" si="40"/>
        <v>7</v>
      </c>
      <c r="D502" s="107">
        <f t="shared" si="41"/>
        <v>58</v>
      </c>
      <c r="E502" s="15">
        <f t="shared" si="37"/>
        <v>204</v>
      </c>
      <c r="F502" s="110">
        <f t="shared" si="38"/>
        <v>633</v>
      </c>
    </row>
    <row r="503" spans="2:6" x14ac:dyDescent="0.25">
      <c r="B503" s="105">
        <f t="shared" si="39"/>
        <v>500</v>
      </c>
      <c r="C503" s="107">
        <f t="shared" si="40"/>
        <v>8</v>
      </c>
      <c r="D503" s="107">
        <f t="shared" si="41"/>
        <v>58</v>
      </c>
      <c r="E503" s="15">
        <f t="shared" si="37"/>
        <v>204</v>
      </c>
      <c r="F503" s="110">
        <f t="shared" si="38"/>
        <v>632</v>
      </c>
    </row>
    <row r="504" spans="2:6" x14ac:dyDescent="0.25">
      <c r="B504" s="105">
        <f t="shared" si="39"/>
        <v>501</v>
      </c>
      <c r="C504" s="107">
        <f t="shared" si="40"/>
        <v>9</v>
      </c>
      <c r="D504" s="107">
        <f t="shared" si="41"/>
        <v>58</v>
      </c>
      <c r="E504" s="15">
        <f t="shared" si="37"/>
        <v>204</v>
      </c>
      <c r="F504" s="110">
        <f t="shared" si="38"/>
        <v>625</v>
      </c>
    </row>
    <row r="505" spans="2:6" x14ac:dyDescent="0.25">
      <c r="B505" s="105">
        <f t="shared" si="39"/>
        <v>502</v>
      </c>
      <c r="C505" s="107">
        <f t="shared" si="40"/>
        <v>10</v>
      </c>
      <c r="D505" s="107">
        <f t="shared" si="41"/>
        <v>58</v>
      </c>
      <c r="E505" s="15">
        <f t="shared" si="37"/>
        <v>204</v>
      </c>
      <c r="F505" s="110">
        <f t="shared" si="38"/>
        <v>619</v>
      </c>
    </row>
    <row r="506" spans="2:6" x14ac:dyDescent="0.25">
      <c r="B506" s="105">
        <f t="shared" si="39"/>
        <v>503</v>
      </c>
      <c r="C506" s="107">
        <f t="shared" si="40"/>
        <v>11</v>
      </c>
      <c r="D506" s="107">
        <f t="shared" si="41"/>
        <v>58</v>
      </c>
      <c r="E506" s="15">
        <f t="shared" si="37"/>
        <v>204</v>
      </c>
      <c r="F506" s="110">
        <f t="shared" si="38"/>
        <v>610</v>
      </c>
    </row>
    <row r="507" spans="2:6" x14ac:dyDescent="0.25">
      <c r="B507" s="105">
        <f t="shared" si="39"/>
        <v>504</v>
      </c>
      <c r="C507" s="107">
        <f t="shared" si="40"/>
        <v>12</v>
      </c>
      <c r="D507" s="107">
        <f t="shared" si="41"/>
        <v>58</v>
      </c>
      <c r="E507" s="15">
        <f t="shared" si="37"/>
        <v>204</v>
      </c>
      <c r="F507" s="110">
        <f t="shared" si="38"/>
        <v>599</v>
      </c>
    </row>
    <row r="508" spans="2:6" x14ac:dyDescent="0.25">
      <c r="B508" s="105">
        <f t="shared" si="39"/>
        <v>505</v>
      </c>
      <c r="C508" s="107">
        <f t="shared" si="40"/>
        <v>13</v>
      </c>
      <c r="D508" s="107">
        <f t="shared" si="41"/>
        <v>58</v>
      </c>
      <c r="E508" s="15">
        <f t="shared" si="37"/>
        <v>204</v>
      </c>
      <c r="F508" s="110">
        <f t="shared" si="38"/>
        <v>559</v>
      </c>
    </row>
    <row r="509" spans="2:6" x14ac:dyDescent="0.25">
      <c r="B509" s="105">
        <f t="shared" si="39"/>
        <v>506</v>
      </c>
      <c r="C509" s="107">
        <f t="shared" si="40"/>
        <v>14</v>
      </c>
      <c r="D509" s="107">
        <f t="shared" si="41"/>
        <v>58</v>
      </c>
      <c r="E509" s="15">
        <f t="shared" si="37"/>
        <v>204</v>
      </c>
      <c r="F509" s="110">
        <f t="shared" si="38"/>
        <v>556</v>
      </c>
    </row>
    <row r="510" spans="2:6" x14ac:dyDescent="0.25">
      <c r="B510" s="105">
        <f t="shared" si="39"/>
        <v>507</v>
      </c>
      <c r="C510" s="107">
        <f t="shared" si="40"/>
        <v>15</v>
      </c>
      <c r="D510" s="107">
        <f t="shared" si="41"/>
        <v>58</v>
      </c>
      <c r="E510" s="15">
        <f t="shared" si="37"/>
        <v>204</v>
      </c>
      <c r="F510" s="110">
        <f t="shared" si="38"/>
        <v>540</v>
      </c>
    </row>
    <row r="511" spans="2:6" x14ac:dyDescent="0.25">
      <c r="B511" s="105">
        <f t="shared" si="39"/>
        <v>508</v>
      </c>
      <c r="C511" s="107">
        <f t="shared" si="40"/>
        <v>16</v>
      </c>
      <c r="D511" s="107">
        <f t="shared" si="41"/>
        <v>58</v>
      </c>
      <c r="E511" s="15">
        <f t="shared" si="37"/>
        <v>204</v>
      </c>
      <c r="F511" s="110">
        <f t="shared" si="38"/>
        <v>536</v>
      </c>
    </row>
    <row r="512" spans="2:6" x14ac:dyDescent="0.25">
      <c r="B512" s="105">
        <f t="shared" si="39"/>
        <v>509</v>
      </c>
      <c r="C512" s="107">
        <f t="shared" si="40"/>
        <v>17</v>
      </c>
      <c r="D512" s="107">
        <f t="shared" si="41"/>
        <v>58</v>
      </c>
      <c r="E512" s="15">
        <f t="shared" si="37"/>
        <v>204</v>
      </c>
      <c r="F512" s="110">
        <f t="shared" si="38"/>
        <v>527</v>
      </c>
    </row>
    <row r="513" spans="2:6" x14ac:dyDescent="0.25">
      <c r="B513" s="105">
        <f t="shared" si="39"/>
        <v>510</v>
      </c>
      <c r="C513" s="107">
        <f t="shared" si="40"/>
        <v>18</v>
      </c>
      <c r="D513" s="107">
        <f t="shared" si="41"/>
        <v>58</v>
      </c>
      <c r="E513" s="15">
        <f t="shared" si="37"/>
        <v>204</v>
      </c>
      <c r="F513" s="110">
        <f t="shared" si="38"/>
        <v>478</v>
      </c>
    </row>
    <row r="514" spans="2:6" x14ac:dyDescent="0.25">
      <c r="B514" s="105">
        <f t="shared" si="39"/>
        <v>511</v>
      </c>
      <c r="C514" s="107">
        <f t="shared" si="40"/>
        <v>19</v>
      </c>
      <c r="D514" s="107">
        <f t="shared" si="41"/>
        <v>58</v>
      </c>
      <c r="E514" s="15">
        <f t="shared" si="37"/>
        <v>204</v>
      </c>
      <c r="F514" s="110">
        <f t="shared" si="38"/>
        <v>474</v>
      </c>
    </row>
    <row r="515" spans="2:6" x14ac:dyDescent="0.25">
      <c r="B515" s="105">
        <f t="shared" si="39"/>
        <v>512</v>
      </c>
      <c r="C515" s="107">
        <f t="shared" si="40"/>
        <v>20</v>
      </c>
      <c r="D515" s="107">
        <f t="shared" si="41"/>
        <v>58</v>
      </c>
      <c r="E515" s="15">
        <f t="shared" si="37"/>
        <v>204</v>
      </c>
      <c r="F515" s="110">
        <f t="shared" si="38"/>
        <v>468</v>
      </c>
    </row>
    <row r="516" spans="2:6" x14ac:dyDescent="0.25">
      <c r="B516" s="105">
        <f t="shared" si="39"/>
        <v>513</v>
      </c>
      <c r="C516" s="107">
        <f t="shared" si="40"/>
        <v>21</v>
      </c>
      <c r="D516" s="107">
        <f t="shared" si="41"/>
        <v>58</v>
      </c>
      <c r="E516" s="15">
        <f t="shared" ref="E516:E579" si="42">IFERROR(VLOOKUP(D516,$H$4:$I$69,2,0),"")</f>
        <v>204</v>
      </c>
      <c r="F516" s="110">
        <f t="shared" ref="F516:F579" si="43">IFERROR(VLOOKUP(C516,$H$4:$I$69,2,0),"")</f>
        <v>457</v>
      </c>
    </row>
    <row r="517" spans="2:6" x14ac:dyDescent="0.25">
      <c r="B517" s="105">
        <f t="shared" ref="B517:B580" si="44">ROW()-3</f>
        <v>514</v>
      </c>
      <c r="C517" s="107">
        <f t="shared" si="40"/>
        <v>22</v>
      </c>
      <c r="D517" s="107">
        <f t="shared" si="41"/>
        <v>58</v>
      </c>
      <c r="E517" s="15">
        <f t="shared" si="42"/>
        <v>204</v>
      </c>
      <c r="F517" s="110">
        <f t="shared" si="43"/>
        <v>452</v>
      </c>
    </row>
    <row r="518" spans="2:6" x14ac:dyDescent="0.25">
      <c r="B518" s="105">
        <f t="shared" si="44"/>
        <v>515</v>
      </c>
      <c r="C518" s="107">
        <f t="shared" ref="C518:C581" si="45">IF((D517-C517)=1,1,C517+1)</f>
        <v>23</v>
      </c>
      <c r="D518" s="107">
        <f t="shared" ref="D518:D581" si="46">IF((D517-C517)=1,D517-1,D517)</f>
        <v>58</v>
      </c>
      <c r="E518" s="15">
        <f t="shared" si="42"/>
        <v>204</v>
      </c>
      <c r="F518" s="110">
        <f t="shared" si="43"/>
        <v>442</v>
      </c>
    </row>
    <row r="519" spans="2:6" x14ac:dyDescent="0.25">
      <c r="B519" s="105">
        <f t="shared" si="44"/>
        <v>516</v>
      </c>
      <c r="C519" s="107">
        <f t="shared" si="45"/>
        <v>24</v>
      </c>
      <c r="D519" s="107">
        <f t="shared" si="46"/>
        <v>58</v>
      </c>
      <c r="E519" s="15">
        <f t="shared" si="42"/>
        <v>204</v>
      </c>
      <c r="F519" s="110">
        <f t="shared" si="43"/>
        <v>420</v>
      </c>
    </row>
    <row r="520" spans="2:6" x14ac:dyDescent="0.25">
      <c r="B520" s="105">
        <f t="shared" si="44"/>
        <v>517</v>
      </c>
      <c r="C520" s="107">
        <f t="shared" si="45"/>
        <v>25</v>
      </c>
      <c r="D520" s="107">
        <f t="shared" si="46"/>
        <v>58</v>
      </c>
      <c r="E520" s="15">
        <f t="shared" si="42"/>
        <v>204</v>
      </c>
      <c r="F520" s="110">
        <f t="shared" si="43"/>
        <v>410</v>
      </c>
    </row>
    <row r="521" spans="2:6" x14ac:dyDescent="0.25">
      <c r="B521" s="105">
        <f t="shared" si="44"/>
        <v>518</v>
      </c>
      <c r="C521" s="107">
        <f t="shared" si="45"/>
        <v>26</v>
      </c>
      <c r="D521" s="107">
        <f t="shared" si="46"/>
        <v>58</v>
      </c>
      <c r="E521" s="15">
        <f t="shared" si="42"/>
        <v>204</v>
      </c>
      <c r="F521" s="110">
        <f t="shared" si="43"/>
        <v>409</v>
      </c>
    </row>
    <row r="522" spans="2:6" x14ac:dyDescent="0.25">
      <c r="B522" s="105">
        <f t="shared" si="44"/>
        <v>519</v>
      </c>
      <c r="C522" s="107">
        <f t="shared" si="45"/>
        <v>27</v>
      </c>
      <c r="D522" s="107">
        <f t="shared" si="46"/>
        <v>58</v>
      </c>
      <c r="E522" s="15">
        <f t="shared" si="42"/>
        <v>204</v>
      </c>
      <c r="F522" s="110">
        <f t="shared" si="43"/>
        <v>408</v>
      </c>
    </row>
    <row r="523" spans="2:6" x14ac:dyDescent="0.25">
      <c r="B523" s="105">
        <f t="shared" si="44"/>
        <v>520</v>
      </c>
      <c r="C523" s="107">
        <f t="shared" si="45"/>
        <v>28</v>
      </c>
      <c r="D523" s="107">
        <f t="shared" si="46"/>
        <v>58</v>
      </c>
      <c r="E523" s="15">
        <f t="shared" si="42"/>
        <v>204</v>
      </c>
      <c r="F523" s="110">
        <f t="shared" si="43"/>
        <v>404</v>
      </c>
    </row>
    <row r="524" spans="2:6" x14ac:dyDescent="0.25">
      <c r="B524" s="105">
        <f t="shared" si="44"/>
        <v>521</v>
      </c>
      <c r="C524" s="107">
        <f t="shared" si="45"/>
        <v>29</v>
      </c>
      <c r="D524" s="107">
        <f t="shared" si="46"/>
        <v>58</v>
      </c>
      <c r="E524" s="15">
        <f t="shared" si="42"/>
        <v>204</v>
      </c>
      <c r="F524" s="110">
        <f t="shared" si="43"/>
        <v>399</v>
      </c>
    </row>
    <row r="525" spans="2:6" x14ac:dyDescent="0.25">
      <c r="B525" s="105">
        <f t="shared" si="44"/>
        <v>522</v>
      </c>
      <c r="C525" s="107">
        <f t="shared" si="45"/>
        <v>30</v>
      </c>
      <c r="D525" s="107">
        <f t="shared" si="46"/>
        <v>58</v>
      </c>
      <c r="E525" s="15">
        <f t="shared" si="42"/>
        <v>204</v>
      </c>
      <c r="F525" s="110">
        <f t="shared" si="43"/>
        <v>396</v>
      </c>
    </row>
    <row r="526" spans="2:6" x14ac:dyDescent="0.25">
      <c r="B526" s="105">
        <f t="shared" si="44"/>
        <v>523</v>
      </c>
      <c r="C526" s="107">
        <f t="shared" si="45"/>
        <v>31</v>
      </c>
      <c r="D526" s="107">
        <f t="shared" si="46"/>
        <v>58</v>
      </c>
      <c r="E526" s="15">
        <f t="shared" si="42"/>
        <v>204</v>
      </c>
      <c r="F526" s="110">
        <f t="shared" si="43"/>
        <v>384</v>
      </c>
    </row>
    <row r="527" spans="2:6" x14ac:dyDescent="0.25">
      <c r="B527" s="105">
        <f t="shared" si="44"/>
        <v>524</v>
      </c>
      <c r="C527" s="107">
        <f t="shared" si="45"/>
        <v>32</v>
      </c>
      <c r="D527" s="107">
        <f t="shared" si="46"/>
        <v>58</v>
      </c>
      <c r="E527" s="15">
        <f t="shared" si="42"/>
        <v>204</v>
      </c>
      <c r="F527" s="110">
        <f t="shared" si="43"/>
        <v>381</v>
      </c>
    </row>
    <row r="528" spans="2:6" x14ac:dyDescent="0.25">
      <c r="B528" s="105">
        <f t="shared" si="44"/>
        <v>525</v>
      </c>
      <c r="C528" s="107">
        <f t="shared" si="45"/>
        <v>33</v>
      </c>
      <c r="D528" s="107">
        <f t="shared" si="46"/>
        <v>58</v>
      </c>
      <c r="E528" s="15">
        <f t="shared" si="42"/>
        <v>204</v>
      </c>
      <c r="F528" s="110">
        <f t="shared" si="43"/>
        <v>376</v>
      </c>
    </row>
    <row r="529" spans="2:6" x14ac:dyDescent="0.25">
      <c r="B529" s="105">
        <f t="shared" si="44"/>
        <v>526</v>
      </c>
      <c r="C529" s="107">
        <f t="shared" si="45"/>
        <v>34</v>
      </c>
      <c r="D529" s="107">
        <f t="shared" si="46"/>
        <v>58</v>
      </c>
      <c r="E529" s="15">
        <f t="shared" si="42"/>
        <v>204</v>
      </c>
      <c r="F529" s="110">
        <f t="shared" si="43"/>
        <v>370</v>
      </c>
    </row>
    <row r="530" spans="2:6" x14ac:dyDescent="0.25">
      <c r="B530" s="105">
        <f t="shared" si="44"/>
        <v>527</v>
      </c>
      <c r="C530" s="107">
        <f t="shared" si="45"/>
        <v>35</v>
      </c>
      <c r="D530" s="107">
        <f t="shared" si="46"/>
        <v>58</v>
      </c>
      <c r="E530" s="15">
        <f t="shared" si="42"/>
        <v>204</v>
      </c>
      <c r="F530" s="110">
        <f t="shared" si="43"/>
        <v>362</v>
      </c>
    </row>
    <row r="531" spans="2:6" x14ac:dyDescent="0.25">
      <c r="B531" s="105">
        <f t="shared" si="44"/>
        <v>528</v>
      </c>
      <c r="C531" s="107">
        <f t="shared" si="45"/>
        <v>36</v>
      </c>
      <c r="D531" s="107">
        <f t="shared" si="46"/>
        <v>58</v>
      </c>
      <c r="E531" s="15">
        <f t="shared" si="42"/>
        <v>204</v>
      </c>
      <c r="F531" s="110">
        <f t="shared" si="43"/>
        <v>357</v>
      </c>
    </row>
    <row r="532" spans="2:6" x14ac:dyDescent="0.25">
      <c r="B532" s="105">
        <f t="shared" si="44"/>
        <v>529</v>
      </c>
      <c r="C532" s="107">
        <f t="shared" si="45"/>
        <v>37</v>
      </c>
      <c r="D532" s="107">
        <f t="shared" si="46"/>
        <v>58</v>
      </c>
      <c r="E532" s="15">
        <f t="shared" si="42"/>
        <v>204</v>
      </c>
      <c r="F532" s="110">
        <f t="shared" si="43"/>
        <v>351</v>
      </c>
    </row>
    <row r="533" spans="2:6" x14ac:dyDescent="0.25">
      <c r="B533" s="105">
        <f t="shared" si="44"/>
        <v>530</v>
      </c>
      <c r="C533" s="107">
        <f t="shared" si="45"/>
        <v>38</v>
      </c>
      <c r="D533" s="107">
        <f t="shared" si="46"/>
        <v>58</v>
      </c>
      <c r="E533" s="15">
        <f t="shared" si="42"/>
        <v>204</v>
      </c>
      <c r="F533" s="110">
        <f t="shared" si="43"/>
        <v>339</v>
      </c>
    </row>
    <row r="534" spans="2:6" x14ac:dyDescent="0.25">
      <c r="B534" s="105">
        <f t="shared" si="44"/>
        <v>531</v>
      </c>
      <c r="C534" s="107">
        <f t="shared" si="45"/>
        <v>39</v>
      </c>
      <c r="D534" s="107">
        <f t="shared" si="46"/>
        <v>58</v>
      </c>
      <c r="E534" s="15">
        <f t="shared" si="42"/>
        <v>204</v>
      </c>
      <c r="F534" s="110">
        <f t="shared" si="43"/>
        <v>304</v>
      </c>
    </row>
    <row r="535" spans="2:6" x14ac:dyDescent="0.25">
      <c r="B535" s="105">
        <f t="shared" si="44"/>
        <v>532</v>
      </c>
      <c r="C535" s="107">
        <f t="shared" si="45"/>
        <v>40</v>
      </c>
      <c r="D535" s="107">
        <f t="shared" si="46"/>
        <v>58</v>
      </c>
      <c r="E535" s="15">
        <f t="shared" si="42"/>
        <v>204</v>
      </c>
      <c r="F535" s="110">
        <f t="shared" si="43"/>
        <v>301</v>
      </c>
    </row>
    <row r="536" spans="2:6" x14ac:dyDescent="0.25">
      <c r="B536" s="105">
        <f t="shared" si="44"/>
        <v>533</v>
      </c>
      <c r="C536" s="107">
        <f t="shared" si="45"/>
        <v>41</v>
      </c>
      <c r="D536" s="107">
        <f t="shared" si="46"/>
        <v>58</v>
      </c>
      <c r="E536" s="15">
        <f t="shared" si="42"/>
        <v>204</v>
      </c>
      <c r="F536" s="110">
        <f t="shared" si="43"/>
        <v>300</v>
      </c>
    </row>
    <row r="537" spans="2:6" x14ac:dyDescent="0.25">
      <c r="B537" s="105">
        <f t="shared" si="44"/>
        <v>534</v>
      </c>
      <c r="C537" s="107">
        <f t="shared" si="45"/>
        <v>42</v>
      </c>
      <c r="D537" s="107">
        <f t="shared" si="46"/>
        <v>58</v>
      </c>
      <c r="E537" s="15">
        <f t="shared" si="42"/>
        <v>204</v>
      </c>
      <c r="F537" s="110">
        <f t="shared" si="43"/>
        <v>288</v>
      </c>
    </row>
    <row r="538" spans="2:6" x14ac:dyDescent="0.25">
      <c r="B538" s="105">
        <f t="shared" si="44"/>
        <v>535</v>
      </c>
      <c r="C538" s="107">
        <f t="shared" si="45"/>
        <v>43</v>
      </c>
      <c r="D538" s="107">
        <f t="shared" si="46"/>
        <v>58</v>
      </c>
      <c r="E538" s="15">
        <f t="shared" si="42"/>
        <v>204</v>
      </c>
      <c r="F538" s="110">
        <f t="shared" si="43"/>
        <v>273</v>
      </c>
    </row>
    <row r="539" spans="2:6" x14ac:dyDescent="0.25">
      <c r="B539" s="105">
        <f t="shared" si="44"/>
        <v>536</v>
      </c>
      <c r="C539" s="107">
        <f t="shared" si="45"/>
        <v>44</v>
      </c>
      <c r="D539" s="107">
        <f t="shared" si="46"/>
        <v>58</v>
      </c>
      <c r="E539" s="15">
        <f t="shared" si="42"/>
        <v>204</v>
      </c>
      <c r="F539" s="110">
        <f t="shared" si="43"/>
        <v>268</v>
      </c>
    </row>
    <row r="540" spans="2:6" x14ac:dyDescent="0.25">
      <c r="B540" s="105">
        <f t="shared" si="44"/>
        <v>537</v>
      </c>
      <c r="C540" s="107">
        <f t="shared" si="45"/>
        <v>45</v>
      </c>
      <c r="D540" s="107">
        <f t="shared" si="46"/>
        <v>58</v>
      </c>
      <c r="E540" s="15">
        <f t="shared" si="42"/>
        <v>204</v>
      </c>
      <c r="F540" s="110">
        <f t="shared" si="43"/>
        <v>262</v>
      </c>
    </row>
    <row r="541" spans="2:6" x14ac:dyDescent="0.25">
      <c r="B541" s="105">
        <f t="shared" si="44"/>
        <v>538</v>
      </c>
      <c r="C541" s="107">
        <f t="shared" si="45"/>
        <v>46</v>
      </c>
      <c r="D541" s="107">
        <f t="shared" si="46"/>
        <v>58</v>
      </c>
      <c r="E541" s="15">
        <f t="shared" si="42"/>
        <v>204</v>
      </c>
      <c r="F541" s="110">
        <f t="shared" si="43"/>
        <v>248</v>
      </c>
    </row>
    <row r="542" spans="2:6" x14ac:dyDescent="0.25">
      <c r="B542" s="105">
        <f t="shared" si="44"/>
        <v>539</v>
      </c>
      <c r="C542" s="107">
        <f t="shared" si="45"/>
        <v>47</v>
      </c>
      <c r="D542" s="107">
        <f t="shared" si="46"/>
        <v>58</v>
      </c>
      <c r="E542" s="15">
        <f t="shared" si="42"/>
        <v>204</v>
      </c>
      <c r="F542" s="110">
        <f t="shared" si="43"/>
        <v>246</v>
      </c>
    </row>
    <row r="543" spans="2:6" x14ac:dyDescent="0.25">
      <c r="B543" s="105">
        <f t="shared" si="44"/>
        <v>540</v>
      </c>
      <c r="C543" s="107">
        <f t="shared" si="45"/>
        <v>48</v>
      </c>
      <c r="D543" s="107">
        <f t="shared" si="46"/>
        <v>58</v>
      </c>
      <c r="E543" s="15">
        <f t="shared" si="42"/>
        <v>204</v>
      </c>
      <c r="F543" s="110">
        <f t="shared" si="43"/>
        <v>236</v>
      </c>
    </row>
    <row r="544" spans="2:6" x14ac:dyDescent="0.25">
      <c r="B544" s="105">
        <f t="shared" si="44"/>
        <v>541</v>
      </c>
      <c r="C544" s="107">
        <f t="shared" si="45"/>
        <v>49</v>
      </c>
      <c r="D544" s="107">
        <f t="shared" si="46"/>
        <v>58</v>
      </c>
      <c r="E544" s="15">
        <f t="shared" si="42"/>
        <v>204</v>
      </c>
      <c r="F544" s="110">
        <f t="shared" si="43"/>
        <v>231</v>
      </c>
    </row>
    <row r="545" spans="2:6" x14ac:dyDescent="0.25">
      <c r="B545" s="105">
        <f t="shared" si="44"/>
        <v>542</v>
      </c>
      <c r="C545" s="107">
        <f t="shared" si="45"/>
        <v>50</v>
      </c>
      <c r="D545" s="107">
        <f t="shared" si="46"/>
        <v>58</v>
      </c>
      <c r="E545" s="15">
        <f t="shared" si="42"/>
        <v>204</v>
      </c>
      <c r="F545" s="110">
        <f t="shared" si="43"/>
        <v>227</v>
      </c>
    </row>
    <row r="546" spans="2:6" x14ac:dyDescent="0.25">
      <c r="B546" s="105">
        <f t="shared" si="44"/>
        <v>543</v>
      </c>
      <c r="C546" s="107">
        <f t="shared" si="45"/>
        <v>51</v>
      </c>
      <c r="D546" s="107">
        <f t="shared" si="46"/>
        <v>58</v>
      </c>
      <c r="E546" s="15">
        <f t="shared" si="42"/>
        <v>204</v>
      </c>
      <c r="F546" s="110">
        <f t="shared" si="43"/>
        <v>224</v>
      </c>
    </row>
    <row r="547" spans="2:6" x14ac:dyDescent="0.25">
      <c r="B547" s="105">
        <f t="shared" si="44"/>
        <v>544</v>
      </c>
      <c r="C547" s="107">
        <f t="shared" si="45"/>
        <v>52</v>
      </c>
      <c r="D547" s="107">
        <f t="shared" si="46"/>
        <v>58</v>
      </c>
      <c r="E547" s="15">
        <f t="shared" si="42"/>
        <v>204</v>
      </c>
      <c r="F547" s="110">
        <f t="shared" si="43"/>
        <v>217</v>
      </c>
    </row>
    <row r="548" spans="2:6" x14ac:dyDescent="0.25">
      <c r="B548" s="105">
        <f t="shared" si="44"/>
        <v>545</v>
      </c>
      <c r="C548" s="107">
        <f t="shared" si="45"/>
        <v>53</v>
      </c>
      <c r="D548" s="107">
        <f t="shared" si="46"/>
        <v>58</v>
      </c>
      <c r="E548" s="15">
        <f t="shared" si="42"/>
        <v>204</v>
      </c>
      <c r="F548" s="110">
        <f t="shared" si="43"/>
        <v>213</v>
      </c>
    </row>
    <row r="549" spans="2:6" x14ac:dyDescent="0.25">
      <c r="B549" s="105">
        <f t="shared" si="44"/>
        <v>546</v>
      </c>
      <c r="C549" s="107">
        <f t="shared" si="45"/>
        <v>54</v>
      </c>
      <c r="D549" s="107">
        <f t="shared" si="46"/>
        <v>58</v>
      </c>
      <c r="E549" s="15">
        <f t="shared" si="42"/>
        <v>204</v>
      </c>
      <c r="F549" s="110">
        <f t="shared" si="43"/>
        <v>212</v>
      </c>
    </row>
    <row r="550" spans="2:6" x14ac:dyDescent="0.25">
      <c r="B550" s="105">
        <f t="shared" si="44"/>
        <v>547</v>
      </c>
      <c r="C550" s="107">
        <f t="shared" si="45"/>
        <v>55</v>
      </c>
      <c r="D550" s="107">
        <f t="shared" si="46"/>
        <v>58</v>
      </c>
      <c r="E550" s="15">
        <f t="shared" si="42"/>
        <v>204</v>
      </c>
      <c r="F550" s="110">
        <f t="shared" si="43"/>
        <v>211</v>
      </c>
    </row>
    <row r="551" spans="2:6" x14ac:dyDescent="0.25">
      <c r="B551" s="105">
        <f t="shared" si="44"/>
        <v>548</v>
      </c>
      <c r="C551" s="107">
        <f t="shared" si="45"/>
        <v>56</v>
      </c>
      <c r="D551" s="107">
        <f t="shared" si="46"/>
        <v>58</v>
      </c>
      <c r="E551" s="15">
        <f t="shared" si="42"/>
        <v>204</v>
      </c>
      <c r="F551" s="110">
        <f t="shared" si="43"/>
        <v>209</v>
      </c>
    </row>
    <row r="552" spans="2:6" x14ac:dyDescent="0.25">
      <c r="B552" s="105">
        <f t="shared" si="44"/>
        <v>549</v>
      </c>
      <c r="C552" s="107">
        <f t="shared" si="45"/>
        <v>57</v>
      </c>
      <c r="D552" s="107">
        <f t="shared" si="46"/>
        <v>58</v>
      </c>
      <c r="E552" s="15">
        <f t="shared" si="42"/>
        <v>204</v>
      </c>
      <c r="F552" s="110">
        <f t="shared" si="43"/>
        <v>208</v>
      </c>
    </row>
    <row r="553" spans="2:6" x14ac:dyDescent="0.25">
      <c r="B553" s="105">
        <f t="shared" si="44"/>
        <v>550</v>
      </c>
      <c r="C553" s="107">
        <f t="shared" si="45"/>
        <v>1</v>
      </c>
      <c r="D553" s="107">
        <f t="shared" si="46"/>
        <v>57</v>
      </c>
      <c r="E553" s="15">
        <f t="shared" si="42"/>
        <v>208</v>
      </c>
      <c r="F553" s="110">
        <f t="shared" si="43"/>
        <v>1048</v>
      </c>
    </row>
    <row r="554" spans="2:6" x14ac:dyDescent="0.25">
      <c r="B554" s="105">
        <f t="shared" si="44"/>
        <v>551</v>
      </c>
      <c r="C554" s="107">
        <f t="shared" si="45"/>
        <v>2</v>
      </c>
      <c r="D554" s="107">
        <f t="shared" si="46"/>
        <v>57</v>
      </c>
      <c r="E554" s="15">
        <f t="shared" si="42"/>
        <v>208</v>
      </c>
      <c r="F554" s="110">
        <f t="shared" si="43"/>
        <v>1025</v>
      </c>
    </row>
    <row r="555" spans="2:6" x14ac:dyDescent="0.25">
      <c r="B555" s="105">
        <f t="shared" si="44"/>
        <v>552</v>
      </c>
      <c r="C555" s="107">
        <f t="shared" si="45"/>
        <v>3</v>
      </c>
      <c r="D555" s="107">
        <f t="shared" si="46"/>
        <v>57</v>
      </c>
      <c r="E555" s="15">
        <f t="shared" si="42"/>
        <v>208</v>
      </c>
      <c r="F555" s="110">
        <f t="shared" si="43"/>
        <v>805</v>
      </c>
    </row>
    <row r="556" spans="2:6" x14ac:dyDescent="0.25">
      <c r="B556" s="105">
        <f t="shared" si="44"/>
        <v>553</v>
      </c>
      <c r="C556" s="107">
        <f t="shared" si="45"/>
        <v>4</v>
      </c>
      <c r="D556" s="107">
        <f t="shared" si="46"/>
        <v>57</v>
      </c>
      <c r="E556" s="15">
        <f t="shared" si="42"/>
        <v>208</v>
      </c>
      <c r="F556" s="110">
        <f t="shared" si="43"/>
        <v>666</v>
      </c>
    </row>
    <row r="557" spans="2:6" x14ac:dyDescent="0.25">
      <c r="B557" s="105">
        <f t="shared" si="44"/>
        <v>554</v>
      </c>
      <c r="C557" s="107">
        <f t="shared" si="45"/>
        <v>5</v>
      </c>
      <c r="D557" s="107">
        <f t="shared" si="46"/>
        <v>57</v>
      </c>
      <c r="E557" s="15">
        <f t="shared" si="42"/>
        <v>208</v>
      </c>
      <c r="F557" s="110">
        <f t="shared" si="43"/>
        <v>655</v>
      </c>
    </row>
    <row r="558" spans="2:6" x14ac:dyDescent="0.25">
      <c r="B558" s="105">
        <f t="shared" si="44"/>
        <v>555</v>
      </c>
      <c r="C558" s="107">
        <f t="shared" si="45"/>
        <v>6</v>
      </c>
      <c r="D558" s="107">
        <f t="shared" si="46"/>
        <v>57</v>
      </c>
      <c r="E558" s="15">
        <f t="shared" si="42"/>
        <v>208</v>
      </c>
      <c r="F558" s="110">
        <f t="shared" si="43"/>
        <v>652</v>
      </c>
    </row>
    <row r="559" spans="2:6" x14ac:dyDescent="0.25">
      <c r="B559" s="105">
        <f t="shared" si="44"/>
        <v>556</v>
      </c>
      <c r="C559" s="107">
        <f t="shared" si="45"/>
        <v>7</v>
      </c>
      <c r="D559" s="107">
        <f t="shared" si="46"/>
        <v>57</v>
      </c>
      <c r="E559" s="15">
        <f t="shared" si="42"/>
        <v>208</v>
      </c>
      <c r="F559" s="110">
        <f t="shared" si="43"/>
        <v>633</v>
      </c>
    </row>
    <row r="560" spans="2:6" x14ac:dyDescent="0.25">
      <c r="B560" s="105">
        <f t="shared" si="44"/>
        <v>557</v>
      </c>
      <c r="C560" s="107">
        <f t="shared" si="45"/>
        <v>8</v>
      </c>
      <c r="D560" s="107">
        <f t="shared" si="46"/>
        <v>57</v>
      </c>
      <c r="E560" s="15">
        <f t="shared" si="42"/>
        <v>208</v>
      </c>
      <c r="F560" s="110">
        <f t="shared" si="43"/>
        <v>632</v>
      </c>
    </row>
    <row r="561" spans="2:6" x14ac:dyDescent="0.25">
      <c r="B561" s="105">
        <f t="shared" si="44"/>
        <v>558</v>
      </c>
      <c r="C561" s="107">
        <f t="shared" si="45"/>
        <v>9</v>
      </c>
      <c r="D561" s="107">
        <f t="shared" si="46"/>
        <v>57</v>
      </c>
      <c r="E561" s="15">
        <f t="shared" si="42"/>
        <v>208</v>
      </c>
      <c r="F561" s="110">
        <f t="shared" si="43"/>
        <v>625</v>
      </c>
    </row>
    <row r="562" spans="2:6" x14ac:dyDescent="0.25">
      <c r="B562" s="105">
        <f t="shared" si="44"/>
        <v>559</v>
      </c>
      <c r="C562" s="107">
        <f t="shared" si="45"/>
        <v>10</v>
      </c>
      <c r="D562" s="107">
        <f t="shared" si="46"/>
        <v>57</v>
      </c>
      <c r="E562" s="15">
        <f t="shared" si="42"/>
        <v>208</v>
      </c>
      <c r="F562" s="110">
        <f t="shared" si="43"/>
        <v>619</v>
      </c>
    </row>
    <row r="563" spans="2:6" x14ac:dyDescent="0.25">
      <c r="B563" s="105">
        <f t="shared" si="44"/>
        <v>560</v>
      </c>
      <c r="C563" s="107">
        <f t="shared" si="45"/>
        <v>11</v>
      </c>
      <c r="D563" s="107">
        <f t="shared" si="46"/>
        <v>57</v>
      </c>
      <c r="E563" s="15">
        <f t="shared" si="42"/>
        <v>208</v>
      </c>
      <c r="F563" s="110">
        <f t="shared" si="43"/>
        <v>610</v>
      </c>
    </row>
    <row r="564" spans="2:6" x14ac:dyDescent="0.25">
      <c r="B564" s="105">
        <f t="shared" si="44"/>
        <v>561</v>
      </c>
      <c r="C564" s="107">
        <f t="shared" si="45"/>
        <v>12</v>
      </c>
      <c r="D564" s="107">
        <f t="shared" si="46"/>
        <v>57</v>
      </c>
      <c r="E564" s="15">
        <f t="shared" si="42"/>
        <v>208</v>
      </c>
      <c r="F564" s="110">
        <f t="shared" si="43"/>
        <v>599</v>
      </c>
    </row>
    <row r="565" spans="2:6" x14ac:dyDescent="0.25">
      <c r="B565" s="105">
        <f t="shared" si="44"/>
        <v>562</v>
      </c>
      <c r="C565" s="107">
        <f t="shared" si="45"/>
        <v>13</v>
      </c>
      <c r="D565" s="107">
        <f t="shared" si="46"/>
        <v>57</v>
      </c>
      <c r="E565" s="15">
        <f t="shared" si="42"/>
        <v>208</v>
      </c>
      <c r="F565" s="110">
        <f t="shared" si="43"/>
        <v>559</v>
      </c>
    </row>
    <row r="566" spans="2:6" x14ac:dyDescent="0.25">
      <c r="B566" s="105">
        <f t="shared" si="44"/>
        <v>563</v>
      </c>
      <c r="C566" s="107">
        <f t="shared" si="45"/>
        <v>14</v>
      </c>
      <c r="D566" s="107">
        <f t="shared" si="46"/>
        <v>57</v>
      </c>
      <c r="E566" s="15">
        <f t="shared" si="42"/>
        <v>208</v>
      </c>
      <c r="F566" s="110">
        <f t="shared" si="43"/>
        <v>556</v>
      </c>
    </row>
    <row r="567" spans="2:6" x14ac:dyDescent="0.25">
      <c r="B567" s="105">
        <f t="shared" si="44"/>
        <v>564</v>
      </c>
      <c r="C567" s="107">
        <f t="shared" si="45"/>
        <v>15</v>
      </c>
      <c r="D567" s="107">
        <f t="shared" si="46"/>
        <v>57</v>
      </c>
      <c r="E567" s="15">
        <f t="shared" si="42"/>
        <v>208</v>
      </c>
      <c r="F567" s="110">
        <f t="shared" si="43"/>
        <v>540</v>
      </c>
    </row>
    <row r="568" spans="2:6" x14ac:dyDescent="0.25">
      <c r="B568" s="105">
        <f t="shared" si="44"/>
        <v>565</v>
      </c>
      <c r="C568" s="107">
        <f t="shared" si="45"/>
        <v>16</v>
      </c>
      <c r="D568" s="107">
        <f t="shared" si="46"/>
        <v>57</v>
      </c>
      <c r="E568" s="15">
        <f t="shared" si="42"/>
        <v>208</v>
      </c>
      <c r="F568" s="110">
        <f t="shared" si="43"/>
        <v>536</v>
      </c>
    </row>
    <row r="569" spans="2:6" x14ac:dyDescent="0.25">
      <c r="B569" s="105">
        <f t="shared" si="44"/>
        <v>566</v>
      </c>
      <c r="C569" s="107">
        <f t="shared" si="45"/>
        <v>17</v>
      </c>
      <c r="D569" s="107">
        <f t="shared" si="46"/>
        <v>57</v>
      </c>
      <c r="E569" s="15">
        <f t="shared" si="42"/>
        <v>208</v>
      </c>
      <c r="F569" s="110">
        <f t="shared" si="43"/>
        <v>527</v>
      </c>
    </row>
    <row r="570" spans="2:6" x14ac:dyDescent="0.25">
      <c r="B570" s="105">
        <f t="shared" si="44"/>
        <v>567</v>
      </c>
      <c r="C570" s="107">
        <f t="shared" si="45"/>
        <v>18</v>
      </c>
      <c r="D570" s="107">
        <f t="shared" si="46"/>
        <v>57</v>
      </c>
      <c r="E570" s="15">
        <f t="shared" si="42"/>
        <v>208</v>
      </c>
      <c r="F570" s="110">
        <f t="shared" si="43"/>
        <v>478</v>
      </c>
    </row>
    <row r="571" spans="2:6" x14ac:dyDescent="0.25">
      <c r="B571" s="105">
        <f t="shared" si="44"/>
        <v>568</v>
      </c>
      <c r="C571" s="107">
        <f t="shared" si="45"/>
        <v>19</v>
      </c>
      <c r="D571" s="107">
        <f t="shared" si="46"/>
        <v>57</v>
      </c>
      <c r="E571" s="15">
        <f t="shared" si="42"/>
        <v>208</v>
      </c>
      <c r="F571" s="110">
        <f t="shared" si="43"/>
        <v>474</v>
      </c>
    </row>
    <row r="572" spans="2:6" x14ac:dyDescent="0.25">
      <c r="B572" s="105">
        <f t="shared" si="44"/>
        <v>569</v>
      </c>
      <c r="C572" s="107">
        <f t="shared" si="45"/>
        <v>20</v>
      </c>
      <c r="D572" s="107">
        <f t="shared" si="46"/>
        <v>57</v>
      </c>
      <c r="E572" s="15">
        <f t="shared" si="42"/>
        <v>208</v>
      </c>
      <c r="F572" s="110">
        <f t="shared" si="43"/>
        <v>468</v>
      </c>
    </row>
    <row r="573" spans="2:6" x14ac:dyDescent="0.25">
      <c r="B573" s="105">
        <f t="shared" si="44"/>
        <v>570</v>
      </c>
      <c r="C573" s="107">
        <f t="shared" si="45"/>
        <v>21</v>
      </c>
      <c r="D573" s="107">
        <f t="shared" si="46"/>
        <v>57</v>
      </c>
      <c r="E573" s="15">
        <f t="shared" si="42"/>
        <v>208</v>
      </c>
      <c r="F573" s="110">
        <f t="shared" si="43"/>
        <v>457</v>
      </c>
    </row>
    <row r="574" spans="2:6" x14ac:dyDescent="0.25">
      <c r="B574" s="105">
        <f t="shared" si="44"/>
        <v>571</v>
      </c>
      <c r="C574" s="107">
        <f t="shared" si="45"/>
        <v>22</v>
      </c>
      <c r="D574" s="107">
        <f t="shared" si="46"/>
        <v>57</v>
      </c>
      <c r="E574" s="15">
        <f t="shared" si="42"/>
        <v>208</v>
      </c>
      <c r="F574" s="110">
        <f t="shared" si="43"/>
        <v>452</v>
      </c>
    </row>
    <row r="575" spans="2:6" x14ac:dyDescent="0.25">
      <c r="B575" s="105">
        <f t="shared" si="44"/>
        <v>572</v>
      </c>
      <c r="C575" s="107">
        <f t="shared" si="45"/>
        <v>23</v>
      </c>
      <c r="D575" s="107">
        <f t="shared" si="46"/>
        <v>57</v>
      </c>
      <c r="E575" s="15">
        <f t="shared" si="42"/>
        <v>208</v>
      </c>
      <c r="F575" s="110">
        <f t="shared" si="43"/>
        <v>442</v>
      </c>
    </row>
    <row r="576" spans="2:6" x14ac:dyDescent="0.25">
      <c r="B576" s="105">
        <f t="shared" si="44"/>
        <v>573</v>
      </c>
      <c r="C576" s="107">
        <f t="shared" si="45"/>
        <v>24</v>
      </c>
      <c r="D576" s="107">
        <f t="shared" si="46"/>
        <v>57</v>
      </c>
      <c r="E576" s="15">
        <f t="shared" si="42"/>
        <v>208</v>
      </c>
      <c r="F576" s="110">
        <f t="shared" si="43"/>
        <v>420</v>
      </c>
    </row>
    <row r="577" spans="2:6" x14ac:dyDescent="0.25">
      <c r="B577" s="105">
        <f t="shared" si="44"/>
        <v>574</v>
      </c>
      <c r="C577" s="107">
        <f t="shared" si="45"/>
        <v>25</v>
      </c>
      <c r="D577" s="107">
        <f t="shared" si="46"/>
        <v>57</v>
      </c>
      <c r="E577" s="15">
        <f t="shared" si="42"/>
        <v>208</v>
      </c>
      <c r="F577" s="110">
        <f t="shared" si="43"/>
        <v>410</v>
      </c>
    </row>
    <row r="578" spans="2:6" x14ac:dyDescent="0.25">
      <c r="B578" s="105">
        <f t="shared" si="44"/>
        <v>575</v>
      </c>
      <c r="C578" s="107">
        <f t="shared" si="45"/>
        <v>26</v>
      </c>
      <c r="D578" s="107">
        <f t="shared" si="46"/>
        <v>57</v>
      </c>
      <c r="E578" s="15">
        <f t="shared" si="42"/>
        <v>208</v>
      </c>
      <c r="F578" s="110">
        <f t="shared" si="43"/>
        <v>409</v>
      </c>
    </row>
    <row r="579" spans="2:6" x14ac:dyDescent="0.25">
      <c r="B579" s="105">
        <f t="shared" si="44"/>
        <v>576</v>
      </c>
      <c r="C579" s="107">
        <f t="shared" si="45"/>
        <v>27</v>
      </c>
      <c r="D579" s="107">
        <f t="shared" si="46"/>
        <v>57</v>
      </c>
      <c r="E579" s="15">
        <f t="shared" si="42"/>
        <v>208</v>
      </c>
      <c r="F579" s="110">
        <f t="shared" si="43"/>
        <v>408</v>
      </c>
    </row>
    <row r="580" spans="2:6" x14ac:dyDescent="0.25">
      <c r="B580" s="105">
        <f t="shared" si="44"/>
        <v>577</v>
      </c>
      <c r="C580" s="107">
        <f t="shared" si="45"/>
        <v>28</v>
      </c>
      <c r="D580" s="107">
        <f t="shared" si="46"/>
        <v>57</v>
      </c>
      <c r="E580" s="15">
        <f t="shared" ref="E580:E643" si="47">IFERROR(VLOOKUP(D580,$H$4:$I$69,2,0),"")</f>
        <v>208</v>
      </c>
      <c r="F580" s="110">
        <f t="shared" ref="F580:F643" si="48">IFERROR(VLOOKUP(C580,$H$4:$I$69,2,0),"")</f>
        <v>404</v>
      </c>
    </row>
    <row r="581" spans="2:6" x14ac:dyDescent="0.25">
      <c r="B581" s="105">
        <f t="shared" ref="B581:B644" si="49">ROW()-3</f>
        <v>578</v>
      </c>
      <c r="C581" s="107">
        <f t="shared" si="45"/>
        <v>29</v>
      </c>
      <c r="D581" s="107">
        <f t="shared" si="46"/>
        <v>57</v>
      </c>
      <c r="E581" s="15">
        <f t="shared" si="47"/>
        <v>208</v>
      </c>
      <c r="F581" s="110">
        <f t="shared" si="48"/>
        <v>399</v>
      </c>
    </row>
    <row r="582" spans="2:6" x14ac:dyDescent="0.25">
      <c r="B582" s="105">
        <f t="shared" si="49"/>
        <v>579</v>
      </c>
      <c r="C582" s="107">
        <f t="shared" ref="C582:C645" si="50">IF((D581-C581)=1,1,C581+1)</f>
        <v>30</v>
      </c>
      <c r="D582" s="107">
        <f t="shared" ref="D582:D645" si="51">IF((D581-C581)=1,D581-1,D581)</f>
        <v>57</v>
      </c>
      <c r="E582" s="15">
        <f t="shared" si="47"/>
        <v>208</v>
      </c>
      <c r="F582" s="110">
        <f t="shared" si="48"/>
        <v>396</v>
      </c>
    </row>
    <row r="583" spans="2:6" x14ac:dyDescent="0.25">
      <c r="B583" s="105">
        <f t="shared" si="49"/>
        <v>580</v>
      </c>
      <c r="C583" s="107">
        <f t="shared" si="50"/>
        <v>31</v>
      </c>
      <c r="D583" s="107">
        <f t="shared" si="51"/>
        <v>57</v>
      </c>
      <c r="E583" s="15">
        <f t="shared" si="47"/>
        <v>208</v>
      </c>
      <c r="F583" s="110">
        <f t="shared" si="48"/>
        <v>384</v>
      </c>
    </row>
    <row r="584" spans="2:6" x14ac:dyDescent="0.25">
      <c r="B584" s="105">
        <f t="shared" si="49"/>
        <v>581</v>
      </c>
      <c r="C584" s="107">
        <f t="shared" si="50"/>
        <v>32</v>
      </c>
      <c r="D584" s="107">
        <f t="shared" si="51"/>
        <v>57</v>
      </c>
      <c r="E584" s="15">
        <f t="shared" si="47"/>
        <v>208</v>
      </c>
      <c r="F584" s="110">
        <f t="shared" si="48"/>
        <v>381</v>
      </c>
    </row>
    <row r="585" spans="2:6" x14ac:dyDescent="0.25">
      <c r="B585" s="105">
        <f t="shared" si="49"/>
        <v>582</v>
      </c>
      <c r="C585" s="107">
        <f t="shared" si="50"/>
        <v>33</v>
      </c>
      <c r="D585" s="107">
        <f t="shared" si="51"/>
        <v>57</v>
      </c>
      <c r="E585" s="15">
        <f t="shared" si="47"/>
        <v>208</v>
      </c>
      <c r="F585" s="110">
        <f t="shared" si="48"/>
        <v>376</v>
      </c>
    </row>
    <row r="586" spans="2:6" x14ac:dyDescent="0.25">
      <c r="B586" s="105">
        <f t="shared" si="49"/>
        <v>583</v>
      </c>
      <c r="C586" s="107">
        <f t="shared" si="50"/>
        <v>34</v>
      </c>
      <c r="D586" s="107">
        <f t="shared" si="51"/>
        <v>57</v>
      </c>
      <c r="E586" s="15">
        <f t="shared" si="47"/>
        <v>208</v>
      </c>
      <c r="F586" s="110">
        <f t="shared" si="48"/>
        <v>370</v>
      </c>
    </row>
    <row r="587" spans="2:6" x14ac:dyDescent="0.25">
      <c r="B587" s="105">
        <f t="shared" si="49"/>
        <v>584</v>
      </c>
      <c r="C587" s="107">
        <f t="shared" si="50"/>
        <v>35</v>
      </c>
      <c r="D587" s="107">
        <f t="shared" si="51"/>
        <v>57</v>
      </c>
      <c r="E587" s="15">
        <f t="shared" si="47"/>
        <v>208</v>
      </c>
      <c r="F587" s="110">
        <f t="shared" si="48"/>
        <v>362</v>
      </c>
    </row>
    <row r="588" spans="2:6" x14ac:dyDescent="0.25">
      <c r="B588" s="105">
        <f t="shared" si="49"/>
        <v>585</v>
      </c>
      <c r="C588" s="107">
        <f t="shared" si="50"/>
        <v>36</v>
      </c>
      <c r="D588" s="107">
        <f t="shared" si="51"/>
        <v>57</v>
      </c>
      <c r="E588" s="15">
        <f t="shared" si="47"/>
        <v>208</v>
      </c>
      <c r="F588" s="110">
        <f t="shared" si="48"/>
        <v>357</v>
      </c>
    </row>
    <row r="589" spans="2:6" x14ac:dyDescent="0.25">
      <c r="B589" s="105">
        <f t="shared" si="49"/>
        <v>586</v>
      </c>
      <c r="C589" s="107">
        <f t="shared" si="50"/>
        <v>37</v>
      </c>
      <c r="D589" s="107">
        <f t="shared" si="51"/>
        <v>57</v>
      </c>
      <c r="E589" s="15">
        <f t="shared" si="47"/>
        <v>208</v>
      </c>
      <c r="F589" s="110">
        <f t="shared" si="48"/>
        <v>351</v>
      </c>
    </row>
    <row r="590" spans="2:6" x14ac:dyDescent="0.25">
      <c r="B590" s="105">
        <f t="shared" si="49"/>
        <v>587</v>
      </c>
      <c r="C590" s="107">
        <f t="shared" si="50"/>
        <v>38</v>
      </c>
      <c r="D590" s="107">
        <f t="shared" si="51"/>
        <v>57</v>
      </c>
      <c r="E590" s="15">
        <f t="shared" si="47"/>
        <v>208</v>
      </c>
      <c r="F590" s="110">
        <f t="shared" si="48"/>
        <v>339</v>
      </c>
    </row>
    <row r="591" spans="2:6" x14ac:dyDescent="0.25">
      <c r="B591" s="105">
        <f t="shared" si="49"/>
        <v>588</v>
      </c>
      <c r="C591" s="107">
        <f t="shared" si="50"/>
        <v>39</v>
      </c>
      <c r="D591" s="107">
        <f t="shared" si="51"/>
        <v>57</v>
      </c>
      <c r="E591" s="15">
        <f t="shared" si="47"/>
        <v>208</v>
      </c>
      <c r="F591" s="110">
        <f t="shared" si="48"/>
        <v>304</v>
      </c>
    </row>
    <row r="592" spans="2:6" x14ac:dyDescent="0.25">
      <c r="B592" s="105">
        <f t="shared" si="49"/>
        <v>589</v>
      </c>
      <c r="C592" s="107">
        <f t="shared" si="50"/>
        <v>40</v>
      </c>
      <c r="D592" s="107">
        <f t="shared" si="51"/>
        <v>57</v>
      </c>
      <c r="E592" s="15">
        <f t="shared" si="47"/>
        <v>208</v>
      </c>
      <c r="F592" s="110">
        <f t="shared" si="48"/>
        <v>301</v>
      </c>
    </row>
    <row r="593" spans="2:6" x14ac:dyDescent="0.25">
      <c r="B593" s="105">
        <f t="shared" si="49"/>
        <v>590</v>
      </c>
      <c r="C593" s="107">
        <f t="shared" si="50"/>
        <v>41</v>
      </c>
      <c r="D593" s="107">
        <f t="shared" si="51"/>
        <v>57</v>
      </c>
      <c r="E593" s="15">
        <f t="shared" si="47"/>
        <v>208</v>
      </c>
      <c r="F593" s="110">
        <f t="shared" si="48"/>
        <v>300</v>
      </c>
    </row>
    <row r="594" spans="2:6" x14ac:dyDescent="0.25">
      <c r="B594" s="105">
        <f t="shared" si="49"/>
        <v>591</v>
      </c>
      <c r="C594" s="107">
        <f t="shared" si="50"/>
        <v>42</v>
      </c>
      <c r="D594" s="107">
        <f t="shared" si="51"/>
        <v>57</v>
      </c>
      <c r="E594" s="15">
        <f t="shared" si="47"/>
        <v>208</v>
      </c>
      <c r="F594" s="110">
        <f t="shared" si="48"/>
        <v>288</v>
      </c>
    </row>
    <row r="595" spans="2:6" x14ac:dyDescent="0.25">
      <c r="B595" s="105">
        <f t="shared" si="49"/>
        <v>592</v>
      </c>
      <c r="C595" s="107">
        <f t="shared" si="50"/>
        <v>43</v>
      </c>
      <c r="D595" s="107">
        <f t="shared" si="51"/>
        <v>57</v>
      </c>
      <c r="E595" s="15">
        <f t="shared" si="47"/>
        <v>208</v>
      </c>
      <c r="F595" s="110">
        <f t="shared" si="48"/>
        <v>273</v>
      </c>
    </row>
    <row r="596" spans="2:6" x14ac:dyDescent="0.25">
      <c r="B596" s="105">
        <f t="shared" si="49"/>
        <v>593</v>
      </c>
      <c r="C596" s="107">
        <f t="shared" si="50"/>
        <v>44</v>
      </c>
      <c r="D596" s="107">
        <f t="shared" si="51"/>
        <v>57</v>
      </c>
      <c r="E596" s="15">
        <f t="shared" si="47"/>
        <v>208</v>
      </c>
      <c r="F596" s="110">
        <f t="shared" si="48"/>
        <v>268</v>
      </c>
    </row>
    <row r="597" spans="2:6" x14ac:dyDescent="0.25">
      <c r="B597" s="105">
        <f t="shared" si="49"/>
        <v>594</v>
      </c>
      <c r="C597" s="107">
        <f t="shared" si="50"/>
        <v>45</v>
      </c>
      <c r="D597" s="107">
        <f t="shared" si="51"/>
        <v>57</v>
      </c>
      <c r="E597" s="15">
        <f t="shared" si="47"/>
        <v>208</v>
      </c>
      <c r="F597" s="110">
        <f t="shared" si="48"/>
        <v>262</v>
      </c>
    </row>
    <row r="598" spans="2:6" x14ac:dyDescent="0.25">
      <c r="B598" s="105">
        <f t="shared" si="49"/>
        <v>595</v>
      </c>
      <c r="C598" s="107">
        <f t="shared" si="50"/>
        <v>46</v>
      </c>
      <c r="D598" s="107">
        <f t="shared" si="51"/>
        <v>57</v>
      </c>
      <c r="E598" s="15">
        <f t="shared" si="47"/>
        <v>208</v>
      </c>
      <c r="F598" s="110">
        <f t="shared" si="48"/>
        <v>248</v>
      </c>
    </row>
    <row r="599" spans="2:6" x14ac:dyDescent="0.25">
      <c r="B599" s="105">
        <f t="shared" si="49"/>
        <v>596</v>
      </c>
      <c r="C599" s="107">
        <f t="shared" si="50"/>
        <v>47</v>
      </c>
      <c r="D599" s="107">
        <f t="shared" si="51"/>
        <v>57</v>
      </c>
      <c r="E599" s="15">
        <f t="shared" si="47"/>
        <v>208</v>
      </c>
      <c r="F599" s="110">
        <f t="shared" si="48"/>
        <v>246</v>
      </c>
    </row>
    <row r="600" spans="2:6" x14ac:dyDescent="0.25">
      <c r="B600" s="105">
        <f t="shared" si="49"/>
        <v>597</v>
      </c>
      <c r="C600" s="107">
        <f t="shared" si="50"/>
        <v>48</v>
      </c>
      <c r="D600" s="107">
        <f t="shared" si="51"/>
        <v>57</v>
      </c>
      <c r="E600" s="15">
        <f t="shared" si="47"/>
        <v>208</v>
      </c>
      <c r="F600" s="110">
        <f t="shared" si="48"/>
        <v>236</v>
      </c>
    </row>
    <row r="601" spans="2:6" x14ac:dyDescent="0.25">
      <c r="B601" s="105">
        <f t="shared" si="49"/>
        <v>598</v>
      </c>
      <c r="C601" s="107">
        <f t="shared" si="50"/>
        <v>49</v>
      </c>
      <c r="D601" s="107">
        <f t="shared" si="51"/>
        <v>57</v>
      </c>
      <c r="E601" s="15">
        <f t="shared" si="47"/>
        <v>208</v>
      </c>
      <c r="F601" s="110">
        <f t="shared" si="48"/>
        <v>231</v>
      </c>
    </row>
    <row r="602" spans="2:6" x14ac:dyDescent="0.25">
      <c r="B602" s="105">
        <f t="shared" si="49"/>
        <v>599</v>
      </c>
      <c r="C602" s="107">
        <f t="shared" si="50"/>
        <v>50</v>
      </c>
      <c r="D602" s="107">
        <f t="shared" si="51"/>
        <v>57</v>
      </c>
      <c r="E602" s="15">
        <f t="shared" si="47"/>
        <v>208</v>
      </c>
      <c r="F602" s="110">
        <f t="shared" si="48"/>
        <v>227</v>
      </c>
    </row>
    <row r="603" spans="2:6" x14ac:dyDescent="0.25">
      <c r="B603" s="105">
        <f t="shared" si="49"/>
        <v>600</v>
      </c>
      <c r="C603" s="107">
        <f t="shared" si="50"/>
        <v>51</v>
      </c>
      <c r="D603" s="107">
        <f t="shared" si="51"/>
        <v>57</v>
      </c>
      <c r="E603" s="15">
        <f t="shared" si="47"/>
        <v>208</v>
      </c>
      <c r="F603" s="110">
        <f t="shared" si="48"/>
        <v>224</v>
      </c>
    </row>
    <row r="604" spans="2:6" x14ac:dyDescent="0.25">
      <c r="B604" s="105">
        <f t="shared" si="49"/>
        <v>601</v>
      </c>
      <c r="C604" s="107">
        <f t="shared" si="50"/>
        <v>52</v>
      </c>
      <c r="D604" s="107">
        <f t="shared" si="51"/>
        <v>57</v>
      </c>
      <c r="E604" s="15">
        <f t="shared" si="47"/>
        <v>208</v>
      </c>
      <c r="F604" s="110">
        <f t="shared" si="48"/>
        <v>217</v>
      </c>
    </row>
    <row r="605" spans="2:6" x14ac:dyDescent="0.25">
      <c r="B605" s="105">
        <f t="shared" si="49"/>
        <v>602</v>
      </c>
      <c r="C605" s="107">
        <f t="shared" si="50"/>
        <v>53</v>
      </c>
      <c r="D605" s="107">
        <f t="shared" si="51"/>
        <v>57</v>
      </c>
      <c r="E605" s="15">
        <f t="shared" si="47"/>
        <v>208</v>
      </c>
      <c r="F605" s="110">
        <f t="shared" si="48"/>
        <v>213</v>
      </c>
    </row>
    <row r="606" spans="2:6" x14ac:dyDescent="0.25">
      <c r="B606" s="105">
        <f t="shared" si="49"/>
        <v>603</v>
      </c>
      <c r="C606" s="107">
        <f t="shared" si="50"/>
        <v>54</v>
      </c>
      <c r="D606" s="107">
        <f t="shared" si="51"/>
        <v>57</v>
      </c>
      <c r="E606" s="15">
        <f t="shared" si="47"/>
        <v>208</v>
      </c>
      <c r="F606" s="110">
        <f t="shared" si="48"/>
        <v>212</v>
      </c>
    </row>
    <row r="607" spans="2:6" x14ac:dyDescent="0.25">
      <c r="B607" s="105">
        <f t="shared" si="49"/>
        <v>604</v>
      </c>
      <c r="C607" s="107">
        <f t="shared" si="50"/>
        <v>55</v>
      </c>
      <c r="D607" s="107">
        <f t="shared" si="51"/>
        <v>57</v>
      </c>
      <c r="E607" s="15">
        <f t="shared" si="47"/>
        <v>208</v>
      </c>
      <c r="F607" s="110">
        <f t="shared" si="48"/>
        <v>211</v>
      </c>
    </row>
    <row r="608" spans="2:6" x14ac:dyDescent="0.25">
      <c r="B608" s="105">
        <f t="shared" si="49"/>
        <v>605</v>
      </c>
      <c r="C608" s="107">
        <f t="shared" si="50"/>
        <v>56</v>
      </c>
      <c r="D608" s="107">
        <f t="shared" si="51"/>
        <v>57</v>
      </c>
      <c r="E608" s="15">
        <f t="shared" si="47"/>
        <v>208</v>
      </c>
      <c r="F608" s="110">
        <f t="shared" si="48"/>
        <v>209</v>
      </c>
    </row>
    <row r="609" spans="2:6" x14ac:dyDescent="0.25">
      <c r="B609" s="105">
        <f t="shared" si="49"/>
        <v>606</v>
      </c>
      <c r="C609" s="107">
        <f t="shared" si="50"/>
        <v>1</v>
      </c>
      <c r="D609" s="107">
        <f t="shared" si="51"/>
        <v>56</v>
      </c>
      <c r="E609" s="15">
        <f t="shared" si="47"/>
        <v>209</v>
      </c>
      <c r="F609" s="110">
        <f t="shared" si="48"/>
        <v>1048</v>
      </c>
    </row>
    <row r="610" spans="2:6" x14ac:dyDescent="0.25">
      <c r="B610" s="105">
        <f t="shared" si="49"/>
        <v>607</v>
      </c>
      <c r="C610" s="107">
        <f t="shared" si="50"/>
        <v>2</v>
      </c>
      <c r="D610" s="107">
        <f t="shared" si="51"/>
        <v>56</v>
      </c>
      <c r="E610" s="15">
        <f t="shared" si="47"/>
        <v>209</v>
      </c>
      <c r="F610" s="110">
        <f t="shared" si="48"/>
        <v>1025</v>
      </c>
    </row>
    <row r="611" spans="2:6" x14ac:dyDescent="0.25">
      <c r="B611" s="105">
        <f t="shared" si="49"/>
        <v>608</v>
      </c>
      <c r="C611" s="107">
        <f t="shared" si="50"/>
        <v>3</v>
      </c>
      <c r="D611" s="107">
        <f t="shared" si="51"/>
        <v>56</v>
      </c>
      <c r="E611" s="15">
        <f t="shared" si="47"/>
        <v>209</v>
      </c>
      <c r="F611" s="110">
        <f t="shared" si="48"/>
        <v>805</v>
      </c>
    </row>
    <row r="612" spans="2:6" x14ac:dyDescent="0.25">
      <c r="B612" s="105">
        <f t="shared" si="49"/>
        <v>609</v>
      </c>
      <c r="C612" s="107">
        <f t="shared" si="50"/>
        <v>4</v>
      </c>
      <c r="D612" s="107">
        <f t="shared" si="51"/>
        <v>56</v>
      </c>
      <c r="E612" s="15">
        <f t="shared" si="47"/>
        <v>209</v>
      </c>
      <c r="F612" s="110">
        <f t="shared" si="48"/>
        <v>666</v>
      </c>
    </row>
    <row r="613" spans="2:6" x14ac:dyDescent="0.25">
      <c r="B613" s="105">
        <f t="shared" si="49"/>
        <v>610</v>
      </c>
      <c r="C613" s="107">
        <f t="shared" si="50"/>
        <v>5</v>
      </c>
      <c r="D613" s="107">
        <f t="shared" si="51"/>
        <v>56</v>
      </c>
      <c r="E613" s="15">
        <f t="shared" si="47"/>
        <v>209</v>
      </c>
      <c r="F613" s="110">
        <f t="shared" si="48"/>
        <v>655</v>
      </c>
    </row>
    <row r="614" spans="2:6" x14ac:dyDescent="0.25">
      <c r="B614" s="105">
        <f t="shared" si="49"/>
        <v>611</v>
      </c>
      <c r="C614" s="107">
        <f t="shared" si="50"/>
        <v>6</v>
      </c>
      <c r="D614" s="107">
        <f t="shared" si="51"/>
        <v>56</v>
      </c>
      <c r="E614" s="15">
        <f t="shared" si="47"/>
        <v>209</v>
      </c>
      <c r="F614" s="110">
        <f t="shared" si="48"/>
        <v>652</v>
      </c>
    </row>
    <row r="615" spans="2:6" x14ac:dyDescent="0.25">
      <c r="B615" s="105">
        <f t="shared" si="49"/>
        <v>612</v>
      </c>
      <c r="C615" s="107">
        <f t="shared" si="50"/>
        <v>7</v>
      </c>
      <c r="D615" s="107">
        <f t="shared" si="51"/>
        <v>56</v>
      </c>
      <c r="E615" s="15">
        <f t="shared" si="47"/>
        <v>209</v>
      </c>
      <c r="F615" s="110">
        <f t="shared" si="48"/>
        <v>633</v>
      </c>
    </row>
    <row r="616" spans="2:6" x14ac:dyDescent="0.25">
      <c r="B616" s="105">
        <f t="shared" si="49"/>
        <v>613</v>
      </c>
      <c r="C616" s="107">
        <f t="shared" si="50"/>
        <v>8</v>
      </c>
      <c r="D616" s="107">
        <f t="shared" si="51"/>
        <v>56</v>
      </c>
      <c r="E616" s="15">
        <f t="shared" si="47"/>
        <v>209</v>
      </c>
      <c r="F616" s="110">
        <f t="shared" si="48"/>
        <v>632</v>
      </c>
    </row>
    <row r="617" spans="2:6" x14ac:dyDescent="0.25">
      <c r="B617" s="105">
        <f t="shared" si="49"/>
        <v>614</v>
      </c>
      <c r="C617" s="107">
        <f t="shared" si="50"/>
        <v>9</v>
      </c>
      <c r="D617" s="107">
        <f t="shared" si="51"/>
        <v>56</v>
      </c>
      <c r="E617" s="15">
        <f t="shared" si="47"/>
        <v>209</v>
      </c>
      <c r="F617" s="110">
        <f t="shared" si="48"/>
        <v>625</v>
      </c>
    </row>
    <row r="618" spans="2:6" x14ac:dyDescent="0.25">
      <c r="B618" s="105">
        <f t="shared" si="49"/>
        <v>615</v>
      </c>
      <c r="C618" s="107">
        <f t="shared" si="50"/>
        <v>10</v>
      </c>
      <c r="D618" s="107">
        <f t="shared" si="51"/>
        <v>56</v>
      </c>
      <c r="E618" s="15">
        <f t="shared" si="47"/>
        <v>209</v>
      </c>
      <c r="F618" s="110">
        <f t="shared" si="48"/>
        <v>619</v>
      </c>
    </row>
    <row r="619" spans="2:6" x14ac:dyDescent="0.25">
      <c r="B619" s="105">
        <f t="shared" si="49"/>
        <v>616</v>
      </c>
      <c r="C619" s="107">
        <f t="shared" si="50"/>
        <v>11</v>
      </c>
      <c r="D619" s="107">
        <f t="shared" si="51"/>
        <v>56</v>
      </c>
      <c r="E619" s="15">
        <f t="shared" si="47"/>
        <v>209</v>
      </c>
      <c r="F619" s="110">
        <f t="shared" si="48"/>
        <v>610</v>
      </c>
    </row>
    <row r="620" spans="2:6" x14ac:dyDescent="0.25">
      <c r="B620" s="105">
        <f t="shared" si="49"/>
        <v>617</v>
      </c>
      <c r="C620" s="107">
        <f t="shared" si="50"/>
        <v>12</v>
      </c>
      <c r="D620" s="107">
        <f t="shared" si="51"/>
        <v>56</v>
      </c>
      <c r="E620" s="15">
        <f t="shared" si="47"/>
        <v>209</v>
      </c>
      <c r="F620" s="110">
        <f t="shared" si="48"/>
        <v>599</v>
      </c>
    </row>
    <row r="621" spans="2:6" x14ac:dyDescent="0.25">
      <c r="B621" s="105">
        <f t="shared" si="49"/>
        <v>618</v>
      </c>
      <c r="C621" s="107">
        <f t="shared" si="50"/>
        <v>13</v>
      </c>
      <c r="D621" s="107">
        <f t="shared" si="51"/>
        <v>56</v>
      </c>
      <c r="E621" s="15">
        <f t="shared" si="47"/>
        <v>209</v>
      </c>
      <c r="F621" s="110">
        <f t="shared" si="48"/>
        <v>559</v>
      </c>
    </row>
    <row r="622" spans="2:6" x14ac:dyDescent="0.25">
      <c r="B622" s="105">
        <f t="shared" si="49"/>
        <v>619</v>
      </c>
      <c r="C622" s="107">
        <f t="shared" si="50"/>
        <v>14</v>
      </c>
      <c r="D622" s="107">
        <f t="shared" si="51"/>
        <v>56</v>
      </c>
      <c r="E622" s="15">
        <f t="shared" si="47"/>
        <v>209</v>
      </c>
      <c r="F622" s="110">
        <f t="shared" si="48"/>
        <v>556</v>
      </c>
    </row>
    <row r="623" spans="2:6" x14ac:dyDescent="0.25">
      <c r="B623" s="105">
        <f t="shared" si="49"/>
        <v>620</v>
      </c>
      <c r="C623" s="107">
        <f t="shared" si="50"/>
        <v>15</v>
      </c>
      <c r="D623" s="107">
        <f t="shared" si="51"/>
        <v>56</v>
      </c>
      <c r="E623" s="15">
        <f t="shared" si="47"/>
        <v>209</v>
      </c>
      <c r="F623" s="110">
        <f t="shared" si="48"/>
        <v>540</v>
      </c>
    </row>
    <row r="624" spans="2:6" x14ac:dyDescent="0.25">
      <c r="B624" s="105">
        <f t="shared" si="49"/>
        <v>621</v>
      </c>
      <c r="C624" s="107">
        <f t="shared" si="50"/>
        <v>16</v>
      </c>
      <c r="D624" s="107">
        <f t="shared" si="51"/>
        <v>56</v>
      </c>
      <c r="E624" s="15">
        <f t="shared" si="47"/>
        <v>209</v>
      </c>
      <c r="F624" s="110">
        <f t="shared" si="48"/>
        <v>536</v>
      </c>
    </row>
    <row r="625" spans="2:6" x14ac:dyDescent="0.25">
      <c r="B625" s="105">
        <f t="shared" si="49"/>
        <v>622</v>
      </c>
      <c r="C625" s="107">
        <f t="shared" si="50"/>
        <v>17</v>
      </c>
      <c r="D625" s="107">
        <f t="shared" si="51"/>
        <v>56</v>
      </c>
      <c r="E625" s="15">
        <f t="shared" si="47"/>
        <v>209</v>
      </c>
      <c r="F625" s="110">
        <f t="shared" si="48"/>
        <v>527</v>
      </c>
    </row>
    <row r="626" spans="2:6" x14ac:dyDescent="0.25">
      <c r="B626" s="105">
        <f t="shared" si="49"/>
        <v>623</v>
      </c>
      <c r="C626" s="107">
        <f t="shared" si="50"/>
        <v>18</v>
      </c>
      <c r="D626" s="107">
        <f t="shared" si="51"/>
        <v>56</v>
      </c>
      <c r="E626" s="15">
        <f t="shared" si="47"/>
        <v>209</v>
      </c>
      <c r="F626" s="110">
        <f t="shared" si="48"/>
        <v>478</v>
      </c>
    </row>
    <row r="627" spans="2:6" x14ac:dyDescent="0.25">
      <c r="B627" s="105">
        <f t="shared" si="49"/>
        <v>624</v>
      </c>
      <c r="C627" s="107">
        <f t="shared" si="50"/>
        <v>19</v>
      </c>
      <c r="D627" s="107">
        <f t="shared" si="51"/>
        <v>56</v>
      </c>
      <c r="E627" s="15">
        <f t="shared" si="47"/>
        <v>209</v>
      </c>
      <c r="F627" s="110">
        <f t="shared" si="48"/>
        <v>474</v>
      </c>
    </row>
    <row r="628" spans="2:6" x14ac:dyDescent="0.25">
      <c r="B628" s="105">
        <f t="shared" si="49"/>
        <v>625</v>
      </c>
      <c r="C628" s="107">
        <f t="shared" si="50"/>
        <v>20</v>
      </c>
      <c r="D628" s="107">
        <f t="shared" si="51"/>
        <v>56</v>
      </c>
      <c r="E628" s="15">
        <f t="shared" si="47"/>
        <v>209</v>
      </c>
      <c r="F628" s="110">
        <f t="shared" si="48"/>
        <v>468</v>
      </c>
    </row>
    <row r="629" spans="2:6" x14ac:dyDescent="0.25">
      <c r="B629" s="105">
        <f t="shared" si="49"/>
        <v>626</v>
      </c>
      <c r="C629" s="107">
        <f t="shared" si="50"/>
        <v>21</v>
      </c>
      <c r="D629" s="107">
        <f t="shared" si="51"/>
        <v>56</v>
      </c>
      <c r="E629" s="15">
        <f t="shared" si="47"/>
        <v>209</v>
      </c>
      <c r="F629" s="110">
        <f t="shared" si="48"/>
        <v>457</v>
      </c>
    </row>
    <row r="630" spans="2:6" x14ac:dyDescent="0.25">
      <c r="B630" s="105">
        <f t="shared" si="49"/>
        <v>627</v>
      </c>
      <c r="C630" s="107">
        <f t="shared" si="50"/>
        <v>22</v>
      </c>
      <c r="D630" s="107">
        <f t="shared" si="51"/>
        <v>56</v>
      </c>
      <c r="E630" s="15">
        <f t="shared" si="47"/>
        <v>209</v>
      </c>
      <c r="F630" s="110">
        <f t="shared" si="48"/>
        <v>452</v>
      </c>
    </row>
    <row r="631" spans="2:6" x14ac:dyDescent="0.25">
      <c r="B631" s="105">
        <f t="shared" si="49"/>
        <v>628</v>
      </c>
      <c r="C631" s="107">
        <f t="shared" si="50"/>
        <v>23</v>
      </c>
      <c r="D631" s="107">
        <f t="shared" si="51"/>
        <v>56</v>
      </c>
      <c r="E631" s="15">
        <f t="shared" si="47"/>
        <v>209</v>
      </c>
      <c r="F631" s="110">
        <f t="shared" si="48"/>
        <v>442</v>
      </c>
    </row>
    <row r="632" spans="2:6" x14ac:dyDescent="0.25">
      <c r="B632" s="105">
        <f t="shared" si="49"/>
        <v>629</v>
      </c>
      <c r="C632" s="107">
        <f t="shared" si="50"/>
        <v>24</v>
      </c>
      <c r="D632" s="107">
        <f t="shared" si="51"/>
        <v>56</v>
      </c>
      <c r="E632" s="15">
        <f t="shared" si="47"/>
        <v>209</v>
      </c>
      <c r="F632" s="110">
        <f t="shared" si="48"/>
        <v>420</v>
      </c>
    </row>
    <row r="633" spans="2:6" x14ac:dyDescent="0.25">
      <c r="B633" s="105">
        <f t="shared" si="49"/>
        <v>630</v>
      </c>
      <c r="C633" s="107">
        <f t="shared" si="50"/>
        <v>25</v>
      </c>
      <c r="D633" s="107">
        <f t="shared" si="51"/>
        <v>56</v>
      </c>
      <c r="E633" s="15">
        <f t="shared" si="47"/>
        <v>209</v>
      </c>
      <c r="F633" s="110">
        <f t="shared" si="48"/>
        <v>410</v>
      </c>
    </row>
    <row r="634" spans="2:6" x14ac:dyDescent="0.25">
      <c r="B634" s="105">
        <f t="shared" si="49"/>
        <v>631</v>
      </c>
      <c r="C634" s="107">
        <f t="shared" si="50"/>
        <v>26</v>
      </c>
      <c r="D634" s="107">
        <f t="shared" si="51"/>
        <v>56</v>
      </c>
      <c r="E634" s="15">
        <f t="shared" si="47"/>
        <v>209</v>
      </c>
      <c r="F634" s="110">
        <f t="shared" si="48"/>
        <v>409</v>
      </c>
    </row>
    <row r="635" spans="2:6" x14ac:dyDescent="0.25">
      <c r="B635" s="105">
        <f t="shared" si="49"/>
        <v>632</v>
      </c>
      <c r="C635" s="107">
        <f t="shared" si="50"/>
        <v>27</v>
      </c>
      <c r="D635" s="107">
        <f t="shared" si="51"/>
        <v>56</v>
      </c>
      <c r="E635" s="15">
        <f t="shared" si="47"/>
        <v>209</v>
      </c>
      <c r="F635" s="110">
        <f t="shared" si="48"/>
        <v>408</v>
      </c>
    </row>
    <row r="636" spans="2:6" x14ac:dyDescent="0.25">
      <c r="B636" s="105">
        <f t="shared" si="49"/>
        <v>633</v>
      </c>
      <c r="C636" s="107">
        <f t="shared" si="50"/>
        <v>28</v>
      </c>
      <c r="D636" s="107">
        <f t="shared" si="51"/>
        <v>56</v>
      </c>
      <c r="E636" s="15">
        <f t="shared" si="47"/>
        <v>209</v>
      </c>
      <c r="F636" s="110">
        <f t="shared" si="48"/>
        <v>404</v>
      </c>
    </row>
    <row r="637" spans="2:6" x14ac:dyDescent="0.25">
      <c r="B637" s="105">
        <f t="shared" si="49"/>
        <v>634</v>
      </c>
      <c r="C637" s="107">
        <f t="shared" si="50"/>
        <v>29</v>
      </c>
      <c r="D637" s="107">
        <f t="shared" si="51"/>
        <v>56</v>
      </c>
      <c r="E637" s="15">
        <f t="shared" si="47"/>
        <v>209</v>
      </c>
      <c r="F637" s="110">
        <f t="shared" si="48"/>
        <v>399</v>
      </c>
    </row>
    <row r="638" spans="2:6" x14ac:dyDescent="0.25">
      <c r="B638" s="105">
        <f t="shared" si="49"/>
        <v>635</v>
      </c>
      <c r="C638" s="107">
        <f t="shared" si="50"/>
        <v>30</v>
      </c>
      <c r="D638" s="107">
        <f t="shared" si="51"/>
        <v>56</v>
      </c>
      <c r="E638" s="15">
        <f t="shared" si="47"/>
        <v>209</v>
      </c>
      <c r="F638" s="110">
        <f t="shared" si="48"/>
        <v>396</v>
      </c>
    </row>
    <row r="639" spans="2:6" x14ac:dyDescent="0.25">
      <c r="B639" s="105">
        <f t="shared" si="49"/>
        <v>636</v>
      </c>
      <c r="C639" s="107">
        <f t="shared" si="50"/>
        <v>31</v>
      </c>
      <c r="D639" s="107">
        <f t="shared" si="51"/>
        <v>56</v>
      </c>
      <c r="E639" s="15">
        <f t="shared" si="47"/>
        <v>209</v>
      </c>
      <c r="F639" s="110">
        <f t="shared" si="48"/>
        <v>384</v>
      </c>
    </row>
    <row r="640" spans="2:6" x14ac:dyDescent="0.25">
      <c r="B640" s="105">
        <f t="shared" si="49"/>
        <v>637</v>
      </c>
      <c r="C640" s="107">
        <f t="shared" si="50"/>
        <v>32</v>
      </c>
      <c r="D640" s="107">
        <f t="shared" si="51"/>
        <v>56</v>
      </c>
      <c r="E640" s="15">
        <f t="shared" si="47"/>
        <v>209</v>
      </c>
      <c r="F640" s="110">
        <f t="shared" si="48"/>
        <v>381</v>
      </c>
    </row>
    <row r="641" spans="2:6" x14ac:dyDescent="0.25">
      <c r="B641" s="105">
        <f t="shared" si="49"/>
        <v>638</v>
      </c>
      <c r="C641" s="107">
        <f t="shared" si="50"/>
        <v>33</v>
      </c>
      <c r="D641" s="107">
        <f t="shared" si="51"/>
        <v>56</v>
      </c>
      <c r="E641" s="15">
        <f t="shared" si="47"/>
        <v>209</v>
      </c>
      <c r="F641" s="110">
        <f t="shared" si="48"/>
        <v>376</v>
      </c>
    </row>
    <row r="642" spans="2:6" x14ac:dyDescent="0.25">
      <c r="B642" s="105">
        <f t="shared" si="49"/>
        <v>639</v>
      </c>
      <c r="C642" s="107">
        <f t="shared" si="50"/>
        <v>34</v>
      </c>
      <c r="D642" s="107">
        <f t="shared" si="51"/>
        <v>56</v>
      </c>
      <c r="E642" s="15">
        <f t="shared" si="47"/>
        <v>209</v>
      </c>
      <c r="F642" s="110">
        <f t="shared" si="48"/>
        <v>370</v>
      </c>
    </row>
    <row r="643" spans="2:6" x14ac:dyDescent="0.25">
      <c r="B643" s="105">
        <f t="shared" si="49"/>
        <v>640</v>
      </c>
      <c r="C643" s="107">
        <f t="shared" si="50"/>
        <v>35</v>
      </c>
      <c r="D643" s="107">
        <f t="shared" si="51"/>
        <v>56</v>
      </c>
      <c r="E643" s="15">
        <f t="shared" si="47"/>
        <v>209</v>
      </c>
      <c r="F643" s="110">
        <f t="shared" si="48"/>
        <v>362</v>
      </c>
    </row>
    <row r="644" spans="2:6" x14ac:dyDescent="0.25">
      <c r="B644" s="105">
        <f t="shared" si="49"/>
        <v>641</v>
      </c>
      <c r="C644" s="107">
        <f t="shared" si="50"/>
        <v>36</v>
      </c>
      <c r="D644" s="107">
        <f t="shared" si="51"/>
        <v>56</v>
      </c>
      <c r="E644" s="15">
        <f t="shared" ref="E644:E707" si="52">IFERROR(VLOOKUP(D644,$H$4:$I$69,2,0),"")</f>
        <v>209</v>
      </c>
      <c r="F644" s="110">
        <f t="shared" ref="F644:F707" si="53">IFERROR(VLOOKUP(C644,$H$4:$I$69,2,0),"")</f>
        <v>357</v>
      </c>
    </row>
    <row r="645" spans="2:6" x14ac:dyDescent="0.25">
      <c r="B645" s="105">
        <f t="shared" ref="B645:B708" si="54">ROW()-3</f>
        <v>642</v>
      </c>
      <c r="C645" s="107">
        <f t="shared" si="50"/>
        <v>37</v>
      </c>
      <c r="D645" s="107">
        <f t="shared" si="51"/>
        <v>56</v>
      </c>
      <c r="E645" s="15">
        <f t="shared" si="52"/>
        <v>209</v>
      </c>
      <c r="F645" s="110">
        <f t="shared" si="53"/>
        <v>351</v>
      </c>
    </row>
    <row r="646" spans="2:6" x14ac:dyDescent="0.25">
      <c r="B646" s="105">
        <f t="shared" si="54"/>
        <v>643</v>
      </c>
      <c r="C646" s="107">
        <f t="shared" ref="C646:C709" si="55">IF((D645-C645)=1,1,C645+1)</f>
        <v>38</v>
      </c>
      <c r="D646" s="107">
        <f t="shared" ref="D646:D709" si="56">IF((D645-C645)=1,D645-1,D645)</f>
        <v>56</v>
      </c>
      <c r="E646" s="15">
        <f t="shared" si="52"/>
        <v>209</v>
      </c>
      <c r="F646" s="110">
        <f t="shared" si="53"/>
        <v>339</v>
      </c>
    </row>
    <row r="647" spans="2:6" x14ac:dyDescent="0.25">
      <c r="B647" s="105">
        <f t="shared" si="54"/>
        <v>644</v>
      </c>
      <c r="C647" s="107">
        <f t="shared" si="55"/>
        <v>39</v>
      </c>
      <c r="D647" s="107">
        <f t="shared" si="56"/>
        <v>56</v>
      </c>
      <c r="E647" s="15">
        <f t="shared" si="52"/>
        <v>209</v>
      </c>
      <c r="F647" s="110">
        <f t="shared" si="53"/>
        <v>304</v>
      </c>
    </row>
    <row r="648" spans="2:6" x14ac:dyDescent="0.25">
      <c r="B648" s="105">
        <f t="shared" si="54"/>
        <v>645</v>
      </c>
      <c r="C648" s="107">
        <f t="shared" si="55"/>
        <v>40</v>
      </c>
      <c r="D648" s="107">
        <f t="shared" si="56"/>
        <v>56</v>
      </c>
      <c r="E648" s="15">
        <f t="shared" si="52"/>
        <v>209</v>
      </c>
      <c r="F648" s="110">
        <f t="shared" si="53"/>
        <v>301</v>
      </c>
    </row>
    <row r="649" spans="2:6" x14ac:dyDescent="0.25">
      <c r="B649" s="105">
        <f t="shared" si="54"/>
        <v>646</v>
      </c>
      <c r="C649" s="107">
        <f t="shared" si="55"/>
        <v>41</v>
      </c>
      <c r="D649" s="107">
        <f t="shared" si="56"/>
        <v>56</v>
      </c>
      <c r="E649" s="15">
        <f t="shared" si="52"/>
        <v>209</v>
      </c>
      <c r="F649" s="110">
        <f t="shared" si="53"/>
        <v>300</v>
      </c>
    </row>
    <row r="650" spans="2:6" x14ac:dyDescent="0.25">
      <c r="B650" s="105">
        <f t="shared" si="54"/>
        <v>647</v>
      </c>
      <c r="C650" s="107">
        <f t="shared" si="55"/>
        <v>42</v>
      </c>
      <c r="D650" s="107">
        <f t="shared" si="56"/>
        <v>56</v>
      </c>
      <c r="E650" s="15">
        <f t="shared" si="52"/>
        <v>209</v>
      </c>
      <c r="F650" s="110">
        <f t="shared" si="53"/>
        <v>288</v>
      </c>
    </row>
    <row r="651" spans="2:6" x14ac:dyDescent="0.25">
      <c r="B651" s="105">
        <f t="shared" si="54"/>
        <v>648</v>
      </c>
      <c r="C651" s="107">
        <f t="shared" si="55"/>
        <v>43</v>
      </c>
      <c r="D651" s="107">
        <f t="shared" si="56"/>
        <v>56</v>
      </c>
      <c r="E651" s="15">
        <f t="shared" si="52"/>
        <v>209</v>
      </c>
      <c r="F651" s="110">
        <f t="shared" si="53"/>
        <v>273</v>
      </c>
    </row>
    <row r="652" spans="2:6" x14ac:dyDescent="0.25">
      <c r="B652" s="105">
        <f t="shared" si="54"/>
        <v>649</v>
      </c>
      <c r="C652" s="107">
        <f t="shared" si="55"/>
        <v>44</v>
      </c>
      <c r="D652" s="107">
        <f t="shared" si="56"/>
        <v>56</v>
      </c>
      <c r="E652" s="15">
        <f t="shared" si="52"/>
        <v>209</v>
      </c>
      <c r="F652" s="110">
        <f t="shared" si="53"/>
        <v>268</v>
      </c>
    </row>
    <row r="653" spans="2:6" x14ac:dyDescent="0.25">
      <c r="B653" s="105">
        <f t="shared" si="54"/>
        <v>650</v>
      </c>
      <c r="C653" s="107">
        <f t="shared" si="55"/>
        <v>45</v>
      </c>
      <c r="D653" s="107">
        <f t="shared" si="56"/>
        <v>56</v>
      </c>
      <c r="E653" s="15">
        <f t="shared" si="52"/>
        <v>209</v>
      </c>
      <c r="F653" s="110">
        <f t="shared" si="53"/>
        <v>262</v>
      </c>
    </row>
    <row r="654" spans="2:6" x14ac:dyDescent="0.25">
      <c r="B654" s="105">
        <f t="shared" si="54"/>
        <v>651</v>
      </c>
      <c r="C654" s="107">
        <f t="shared" si="55"/>
        <v>46</v>
      </c>
      <c r="D654" s="107">
        <f t="shared" si="56"/>
        <v>56</v>
      </c>
      <c r="E654" s="15">
        <f t="shared" si="52"/>
        <v>209</v>
      </c>
      <c r="F654" s="110">
        <f t="shared" si="53"/>
        <v>248</v>
      </c>
    </row>
    <row r="655" spans="2:6" x14ac:dyDescent="0.25">
      <c r="B655" s="105">
        <f t="shared" si="54"/>
        <v>652</v>
      </c>
      <c r="C655" s="107">
        <f t="shared" si="55"/>
        <v>47</v>
      </c>
      <c r="D655" s="107">
        <f t="shared" si="56"/>
        <v>56</v>
      </c>
      <c r="E655" s="15">
        <f t="shared" si="52"/>
        <v>209</v>
      </c>
      <c r="F655" s="110">
        <f t="shared" si="53"/>
        <v>246</v>
      </c>
    </row>
    <row r="656" spans="2:6" x14ac:dyDescent="0.25">
      <c r="B656" s="105">
        <f t="shared" si="54"/>
        <v>653</v>
      </c>
      <c r="C656" s="107">
        <f t="shared" si="55"/>
        <v>48</v>
      </c>
      <c r="D656" s="107">
        <f t="shared" si="56"/>
        <v>56</v>
      </c>
      <c r="E656" s="15">
        <f t="shared" si="52"/>
        <v>209</v>
      </c>
      <c r="F656" s="110">
        <f t="shared" si="53"/>
        <v>236</v>
      </c>
    </row>
    <row r="657" spans="2:6" x14ac:dyDescent="0.25">
      <c r="B657" s="105">
        <f t="shared" si="54"/>
        <v>654</v>
      </c>
      <c r="C657" s="107">
        <f t="shared" si="55"/>
        <v>49</v>
      </c>
      <c r="D657" s="107">
        <f t="shared" si="56"/>
        <v>56</v>
      </c>
      <c r="E657" s="15">
        <f t="shared" si="52"/>
        <v>209</v>
      </c>
      <c r="F657" s="110">
        <f t="shared" si="53"/>
        <v>231</v>
      </c>
    </row>
    <row r="658" spans="2:6" x14ac:dyDescent="0.25">
      <c r="B658" s="105">
        <f t="shared" si="54"/>
        <v>655</v>
      </c>
      <c r="C658" s="107">
        <f t="shared" si="55"/>
        <v>50</v>
      </c>
      <c r="D658" s="107">
        <f t="shared" si="56"/>
        <v>56</v>
      </c>
      <c r="E658" s="15">
        <f t="shared" si="52"/>
        <v>209</v>
      </c>
      <c r="F658" s="110">
        <f t="shared" si="53"/>
        <v>227</v>
      </c>
    </row>
    <row r="659" spans="2:6" x14ac:dyDescent="0.25">
      <c r="B659" s="105">
        <f t="shared" si="54"/>
        <v>656</v>
      </c>
      <c r="C659" s="107">
        <f t="shared" si="55"/>
        <v>51</v>
      </c>
      <c r="D659" s="107">
        <f t="shared" si="56"/>
        <v>56</v>
      </c>
      <c r="E659" s="15">
        <f t="shared" si="52"/>
        <v>209</v>
      </c>
      <c r="F659" s="110">
        <f t="shared" si="53"/>
        <v>224</v>
      </c>
    </row>
    <row r="660" spans="2:6" x14ac:dyDescent="0.25">
      <c r="B660" s="105">
        <f t="shared" si="54"/>
        <v>657</v>
      </c>
      <c r="C660" s="107">
        <f t="shared" si="55"/>
        <v>52</v>
      </c>
      <c r="D660" s="107">
        <f t="shared" si="56"/>
        <v>56</v>
      </c>
      <c r="E660" s="15">
        <f t="shared" si="52"/>
        <v>209</v>
      </c>
      <c r="F660" s="110">
        <f t="shared" si="53"/>
        <v>217</v>
      </c>
    </row>
    <row r="661" spans="2:6" x14ac:dyDescent="0.25">
      <c r="B661" s="105">
        <f t="shared" si="54"/>
        <v>658</v>
      </c>
      <c r="C661" s="107">
        <f t="shared" si="55"/>
        <v>53</v>
      </c>
      <c r="D661" s="107">
        <f t="shared" si="56"/>
        <v>56</v>
      </c>
      <c r="E661" s="15">
        <f t="shared" si="52"/>
        <v>209</v>
      </c>
      <c r="F661" s="110">
        <f t="shared" si="53"/>
        <v>213</v>
      </c>
    </row>
    <row r="662" spans="2:6" x14ac:dyDescent="0.25">
      <c r="B662" s="105">
        <f t="shared" si="54"/>
        <v>659</v>
      </c>
      <c r="C662" s="107">
        <f t="shared" si="55"/>
        <v>54</v>
      </c>
      <c r="D662" s="107">
        <f t="shared" si="56"/>
        <v>56</v>
      </c>
      <c r="E662" s="15">
        <f t="shared" si="52"/>
        <v>209</v>
      </c>
      <c r="F662" s="110">
        <f t="shared" si="53"/>
        <v>212</v>
      </c>
    </row>
    <row r="663" spans="2:6" x14ac:dyDescent="0.25">
      <c r="B663" s="105">
        <f t="shared" si="54"/>
        <v>660</v>
      </c>
      <c r="C663" s="107">
        <f t="shared" si="55"/>
        <v>55</v>
      </c>
      <c r="D663" s="107">
        <f t="shared" si="56"/>
        <v>56</v>
      </c>
      <c r="E663" s="15">
        <f t="shared" si="52"/>
        <v>209</v>
      </c>
      <c r="F663" s="110">
        <f t="shared" si="53"/>
        <v>211</v>
      </c>
    </row>
    <row r="664" spans="2:6" x14ac:dyDescent="0.25">
      <c r="B664" s="105">
        <f t="shared" si="54"/>
        <v>661</v>
      </c>
      <c r="C664" s="107">
        <f t="shared" si="55"/>
        <v>1</v>
      </c>
      <c r="D664" s="107">
        <f t="shared" si="56"/>
        <v>55</v>
      </c>
      <c r="E664" s="15">
        <f t="shared" si="52"/>
        <v>211</v>
      </c>
      <c r="F664" s="110">
        <f t="shared" si="53"/>
        <v>1048</v>
      </c>
    </row>
    <row r="665" spans="2:6" x14ac:dyDescent="0.25">
      <c r="B665" s="105">
        <f t="shared" si="54"/>
        <v>662</v>
      </c>
      <c r="C665" s="107">
        <f t="shared" si="55"/>
        <v>2</v>
      </c>
      <c r="D665" s="107">
        <f t="shared" si="56"/>
        <v>55</v>
      </c>
      <c r="E665" s="15">
        <f t="shared" si="52"/>
        <v>211</v>
      </c>
      <c r="F665" s="110">
        <f t="shared" si="53"/>
        <v>1025</v>
      </c>
    </row>
    <row r="666" spans="2:6" x14ac:dyDescent="0.25">
      <c r="B666" s="105">
        <f t="shared" si="54"/>
        <v>663</v>
      </c>
      <c r="C666" s="107">
        <f t="shared" si="55"/>
        <v>3</v>
      </c>
      <c r="D666" s="107">
        <f t="shared" si="56"/>
        <v>55</v>
      </c>
      <c r="E666" s="15">
        <f t="shared" si="52"/>
        <v>211</v>
      </c>
      <c r="F666" s="110">
        <f t="shared" si="53"/>
        <v>805</v>
      </c>
    </row>
    <row r="667" spans="2:6" x14ac:dyDescent="0.25">
      <c r="B667" s="105">
        <f t="shared" si="54"/>
        <v>664</v>
      </c>
      <c r="C667" s="107">
        <f t="shared" si="55"/>
        <v>4</v>
      </c>
      <c r="D667" s="107">
        <f t="shared" si="56"/>
        <v>55</v>
      </c>
      <c r="E667" s="15">
        <f t="shared" si="52"/>
        <v>211</v>
      </c>
      <c r="F667" s="110">
        <f t="shared" si="53"/>
        <v>666</v>
      </c>
    </row>
    <row r="668" spans="2:6" x14ac:dyDescent="0.25">
      <c r="B668" s="105">
        <f t="shared" si="54"/>
        <v>665</v>
      </c>
      <c r="C668" s="107">
        <f t="shared" si="55"/>
        <v>5</v>
      </c>
      <c r="D668" s="107">
        <f t="shared" si="56"/>
        <v>55</v>
      </c>
      <c r="E668" s="15">
        <f t="shared" si="52"/>
        <v>211</v>
      </c>
      <c r="F668" s="110">
        <f t="shared" si="53"/>
        <v>655</v>
      </c>
    </row>
    <row r="669" spans="2:6" x14ac:dyDescent="0.25">
      <c r="B669" s="105">
        <f t="shared" si="54"/>
        <v>666</v>
      </c>
      <c r="C669" s="107">
        <f t="shared" si="55"/>
        <v>6</v>
      </c>
      <c r="D669" s="107">
        <f t="shared" si="56"/>
        <v>55</v>
      </c>
      <c r="E669" s="15">
        <f t="shared" si="52"/>
        <v>211</v>
      </c>
      <c r="F669" s="110">
        <f t="shared" si="53"/>
        <v>652</v>
      </c>
    </row>
    <row r="670" spans="2:6" x14ac:dyDescent="0.25">
      <c r="B670" s="105">
        <f t="shared" si="54"/>
        <v>667</v>
      </c>
      <c r="C670" s="107">
        <f t="shared" si="55"/>
        <v>7</v>
      </c>
      <c r="D670" s="107">
        <f t="shared" si="56"/>
        <v>55</v>
      </c>
      <c r="E670" s="15">
        <f t="shared" si="52"/>
        <v>211</v>
      </c>
      <c r="F670" s="110">
        <f t="shared" si="53"/>
        <v>633</v>
      </c>
    </row>
    <row r="671" spans="2:6" x14ac:dyDescent="0.25">
      <c r="B671" s="105">
        <f t="shared" si="54"/>
        <v>668</v>
      </c>
      <c r="C671" s="107">
        <f t="shared" si="55"/>
        <v>8</v>
      </c>
      <c r="D671" s="107">
        <f t="shared" si="56"/>
        <v>55</v>
      </c>
      <c r="E671" s="15">
        <f t="shared" si="52"/>
        <v>211</v>
      </c>
      <c r="F671" s="110">
        <f t="shared" si="53"/>
        <v>632</v>
      </c>
    </row>
    <row r="672" spans="2:6" x14ac:dyDescent="0.25">
      <c r="B672" s="105">
        <f t="shared" si="54"/>
        <v>669</v>
      </c>
      <c r="C672" s="107">
        <f t="shared" si="55"/>
        <v>9</v>
      </c>
      <c r="D672" s="107">
        <f t="shared" si="56"/>
        <v>55</v>
      </c>
      <c r="E672" s="15">
        <f t="shared" si="52"/>
        <v>211</v>
      </c>
      <c r="F672" s="110">
        <f t="shared" si="53"/>
        <v>625</v>
      </c>
    </row>
    <row r="673" spans="2:6" x14ac:dyDescent="0.25">
      <c r="B673" s="105">
        <f t="shared" si="54"/>
        <v>670</v>
      </c>
      <c r="C673" s="107">
        <f t="shared" si="55"/>
        <v>10</v>
      </c>
      <c r="D673" s="107">
        <f t="shared" si="56"/>
        <v>55</v>
      </c>
      <c r="E673" s="15">
        <f t="shared" si="52"/>
        <v>211</v>
      </c>
      <c r="F673" s="110">
        <f t="shared" si="53"/>
        <v>619</v>
      </c>
    </row>
    <row r="674" spans="2:6" x14ac:dyDescent="0.25">
      <c r="B674" s="105">
        <f t="shared" si="54"/>
        <v>671</v>
      </c>
      <c r="C674" s="107">
        <f t="shared" si="55"/>
        <v>11</v>
      </c>
      <c r="D674" s="107">
        <f t="shared" si="56"/>
        <v>55</v>
      </c>
      <c r="E674" s="15">
        <f t="shared" si="52"/>
        <v>211</v>
      </c>
      <c r="F674" s="110">
        <f t="shared" si="53"/>
        <v>610</v>
      </c>
    </row>
    <row r="675" spans="2:6" x14ac:dyDescent="0.25">
      <c r="B675" s="105">
        <f t="shared" si="54"/>
        <v>672</v>
      </c>
      <c r="C675" s="107">
        <f t="shared" si="55"/>
        <v>12</v>
      </c>
      <c r="D675" s="107">
        <f t="shared" si="56"/>
        <v>55</v>
      </c>
      <c r="E675" s="15">
        <f t="shared" si="52"/>
        <v>211</v>
      </c>
      <c r="F675" s="110">
        <f t="shared" si="53"/>
        <v>599</v>
      </c>
    </row>
    <row r="676" spans="2:6" x14ac:dyDescent="0.25">
      <c r="B676" s="105">
        <f t="shared" si="54"/>
        <v>673</v>
      </c>
      <c r="C676" s="107">
        <f t="shared" si="55"/>
        <v>13</v>
      </c>
      <c r="D676" s="107">
        <f t="shared" si="56"/>
        <v>55</v>
      </c>
      <c r="E676" s="15">
        <f t="shared" si="52"/>
        <v>211</v>
      </c>
      <c r="F676" s="110">
        <f t="shared" si="53"/>
        <v>559</v>
      </c>
    </row>
    <row r="677" spans="2:6" x14ac:dyDescent="0.25">
      <c r="B677" s="105">
        <f t="shared" si="54"/>
        <v>674</v>
      </c>
      <c r="C677" s="107">
        <f t="shared" si="55"/>
        <v>14</v>
      </c>
      <c r="D677" s="107">
        <f t="shared" si="56"/>
        <v>55</v>
      </c>
      <c r="E677" s="15">
        <f t="shared" si="52"/>
        <v>211</v>
      </c>
      <c r="F677" s="110">
        <f t="shared" si="53"/>
        <v>556</v>
      </c>
    </row>
    <row r="678" spans="2:6" x14ac:dyDescent="0.25">
      <c r="B678" s="105">
        <f t="shared" si="54"/>
        <v>675</v>
      </c>
      <c r="C678" s="107">
        <f t="shared" si="55"/>
        <v>15</v>
      </c>
      <c r="D678" s="107">
        <f t="shared" si="56"/>
        <v>55</v>
      </c>
      <c r="E678" s="15">
        <f t="shared" si="52"/>
        <v>211</v>
      </c>
      <c r="F678" s="110">
        <f t="shared" si="53"/>
        <v>540</v>
      </c>
    </row>
    <row r="679" spans="2:6" x14ac:dyDescent="0.25">
      <c r="B679" s="105">
        <f t="shared" si="54"/>
        <v>676</v>
      </c>
      <c r="C679" s="107">
        <f t="shared" si="55"/>
        <v>16</v>
      </c>
      <c r="D679" s="107">
        <f t="shared" si="56"/>
        <v>55</v>
      </c>
      <c r="E679" s="15">
        <f t="shared" si="52"/>
        <v>211</v>
      </c>
      <c r="F679" s="110">
        <f t="shared" si="53"/>
        <v>536</v>
      </c>
    </row>
    <row r="680" spans="2:6" x14ac:dyDescent="0.25">
      <c r="B680" s="105">
        <f t="shared" si="54"/>
        <v>677</v>
      </c>
      <c r="C680" s="107">
        <f t="shared" si="55"/>
        <v>17</v>
      </c>
      <c r="D680" s="107">
        <f t="shared" si="56"/>
        <v>55</v>
      </c>
      <c r="E680" s="15">
        <f t="shared" si="52"/>
        <v>211</v>
      </c>
      <c r="F680" s="110">
        <f t="shared" si="53"/>
        <v>527</v>
      </c>
    </row>
    <row r="681" spans="2:6" x14ac:dyDescent="0.25">
      <c r="B681" s="105">
        <f t="shared" si="54"/>
        <v>678</v>
      </c>
      <c r="C681" s="107">
        <f t="shared" si="55"/>
        <v>18</v>
      </c>
      <c r="D681" s="107">
        <f t="shared" si="56"/>
        <v>55</v>
      </c>
      <c r="E681" s="15">
        <f t="shared" si="52"/>
        <v>211</v>
      </c>
      <c r="F681" s="110">
        <f t="shared" si="53"/>
        <v>478</v>
      </c>
    </row>
    <row r="682" spans="2:6" x14ac:dyDescent="0.25">
      <c r="B682" s="105">
        <f t="shared" si="54"/>
        <v>679</v>
      </c>
      <c r="C682" s="107">
        <f t="shared" si="55"/>
        <v>19</v>
      </c>
      <c r="D682" s="107">
        <f t="shared" si="56"/>
        <v>55</v>
      </c>
      <c r="E682" s="15">
        <f t="shared" si="52"/>
        <v>211</v>
      </c>
      <c r="F682" s="110">
        <f t="shared" si="53"/>
        <v>474</v>
      </c>
    </row>
    <row r="683" spans="2:6" x14ac:dyDescent="0.25">
      <c r="B683" s="105">
        <f t="shared" si="54"/>
        <v>680</v>
      </c>
      <c r="C683" s="107">
        <f t="shared" si="55"/>
        <v>20</v>
      </c>
      <c r="D683" s="107">
        <f t="shared" si="56"/>
        <v>55</v>
      </c>
      <c r="E683" s="15">
        <f t="shared" si="52"/>
        <v>211</v>
      </c>
      <c r="F683" s="110">
        <f t="shared" si="53"/>
        <v>468</v>
      </c>
    </row>
    <row r="684" spans="2:6" x14ac:dyDescent="0.25">
      <c r="B684" s="105">
        <f t="shared" si="54"/>
        <v>681</v>
      </c>
      <c r="C684" s="107">
        <f t="shared" si="55"/>
        <v>21</v>
      </c>
      <c r="D684" s="107">
        <f t="shared" si="56"/>
        <v>55</v>
      </c>
      <c r="E684" s="15">
        <f t="shared" si="52"/>
        <v>211</v>
      </c>
      <c r="F684" s="110">
        <f t="shared" si="53"/>
        <v>457</v>
      </c>
    </row>
    <row r="685" spans="2:6" x14ac:dyDescent="0.25">
      <c r="B685" s="105">
        <f t="shared" si="54"/>
        <v>682</v>
      </c>
      <c r="C685" s="107">
        <f t="shared" si="55"/>
        <v>22</v>
      </c>
      <c r="D685" s="107">
        <f t="shared" si="56"/>
        <v>55</v>
      </c>
      <c r="E685" s="15">
        <f t="shared" si="52"/>
        <v>211</v>
      </c>
      <c r="F685" s="110">
        <f t="shared" si="53"/>
        <v>452</v>
      </c>
    </row>
    <row r="686" spans="2:6" x14ac:dyDescent="0.25">
      <c r="B686" s="105">
        <f t="shared" si="54"/>
        <v>683</v>
      </c>
      <c r="C686" s="107">
        <f t="shared" si="55"/>
        <v>23</v>
      </c>
      <c r="D686" s="107">
        <f t="shared" si="56"/>
        <v>55</v>
      </c>
      <c r="E686" s="15">
        <f t="shared" si="52"/>
        <v>211</v>
      </c>
      <c r="F686" s="110">
        <f t="shared" si="53"/>
        <v>442</v>
      </c>
    </row>
    <row r="687" spans="2:6" x14ac:dyDescent="0.25">
      <c r="B687" s="105">
        <f t="shared" si="54"/>
        <v>684</v>
      </c>
      <c r="C687" s="107">
        <f t="shared" si="55"/>
        <v>24</v>
      </c>
      <c r="D687" s="107">
        <f t="shared" si="56"/>
        <v>55</v>
      </c>
      <c r="E687" s="15">
        <f t="shared" si="52"/>
        <v>211</v>
      </c>
      <c r="F687" s="110">
        <f t="shared" si="53"/>
        <v>420</v>
      </c>
    </row>
    <row r="688" spans="2:6" x14ac:dyDescent="0.25">
      <c r="B688" s="105">
        <f t="shared" si="54"/>
        <v>685</v>
      </c>
      <c r="C688" s="107">
        <f t="shared" si="55"/>
        <v>25</v>
      </c>
      <c r="D688" s="107">
        <f t="shared" si="56"/>
        <v>55</v>
      </c>
      <c r="E688" s="15">
        <f t="shared" si="52"/>
        <v>211</v>
      </c>
      <c r="F688" s="110">
        <f t="shared" si="53"/>
        <v>410</v>
      </c>
    </row>
    <row r="689" spans="2:6" x14ac:dyDescent="0.25">
      <c r="B689" s="105">
        <f t="shared" si="54"/>
        <v>686</v>
      </c>
      <c r="C689" s="107">
        <f t="shared" si="55"/>
        <v>26</v>
      </c>
      <c r="D689" s="107">
        <f t="shared" si="56"/>
        <v>55</v>
      </c>
      <c r="E689" s="15">
        <f t="shared" si="52"/>
        <v>211</v>
      </c>
      <c r="F689" s="110">
        <f t="shared" si="53"/>
        <v>409</v>
      </c>
    </row>
    <row r="690" spans="2:6" x14ac:dyDescent="0.25">
      <c r="B690" s="105">
        <f t="shared" si="54"/>
        <v>687</v>
      </c>
      <c r="C690" s="107">
        <f t="shared" si="55"/>
        <v>27</v>
      </c>
      <c r="D690" s="107">
        <f t="shared" si="56"/>
        <v>55</v>
      </c>
      <c r="E690" s="15">
        <f t="shared" si="52"/>
        <v>211</v>
      </c>
      <c r="F690" s="110">
        <f t="shared" si="53"/>
        <v>408</v>
      </c>
    </row>
    <row r="691" spans="2:6" x14ac:dyDescent="0.25">
      <c r="B691" s="105">
        <f t="shared" si="54"/>
        <v>688</v>
      </c>
      <c r="C691" s="107">
        <f t="shared" si="55"/>
        <v>28</v>
      </c>
      <c r="D691" s="107">
        <f t="shared" si="56"/>
        <v>55</v>
      </c>
      <c r="E691" s="15">
        <f t="shared" si="52"/>
        <v>211</v>
      </c>
      <c r="F691" s="110">
        <f t="shared" si="53"/>
        <v>404</v>
      </c>
    </row>
    <row r="692" spans="2:6" x14ac:dyDescent="0.25">
      <c r="B692" s="105">
        <f t="shared" si="54"/>
        <v>689</v>
      </c>
      <c r="C692" s="107">
        <f t="shared" si="55"/>
        <v>29</v>
      </c>
      <c r="D692" s="107">
        <f t="shared" si="56"/>
        <v>55</v>
      </c>
      <c r="E692" s="15">
        <f t="shared" si="52"/>
        <v>211</v>
      </c>
      <c r="F692" s="110">
        <f t="shared" si="53"/>
        <v>399</v>
      </c>
    </row>
    <row r="693" spans="2:6" x14ac:dyDescent="0.25">
      <c r="B693" s="105">
        <f t="shared" si="54"/>
        <v>690</v>
      </c>
      <c r="C693" s="107">
        <f t="shared" si="55"/>
        <v>30</v>
      </c>
      <c r="D693" s="107">
        <f t="shared" si="56"/>
        <v>55</v>
      </c>
      <c r="E693" s="15">
        <f t="shared" si="52"/>
        <v>211</v>
      </c>
      <c r="F693" s="110">
        <f t="shared" si="53"/>
        <v>396</v>
      </c>
    </row>
    <row r="694" spans="2:6" x14ac:dyDescent="0.25">
      <c r="B694" s="105">
        <f t="shared" si="54"/>
        <v>691</v>
      </c>
      <c r="C694" s="107">
        <f t="shared" si="55"/>
        <v>31</v>
      </c>
      <c r="D694" s="107">
        <f t="shared" si="56"/>
        <v>55</v>
      </c>
      <c r="E694" s="15">
        <f t="shared" si="52"/>
        <v>211</v>
      </c>
      <c r="F694" s="110">
        <f t="shared" si="53"/>
        <v>384</v>
      </c>
    </row>
    <row r="695" spans="2:6" x14ac:dyDescent="0.25">
      <c r="B695" s="105">
        <f t="shared" si="54"/>
        <v>692</v>
      </c>
      <c r="C695" s="107">
        <f t="shared" si="55"/>
        <v>32</v>
      </c>
      <c r="D695" s="107">
        <f t="shared" si="56"/>
        <v>55</v>
      </c>
      <c r="E695" s="15">
        <f t="shared" si="52"/>
        <v>211</v>
      </c>
      <c r="F695" s="110">
        <f t="shared" si="53"/>
        <v>381</v>
      </c>
    </row>
    <row r="696" spans="2:6" x14ac:dyDescent="0.25">
      <c r="B696" s="105">
        <f t="shared" si="54"/>
        <v>693</v>
      </c>
      <c r="C696" s="107">
        <f t="shared" si="55"/>
        <v>33</v>
      </c>
      <c r="D696" s="107">
        <f t="shared" si="56"/>
        <v>55</v>
      </c>
      <c r="E696" s="15">
        <f t="shared" si="52"/>
        <v>211</v>
      </c>
      <c r="F696" s="110">
        <f t="shared" si="53"/>
        <v>376</v>
      </c>
    </row>
    <row r="697" spans="2:6" x14ac:dyDescent="0.25">
      <c r="B697" s="105">
        <f t="shared" si="54"/>
        <v>694</v>
      </c>
      <c r="C697" s="107">
        <f t="shared" si="55"/>
        <v>34</v>
      </c>
      <c r="D697" s="107">
        <f t="shared" si="56"/>
        <v>55</v>
      </c>
      <c r="E697" s="15">
        <f t="shared" si="52"/>
        <v>211</v>
      </c>
      <c r="F697" s="110">
        <f t="shared" si="53"/>
        <v>370</v>
      </c>
    </row>
    <row r="698" spans="2:6" x14ac:dyDescent="0.25">
      <c r="B698" s="105">
        <f t="shared" si="54"/>
        <v>695</v>
      </c>
      <c r="C698" s="107">
        <f t="shared" si="55"/>
        <v>35</v>
      </c>
      <c r="D698" s="107">
        <f t="shared" si="56"/>
        <v>55</v>
      </c>
      <c r="E698" s="15">
        <f t="shared" si="52"/>
        <v>211</v>
      </c>
      <c r="F698" s="110">
        <f t="shared" si="53"/>
        <v>362</v>
      </c>
    </row>
    <row r="699" spans="2:6" x14ac:dyDescent="0.25">
      <c r="B699" s="105">
        <f t="shared" si="54"/>
        <v>696</v>
      </c>
      <c r="C699" s="107">
        <f t="shared" si="55"/>
        <v>36</v>
      </c>
      <c r="D699" s="107">
        <f t="shared" si="56"/>
        <v>55</v>
      </c>
      <c r="E699" s="15">
        <f t="shared" si="52"/>
        <v>211</v>
      </c>
      <c r="F699" s="110">
        <f t="shared" si="53"/>
        <v>357</v>
      </c>
    </row>
    <row r="700" spans="2:6" x14ac:dyDescent="0.25">
      <c r="B700" s="105">
        <f t="shared" si="54"/>
        <v>697</v>
      </c>
      <c r="C700" s="107">
        <f t="shared" si="55"/>
        <v>37</v>
      </c>
      <c r="D700" s="107">
        <f t="shared" si="56"/>
        <v>55</v>
      </c>
      <c r="E700" s="15">
        <f t="shared" si="52"/>
        <v>211</v>
      </c>
      <c r="F700" s="110">
        <f t="shared" si="53"/>
        <v>351</v>
      </c>
    </row>
    <row r="701" spans="2:6" x14ac:dyDescent="0.25">
      <c r="B701" s="105">
        <f t="shared" si="54"/>
        <v>698</v>
      </c>
      <c r="C701" s="107">
        <f t="shared" si="55"/>
        <v>38</v>
      </c>
      <c r="D701" s="107">
        <f t="shared" si="56"/>
        <v>55</v>
      </c>
      <c r="E701" s="15">
        <f t="shared" si="52"/>
        <v>211</v>
      </c>
      <c r="F701" s="110">
        <f t="shared" si="53"/>
        <v>339</v>
      </c>
    </row>
    <row r="702" spans="2:6" x14ac:dyDescent="0.25">
      <c r="B702" s="105">
        <f t="shared" si="54"/>
        <v>699</v>
      </c>
      <c r="C702" s="107">
        <f t="shared" si="55"/>
        <v>39</v>
      </c>
      <c r="D702" s="107">
        <f t="shared" si="56"/>
        <v>55</v>
      </c>
      <c r="E702" s="15">
        <f t="shared" si="52"/>
        <v>211</v>
      </c>
      <c r="F702" s="110">
        <f t="shared" si="53"/>
        <v>304</v>
      </c>
    </row>
    <row r="703" spans="2:6" x14ac:dyDescent="0.25">
      <c r="B703" s="105">
        <f t="shared" si="54"/>
        <v>700</v>
      </c>
      <c r="C703" s="107">
        <f t="shared" si="55"/>
        <v>40</v>
      </c>
      <c r="D703" s="107">
        <f t="shared" si="56"/>
        <v>55</v>
      </c>
      <c r="E703" s="15">
        <f t="shared" si="52"/>
        <v>211</v>
      </c>
      <c r="F703" s="110">
        <f t="shared" si="53"/>
        <v>301</v>
      </c>
    </row>
    <row r="704" spans="2:6" x14ac:dyDescent="0.25">
      <c r="B704" s="105">
        <f t="shared" si="54"/>
        <v>701</v>
      </c>
      <c r="C704" s="107">
        <f t="shared" si="55"/>
        <v>41</v>
      </c>
      <c r="D704" s="107">
        <f t="shared" si="56"/>
        <v>55</v>
      </c>
      <c r="E704" s="15">
        <f t="shared" si="52"/>
        <v>211</v>
      </c>
      <c r="F704" s="110">
        <f t="shared" si="53"/>
        <v>300</v>
      </c>
    </row>
    <row r="705" spans="2:6" x14ac:dyDescent="0.25">
      <c r="B705" s="105">
        <f t="shared" si="54"/>
        <v>702</v>
      </c>
      <c r="C705" s="107">
        <f t="shared" si="55"/>
        <v>42</v>
      </c>
      <c r="D705" s="107">
        <f t="shared" si="56"/>
        <v>55</v>
      </c>
      <c r="E705" s="15">
        <f t="shared" si="52"/>
        <v>211</v>
      </c>
      <c r="F705" s="110">
        <f t="shared" si="53"/>
        <v>288</v>
      </c>
    </row>
    <row r="706" spans="2:6" x14ac:dyDescent="0.25">
      <c r="B706" s="105">
        <f t="shared" si="54"/>
        <v>703</v>
      </c>
      <c r="C706" s="107">
        <f t="shared" si="55"/>
        <v>43</v>
      </c>
      <c r="D706" s="107">
        <f t="shared" si="56"/>
        <v>55</v>
      </c>
      <c r="E706" s="15">
        <f t="shared" si="52"/>
        <v>211</v>
      </c>
      <c r="F706" s="110">
        <f t="shared" si="53"/>
        <v>273</v>
      </c>
    </row>
    <row r="707" spans="2:6" x14ac:dyDescent="0.25">
      <c r="B707" s="105">
        <f t="shared" si="54"/>
        <v>704</v>
      </c>
      <c r="C707" s="107">
        <f t="shared" si="55"/>
        <v>44</v>
      </c>
      <c r="D707" s="107">
        <f t="shared" si="56"/>
        <v>55</v>
      </c>
      <c r="E707" s="15">
        <f t="shared" si="52"/>
        <v>211</v>
      </c>
      <c r="F707" s="110">
        <f t="shared" si="53"/>
        <v>268</v>
      </c>
    </row>
    <row r="708" spans="2:6" x14ac:dyDescent="0.25">
      <c r="B708" s="105">
        <f t="shared" si="54"/>
        <v>705</v>
      </c>
      <c r="C708" s="107">
        <f t="shared" si="55"/>
        <v>45</v>
      </c>
      <c r="D708" s="107">
        <f t="shared" si="56"/>
        <v>55</v>
      </c>
      <c r="E708" s="15">
        <f t="shared" ref="E708:E771" si="57">IFERROR(VLOOKUP(D708,$H$4:$I$69,2,0),"")</f>
        <v>211</v>
      </c>
      <c r="F708" s="110">
        <f t="shared" ref="F708:F771" si="58">IFERROR(VLOOKUP(C708,$H$4:$I$69,2,0),"")</f>
        <v>262</v>
      </c>
    </row>
    <row r="709" spans="2:6" x14ac:dyDescent="0.25">
      <c r="B709" s="105">
        <f t="shared" ref="B709:B772" si="59">ROW()-3</f>
        <v>706</v>
      </c>
      <c r="C709" s="107">
        <f t="shared" si="55"/>
        <v>46</v>
      </c>
      <c r="D709" s="107">
        <f t="shared" si="56"/>
        <v>55</v>
      </c>
      <c r="E709" s="15">
        <f t="shared" si="57"/>
        <v>211</v>
      </c>
      <c r="F709" s="110">
        <f t="shared" si="58"/>
        <v>248</v>
      </c>
    </row>
    <row r="710" spans="2:6" x14ac:dyDescent="0.25">
      <c r="B710" s="105">
        <f t="shared" si="59"/>
        <v>707</v>
      </c>
      <c r="C710" s="107">
        <f t="shared" ref="C710:C773" si="60">IF((D709-C709)=1,1,C709+1)</f>
        <v>47</v>
      </c>
      <c r="D710" s="107">
        <f t="shared" ref="D710:D773" si="61">IF((D709-C709)=1,D709-1,D709)</f>
        <v>55</v>
      </c>
      <c r="E710" s="15">
        <f t="shared" si="57"/>
        <v>211</v>
      </c>
      <c r="F710" s="110">
        <f t="shared" si="58"/>
        <v>246</v>
      </c>
    </row>
    <row r="711" spans="2:6" x14ac:dyDescent="0.25">
      <c r="B711" s="105">
        <f t="shared" si="59"/>
        <v>708</v>
      </c>
      <c r="C711" s="107">
        <f t="shared" si="60"/>
        <v>48</v>
      </c>
      <c r="D711" s="107">
        <f t="shared" si="61"/>
        <v>55</v>
      </c>
      <c r="E711" s="15">
        <f t="shared" si="57"/>
        <v>211</v>
      </c>
      <c r="F711" s="110">
        <f t="shared" si="58"/>
        <v>236</v>
      </c>
    </row>
    <row r="712" spans="2:6" x14ac:dyDescent="0.25">
      <c r="B712" s="105">
        <f t="shared" si="59"/>
        <v>709</v>
      </c>
      <c r="C712" s="107">
        <f t="shared" si="60"/>
        <v>49</v>
      </c>
      <c r="D712" s="107">
        <f t="shared" si="61"/>
        <v>55</v>
      </c>
      <c r="E712" s="15">
        <f t="shared" si="57"/>
        <v>211</v>
      </c>
      <c r="F712" s="110">
        <f t="shared" si="58"/>
        <v>231</v>
      </c>
    </row>
    <row r="713" spans="2:6" x14ac:dyDescent="0.25">
      <c r="B713" s="105">
        <f t="shared" si="59"/>
        <v>710</v>
      </c>
      <c r="C713" s="107">
        <f t="shared" si="60"/>
        <v>50</v>
      </c>
      <c r="D713" s="107">
        <f t="shared" si="61"/>
        <v>55</v>
      </c>
      <c r="E713" s="15">
        <f t="shared" si="57"/>
        <v>211</v>
      </c>
      <c r="F713" s="110">
        <f t="shared" si="58"/>
        <v>227</v>
      </c>
    </row>
    <row r="714" spans="2:6" x14ac:dyDescent="0.25">
      <c r="B714" s="105">
        <f t="shared" si="59"/>
        <v>711</v>
      </c>
      <c r="C714" s="107">
        <f t="shared" si="60"/>
        <v>51</v>
      </c>
      <c r="D714" s="107">
        <f t="shared" si="61"/>
        <v>55</v>
      </c>
      <c r="E714" s="15">
        <f t="shared" si="57"/>
        <v>211</v>
      </c>
      <c r="F714" s="110">
        <f t="shared" si="58"/>
        <v>224</v>
      </c>
    </row>
    <row r="715" spans="2:6" x14ac:dyDescent="0.25">
      <c r="B715" s="105">
        <f t="shared" si="59"/>
        <v>712</v>
      </c>
      <c r="C715" s="107">
        <f t="shared" si="60"/>
        <v>52</v>
      </c>
      <c r="D715" s="107">
        <f t="shared" si="61"/>
        <v>55</v>
      </c>
      <c r="E715" s="15">
        <f t="shared" si="57"/>
        <v>211</v>
      </c>
      <c r="F715" s="110">
        <f t="shared" si="58"/>
        <v>217</v>
      </c>
    </row>
    <row r="716" spans="2:6" x14ac:dyDescent="0.25">
      <c r="B716" s="105">
        <f t="shared" si="59"/>
        <v>713</v>
      </c>
      <c r="C716" s="107">
        <f t="shared" si="60"/>
        <v>53</v>
      </c>
      <c r="D716" s="107">
        <f t="shared" si="61"/>
        <v>55</v>
      </c>
      <c r="E716" s="15">
        <f t="shared" si="57"/>
        <v>211</v>
      </c>
      <c r="F716" s="110">
        <f t="shared" si="58"/>
        <v>213</v>
      </c>
    </row>
    <row r="717" spans="2:6" x14ac:dyDescent="0.25">
      <c r="B717" s="105">
        <f t="shared" si="59"/>
        <v>714</v>
      </c>
      <c r="C717" s="107">
        <f t="shared" si="60"/>
        <v>54</v>
      </c>
      <c r="D717" s="107">
        <f t="shared" si="61"/>
        <v>55</v>
      </c>
      <c r="E717" s="15">
        <f t="shared" si="57"/>
        <v>211</v>
      </c>
      <c r="F717" s="110">
        <f t="shared" si="58"/>
        <v>212</v>
      </c>
    </row>
    <row r="718" spans="2:6" x14ac:dyDescent="0.25">
      <c r="B718" s="105">
        <f t="shared" si="59"/>
        <v>715</v>
      </c>
      <c r="C718" s="107">
        <f t="shared" si="60"/>
        <v>1</v>
      </c>
      <c r="D718" s="107">
        <f t="shared" si="61"/>
        <v>54</v>
      </c>
      <c r="E718" s="15">
        <f t="shared" si="57"/>
        <v>212</v>
      </c>
      <c r="F718" s="110">
        <f t="shared" si="58"/>
        <v>1048</v>
      </c>
    </row>
    <row r="719" spans="2:6" x14ac:dyDescent="0.25">
      <c r="B719" s="105">
        <f t="shared" si="59"/>
        <v>716</v>
      </c>
      <c r="C719" s="107">
        <f t="shared" si="60"/>
        <v>2</v>
      </c>
      <c r="D719" s="107">
        <f t="shared" si="61"/>
        <v>54</v>
      </c>
      <c r="E719" s="15">
        <f t="shared" si="57"/>
        <v>212</v>
      </c>
      <c r="F719" s="110">
        <f t="shared" si="58"/>
        <v>1025</v>
      </c>
    </row>
    <row r="720" spans="2:6" x14ac:dyDescent="0.25">
      <c r="B720" s="105">
        <f t="shared" si="59"/>
        <v>717</v>
      </c>
      <c r="C720" s="107">
        <f t="shared" si="60"/>
        <v>3</v>
      </c>
      <c r="D720" s="107">
        <f t="shared" si="61"/>
        <v>54</v>
      </c>
      <c r="E720" s="15">
        <f t="shared" si="57"/>
        <v>212</v>
      </c>
      <c r="F720" s="110">
        <f t="shared" si="58"/>
        <v>805</v>
      </c>
    </row>
    <row r="721" spans="2:6" x14ac:dyDescent="0.25">
      <c r="B721" s="105">
        <f t="shared" si="59"/>
        <v>718</v>
      </c>
      <c r="C721" s="107">
        <f t="shared" si="60"/>
        <v>4</v>
      </c>
      <c r="D721" s="107">
        <f t="shared" si="61"/>
        <v>54</v>
      </c>
      <c r="E721" s="15">
        <f t="shared" si="57"/>
        <v>212</v>
      </c>
      <c r="F721" s="110">
        <f t="shared" si="58"/>
        <v>666</v>
      </c>
    </row>
    <row r="722" spans="2:6" x14ac:dyDescent="0.25">
      <c r="B722" s="105">
        <f t="shared" si="59"/>
        <v>719</v>
      </c>
      <c r="C722" s="107">
        <f t="shared" si="60"/>
        <v>5</v>
      </c>
      <c r="D722" s="107">
        <f t="shared" si="61"/>
        <v>54</v>
      </c>
      <c r="E722" s="15">
        <f t="shared" si="57"/>
        <v>212</v>
      </c>
      <c r="F722" s="110">
        <f t="shared" si="58"/>
        <v>655</v>
      </c>
    </row>
    <row r="723" spans="2:6" x14ac:dyDescent="0.25">
      <c r="B723" s="105">
        <f t="shared" si="59"/>
        <v>720</v>
      </c>
      <c r="C723" s="107">
        <f t="shared" si="60"/>
        <v>6</v>
      </c>
      <c r="D723" s="107">
        <f t="shared" si="61"/>
        <v>54</v>
      </c>
      <c r="E723" s="15">
        <f t="shared" si="57"/>
        <v>212</v>
      </c>
      <c r="F723" s="110">
        <f t="shared" si="58"/>
        <v>652</v>
      </c>
    </row>
    <row r="724" spans="2:6" x14ac:dyDescent="0.25">
      <c r="B724" s="105">
        <f t="shared" si="59"/>
        <v>721</v>
      </c>
      <c r="C724" s="107">
        <f t="shared" si="60"/>
        <v>7</v>
      </c>
      <c r="D724" s="107">
        <f t="shared" si="61"/>
        <v>54</v>
      </c>
      <c r="E724" s="15">
        <f t="shared" si="57"/>
        <v>212</v>
      </c>
      <c r="F724" s="110">
        <f t="shared" si="58"/>
        <v>633</v>
      </c>
    </row>
    <row r="725" spans="2:6" x14ac:dyDescent="0.25">
      <c r="B725" s="105">
        <f t="shared" si="59"/>
        <v>722</v>
      </c>
      <c r="C725" s="107">
        <f t="shared" si="60"/>
        <v>8</v>
      </c>
      <c r="D725" s="107">
        <f t="shared" si="61"/>
        <v>54</v>
      </c>
      <c r="E725" s="15">
        <f t="shared" si="57"/>
        <v>212</v>
      </c>
      <c r="F725" s="110">
        <f t="shared" si="58"/>
        <v>632</v>
      </c>
    </row>
    <row r="726" spans="2:6" x14ac:dyDescent="0.25">
      <c r="B726" s="105">
        <f t="shared" si="59"/>
        <v>723</v>
      </c>
      <c r="C726" s="107">
        <f t="shared" si="60"/>
        <v>9</v>
      </c>
      <c r="D726" s="107">
        <f t="shared" si="61"/>
        <v>54</v>
      </c>
      <c r="E726" s="15">
        <f t="shared" si="57"/>
        <v>212</v>
      </c>
      <c r="F726" s="110">
        <f t="shared" si="58"/>
        <v>625</v>
      </c>
    </row>
    <row r="727" spans="2:6" x14ac:dyDescent="0.25">
      <c r="B727" s="105">
        <f t="shared" si="59"/>
        <v>724</v>
      </c>
      <c r="C727" s="107">
        <f t="shared" si="60"/>
        <v>10</v>
      </c>
      <c r="D727" s="107">
        <f t="shared" si="61"/>
        <v>54</v>
      </c>
      <c r="E727" s="15">
        <f t="shared" si="57"/>
        <v>212</v>
      </c>
      <c r="F727" s="110">
        <f t="shared" si="58"/>
        <v>619</v>
      </c>
    </row>
    <row r="728" spans="2:6" x14ac:dyDescent="0.25">
      <c r="B728" s="105">
        <f t="shared" si="59"/>
        <v>725</v>
      </c>
      <c r="C728" s="107">
        <f t="shared" si="60"/>
        <v>11</v>
      </c>
      <c r="D728" s="107">
        <f t="shared" si="61"/>
        <v>54</v>
      </c>
      <c r="E728" s="15">
        <f t="shared" si="57"/>
        <v>212</v>
      </c>
      <c r="F728" s="110">
        <f t="shared" si="58"/>
        <v>610</v>
      </c>
    </row>
    <row r="729" spans="2:6" x14ac:dyDescent="0.25">
      <c r="B729" s="105">
        <f t="shared" si="59"/>
        <v>726</v>
      </c>
      <c r="C729" s="107">
        <f t="shared" si="60"/>
        <v>12</v>
      </c>
      <c r="D729" s="107">
        <f t="shared" si="61"/>
        <v>54</v>
      </c>
      <c r="E729" s="15">
        <f t="shared" si="57"/>
        <v>212</v>
      </c>
      <c r="F729" s="110">
        <f t="shared" si="58"/>
        <v>599</v>
      </c>
    </row>
    <row r="730" spans="2:6" x14ac:dyDescent="0.25">
      <c r="B730" s="105">
        <f t="shared" si="59"/>
        <v>727</v>
      </c>
      <c r="C730" s="107">
        <f t="shared" si="60"/>
        <v>13</v>
      </c>
      <c r="D730" s="107">
        <f t="shared" si="61"/>
        <v>54</v>
      </c>
      <c r="E730" s="15">
        <f t="shared" si="57"/>
        <v>212</v>
      </c>
      <c r="F730" s="110">
        <f t="shared" si="58"/>
        <v>559</v>
      </c>
    </row>
    <row r="731" spans="2:6" x14ac:dyDescent="0.25">
      <c r="B731" s="105">
        <f t="shared" si="59"/>
        <v>728</v>
      </c>
      <c r="C731" s="107">
        <f t="shared" si="60"/>
        <v>14</v>
      </c>
      <c r="D731" s="107">
        <f t="shared" si="61"/>
        <v>54</v>
      </c>
      <c r="E731" s="15">
        <f t="shared" si="57"/>
        <v>212</v>
      </c>
      <c r="F731" s="110">
        <f t="shared" si="58"/>
        <v>556</v>
      </c>
    </row>
    <row r="732" spans="2:6" x14ac:dyDescent="0.25">
      <c r="B732" s="105">
        <f t="shared" si="59"/>
        <v>729</v>
      </c>
      <c r="C732" s="107">
        <f t="shared" si="60"/>
        <v>15</v>
      </c>
      <c r="D732" s="107">
        <f t="shared" si="61"/>
        <v>54</v>
      </c>
      <c r="E732" s="15">
        <f t="shared" si="57"/>
        <v>212</v>
      </c>
      <c r="F732" s="110">
        <f t="shared" si="58"/>
        <v>540</v>
      </c>
    </row>
    <row r="733" spans="2:6" x14ac:dyDescent="0.25">
      <c r="B733" s="105">
        <f t="shared" si="59"/>
        <v>730</v>
      </c>
      <c r="C733" s="107">
        <f t="shared" si="60"/>
        <v>16</v>
      </c>
      <c r="D733" s="107">
        <f t="shared" si="61"/>
        <v>54</v>
      </c>
      <c r="E733" s="15">
        <f t="shared" si="57"/>
        <v>212</v>
      </c>
      <c r="F733" s="110">
        <f t="shared" si="58"/>
        <v>536</v>
      </c>
    </row>
    <row r="734" spans="2:6" x14ac:dyDescent="0.25">
      <c r="B734" s="105">
        <f t="shared" si="59"/>
        <v>731</v>
      </c>
      <c r="C734" s="107">
        <f t="shared" si="60"/>
        <v>17</v>
      </c>
      <c r="D734" s="107">
        <f t="shared" si="61"/>
        <v>54</v>
      </c>
      <c r="E734" s="15">
        <f t="shared" si="57"/>
        <v>212</v>
      </c>
      <c r="F734" s="110">
        <f t="shared" si="58"/>
        <v>527</v>
      </c>
    </row>
    <row r="735" spans="2:6" x14ac:dyDescent="0.25">
      <c r="B735" s="105">
        <f t="shared" si="59"/>
        <v>732</v>
      </c>
      <c r="C735" s="107">
        <f t="shared" si="60"/>
        <v>18</v>
      </c>
      <c r="D735" s="107">
        <f t="shared" si="61"/>
        <v>54</v>
      </c>
      <c r="E735" s="15">
        <f t="shared" si="57"/>
        <v>212</v>
      </c>
      <c r="F735" s="110">
        <f t="shared" si="58"/>
        <v>478</v>
      </c>
    </row>
    <row r="736" spans="2:6" x14ac:dyDescent="0.25">
      <c r="B736" s="105">
        <f t="shared" si="59"/>
        <v>733</v>
      </c>
      <c r="C736" s="107">
        <f t="shared" si="60"/>
        <v>19</v>
      </c>
      <c r="D736" s="107">
        <f t="shared" si="61"/>
        <v>54</v>
      </c>
      <c r="E736" s="15">
        <f t="shared" si="57"/>
        <v>212</v>
      </c>
      <c r="F736" s="110">
        <f t="shared" si="58"/>
        <v>474</v>
      </c>
    </row>
    <row r="737" spans="2:6" x14ac:dyDescent="0.25">
      <c r="B737" s="105">
        <f t="shared" si="59"/>
        <v>734</v>
      </c>
      <c r="C737" s="107">
        <f t="shared" si="60"/>
        <v>20</v>
      </c>
      <c r="D737" s="107">
        <f t="shared" si="61"/>
        <v>54</v>
      </c>
      <c r="E737" s="15">
        <f t="shared" si="57"/>
        <v>212</v>
      </c>
      <c r="F737" s="110">
        <f t="shared" si="58"/>
        <v>468</v>
      </c>
    </row>
    <row r="738" spans="2:6" x14ac:dyDescent="0.25">
      <c r="B738" s="105">
        <f t="shared" si="59"/>
        <v>735</v>
      </c>
      <c r="C738" s="107">
        <f t="shared" si="60"/>
        <v>21</v>
      </c>
      <c r="D738" s="107">
        <f t="shared" si="61"/>
        <v>54</v>
      </c>
      <c r="E738" s="15">
        <f t="shared" si="57"/>
        <v>212</v>
      </c>
      <c r="F738" s="110">
        <f t="shared" si="58"/>
        <v>457</v>
      </c>
    </row>
    <row r="739" spans="2:6" x14ac:dyDescent="0.25">
      <c r="B739" s="105">
        <f t="shared" si="59"/>
        <v>736</v>
      </c>
      <c r="C739" s="107">
        <f t="shared" si="60"/>
        <v>22</v>
      </c>
      <c r="D739" s="107">
        <f t="shared" si="61"/>
        <v>54</v>
      </c>
      <c r="E739" s="15">
        <f t="shared" si="57"/>
        <v>212</v>
      </c>
      <c r="F739" s="110">
        <f t="shared" si="58"/>
        <v>452</v>
      </c>
    </row>
    <row r="740" spans="2:6" x14ac:dyDescent="0.25">
      <c r="B740" s="105">
        <f t="shared" si="59"/>
        <v>737</v>
      </c>
      <c r="C740" s="107">
        <f t="shared" si="60"/>
        <v>23</v>
      </c>
      <c r="D740" s="107">
        <f t="shared" si="61"/>
        <v>54</v>
      </c>
      <c r="E740" s="15">
        <f t="shared" si="57"/>
        <v>212</v>
      </c>
      <c r="F740" s="110">
        <f t="shared" si="58"/>
        <v>442</v>
      </c>
    </row>
    <row r="741" spans="2:6" x14ac:dyDescent="0.25">
      <c r="B741" s="105">
        <f t="shared" si="59"/>
        <v>738</v>
      </c>
      <c r="C741" s="107">
        <f t="shared" si="60"/>
        <v>24</v>
      </c>
      <c r="D741" s="107">
        <f t="shared" si="61"/>
        <v>54</v>
      </c>
      <c r="E741" s="15">
        <f t="shared" si="57"/>
        <v>212</v>
      </c>
      <c r="F741" s="110">
        <f t="shared" si="58"/>
        <v>420</v>
      </c>
    </row>
    <row r="742" spans="2:6" x14ac:dyDescent="0.25">
      <c r="B742" s="105">
        <f t="shared" si="59"/>
        <v>739</v>
      </c>
      <c r="C742" s="107">
        <f t="shared" si="60"/>
        <v>25</v>
      </c>
      <c r="D742" s="107">
        <f t="shared" si="61"/>
        <v>54</v>
      </c>
      <c r="E742" s="15">
        <f t="shared" si="57"/>
        <v>212</v>
      </c>
      <c r="F742" s="110">
        <f t="shared" si="58"/>
        <v>410</v>
      </c>
    </row>
    <row r="743" spans="2:6" x14ac:dyDescent="0.25">
      <c r="B743" s="105">
        <f t="shared" si="59"/>
        <v>740</v>
      </c>
      <c r="C743" s="107">
        <f t="shared" si="60"/>
        <v>26</v>
      </c>
      <c r="D743" s="107">
        <f t="shared" si="61"/>
        <v>54</v>
      </c>
      <c r="E743" s="15">
        <f t="shared" si="57"/>
        <v>212</v>
      </c>
      <c r="F743" s="110">
        <f t="shared" si="58"/>
        <v>409</v>
      </c>
    </row>
    <row r="744" spans="2:6" x14ac:dyDescent="0.25">
      <c r="B744" s="105">
        <f t="shared" si="59"/>
        <v>741</v>
      </c>
      <c r="C744" s="107">
        <f t="shared" si="60"/>
        <v>27</v>
      </c>
      <c r="D744" s="107">
        <f t="shared" si="61"/>
        <v>54</v>
      </c>
      <c r="E744" s="15">
        <f t="shared" si="57"/>
        <v>212</v>
      </c>
      <c r="F744" s="110">
        <f t="shared" si="58"/>
        <v>408</v>
      </c>
    </row>
    <row r="745" spans="2:6" x14ac:dyDescent="0.25">
      <c r="B745" s="105">
        <f t="shared" si="59"/>
        <v>742</v>
      </c>
      <c r="C745" s="107">
        <f t="shared" si="60"/>
        <v>28</v>
      </c>
      <c r="D745" s="107">
        <f t="shared" si="61"/>
        <v>54</v>
      </c>
      <c r="E745" s="15">
        <f t="shared" si="57"/>
        <v>212</v>
      </c>
      <c r="F745" s="110">
        <f t="shared" si="58"/>
        <v>404</v>
      </c>
    </row>
    <row r="746" spans="2:6" x14ac:dyDescent="0.25">
      <c r="B746" s="105">
        <f t="shared" si="59"/>
        <v>743</v>
      </c>
      <c r="C746" s="107">
        <f t="shared" si="60"/>
        <v>29</v>
      </c>
      <c r="D746" s="107">
        <f t="shared" si="61"/>
        <v>54</v>
      </c>
      <c r="E746" s="15">
        <f t="shared" si="57"/>
        <v>212</v>
      </c>
      <c r="F746" s="110">
        <f t="shared" si="58"/>
        <v>399</v>
      </c>
    </row>
    <row r="747" spans="2:6" x14ac:dyDescent="0.25">
      <c r="B747" s="105">
        <f t="shared" si="59"/>
        <v>744</v>
      </c>
      <c r="C747" s="107">
        <f t="shared" si="60"/>
        <v>30</v>
      </c>
      <c r="D747" s="107">
        <f t="shared" si="61"/>
        <v>54</v>
      </c>
      <c r="E747" s="15">
        <f t="shared" si="57"/>
        <v>212</v>
      </c>
      <c r="F747" s="110">
        <f t="shared" si="58"/>
        <v>396</v>
      </c>
    </row>
    <row r="748" spans="2:6" x14ac:dyDescent="0.25">
      <c r="B748" s="105">
        <f t="shared" si="59"/>
        <v>745</v>
      </c>
      <c r="C748" s="107">
        <f t="shared" si="60"/>
        <v>31</v>
      </c>
      <c r="D748" s="107">
        <f t="shared" si="61"/>
        <v>54</v>
      </c>
      <c r="E748" s="15">
        <f t="shared" si="57"/>
        <v>212</v>
      </c>
      <c r="F748" s="110">
        <f t="shared" si="58"/>
        <v>384</v>
      </c>
    </row>
    <row r="749" spans="2:6" x14ac:dyDescent="0.25">
      <c r="B749" s="105">
        <f t="shared" si="59"/>
        <v>746</v>
      </c>
      <c r="C749" s="107">
        <f t="shared" si="60"/>
        <v>32</v>
      </c>
      <c r="D749" s="107">
        <f t="shared" si="61"/>
        <v>54</v>
      </c>
      <c r="E749" s="15">
        <f t="shared" si="57"/>
        <v>212</v>
      </c>
      <c r="F749" s="110">
        <f t="shared" si="58"/>
        <v>381</v>
      </c>
    </row>
    <row r="750" spans="2:6" x14ac:dyDescent="0.25">
      <c r="B750" s="105">
        <f t="shared" si="59"/>
        <v>747</v>
      </c>
      <c r="C750" s="107">
        <f t="shared" si="60"/>
        <v>33</v>
      </c>
      <c r="D750" s="107">
        <f t="shared" si="61"/>
        <v>54</v>
      </c>
      <c r="E750" s="15">
        <f t="shared" si="57"/>
        <v>212</v>
      </c>
      <c r="F750" s="110">
        <f t="shared" si="58"/>
        <v>376</v>
      </c>
    </row>
    <row r="751" spans="2:6" x14ac:dyDescent="0.25">
      <c r="B751" s="105">
        <f t="shared" si="59"/>
        <v>748</v>
      </c>
      <c r="C751" s="107">
        <f t="shared" si="60"/>
        <v>34</v>
      </c>
      <c r="D751" s="107">
        <f t="shared" si="61"/>
        <v>54</v>
      </c>
      <c r="E751" s="15">
        <f t="shared" si="57"/>
        <v>212</v>
      </c>
      <c r="F751" s="110">
        <f t="shared" si="58"/>
        <v>370</v>
      </c>
    </row>
    <row r="752" spans="2:6" x14ac:dyDescent="0.25">
      <c r="B752" s="105">
        <f t="shared" si="59"/>
        <v>749</v>
      </c>
      <c r="C752" s="107">
        <f t="shared" si="60"/>
        <v>35</v>
      </c>
      <c r="D752" s="107">
        <f t="shared" si="61"/>
        <v>54</v>
      </c>
      <c r="E752" s="15">
        <f t="shared" si="57"/>
        <v>212</v>
      </c>
      <c r="F752" s="110">
        <f t="shared" si="58"/>
        <v>362</v>
      </c>
    </row>
    <row r="753" spans="2:6" x14ac:dyDescent="0.25">
      <c r="B753" s="105">
        <f t="shared" si="59"/>
        <v>750</v>
      </c>
      <c r="C753" s="107">
        <f t="shared" si="60"/>
        <v>36</v>
      </c>
      <c r="D753" s="107">
        <f t="shared" si="61"/>
        <v>54</v>
      </c>
      <c r="E753" s="15">
        <f t="shared" si="57"/>
        <v>212</v>
      </c>
      <c r="F753" s="110">
        <f t="shared" si="58"/>
        <v>357</v>
      </c>
    </row>
    <row r="754" spans="2:6" x14ac:dyDescent="0.25">
      <c r="B754" s="105">
        <f t="shared" si="59"/>
        <v>751</v>
      </c>
      <c r="C754" s="107">
        <f t="shared" si="60"/>
        <v>37</v>
      </c>
      <c r="D754" s="107">
        <f t="shared" si="61"/>
        <v>54</v>
      </c>
      <c r="E754" s="15">
        <f t="shared" si="57"/>
        <v>212</v>
      </c>
      <c r="F754" s="110">
        <f t="shared" si="58"/>
        <v>351</v>
      </c>
    </row>
    <row r="755" spans="2:6" x14ac:dyDescent="0.25">
      <c r="B755" s="105">
        <f t="shared" si="59"/>
        <v>752</v>
      </c>
      <c r="C755" s="107">
        <f t="shared" si="60"/>
        <v>38</v>
      </c>
      <c r="D755" s="107">
        <f t="shared" si="61"/>
        <v>54</v>
      </c>
      <c r="E755" s="15">
        <f t="shared" si="57"/>
        <v>212</v>
      </c>
      <c r="F755" s="110">
        <f t="shared" si="58"/>
        <v>339</v>
      </c>
    </row>
    <row r="756" spans="2:6" x14ac:dyDescent="0.25">
      <c r="B756" s="105">
        <f t="shared" si="59"/>
        <v>753</v>
      </c>
      <c r="C756" s="107">
        <f t="shared" si="60"/>
        <v>39</v>
      </c>
      <c r="D756" s="107">
        <f t="shared" si="61"/>
        <v>54</v>
      </c>
      <c r="E756" s="15">
        <f t="shared" si="57"/>
        <v>212</v>
      </c>
      <c r="F756" s="110">
        <f t="shared" si="58"/>
        <v>304</v>
      </c>
    </row>
    <row r="757" spans="2:6" x14ac:dyDescent="0.25">
      <c r="B757" s="105">
        <f t="shared" si="59"/>
        <v>754</v>
      </c>
      <c r="C757" s="107">
        <f t="shared" si="60"/>
        <v>40</v>
      </c>
      <c r="D757" s="107">
        <f t="shared" si="61"/>
        <v>54</v>
      </c>
      <c r="E757" s="15">
        <f t="shared" si="57"/>
        <v>212</v>
      </c>
      <c r="F757" s="110">
        <f t="shared" si="58"/>
        <v>301</v>
      </c>
    </row>
    <row r="758" spans="2:6" x14ac:dyDescent="0.25">
      <c r="B758" s="105">
        <f t="shared" si="59"/>
        <v>755</v>
      </c>
      <c r="C758" s="107">
        <f t="shared" si="60"/>
        <v>41</v>
      </c>
      <c r="D758" s="107">
        <f t="shared" si="61"/>
        <v>54</v>
      </c>
      <c r="E758" s="15">
        <f t="shared" si="57"/>
        <v>212</v>
      </c>
      <c r="F758" s="110">
        <f t="shared" si="58"/>
        <v>300</v>
      </c>
    </row>
    <row r="759" spans="2:6" x14ac:dyDescent="0.25">
      <c r="B759" s="105">
        <f t="shared" si="59"/>
        <v>756</v>
      </c>
      <c r="C759" s="107">
        <f t="shared" si="60"/>
        <v>42</v>
      </c>
      <c r="D759" s="107">
        <f t="shared" si="61"/>
        <v>54</v>
      </c>
      <c r="E759" s="15">
        <f t="shared" si="57"/>
        <v>212</v>
      </c>
      <c r="F759" s="110">
        <f t="shared" si="58"/>
        <v>288</v>
      </c>
    </row>
    <row r="760" spans="2:6" x14ac:dyDescent="0.25">
      <c r="B760" s="105">
        <f t="shared" si="59"/>
        <v>757</v>
      </c>
      <c r="C760" s="107">
        <f t="shared" si="60"/>
        <v>43</v>
      </c>
      <c r="D760" s="107">
        <f t="shared" si="61"/>
        <v>54</v>
      </c>
      <c r="E760" s="15">
        <f t="shared" si="57"/>
        <v>212</v>
      </c>
      <c r="F760" s="110">
        <f t="shared" si="58"/>
        <v>273</v>
      </c>
    </row>
    <row r="761" spans="2:6" x14ac:dyDescent="0.25">
      <c r="B761" s="105">
        <f t="shared" si="59"/>
        <v>758</v>
      </c>
      <c r="C761" s="107">
        <f t="shared" si="60"/>
        <v>44</v>
      </c>
      <c r="D761" s="107">
        <f t="shared" si="61"/>
        <v>54</v>
      </c>
      <c r="E761" s="15">
        <f t="shared" si="57"/>
        <v>212</v>
      </c>
      <c r="F761" s="110">
        <f t="shared" si="58"/>
        <v>268</v>
      </c>
    </row>
    <row r="762" spans="2:6" x14ac:dyDescent="0.25">
      <c r="B762" s="105">
        <f t="shared" si="59"/>
        <v>759</v>
      </c>
      <c r="C762" s="107">
        <f t="shared" si="60"/>
        <v>45</v>
      </c>
      <c r="D762" s="107">
        <f t="shared" si="61"/>
        <v>54</v>
      </c>
      <c r="E762" s="15">
        <f t="shared" si="57"/>
        <v>212</v>
      </c>
      <c r="F762" s="110">
        <f t="shared" si="58"/>
        <v>262</v>
      </c>
    </row>
    <row r="763" spans="2:6" x14ac:dyDescent="0.25">
      <c r="B763" s="105">
        <f t="shared" si="59"/>
        <v>760</v>
      </c>
      <c r="C763" s="107">
        <f t="shared" si="60"/>
        <v>46</v>
      </c>
      <c r="D763" s="107">
        <f t="shared" si="61"/>
        <v>54</v>
      </c>
      <c r="E763" s="15">
        <f t="shared" si="57"/>
        <v>212</v>
      </c>
      <c r="F763" s="110">
        <f t="shared" si="58"/>
        <v>248</v>
      </c>
    </row>
    <row r="764" spans="2:6" x14ac:dyDescent="0.25">
      <c r="B764" s="105">
        <f t="shared" si="59"/>
        <v>761</v>
      </c>
      <c r="C764" s="107">
        <f t="shared" si="60"/>
        <v>47</v>
      </c>
      <c r="D764" s="107">
        <f t="shared" si="61"/>
        <v>54</v>
      </c>
      <c r="E764" s="15">
        <f t="shared" si="57"/>
        <v>212</v>
      </c>
      <c r="F764" s="110">
        <f t="shared" si="58"/>
        <v>246</v>
      </c>
    </row>
    <row r="765" spans="2:6" x14ac:dyDescent="0.25">
      <c r="B765" s="105">
        <f t="shared" si="59"/>
        <v>762</v>
      </c>
      <c r="C765" s="107">
        <f t="shared" si="60"/>
        <v>48</v>
      </c>
      <c r="D765" s="107">
        <f t="shared" si="61"/>
        <v>54</v>
      </c>
      <c r="E765" s="15">
        <f t="shared" si="57"/>
        <v>212</v>
      </c>
      <c r="F765" s="110">
        <f t="shared" si="58"/>
        <v>236</v>
      </c>
    </row>
    <row r="766" spans="2:6" x14ac:dyDescent="0.25">
      <c r="B766" s="105">
        <f t="shared" si="59"/>
        <v>763</v>
      </c>
      <c r="C766" s="107">
        <f t="shared" si="60"/>
        <v>49</v>
      </c>
      <c r="D766" s="107">
        <f t="shared" si="61"/>
        <v>54</v>
      </c>
      <c r="E766" s="15">
        <f t="shared" si="57"/>
        <v>212</v>
      </c>
      <c r="F766" s="110">
        <f t="shared" si="58"/>
        <v>231</v>
      </c>
    </row>
    <row r="767" spans="2:6" x14ac:dyDescent="0.25">
      <c r="B767" s="105">
        <f t="shared" si="59"/>
        <v>764</v>
      </c>
      <c r="C767" s="107">
        <f t="shared" si="60"/>
        <v>50</v>
      </c>
      <c r="D767" s="107">
        <f t="shared" si="61"/>
        <v>54</v>
      </c>
      <c r="E767" s="15">
        <f t="shared" si="57"/>
        <v>212</v>
      </c>
      <c r="F767" s="110">
        <f t="shared" si="58"/>
        <v>227</v>
      </c>
    </row>
    <row r="768" spans="2:6" x14ac:dyDescent="0.25">
      <c r="B768" s="105">
        <f t="shared" si="59"/>
        <v>765</v>
      </c>
      <c r="C768" s="107">
        <f t="shared" si="60"/>
        <v>51</v>
      </c>
      <c r="D768" s="107">
        <f t="shared" si="61"/>
        <v>54</v>
      </c>
      <c r="E768" s="15">
        <f t="shared" si="57"/>
        <v>212</v>
      </c>
      <c r="F768" s="110">
        <f t="shared" si="58"/>
        <v>224</v>
      </c>
    </row>
    <row r="769" spans="2:6" x14ac:dyDescent="0.25">
      <c r="B769" s="105">
        <f t="shared" si="59"/>
        <v>766</v>
      </c>
      <c r="C769" s="107">
        <f t="shared" si="60"/>
        <v>52</v>
      </c>
      <c r="D769" s="107">
        <f t="shared" si="61"/>
        <v>54</v>
      </c>
      <c r="E769" s="15">
        <f t="shared" si="57"/>
        <v>212</v>
      </c>
      <c r="F769" s="110">
        <f t="shared" si="58"/>
        <v>217</v>
      </c>
    </row>
    <row r="770" spans="2:6" x14ac:dyDescent="0.25">
      <c r="B770" s="105">
        <f t="shared" si="59"/>
        <v>767</v>
      </c>
      <c r="C770" s="107">
        <f t="shared" si="60"/>
        <v>53</v>
      </c>
      <c r="D770" s="107">
        <f t="shared" si="61"/>
        <v>54</v>
      </c>
      <c r="E770" s="15">
        <f t="shared" si="57"/>
        <v>212</v>
      </c>
      <c r="F770" s="110">
        <f t="shared" si="58"/>
        <v>213</v>
      </c>
    </row>
    <row r="771" spans="2:6" x14ac:dyDescent="0.25">
      <c r="B771" s="105">
        <f t="shared" si="59"/>
        <v>768</v>
      </c>
      <c r="C771" s="107">
        <f t="shared" si="60"/>
        <v>1</v>
      </c>
      <c r="D771" s="107">
        <f t="shared" si="61"/>
        <v>53</v>
      </c>
      <c r="E771" s="15">
        <f t="shared" si="57"/>
        <v>213</v>
      </c>
      <c r="F771" s="110">
        <f t="shared" si="58"/>
        <v>1048</v>
      </c>
    </row>
    <row r="772" spans="2:6" x14ac:dyDescent="0.25">
      <c r="B772" s="105">
        <f t="shared" si="59"/>
        <v>769</v>
      </c>
      <c r="C772" s="107">
        <f t="shared" si="60"/>
        <v>2</v>
      </c>
      <c r="D772" s="107">
        <f t="shared" si="61"/>
        <v>53</v>
      </c>
      <c r="E772" s="15">
        <f t="shared" ref="E772:E835" si="62">IFERROR(VLOOKUP(D772,$H$4:$I$69,2,0),"")</f>
        <v>213</v>
      </c>
      <c r="F772" s="110">
        <f t="shared" ref="F772:F835" si="63">IFERROR(VLOOKUP(C772,$H$4:$I$69,2,0),"")</f>
        <v>1025</v>
      </c>
    </row>
    <row r="773" spans="2:6" x14ac:dyDescent="0.25">
      <c r="B773" s="105">
        <f t="shared" ref="B773:B836" si="64">ROW()-3</f>
        <v>770</v>
      </c>
      <c r="C773" s="107">
        <f t="shared" si="60"/>
        <v>3</v>
      </c>
      <c r="D773" s="107">
        <f t="shared" si="61"/>
        <v>53</v>
      </c>
      <c r="E773" s="15">
        <f t="shared" si="62"/>
        <v>213</v>
      </c>
      <c r="F773" s="110">
        <f t="shared" si="63"/>
        <v>805</v>
      </c>
    </row>
    <row r="774" spans="2:6" x14ac:dyDescent="0.25">
      <c r="B774" s="105">
        <f t="shared" si="64"/>
        <v>771</v>
      </c>
      <c r="C774" s="107">
        <f t="shared" ref="C774:C837" si="65">IF((D773-C773)=1,1,C773+1)</f>
        <v>4</v>
      </c>
      <c r="D774" s="107">
        <f t="shared" ref="D774:D837" si="66">IF((D773-C773)=1,D773-1,D773)</f>
        <v>53</v>
      </c>
      <c r="E774" s="15">
        <f t="shared" si="62"/>
        <v>213</v>
      </c>
      <c r="F774" s="110">
        <f t="shared" si="63"/>
        <v>666</v>
      </c>
    </row>
    <row r="775" spans="2:6" x14ac:dyDescent="0.25">
      <c r="B775" s="105">
        <f t="shared" si="64"/>
        <v>772</v>
      </c>
      <c r="C775" s="107">
        <f t="shared" si="65"/>
        <v>5</v>
      </c>
      <c r="D775" s="107">
        <f t="shared" si="66"/>
        <v>53</v>
      </c>
      <c r="E775" s="15">
        <f t="shared" si="62"/>
        <v>213</v>
      </c>
      <c r="F775" s="110">
        <f t="shared" si="63"/>
        <v>655</v>
      </c>
    </row>
    <row r="776" spans="2:6" x14ac:dyDescent="0.25">
      <c r="B776" s="105">
        <f t="shared" si="64"/>
        <v>773</v>
      </c>
      <c r="C776" s="107">
        <f t="shared" si="65"/>
        <v>6</v>
      </c>
      <c r="D776" s="107">
        <f t="shared" si="66"/>
        <v>53</v>
      </c>
      <c r="E776" s="15">
        <f t="shared" si="62"/>
        <v>213</v>
      </c>
      <c r="F776" s="110">
        <f t="shared" si="63"/>
        <v>652</v>
      </c>
    </row>
    <row r="777" spans="2:6" x14ac:dyDescent="0.25">
      <c r="B777" s="105">
        <f t="shared" si="64"/>
        <v>774</v>
      </c>
      <c r="C777" s="107">
        <f t="shared" si="65"/>
        <v>7</v>
      </c>
      <c r="D777" s="107">
        <f t="shared" si="66"/>
        <v>53</v>
      </c>
      <c r="E777" s="15">
        <f t="shared" si="62"/>
        <v>213</v>
      </c>
      <c r="F777" s="110">
        <f t="shared" si="63"/>
        <v>633</v>
      </c>
    </row>
    <row r="778" spans="2:6" x14ac:dyDescent="0.25">
      <c r="B778" s="105">
        <f t="shared" si="64"/>
        <v>775</v>
      </c>
      <c r="C778" s="107">
        <f t="shared" si="65"/>
        <v>8</v>
      </c>
      <c r="D778" s="107">
        <f t="shared" si="66"/>
        <v>53</v>
      </c>
      <c r="E778" s="15">
        <f t="shared" si="62"/>
        <v>213</v>
      </c>
      <c r="F778" s="110">
        <f t="shared" si="63"/>
        <v>632</v>
      </c>
    </row>
    <row r="779" spans="2:6" x14ac:dyDescent="0.25">
      <c r="B779" s="105">
        <f t="shared" si="64"/>
        <v>776</v>
      </c>
      <c r="C779" s="107">
        <f t="shared" si="65"/>
        <v>9</v>
      </c>
      <c r="D779" s="107">
        <f t="shared" si="66"/>
        <v>53</v>
      </c>
      <c r="E779" s="15">
        <f t="shared" si="62"/>
        <v>213</v>
      </c>
      <c r="F779" s="110">
        <f t="shared" si="63"/>
        <v>625</v>
      </c>
    </row>
    <row r="780" spans="2:6" x14ac:dyDescent="0.25">
      <c r="B780" s="105">
        <f t="shared" si="64"/>
        <v>777</v>
      </c>
      <c r="C780" s="107">
        <f t="shared" si="65"/>
        <v>10</v>
      </c>
      <c r="D780" s="107">
        <f t="shared" si="66"/>
        <v>53</v>
      </c>
      <c r="E780" s="15">
        <f t="shared" si="62"/>
        <v>213</v>
      </c>
      <c r="F780" s="110">
        <f t="shared" si="63"/>
        <v>619</v>
      </c>
    </row>
    <row r="781" spans="2:6" x14ac:dyDescent="0.25">
      <c r="B781" s="105">
        <f t="shared" si="64"/>
        <v>778</v>
      </c>
      <c r="C781" s="107">
        <f t="shared" si="65"/>
        <v>11</v>
      </c>
      <c r="D781" s="107">
        <f t="shared" si="66"/>
        <v>53</v>
      </c>
      <c r="E781" s="15">
        <f t="shared" si="62"/>
        <v>213</v>
      </c>
      <c r="F781" s="110">
        <f t="shared" si="63"/>
        <v>610</v>
      </c>
    </row>
    <row r="782" spans="2:6" x14ac:dyDescent="0.25">
      <c r="B782" s="105">
        <f t="shared" si="64"/>
        <v>779</v>
      </c>
      <c r="C782" s="107">
        <f t="shared" si="65"/>
        <v>12</v>
      </c>
      <c r="D782" s="107">
        <f t="shared" si="66"/>
        <v>53</v>
      </c>
      <c r="E782" s="15">
        <f t="shared" si="62"/>
        <v>213</v>
      </c>
      <c r="F782" s="110">
        <f t="shared" si="63"/>
        <v>599</v>
      </c>
    </row>
    <row r="783" spans="2:6" x14ac:dyDescent="0.25">
      <c r="B783" s="105">
        <f t="shared" si="64"/>
        <v>780</v>
      </c>
      <c r="C783" s="107">
        <f t="shared" si="65"/>
        <v>13</v>
      </c>
      <c r="D783" s="107">
        <f t="shared" si="66"/>
        <v>53</v>
      </c>
      <c r="E783" s="15">
        <f t="shared" si="62"/>
        <v>213</v>
      </c>
      <c r="F783" s="110">
        <f t="shared" si="63"/>
        <v>559</v>
      </c>
    </row>
    <row r="784" spans="2:6" x14ac:dyDescent="0.25">
      <c r="B784" s="105">
        <f t="shared" si="64"/>
        <v>781</v>
      </c>
      <c r="C784" s="107">
        <f t="shared" si="65"/>
        <v>14</v>
      </c>
      <c r="D784" s="107">
        <f t="shared" si="66"/>
        <v>53</v>
      </c>
      <c r="E784" s="15">
        <f t="shared" si="62"/>
        <v>213</v>
      </c>
      <c r="F784" s="110">
        <f t="shared" si="63"/>
        <v>556</v>
      </c>
    </row>
    <row r="785" spans="2:6" x14ac:dyDescent="0.25">
      <c r="B785" s="105">
        <f t="shared" si="64"/>
        <v>782</v>
      </c>
      <c r="C785" s="107">
        <f t="shared" si="65"/>
        <v>15</v>
      </c>
      <c r="D785" s="107">
        <f t="shared" si="66"/>
        <v>53</v>
      </c>
      <c r="E785" s="15">
        <f t="shared" si="62"/>
        <v>213</v>
      </c>
      <c r="F785" s="110">
        <f t="shared" si="63"/>
        <v>540</v>
      </c>
    </row>
    <row r="786" spans="2:6" x14ac:dyDescent="0.25">
      <c r="B786" s="105">
        <f t="shared" si="64"/>
        <v>783</v>
      </c>
      <c r="C786" s="107">
        <f t="shared" si="65"/>
        <v>16</v>
      </c>
      <c r="D786" s="107">
        <f t="shared" si="66"/>
        <v>53</v>
      </c>
      <c r="E786" s="15">
        <f t="shared" si="62"/>
        <v>213</v>
      </c>
      <c r="F786" s="110">
        <f t="shared" si="63"/>
        <v>536</v>
      </c>
    </row>
    <row r="787" spans="2:6" x14ac:dyDescent="0.25">
      <c r="B787" s="105">
        <f t="shared" si="64"/>
        <v>784</v>
      </c>
      <c r="C787" s="107">
        <f t="shared" si="65"/>
        <v>17</v>
      </c>
      <c r="D787" s="107">
        <f t="shared" si="66"/>
        <v>53</v>
      </c>
      <c r="E787" s="15">
        <f t="shared" si="62"/>
        <v>213</v>
      </c>
      <c r="F787" s="110">
        <f t="shared" si="63"/>
        <v>527</v>
      </c>
    </row>
    <row r="788" spans="2:6" x14ac:dyDescent="0.25">
      <c r="B788" s="105">
        <f t="shared" si="64"/>
        <v>785</v>
      </c>
      <c r="C788" s="107">
        <f t="shared" si="65"/>
        <v>18</v>
      </c>
      <c r="D788" s="107">
        <f t="shared" si="66"/>
        <v>53</v>
      </c>
      <c r="E788" s="15">
        <f t="shared" si="62"/>
        <v>213</v>
      </c>
      <c r="F788" s="110">
        <f t="shared" si="63"/>
        <v>478</v>
      </c>
    </row>
    <row r="789" spans="2:6" x14ac:dyDescent="0.25">
      <c r="B789" s="105">
        <f t="shared" si="64"/>
        <v>786</v>
      </c>
      <c r="C789" s="107">
        <f t="shared" si="65"/>
        <v>19</v>
      </c>
      <c r="D789" s="107">
        <f t="shared" si="66"/>
        <v>53</v>
      </c>
      <c r="E789" s="15">
        <f t="shared" si="62"/>
        <v>213</v>
      </c>
      <c r="F789" s="110">
        <f t="shared" si="63"/>
        <v>474</v>
      </c>
    </row>
    <row r="790" spans="2:6" x14ac:dyDescent="0.25">
      <c r="B790" s="105">
        <f t="shared" si="64"/>
        <v>787</v>
      </c>
      <c r="C790" s="107">
        <f t="shared" si="65"/>
        <v>20</v>
      </c>
      <c r="D790" s="107">
        <f t="shared" si="66"/>
        <v>53</v>
      </c>
      <c r="E790" s="15">
        <f t="shared" si="62"/>
        <v>213</v>
      </c>
      <c r="F790" s="110">
        <f t="shared" si="63"/>
        <v>468</v>
      </c>
    </row>
    <row r="791" spans="2:6" x14ac:dyDescent="0.25">
      <c r="B791" s="105">
        <f t="shared" si="64"/>
        <v>788</v>
      </c>
      <c r="C791" s="107">
        <f t="shared" si="65"/>
        <v>21</v>
      </c>
      <c r="D791" s="107">
        <f t="shared" si="66"/>
        <v>53</v>
      </c>
      <c r="E791" s="15">
        <f t="shared" si="62"/>
        <v>213</v>
      </c>
      <c r="F791" s="110">
        <f t="shared" si="63"/>
        <v>457</v>
      </c>
    </row>
    <row r="792" spans="2:6" x14ac:dyDescent="0.25">
      <c r="B792" s="105">
        <f t="shared" si="64"/>
        <v>789</v>
      </c>
      <c r="C792" s="107">
        <f t="shared" si="65"/>
        <v>22</v>
      </c>
      <c r="D792" s="107">
        <f t="shared" si="66"/>
        <v>53</v>
      </c>
      <c r="E792" s="15">
        <f t="shared" si="62"/>
        <v>213</v>
      </c>
      <c r="F792" s="110">
        <f t="shared" si="63"/>
        <v>452</v>
      </c>
    </row>
    <row r="793" spans="2:6" x14ac:dyDescent="0.25">
      <c r="B793" s="105">
        <f t="shared" si="64"/>
        <v>790</v>
      </c>
      <c r="C793" s="107">
        <f t="shared" si="65"/>
        <v>23</v>
      </c>
      <c r="D793" s="107">
        <f t="shared" si="66"/>
        <v>53</v>
      </c>
      <c r="E793" s="15">
        <f t="shared" si="62"/>
        <v>213</v>
      </c>
      <c r="F793" s="110">
        <f t="shared" si="63"/>
        <v>442</v>
      </c>
    </row>
    <row r="794" spans="2:6" x14ac:dyDescent="0.25">
      <c r="B794" s="105">
        <f t="shared" si="64"/>
        <v>791</v>
      </c>
      <c r="C794" s="107">
        <f t="shared" si="65"/>
        <v>24</v>
      </c>
      <c r="D794" s="107">
        <f t="shared" si="66"/>
        <v>53</v>
      </c>
      <c r="E794" s="15">
        <f t="shared" si="62"/>
        <v>213</v>
      </c>
      <c r="F794" s="110">
        <f t="shared" si="63"/>
        <v>420</v>
      </c>
    </row>
    <row r="795" spans="2:6" x14ac:dyDescent="0.25">
      <c r="B795" s="105">
        <f t="shared" si="64"/>
        <v>792</v>
      </c>
      <c r="C795" s="107">
        <f t="shared" si="65"/>
        <v>25</v>
      </c>
      <c r="D795" s="107">
        <f t="shared" si="66"/>
        <v>53</v>
      </c>
      <c r="E795" s="15">
        <f t="shared" si="62"/>
        <v>213</v>
      </c>
      <c r="F795" s="110">
        <f t="shared" si="63"/>
        <v>410</v>
      </c>
    </row>
    <row r="796" spans="2:6" x14ac:dyDescent="0.25">
      <c r="B796" s="105">
        <f t="shared" si="64"/>
        <v>793</v>
      </c>
      <c r="C796" s="107">
        <f t="shared" si="65"/>
        <v>26</v>
      </c>
      <c r="D796" s="107">
        <f t="shared" si="66"/>
        <v>53</v>
      </c>
      <c r="E796" s="15">
        <f t="shared" si="62"/>
        <v>213</v>
      </c>
      <c r="F796" s="110">
        <f t="shared" si="63"/>
        <v>409</v>
      </c>
    </row>
    <row r="797" spans="2:6" x14ac:dyDescent="0.25">
      <c r="B797" s="105">
        <f t="shared" si="64"/>
        <v>794</v>
      </c>
      <c r="C797" s="107">
        <f t="shared" si="65"/>
        <v>27</v>
      </c>
      <c r="D797" s="107">
        <f t="shared" si="66"/>
        <v>53</v>
      </c>
      <c r="E797" s="15">
        <f t="shared" si="62"/>
        <v>213</v>
      </c>
      <c r="F797" s="110">
        <f t="shared" si="63"/>
        <v>408</v>
      </c>
    </row>
    <row r="798" spans="2:6" x14ac:dyDescent="0.25">
      <c r="B798" s="105">
        <f t="shared" si="64"/>
        <v>795</v>
      </c>
      <c r="C798" s="107">
        <f t="shared" si="65"/>
        <v>28</v>
      </c>
      <c r="D798" s="107">
        <f t="shared" si="66"/>
        <v>53</v>
      </c>
      <c r="E798" s="15">
        <f t="shared" si="62"/>
        <v>213</v>
      </c>
      <c r="F798" s="110">
        <f t="shared" si="63"/>
        <v>404</v>
      </c>
    </row>
    <row r="799" spans="2:6" x14ac:dyDescent="0.25">
      <c r="B799" s="105">
        <f t="shared" si="64"/>
        <v>796</v>
      </c>
      <c r="C799" s="107">
        <f t="shared" si="65"/>
        <v>29</v>
      </c>
      <c r="D799" s="107">
        <f t="shared" si="66"/>
        <v>53</v>
      </c>
      <c r="E799" s="15">
        <f t="shared" si="62"/>
        <v>213</v>
      </c>
      <c r="F799" s="110">
        <f t="shared" si="63"/>
        <v>399</v>
      </c>
    </row>
    <row r="800" spans="2:6" x14ac:dyDescent="0.25">
      <c r="B800" s="105">
        <f t="shared" si="64"/>
        <v>797</v>
      </c>
      <c r="C800" s="107">
        <f t="shared" si="65"/>
        <v>30</v>
      </c>
      <c r="D800" s="107">
        <f t="shared" si="66"/>
        <v>53</v>
      </c>
      <c r="E800" s="15">
        <f t="shared" si="62"/>
        <v>213</v>
      </c>
      <c r="F800" s="110">
        <f t="shared" si="63"/>
        <v>396</v>
      </c>
    </row>
    <row r="801" spans="2:6" x14ac:dyDescent="0.25">
      <c r="B801" s="105">
        <f t="shared" si="64"/>
        <v>798</v>
      </c>
      <c r="C801" s="107">
        <f t="shared" si="65"/>
        <v>31</v>
      </c>
      <c r="D801" s="107">
        <f t="shared" si="66"/>
        <v>53</v>
      </c>
      <c r="E801" s="15">
        <f t="shared" si="62"/>
        <v>213</v>
      </c>
      <c r="F801" s="110">
        <f t="shared" si="63"/>
        <v>384</v>
      </c>
    </row>
    <row r="802" spans="2:6" x14ac:dyDescent="0.25">
      <c r="B802" s="105">
        <f t="shared" si="64"/>
        <v>799</v>
      </c>
      <c r="C802" s="107">
        <f t="shared" si="65"/>
        <v>32</v>
      </c>
      <c r="D802" s="107">
        <f t="shared" si="66"/>
        <v>53</v>
      </c>
      <c r="E802" s="15">
        <f t="shared" si="62"/>
        <v>213</v>
      </c>
      <c r="F802" s="110">
        <f t="shared" si="63"/>
        <v>381</v>
      </c>
    </row>
    <row r="803" spans="2:6" x14ac:dyDescent="0.25">
      <c r="B803" s="105">
        <f t="shared" si="64"/>
        <v>800</v>
      </c>
      <c r="C803" s="107">
        <f t="shared" si="65"/>
        <v>33</v>
      </c>
      <c r="D803" s="107">
        <f t="shared" si="66"/>
        <v>53</v>
      </c>
      <c r="E803" s="15">
        <f t="shared" si="62"/>
        <v>213</v>
      </c>
      <c r="F803" s="110">
        <f t="shared" si="63"/>
        <v>376</v>
      </c>
    </row>
    <row r="804" spans="2:6" x14ac:dyDescent="0.25">
      <c r="B804" s="105">
        <f t="shared" si="64"/>
        <v>801</v>
      </c>
      <c r="C804" s="107">
        <f t="shared" si="65"/>
        <v>34</v>
      </c>
      <c r="D804" s="107">
        <f t="shared" si="66"/>
        <v>53</v>
      </c>
      <c r="E804" s="15">
        <f t="shared" si="62"/>
        <v>213</v>
      </c>
      <c r="F804" s="110">
        <f t="shared" si="63"/>
        <v>370</v>
      </c>
    </row>
    <row r="805" spans="2:6" x14ac:dyDescent="0.25">
      <c r="B805" s="105">
        <f t="shared" si="64"/>
        <v>802</v>
      </c>
      <c r="C805" s="107">
        <f t="shared" si="65"/>
        <v>35</v>
      </c>
      <c r="D805" s="107">
        <f t="shared" si="66"/>
        <v>53</v>
      </c>
      <c r="E805" s="15">
        <f t="shared" si="62"/>
        <v>213</v>
      </c>
      <c r="F805" s="110">
        <f t="shared" si="63"/>
        <v>362</v>
      </c>
    </row>
    <row r="806" spans="2:6" x14ac:dyDescent="0.25">
      <c r="B806" s="105">
        <f t="shared" si="64"/>
        <v>803</v>
      </c>
      <c r="C806" s="107">
        <f t="shared" si="65"/>
        <v>36</v>
      </c>
      <c r="D806" s="107">
        <f t="shared" si="66"/>
        <v>53</v>
      </c>
      <c r="E806" s="15">
        <f t="shared" si="62"/>
        <v>213</v>
      </c>
      <c r="F806" s="110">
        <f t="shared" si="63"/>
        <v>357</v>
      </c>
    </row>
    <row r="807" spans="2:6" x14ac:dyDescent="0.25">
      <c r="B807" s="105">
        <f t="shared" si="64"/>
        <v>804</v>
      </c>
      <c r="C807" s="107">
        <f t="shared" si="65"/>
        <v>37</v>
      </c>
      <c r="D807" s="107">
        <f t="shared" si="66"/>
        <v>53</v>
      </c>
      <c r="E807" s="15">
        <f t="shared" si="62"/>
        <v>213</v>
      </c>
      <c r="F807" s="110">
        <f t="shared" si="63"/>
        <v>351</v>
      </c>
    </row>
    <row r="808" spans="2:6" x14ac:dyDescent="0.25">
      <c r="B808" s="105">
        <f t="shared" si="64"/>
        <v>805</v>
      </c>
      <c r="C808" s="107">
        <f t="shared" si="65"/>
        <v>38</v>
      </c>
      <c r="D808" s="107">
        <f t="shared" si="66"/>
        <v>53</v>
      </c>
      <c r="E808" s="15">
        <f t="shared" si="62"/>
        <v>213</v>
      </c>
      <c r="F808" s="110">
        <f t="shared" si="63"/>
        <v>339</v>
      </c>
    </row>
    <row r="809" spans="2:6" x14ac:dyDescent="0.25">
      <c r="B809" s="105">
        <f t="shared" si="64"/>
        <v>806</v>
      </c>
      <c r="C809" s="107">
        <f t="shared" si="65"/>
        <v>39</v>
      </c>
      <c r="D809" s="107">
        <f t="shared" si="66"/>
        <v>53</v>
      </c>
      <c r="E809" s="15">
        <f t="shared" si="62"/>
        <v>213</v>
      </c>
      <c r="F809" s="110">
        <f t="shared" si="63"/>
        <v>304</v>
      </c>
    </row>
    <row r="810" spans="2:6" x14ac:dyDescent="0.25">
      <c r="B810" s="105">
        <f t="shared" si="64"/>
        <v>807</v>
      </c>
      <c r="C810" s="107">
        <f t="shared" si="65"/>
        <v>40</v>
      </c>
      <c r="D810" s="107">
        <f t="shared" si="66"/>
        <v>53</v>
      </c>
      <c r="E810" s="15">
        <f t="shared" si="62"/>
        <v>213</v>
      </c>
      <c r="F810" s="110">
        <f t="shared" si="63"/>
        <v>301</v>
      </c>
    </row>
    <row r="811" spans="2:6" x14ac:dyDescent="0.25">
      <c r="B811" s="105">
        <f t="shared" si="64"/>
        <v>808</v>
      </c>
      <c r="C811" s="107">
        <f t="shared" si="65"/>
        <v>41</v>
      </c>
      <c r="D811" s="107">
        <f t="shared" si="66"/>
        <v>53</v>
      </c>
      <c r="E811" s="15">
        <f t="shared" si="62"/>
        <v>213</v>
      </c>
      <c r="F811" s="110">
        <f t="shared" si="63"/>
        <v>300</v>
      </c>
    </row>
    <row r="812" spans="2:6" x14ac:dyDescent="0.25">
      <c r="B812" s="105">
        <f t="shared" si="64"/>
        <v>809</v>
      </c>
      <c r="C812" s="107">
        <f t="shared" si="65"/>
        <v>42</v>
      </c>
      <c r="D812" s="107">
        <f t="shared" si="66"/>
        <v>53</v>
      </c>
      <c r="E812" s="15">
        <f t="shared" si="62"/>
        <v>213</v>
      </c>
      <c r="F812" s="110">
        <f t="shared" si="63"/>
        <v>288</v>
      </c>
    </row>
    <row r="813" spans="2:6" x14ac:dyDescent="0.25">
      <c r="B813" s="105">
        <f t="shared" si="64"/>
        <v>810</v>
      </c>
      <c r="C813" s="107">
        <f t="shared" si="65"/>
        <v>43</v>
      </c>
      <c r="D813" s="107">
        <f t="shared" si="66"/>
        <v>53</v>
      </c>
      <c r="E813" s="15">
        <f t="shared" si="62"/>
        <v>213</v>
      </c>
      <c r="F813" s="110">
        <f t="shared" si="63"/>
        <v>273</v>
      </c>
    </row>
    <row r="814" spans="2:6" x14ac:dyDescent="0.25">
      <c r="B814" s="105">
        <f t="shared" si="64"/>
        <v>811</v>
      </c>
      <c r="C814" s="107">
        <f t="shared" si="65"/>
        <v>44</v>
      </c>
      <c r="D814" s="107">
        <f t="shared" si="66"/>
        <v>53</v>
      </c>
      <c r="E814" s="15">
        <f t="shared" si="62"/>
        <v>213</v>
      </c>
      <c r="F814" s="110">
        <f t="shared" si="63"/>
        <v>268</v>
      </c>
    </row>
    <row r="815" spans="2:6" x14ac:dyDescent="0.25">
      <c r="B815" s="105">
        <f t="shared" si="64"/>
        <v>812</v>
      </c>
      <c r="C815" s="107">
        <f t="shared" si="65"/>
        <v>45</v>
      </c>
      <c r="D815" s="107">
        <f t="shared" si="66"/>
        <v>53</v>
      </c>
      <c r="E815" s="15">
        <f t="shared" si="62"/>
        <v>213</v>
      </c>
      <c r="F815" s="110">
        <f t="shared" si="63"/>
        <v>262</v>
      </c>
    </row>
    <row r="816" spans="2:6" x14ac:dyDescent="0.25">
      <c r="B816" s="105">
        <f t="shared" si="64"/>
        <v>813</v>
      </c>
      <c r="C816" s="107">
        <f t="shared" si="65"/>
        <v>46</v>
      </c>
      <c r="D816" s="107">
        <f t="shared" si="66"/>
        <v>53</v>
      </c>
      <c r="E816" s="15">
        <f t="shared" si="62"/>
        <v>213</v>
      </c>
      <c r="F816" s="110">
        <f t="shared" si="63"/>
        <v>248</v>
      </c>
    </row>
    <row r="817" spans="2:6" x14ac:dyDescent="0.25">
      <c r="B817" s="105">
        <f t="shared" si="64"/>
        <v>814</v>
      </c>
      <c r="C817" s="107">
        <f t="shared" si="65"/>
        <v>47</v>
      </c>
      <c r="D817" s="107">
        <f t="shared" si="66"/>
        <v>53</v>
      </c>
      <c r="E817" s="15">
        <f t="shared" si="62"/>
        <v>213</v>
      </c>
      <c r="F817" s="110">
        <f t="shared" si="63"/>
        <v>246</v>
      </c>
    </row>
    <row r="818" spans="2:6" x14ac:dyDescent="0.25">
      <c r="B818" s="105">
        <f t="shared" si="64"/>
        <v>815</v>
      </c>
      <c r="C818" s="107">
        <f t="shared" si="65"/>
        <v>48</v>
      </c>
      <c r="D818" s="107">
        <f t="shared" si="66"/>
        <v>53</v>
      </c>
      <c r="E818" s="15">
        <f t="shared" si="62"/>
        <v>213</v>
      </c>
      <c r="F818" s="110">
        <f t="shared" si="63"/>
        <v>236</v>
      </c>
    </row>
    <row r="819" spans="2:6" x14ac:dyDescent="0.25">
      <c r="B819" s="105">
        <f t="shared" si="64"/>
        <v>816</v>
      </c>
      <c r="C819" s="107">
        <f t="shared" si="65"/>
        <v>49</v>
      </c>
      <c r="D819" s="107">
        <f t="shared" si="66"/>
        <v>53</v>
      </c>
      <c r="E819" s="15">
        <f t="shared" si="62"/>
        <v>213</v>
      </c>
      <c r="F819" s="110">
        <f t="shared" si="63"/>
        <v>231</v>
      </c>
    </row>
    <row r="820" spans="2:6" x14ac:dyDescent="0.25">
      <c r="B820" s="105">
        <f t="shared" si="64"/>
        <v>817</v>
      </c>
      <c r="C820" s="107">
        <f t="shared" si="65"/>
        <v>50</v>
      </c>
      <c r="D820" s="107">
        <f t="shared" si="66"/>
        <v>53</v>
      </c>
      <c r="E820" s="15">
        <f t="shared" si="62"/>
        <v>213</v>
      </c>
      <c r="F820" s="110">
        <f t="shared" si="63"/>
        <v>227</v>
      </c>
    </row>
    <row r="821" spans="2:6" x14ac:dyDescent="0.25">
      <c r="B821" s="105">
        <f t="shared" si="64"/>
        <v>818</v>
      </c>
      <c r="C821" s="107">
        <f t="shared" si="65"/>
        <v>51</v>
      </c>
      <c r="D821" s="107">
        <f t="shared" si="66"/>
        <v>53</v>
      </c>
      <c r="E821" s="15">
        <f t="shared" si="62"/>
        <v>213</v>
      </c>
      <c r="F821" s="110">
        <f t="shared" si="63"/>
        <v>224</v>
      </c>
    </row>
    <row r="822" spans="2:6" x14ac:dyDescent="0.25">
      <c r="B822" s="105">
        <f t="shared" si="64"/>
        <v>819</v>
      </c>
      <c r="C822" s="107">
        <f t="shared" si="65"/>
        <v>52</v>
      </c>
      <c r="D822" s="107">
        <f t="shared" si="66"/>
        <v>53</v>
      </c>
      <c r="E822" s="15">
        <f t="shared" si="62"/>
        <v>213</v>
      </c>
      <c r="F822" s="110">
        <f t="shared" si="63"/>
        <v>217</v>
      </c>
    </row>
    <row r="823" spans="2:6" x14ac:dyDescent="0.25">
      <c r="B823" s="105">
        <f t="shared" si="64"/>
        <v>820</v>
      </c>
      <c r="C823" s="107">
        <f t="shared" si="65"/>
        <v>1</v>
      </c>
      <c r="D823" s="107">
        <f t="shared" si="66"/>
        <v>52</v>
      </c>
      <c r="E823" s="15">
        <f t="shared" si="62"/>
        <v>217</v>
      </c>
      <c r="F823" s="110">
        <f t="shared" si="63"/>
        <v>1048</v>
      </c>
    </row>
    <row r="824" spans="2:6" x14ac:dyDescent="0.25">
      <c r="B824" s="105">
        <f t="shared" si="64"/>
        <v>821</v>
      </c>
      <c r="C824" s="107">
        <f t="shared" si="65"/>
        <v>2</v>
      </c>
      <c r="D824" s="107">
        <f t="shared" si="66"/>
        <v>52</v>
      </c>
      <c r="E824" s="15">
        <f t="shared" si="62"/>
        <v>217</v>
      </c>
      <c r="F824" s="110">
        <f t="shared" si="63"/>
        <v>1025</v>
      </c>
    </row>
    <row r="825" spans="2:6" x14ac:dyDescent="0.25">
      <c r="B825" s="105">
        <f t="shared" si="64"/>
        <v>822</v>
      </c>
      <c r="C825" s="107">
        <f t="shared" si="65"/>
        <v>3</v>
      </c>
      <c r="D825" s="107">
        <f t="shared" si="66"/>
        <v>52</v>
      </c>
      <c r="E825" s="15">
        <f t="shared" si="62"/>
        <v>217</v>
      </c>
      <c r="F825" s="110">
        <f t="shared" si="63"/>
        <v>805</v>
      </c>
    </row>
    <row r="826" spans="2:6" x14ac:dyDescent="0.25">
      <c r="B826" s="105">
        <f t="shared" si="64"/>
        <v>823</v>
      </c>
      <c r="C826" s="107">
        <f t="shared" si="65"/>
        <v>4</v>
      </c>
      <c r="D826" s="107">
        <f t="shared" si="66"/>
        <v>52</v>
      </c>
      <c r="E826" s="15">
        <f t="shared" si="62"/>
        <v>217</v>
      </c>
      <c r="F826" s="110">
        <f t="shared" si="63"/>
        <v>666</v>
      </c>
    </row>
    <row r="827" spans="2:6" x14ac:dyDescent="0.25">
      <c r="B827" s="105">
        <f t="shared" si="64"/>
        <v>824</v>
      </c>
      <c r="C827" s="107">
        <f t="shared" si="65"/>
        <v>5</v>
      </c>
      <c r="D827" s="107">
        <f t="shared" si="66"/>
        <v>52</v>
      </c>
      <c r="E827" s="15">
        <f t="shared" si="62"/>
        <v>217</v>
      </c>
      <c r="F827" s="110">
        <f t="shared" si="63"/>
        <v>655</v>
      </c>
    </row>
    <row r="828" spans="2:6" x14ac:dyDescent="0.25">
      <c r="B828" s="105">
        <f t="shared" si="64"/>
        <v>825</v>
      </c>
      <c r="C828" s="107">
        <f t="shared" si="65"/>
        <v>6</v>
      </c>
      <c r="D828" s="107">
        <f t="shared" si="66"/>
        <v>52</v>
      </c>
      <c r="E828" s="15">
        <f t="shared" si="62"/>
        <v>217</v>
      </c>
      <c r="F828" s="110">
        <f t="shared" si="63"/>
        <v>652</v>
      </c>
    </row>
    <row r="829" spans="2:6" x14ac:dyDescent="0.25">
      <c r="B829" s="105">
        <f t="shared" si="64"/>
        <v>826</v>
      </c>
      <c r="C829" s="107">
        <f t="shared" si="65"/>
        <v>7</v>
      </c>
      <c r="D829" s="107">
        <f t="shared" si="66"/>
        <v>52</v>
      </c>
      <c r="E829" s="15">
        <f t="shared" si="62"/>
        <v>217</v>
      </c>
      <c r="F829" s="110">
        <f t="shared" si="63"/>
        <v>633</v>
      </c>
    </row>
    <row r="830" spans="2:6" x14ac:dyDescent="0.25">
      <c r="B830" s="105">
        <f t="shared" si="64"/>
        <v>827</v>
      </c>
      <c r="C830" s="107">
        <f t="shared" si="65"/>
        <v>8</v>
      </c>
      <c r="D830" s="107">
        <f t="shared" si="66"/>
        <v>52</v>
      </c>
      <c r="E830" s="15">
        <f t="shared" si="62"/>
        <v>217</v>
      </c>
      <c r="F830" s="110">
        <f t="shared" si="63"/>
        <v>632</v>
      </c>
    </row>
    <row r="831" spans="2:6" x14ac:dyDescent="0.25">
      <c r="B831" s="105">
        <f t="shared" si="64"/>
        <v>828</v>
      </c>
      <c r="C831" s="107">
        <f t="shared" si="65"/>
        <v>9</v>
      </c>
      <c r="D831" s="107">
        <f t="shared" si="66"/>
        <v>52</v>
      </c>
      <c r="E831" s="15">
        <f t="shared" si="62"/>
        <v>217</v>
      </c>
      <c r="F831" s="110">
        <f t="shared" si="63"/>
        <v>625</v>
      </c>
    </row>
    <row r="832" spans="2:6" x14ac:dyDescent="0.25">
      <c r="B832" s="105">
        <f t="shared" si="64"/>
        <v>829</v>
      </c>
      <c r="C832" s="107">
        <f t="shared" si="65"/>
        <v>10</v>
      </c>
      <c r="D832" s="107">
        <f t="shared" si="66"/>
        <v>52</v>
      </c>
      <c r="E832" s="15">
        <f t="shared" si="62"/>
        <v>217</v>
      </c>
      <c r="F832" s="110">
        <f t="shared" si="63"/>
        <v>619</v>
      </c>
    </row>
    <row r="833" spans="2:6" x14ac:dyDescent="0.25">
      <c r="B833" s="105">
        <f t="shared" si="64"/>
        <v>830</v>
      </c>
      <c r="C833" s="107">
        <f t="shared" si="65"/>
        <v>11</v>
      </c>
      <c r="D833" s="107">
        <f t="shared" si="66"/>
        <v>52</v>
      </c>
      <c r="E833" s="15">
        <f t="shared" si="62"/>
        <v>217</v>
      </c>
      <c r="F833" s="110">
        <f t="shared" si="63"/>
        <v>610</v>
      </c>
    </row>
    <row r="834" spans="2:6" x14ac:dyDescent="0.25">
      <c r="B834" s="105">
        <f t="shared" si="64"/>
        <v>831</v>
      </c>
      <c r="C834" s="107">
        <f t="shared" si="65"/>
        <v>12</v>
      </c>
      <c r="D834" s="107">
        <f t="shared" si="66"/>
        <v>52</v>
      </c>
      <c r="E834" s="15">
        <f t="shared" si="62"/>
        <v>217</v>
      </c>
      <c r="F834" s="110">
        <f t="shared" si="63"/>
        <v>599</v>
      </c>
    </row>
    <row r="835" spans="2:6" x14ac:dyDescent="0.25">
      <c r="B835" s="105">
        <f t="shared" si="64"/>
        <v>832</v>
      </c>
      <c r="C835" s="107">
        <f t="shared" si="65"/>
        <v>13</v>
      </c>
      <c r="D835" s="107">
        <f t="shared" si="66"/>
        <v>52</v>
      </c>
      <c r="E835" s="15">
        <f t="shared" si="62"/>
        <v>217</v>
      </c>
      <c r="F835" s="110">
        <f t="shared" si="63"/>
        <v>559</v>
      </c>
    </row>
    <row r="836" spans="2:6" x14ac:dyDescent="0.25">
      <c r="B836" s="105">
        <f t="shared" si="64"/>
        <v>833</v>
      </c>
      <c r="C836" s="107">
        <f t="shared" si="65"/>
        <v>14</v>
      </c>
      <c r="D836" s="107">
        <f t="shared" si="66"/>
        <v>52</v>
      </c>
      <c r="E836" s="15">
        <f t="shared" ref="E836:E899" si="67">IFERROR(VLOOKUP(D836,$H$4:$I$69,2,0),"")</f>
        <v>217</v>
      </c>
      <c r="F836" s="110">
        <f t="shared" ref="F836:F899" si="68">IFERROR(VLOOKUP(C836,$H$4:$I$69,2,0),"")</f>
        <v>556</v>
      </c>
    </row>
    <row r="837" spans="2:6" x14ac:dyDescent="0.25">
      <c r="B837" s="105">
        <f t="shared" ref="B837:B900" si="69">ROW()-3</f>
        <v>834</v>
      </c>
      <c r="C837" s="107">
        <f t="shared" si="65"/>
        <v>15</v>
      </c>
      <c r="D837" s="107">
        <f t="shared" si="66"/>
        <v>52</v>
      </c>
      <c r="E837" s="15">
        <f t="shared" si="67"/>
        <v>217</v>
      </c>
      <c r="F837" s="110">
        <f t="shared" si="68"/>
        <v>540</v>
      </c>
    </row>
    <row r="838" spans="2:6" x14ac:dyDescent="0.25">
      <c r="B838" s="105">
        <f t="shared" si="69"/>
        <v>835</v>
      </c>
      <c r="C838" s="107">
        <f t="shared" ref="C838:C901" si="70">IF((D837-C837)=1,1,C837+1)</f>
        <v>16</v>
      </c>
      <c r="D838" s="107">
        <f t="shared" ref="D838:D901" si="71">IF((D837-C837)=1,D837-1,D837)</f>
        <v>52</v>
      </c>
      <c r="E838" s="15">
        <f t="shared" si="67"/>
        <v>217</v>
      </c>
      <c r="F838" s="110">
        <f t="shared" si="68"/>
        <v>536</v>
      </c>
    </row>
    <row r="839" spans="2:6" x14ac:dyDescent="0.25">
      <c r="B839" s="105">
        <f t="shared" si="69"/>
        <v>836</v>
      </c>
      <c r="C839" s="107">
        <f t="shared" si="70"/>
        <v>17</v>
      </c>
      <c r="D839" s="107">
        <f t="shared" si="71"/>
        <v>52</v>
      </c>
      <c r="E839" s="15">
        <f t="shared" si="67"/>
        <v>217</v>
      </c>
      <c r="F839" s="110">
        <f t="shared" si="68"/>
        <v>527</v>
      </c>
    </row>
    <row r="840" spans="2:6" x14ac:dyDescent="0.25">
      <c r="B840" s="105">
        <f t="shared" si="69"/>
        <v>837</v>
      </c>
      <c r="C840" s="107">
        <f t="shared" si="70"/>
        <v>18</v>
      </c>
      <c r="D840" s="107">
        <f t="shared" si="71"/>
        <v>52</v>
      </c>
      <c r="E840" s="15">
        <f t="shared" si="67"/>
        <v>217</v>
      </c>
      <c r="F840" s="110">
        <f t="shared" si="68"/>
        <v>478</v>
      </c>
    </row>
    <row r="841" spans="2:6" x14ac:dyDescent="0.25">
      <c r="B841" s="105">
        <f t="shared" si="69"/>
        <v>838</v>
      </c>
      <c r="C841" s="107">
        <f t="shared" si="70"/>
        <v>19</v>
      </c>
      <c r="D841" s="107">
        <f t="shared" si="71"/>
        <v>52</v>
      </c>
      <c r="E841" s="15">
        <f t="shared" si="67"/>
        <v>217</v>
      </c>
      <c r="F841" s="110">
        <f t="shared" si="68"/>
        <v>474</v>
      </c>
    </row>
    <row r="842" spans="2:6" x14ac:dyDescent="0.25">
      <c r="B842" s="105">
        <f t="shared" si="69"/>
        <v>839</v>
      </c>
      <c r="C842" s="107">
        <f t="shared" si="70"/>
        <v>20</v>
      </c>
      <c r="D842" s="107">
        <f t="shared" si="71"/>
        <v>52</v>
      </c>
      <c r="E842" s="15">
        <f t="shared" si="67"/>
        <v>217</v>
      </c>
      <c r="F842" s="110">
        <f t="shared" si="68"/>
        <v>468</v>
      </c>
    </row>
    <row r="843" spans="2:6" x14ac:dyDescent="0.25">
      <c r="B843" s="105">
        <f t="shared" si="69"/>
        <v>840</v>
      </c>
      <c r="C843" s="107">
        <f t="shared" si="70"/>
        <v>21</v>
      </c>
      <c r="D843" s="107">
        <f t="shared" si="71"/>
        <v>52</v>
      </c>
      <c r="E843" s="15">
        <f t="shared" si="67"/>
        <v>217</v>
      </c>
      <c r="F843" s="110">
        <f t="shared" si="68"/>
        <v>457</v>
      </c>
    </row>
    <row r="844" spans="2:6" x14ac:dyDescent="0.25">
      <c r="B844" s="105">
        <f t="shared" si="69"/>
        <v>841</v>
      </c>
      <c r="C844" s="107">
        <f t="shared" si="70"/>
        <v>22</v>
      </c>
      <c r="D844" s="107">
        <f t="shared" si="71"/>
        <v>52</v>
      </c>
      <c r="E844" s="15">
        <f t="shared" si="67"/>
        <v>217</v>
      </c>
      <c r="F844" s="110">
        <f t="shared" si="68"/>
        <v>452</v>
      </c>
    </row>
    <row r="845" spans="2:6" x14ac:dyDescent="0.25">
      <c r="B845" s="105">
        <f t="shared" si="69"/>
        <v>842</v>
      </c>
      <c r="C845" s="107">
        <f t="shared" si="70"/>
        <v>23</v>
      </c>
      <c r="D845" s="107">
        <f t="shared" si="71"/>
        <v>52</v>
      </c>
      <c r="E845" s="15">
        <f t="shared" si="67"/>
        <v>217</v>
      </c>
      <c r="F845" s="110">
        <f t="shared" si="68"/>
        <v>442</v>
      </c>
    </row>
    <row r="846" spans="2:6" x14ac:dyDescent="0.25">
      <c r="B846" s="105">
        <f t="shared" si="69"/>
        <v>843</v>
      </c>
      <c r="C846" s="107">
        <f t="shared" si="70"/>
        <v>24</v>
      </c>
      <c r="D846" s="107">
        <f t="shared" si="71"/>
        <v>52</v>
      </c>
      <c r="E846" s="15">
        <f t="shared" si="67"/>
        <v>217</v>
      </c>
      <c r="F846" s="110">
        <f t="shared" si="68"/>
        <v>420</v>
      </c>
    </row>
    <row r="847" spans="2:6" x14ac:dyDescent="0.25">
      <c r="B847" s="105">
        <f t="shared" si="69"/>
        <v>844</v>
      </c>
      <c r="C847" s="107">
        <f t="shared" si="70"/>
        <v>25</v>
      </c>
      <c r="D847" s="107">
        <f t="shared" si="71"/>
        <v>52</v>
      </c>
      <c r="E847" s="15">
        <f t="shared" si="67"/>
        <v>217</v>
      </c>
      <c r="F847" s="110">
        <f t="shared" si="68"/>
        <v>410</v>
      </c>
    </row>
    <row r="848" spans="2:6" x14ac:dyDescent="0.25">
      <c r="B848" s="105">
        <f t="shared" si="69"/>
        <v>845</v>
      </c>
      <c r="C848" s="107">
        <f t="shared" si="70"/>
        <v>26</v>
      </c>
      <c r="D848" s="107">
        <f t="shared" si="71"/>
        <v>52</v>
      </c>
      <c r="E848" s="15">
        <f t="shared" si="67"/>
        <v>217</v>
      </c>
      <c r="F848" s="110">
        <f t="shared" si="68"/>
        <v>409</v>
      </c>
    </row>
    <row r="849" spans="2:6" x14ac:dyDescent="0.25">
      <c r="B849" s="105">
        <f t="shared" si="69"/>
        <v>846</v>
      </c>
      <c r="C849" s="107">
        <f t="shared" si="70"/>
        <v>27</v>
      </c>
      <c r="D849" s="107">
        <f t="shared" si="71"/>
        <v>52</v>
      </c>
      <c r="E849" s="15">
        <f t="shared" si="67"/>
        <v>217</v>
      </c>
      <c r="F849" s="110">
        <f t="shared" si="68"/>
        <v>408</v>
      </c>
    </row>
    <row r="850" spans="2:6" x14ac:dyDescent="0.25">
      <c r="B850" s="105">
        <f t="shared" si="69"/>
        <v>847</v>
      </c>
      <c r="C850" s="107">
        <f t="shared" si="70"/>
        <v>28</v>
      </c>
      <c r="D850" s="107">
        <f t="shared" si="71"/>
        <v>52</v>
      </c>
      <c r="E850" s="15">
        <f t="shared" si="67"/>
        <v>217</v>
      </c>
      <c r="F850" s="110">
        <f t="shared" si="68"/>
        <v>404</v>
      </c>
    </row>
    <row r="851" spans="2:6" x14ac:dyDescent="0.25">
      <c r="B851" s="105">
        <f t="shared" si="69"/>
        <v>848</v>
      </c>
      <c r="C851" s="107">
        <f t="shared" si="70"/>
        <v>29</v>
      </c>
      <c r="D851" s="107">
        <f t="shared" si="71"/>
        <v>52</v>
      </c>
      <c r="E851" s="15">
        <f t="shared" si="67"/>
        <v>217</v>
      </c>
      <c r="F851" s="110">
        <f t="shared" si="68"/>
        <v>399</v>
      </c>
    </row>
    <row r="852" spans="2:6" x14ac:dyDescent="0.25">
      <c r="B852" s="105">
        <f t="shared" si="69"/>
        <v>849</v>
      </c>
      <c r="C852" s="107">
        <f t="shared" si="70"/>
        <v>30</v>
      </c>
      <c r="D852" s="107">
        <f t="shared" si="71"/>
        <v>52</v>
      </c>
      <c r="E852" s="15">
        <f t="shared" si="67"/>
        <v>217</v>
      </c>
      <c r="F852" s="110">
        <f t="shared" si="68"/>
        <v>396</v>
      </c>
    </row>
    <row r="853" spans="2:6" x14ac:dyDescent="0.25">
      <c r="B853" s="105">
        <f t="shared" si="69"/>
        <v>850</v>
      </c>
      <c r="C853" s="107">
        <f t="shared" si="70"/>
        <v>31</v>
      </c>
      <c r="D853" s="107">
        <f t="shared" si="71"/>
        <v>52</v>
      </c>
      <c r="E853" s="15">
        <f t="shared" si="67"/>
        <v>217</v>
      </c>
      <c r="F853" s="110">
        <f t="shared" si="68"/>
        <v>384</v>
      </c>
    </row>
    <row r="854" spans="2:6" x14ac:dyDescent="0.25">
      <c r="B854" s="105">
        <f t="shared" si="69"/>
        <v>851</v>
      </c>
      <c r="C854" s="107">
        <f t="shared" si="70"/>
        <v>32</v>
      </c>
      <c r="D854" s="107">
        <f t="shared" si="71"/>
        <v>52</v>
      </c>
      <c r="E854" s="15">
        <f t="shared" si="67"/>
        <v>217</v>
      </c>
      <c r="F854" s="110">
        <f t="shared" si="68"/>
        <v>381</v>
      </c>
    </row>
    <row r="855" spans="2:6" x14ac:dyDescent="0.25">
      <c r="B855" s="105">
        <f t="shared" si="69"/>
        <v>852</v>
      </c>
      <c r="C855" s="107">
        <f t="shared" si="70"/>
        <v>33</v>
      </c>
      <c r="D855" s="107">
        <f t="shared" si="71"/>
        <v>52</v>
      </c>
      <c r="E855" s="15">
        <f t="shared" si="67"/>
        <v>217</v>
      </c>
      <c r="F855" s="110">
        <f t="shared" si="68"/>
        <v>376</v>
      </c>
    </row>
    <row r="856" spans="2:6" x14ac:dyDescent="0.25">
      <c r="B856" s="105">
        <f t="shared" si="69"/>
        <v>853</v>
      </c>
      <c r="C856" s="107">
        <f t="shared" si="70"/>
        <v>34</v>
      </c>
      <c r="D856" s="107">
        <f t="shared" si="71"/>
        <v>52</v>
      </c>
      <c r="E856" s="15">
        <f t="shared" si="67"/>
        <v>217</v>
      </c>
      <c r="F856" s="110">
        <f t="shared" si="68"/>
        <v>370</v>
      </c>
    </row>
    <row r="857" spans="2:6" x14ac:dyDescent="0.25">
      <c r="B857" s="105">
        <f t="shared" si="69"/>
        <v>854</v>
      </c>
      <c r="C857" s="107">
        <f t="shared" si="70"/>
        <v>35</v>
      </c>
      <c r="D857" s="107">
        <f t="shared" si="71"/>
        <v>52</v>
      </c>
      <c r="E857" s="15">
        <f t="shared" si="67"/>
        <v>217</v>
      </c>
      <c r="F857" s="110">
        <f t="shared" si="68"/>
        <v>362</v>
      </c>
    </row>
    <row r="858" spans="2:6" x14ac:dyDescent="0.25">
      <c r="B858" s="105">
        <f t="shared" si="69"/>
        <v>855</v>
      </c>
      <c r="C858" s="107">
        <f t="shared" si="70"/>
        <v>36</v>
      </c>
      <c r="D858" s="107">
        <f t="shared" si="71"/>
        <v>52</v>
      </c>
      <c r="E858" s="15">
        <f t="shared" si="67"/>
        <v>217</v>
      </c>
      <c r="F858" s="110">
        <f t="shared" si="68"/>
        <v>357</v>
      </c>
    </row>
    <row r="859" spans="2:6" x14ac:dyDescent="0.25">
      <c r="B859" s="105">
        <f t="shared" si="69"/>
        <v>856</v>
      </c>
      <c r="C859" s="107">
        <f t="shared" si="70"/>
        <v>37</v>
      </c>
      <c r="D859" s="107">
        <f t="shared" si="71"/>
        <v>52</v>
      </c>
      <c r="E859" s="15">
        <f t="shared" si="67"/>
        <v>217</v>
      </c>
      <c r="F859" s="110">
        <f t="shared" si="68"/>
        <v>351</v>
      </c>
    </row>
    <row r="860" spans="2:6" x14ac:dyDescent="0.25">
      <c r="B860" s="105">
        <f t="shared" si="69"/>
        <v>857</v>
      </c>
      <c r="C860" s="107">
        <f t="shared" si="70"/>
        <v>38</v>
      </c>
      <c r="D860" s="107">
        <f t="shared" si="71"/>
        <v>52</v>
      </c>
      <c r="E860" s="15">
        <f t="shared" si="67"/>
        <v>217</v>
      </c>
      <c r="F860" s="110">
        <f t="shared" si="68"/>
        <v>339</v>
      </c>
    </row>
    <row r="861" spans="2:6" x14ac:dyDescent="0.25">
      <c r="B861" s="105">
        <f t="shared" si="69"/>
        <v>858</v>
      </c>
      <c r="C861" s="107">
        <f t="shared" si="70"/>
        <v>39</v>
      </c>
      <c r="D861" s="107">
        <f t="shared" si="71"/>
        <v>52</v>
      </c>
      <c r="E861" s="15">
        <f t="shared" si="67"/>
        <v>217</v>
      </c>
      <c r="F861" s="110">
        <f t="shared" si="68"/>
        <v>304</v>
      </c>
    </row>
    <row r="862" spans="2:6" x14ac:dyDescent="0.25">
      <c r="B862" s="105">
        <f t="shared" si="69"/>
        <v>859</v>
      </c>
      <c r="C862" s="107">
        <f t="shared" si="70"/>
        <v>40</v>
      </c>
      <c r="D862" s="107">
        <f t="shared" si="71"/>
        <v>52</v>
      </c>
      <c r="E862" s="15">
        <f t="shared" si="67"/>
        <v>217</v>
      </c>
      <c r="F862" s="110">
        <f t="shared" si="68"/>
        <v>301</v>
      </c>
    </row>
    <row r="863" spans="2:6" x14ac:dyDescent="0.25">
      <c r="B863" s="105">
        <f t="shared" si="69"/>
        <v>860</v>
      </c>
      <c r="C863" s="107">
        <f t="shared" si="70"/>
        <v>41</v>
      </c>
      <c r="D863" s="107">
        <f t="shared" si="71"/>
        <v>52</v>
      </c>
      <c r="E863" s="15">
        <f t="shared" si="67"/>
        <v>217</v>
      </c>
      <c r="F863" s="110">
        <f t="shared" si="68"/>
        <v>300</v>
      </c>
    </row>
    <row r="864" spans="2:6" x14ac:dyDescent="0.25">
      <c r="B864" s="105">
        <f t="shared" si="69"/>
        <v>861</v>
      </c>
      <c r="C864" s="107">
        <f t="shared" si="70"/>
        <v>42</v>
      </c>
      <c r="D864" s="107">
        <f t="shared" si="71"/>
        <v>52</v>
      </c>
      <c r="E864" s="15">
        <f t="shared" si="67"/>
        <v>217</v>
      </c>
      <c r="F864" s="110">
        <f t="shared" si="68"/>
        <v>288</v>
      </c>
    </row>
    <row r="865" spans="2:6" x14ac:dyDescent="0.25">
      <c r="B865" s="105">
        <f t="shared" si="69"/>
        <v>862</v>
      </c>
      <c r="C865" s="107">
        <f t="shared" si="70"/>
        <v>43</v>
      </c>
      <c r="D865" s="107">
        <f t="shared" si="71"/>
        <v>52</v>
      </c>
      <c r="E865" s="15">
        <f t="shared" si="67"/>
        <v>217</v>
      </c>
      <c r="F865" s="110">
        <f t="shared" si="68"/>
        <v>273</v>
      </c>
    </row>
    <row r="866" spans="2:6" x14ac:dyDescent="0.25">
      <c r="B866" s="105">
        <f t="shared" si="69"/>
        <v>863</v>
      </c>
      <c r="C866" s="107">
        <f t="shared" si="70"/>
        <v>44</v>
      </c>
      <c r="D866" s="107">
        <f t="shared" si="71"/>
        <v>52</v>
      </c>
      <c r="E866" s="15">
        <f t="shared" si="67"/>
        <v>217</v>
      </c>
      <c r="F866" s="110">
        <f t="shared" si="68"/>
        <v>268</v>
      </c>
    </row>
    <row r="867" spans="2:6" x14ac:dyDescent="0.25">
      <c r="B867" s="105">
        <f t="shared" si="69"/>
        <v>864</v>
      </c>
      <c r="C867" s="107">
        <f t="shared" si="70"/>
        <v>45</v>
      </c>
      <c r="D867" s="107">
        <f t="shared" si="71"/>
        <v>52</v>
      </c>
      <c r="E867" s="15">
        <f t="shared" si="67"/>
        <v>217</v>
      </c>
      <c r="F867" s="110">
        <f t="shared" si="68"/>
        <v>262</v>
      </c>
    </row>
    <row r="868" spans="2:6" x14ac:dyDescent="0.25">
      <c r="B868" s="105">
        <f t="shared" si="69"/>
        <v>865</v>
      </c>
      <c r="C868" s="107">
        <f t="shared" si="70"/>
        <v>46</v>
      </c>
      <c r="D868" s="107">
        <f t="shared" si="71"/>
        <v>52</v>
      </c>
      <c r="E868" s="15">
        <f t="shared" si="67"/>
        <v>217</v>
      </c>
      <c r="F868" s="110">
        <f t="shared" si="68"/>
        <v>248</v>
      </c>
    </row>
    <row r="869" spans="2:6" x14ac:dyDescent="0.25">
      <c r="B869" s="105">
        <f t="shared" si="69"/>
        <v>866</v>
      </c>
      <c r="C869" s="107">
        <f t="shared" si="70"/>
        <v>47</v>
      </c>
      <c r="D869" s="107">
        <f t="shared" si="71"/>
        <v>52</v>
      </c>
      <c r="E869" s="15">
        <f t="shared" si="67"/>
        <v>217</v>
      </c>
      <c r="F869" s="110">
        <f t="shared" si="68"/>
        <v>246</v>
      </c>
    </row>
    <row r="870" spans="2:6" x14ac:dyDescent="0.25">
      <c r="B870" s="105">
        <f t="shared" si="69"/>
        <v>867</v>
      </c>
      <c r="C870" s="107">
        <f t="shared" si="70"/>
        <v>48</v>
      </c>
      <c r="D870" s="107">
        <f t="shared" si="71"/>
        <v>52</v>
      </c>
      <c r="E870" s="15">
        <f t="shared" si="67"/>
        <v>217</v>
      </c>
      <c r="F870" s="110">
        <f t="shared" si="68"/>
        <v>236</v>
      </c>
    </row>
    <row r="871" spans="2:6" x14ac:dyDescent="0.25">
      <c r="B871" s="105">
        <f t="shared" si="69"/>
        <v>868</v>
      </c>
      <c r="C871" s="107">
        <f t="shared" si="70"/>
        <v>49</v>
      </c>
      <c r="D871" s="107">
        <f t="shared" si="71"/>
        <v>52</v>
      </c>
      <c r="E871" s="15">
        <f t="shared" si="67"/>
        <v>217</v>
      </c>
      <c r="F871" s="110">
        <f t="shared" si="68"/>
        <v>231</v>
      </c>
    </row>
    <row r="872" spans="2:6" x14ac:dyDescent="0.25">
      <c r="B872" s="105">
        <f t="shared" si="69"/>
        <v>869</v>
      </c>
      <c r="C872" s="107">
        <f t="shared" si="70"/>
        <v>50</v>
      </c>
      <c r="D872" s="107">
        <f t="shared" si="71"/>
        <v>52</v>
      </c>
      <c r="E872" s="15">
        <f t="shared" si="67"/>
        <v>217</v>
      </c>
      <c r="F872" s="110">
        <f t="shared" si="68"/>
        <v>227</v>
      </c>
    </row>
    <row r="873" spans="2:6" x14ac:dyDescent="0.25">
      <c r="B873" s="105">
        <f t="shared" si="69"/>
        <v>870</v>
      </c>
      <c r="C873" s="107">
        <f t="shared" si="70"/>
        <v>51</v>
      </c>
      <c r="D873" s="107">
        <f t="shared" si="71"/>
        <v>52</v>
      </c>
      <c r="E873" s="15">
        <f t="shared" si="67"/>
        <v>217</v>
      </c>
      <c r="F873" s="110">
        <f t="shared" si="68"/>
        <v>224</v>
      </c>
    </row>
    <row r="874" spans="2:6" x14ac:dyDescent="0.25">
      <c r="B874" s="105">
        <f t="shared" si="69"/>
        <v>871</v>
      </c>
      <c r="C874" s="107">
        <f t="shared" si="70"/>
        <v>1</v>
      </c>
      <c r="D874" s="107">
        <f t="shared" si="71"/>
        <v>51</v>
      </c>
      <c r="E874" s="15">
        <f t="shared" si="67"/>
        <v>224</v>
      </c>
      <c r="F874" s="110">
        <f t="shared" si="68"/>
        <v>1048</v>
      </c>
    </row>
    <row r="875" spans="2:6" x14ac:dyDescent="0.25">
      <c r="B875" s="105">
        <f t="shared" si="69"/>
        <v>872</v>
      </c>
      <c r="C875" s="107">
        <f t="shared" si="70"/>
        <v>2</v>
      </c>
      <c r="D875" s="107">
        <f t="shared" si="71"/>
        <v>51</v>
      </c>
      <c r="E875" s="15">
        <f t="shared" si="67"/>
        <v>224</v>
      </c>
      <c r="F875" s="110">
        <f t="shared" si="68"/>
        <v>1025</v>
      </c>
    </row>
    <row r="876" spans="2:6" x14ac:dyDescent="0.25">
      <c r="B876" s="105">
        <f t="shared" si="69"/>
        <v>873</v>
      </c>
      <c r="C876" s="107">
        <f t="shared" si="70"/>
        <v>3</v>
      </c>
      <c r="D876" s="107">
        <f t="shared" si="71"/>
        <v>51</v>
      </c>
      <c r="E876" s="15">
        <f t="shared" si="67"/>
        <v>224</v>
      </c>
      <c r="F876" s="110">
        <f t="shared" si="68"/>
        <v>805</v>
      </c>
    </row>
    <row r="877" spans="2:6" x14ac:dyDescent="0.25">
      <c r="B877" s="105">
        <f t="shared" si="69"/>
        <v>874</v>
      </c>
      <c r="C877" s="107">
        <f t="shared" si="70"/>
        <v>4</v>
      </c>
      <c r="D877" s="107">
        <f t="shared" si="71"/>
        <v>51</v>
      </c>
      <c r="E877" s="15">
        <f t="shared" si="67"/>
        <v>224</v>
      </c>
      <c r="F877" s="110">
        <f t="shared" si="68"/>
        <v>666</v>
      </c>
    </row>
    <row r="878" spans="2:6" x14ac:dyDescent="0.25">
      <c r="B878" s="105">
        <f t="shared" si="69"/>
        <v>875</v>
      </c>
      <c r="C878" s="107">
        <f t="shared" si="70"/>
        <v>5</v>
      </c>
      <c r="D878" s="107">
        <f t="shared" si="71"/>
        <v>51</v>
      </c>
      <c r="E878" s="15">
        <f t="shared" si="67"/>
        <v>224</v>
      </c>
      <c r="F878" s="110">
        <f t="shared" si="68"/>
        <v>655</v>
      </c>
    </row>
    <row r="879" spans="2:6" x14ac:dyDescent="0.25">
      <c r="B879" s="105">
        <f t="shared" si="69"/>
        <v>876</v>
      </c>
      <c r="C879" s="107">
        <f t="shared" si="70"/>
        <v>6</v>
      </c>
      <c r="D879" s="107">
        <f t="shared" si="71"/>
        <v>51</v>
      </c>
      <c r="E879" s="15">
        <f t="shared" si="67"/>
        <v>224</v>
      </c>
      <c r="F879" s="110">
        <f t="shared" si="68"/>
        <v>652</v>
      </c>
    </row>
    <row r="880" spans="2:6" x14ac:dyDescent="0.25">
      <c r="B880" s="105">
        <f t="shared" si="69"/>
        <v>877</v>
      </c>
      <c r="C880" s="107">
        <f t="shared" si="70"/>
        <v>7</v>
      </c>
      <c r="D880" s="107">
        <f t="shared" si="71"/>
        <v>51</v>
      </c>
      <c r="E880" s="15">
        <f t="shared" si="67"/>
        <v>224</v>
      </c>
      <c r="F880" s="110">
        <f t="shared" si="68"/>
        <v>633</v>
      </c>
    </row>
    <row r="881" spans="2:6" x14ac:dyDescent="0.25">
      <c r="B881" s="105">
        <f t="shared" si="69"/>
        <v>878</v>
      </c>
      <c r="C881" s="107">
        <f t="shared" si="70"/>
        <v>8</v>
      </c>
      <c r="D881" s="107">
        <f t="shared" si="71"/>
        <v>51</v>
      </c>
      <c r="E881" s="15">
        <f t="shared" si="67"/>
        <v>224</v>
      </c>
      <c r="F881" s="110">
        <f t="shared" si="68"/>
        <v>632</v>
      </c>
    </row>
    <row r="882" spans="2:6" x14ac:dyDescent="0.25">
      <c r="B882" s="105">
        <f t="shared" si="69"/>
        <v>879</v>
      </c>
      <c r="C882" s="107">
        <f t="shared" si="70"/>
        <v>9</v>
      </c>
      <c r="D882" s="107">
        <f t="shared" si="71"/>
        <v>51</v>
      </c>
      <c r="E882" s="15">
        <f t="shared" si="67"/>
        <v>224</v>
      </c>
      <c r="F882" s="110">
        <f t="shared" si="68"/>
        <v>625</v>
      </c>
    </row>
    <row r="883" spans="2:6" x14ac:dyDescent="0.25">
      <c r="B883" s="105">
        <f t="shared" si="69"/>
        <v>880</v>
      </c>
      <c r="C883" s="107">
        <f t="shared" si="70"/>
        <v>10</v>
      </c>
      <c r="D883" s="107">
        <f t="shared" si="71"/>
        <v>51</v>
      </c>
      <c r="E883" s="15">
        <f t="shared" si="67"/>
        <v>224</v>
      </c>
      <c r="F883" s="110">
        <f t="shared" si="68"/>
        <v>619</v>
      </c>
    </row>
    <row r="884" spans="2:6" x14ac:dyDescent="0.25">
      <c r="B884" s="105">
        <f t="shared" si="69"/>
        <v>881</v>
      </c>
      <c r="C884" s="107">
        <f t="shared" si="70"/>
        <v>11</v>
      </c>
      <c r="D884" s="107">
        <f t="shared" si="71"/>
        <v>51</v>
      </c>
      <c r="E884" s="15">
        <f t="shared" si="67"/>
        <v>224</v>
      </c>
      <c r="F884" s="110">
        <f t="shared" si="68"/>
        <v>610</v>
      </c>
    </row>
    <row r="885" spans="2:6" x14ac:dyDescent="0.25">
      <c r="B885" s="105">
        <f t="shared" si="69"/>
        <v>882</v>
      </c>
      <c r="C885" s="107">
        <f t="shared" si="70"/>
        <v>12</v>
      </c>
      <c r="D885" s="107">
        <f t="shared" si="71"/>
        <v>51</v>
      </c>
      <c r="E885" s="15">
        <f t="shared" si="67"/>
        <v>224</v>
      </c>
      <c r="F885" s="110">
        <f t="shared" si="68"/>
        <v>599</v>
      </c>
    </row>
    <row r="886" spans="2:6" x14ac:dyDescent="0.25">
      <c r="B886" s="105">
        <f t="shared" si="69"/>
        <v>883</v>
      </c>
      <c r="C886" s="107">
        <f t="shared" si="70"/>
        <v>13</v>
      </c>
      <c r="D886" s="107">
        <f t="shared" si="71"/>
        <v>51</v>
      </c>
      <c r="E886" s="15">
        <f t="shared" si="67"/>
        <v>224</v>
      </c>
      <c r="F886" s="110">
        <f t="shared" si="68"/>
        <v>559</v>
      </c>
    </row>
    <row r="887" spans="2:6" x14ac:dyDescent="0.25">
      <c r="B887" s="105">
        <f t="shared" si="69"/>
        <v>884</v>
      </c>
      <c r="C887" s="107">
        <f t="shared" si="70"/>
        <v>14</v>
      </c>
      <c r="D887" s="107">
        <f t="shared" si="71"/>
        <v>51</v>
      </c>
      <c r="E887" s="15">
        <f t="shared" si="67"/>
        <v>224</v>
      </c>
      <c r="F887" s="110">
        <f t="shared" si="68"/>
        <v>556</v>
      </c>
    </row>
    <row r="888" spans="2:6" x14ac:dyDescent="0.25">
      <c r="B888" s="105">
        <f t="shared" si="69"/>
        <v>885</v>
      </c>
      <c r="C888" s="107">
        <f t="shared" si="70"/>
        <v>15</v>
      </c>
      <c r="D888" s="107">
        <f t="shared" si="71"/>
        <v>51</v>
      </c>
      <c r="E888" s="15">
        <f t="shared" si="67"/>
        <v>224</v>
      </c>
      <c r="F888" s="110">
        <f t="shared" si="68"/>
        <v>540</v>
      </c>
    </row>
    <row r="889" spans="2:6" x14ac:dyDescent="0.25">
      <c r="B889" s="105">
        <f t="shared" si="69"/>
        <v>886</v>
      </c>
      <c r="C889" s="107">
        <f t="shared" si="70"/>
        <v>16</v>
      </c>
      <c r="D889" s="107">
        <f t="shared" si="71"/>
        <v>51</v>
      </c>
      <c r="E889" s="15">
        <f t="shared" si="67"/>
        <v>224</v>
      </c>
      <c r="F889" s="110">
        <f t="shared" si="68"/>
        <v>536</v>
      </c>
    </row>
    <row r="890" spans="2:6" x14ac:dyDescent="0.25">
      <c r="B890" s="105">
        <f t="shared" si="69"/>
        <v>887</v>
      </c>
      <c r="C890" s="107">
        <f t="shared" si="70"/>
        <v>17</v>
      </c>
      <c r="D890" s="107">
        <f t="shared" si="71"/>
        <v>51</v>
      </c>
      <c r="E890" s="15">
        <f t="shared" si="67"/>
        <v>224</v>
      </c>
      <c r="F890" s="110">
        <f t="shared" si="68"/>
        <v>527</v>
      </c>
    </row>
    <row r="891" spans="2:6" x14ac:dyDescent="0.25">
      <c r="B891" s="105">
        <f t="shared" si="69"/>
        <v>888</v>
      </c>
      <c r="C891" s="107">
        <f t="shared" si="70"/>
        <v>18</v>
      </c>
      <c r="D891" s="107">
        <f t="shared" si="71"/>
        <v>51</v>
      </c>
      <c r="E891" s="15">
        <f t="shared" si="67"/>
        <v>224</v>
      </c>
      <c r="F891" s="110">
        <f t="shared" si="68"/>
        <v>478</v>
      </c>
    </row>
    <row r="892" spans="2:6" x14ac:dyDescent="0.25">
      <c r="B892" s="105">
        <f t="shared" si="69"/>
        <v>889</v>
      </c>
      <c r="C892" s="107">
        <f t="shared" si="70"/>
        <v>19</v>
      </c>
      <c r="D892" s="107">
        <f t="shared" si="71"/>
        <v>51</v>
      </c>
      <c r="E892" s="15">
        <f t="shared" si="67"/>
        <v>224</v>
      </c>
      <c r="F892" s="110">
        <f t="shared" si="68"/>
        <v>474</v>
      </c>
    </row>
    <row r="893" spans="2:6" x14ac:dyDescent="0.25">
      <c r="B893" s="105">
        <f t="shared" si="69"/>
        <v>890</v>
      </c>
      <c r="C893" s="107">
        <f t="shared" si="70"/>
        <v>20</v>
      </c>
      <c r="D893" s="107">
        <f t="shared" si="71"/>
        <v>51</v>
      </c>
      <c r="E893" s="15">
        <f t="shared" si="67"/>
        <v>224</v>
      </c>
      <c r="F893" s="110">
        <f t="shared" si="68"/>
        <v>468</v>
      </c>
    </row>
    <row r="894" spans="2:6" x14ac:dyDescent="0.25">
      <c r="B894" s="105">
        <f t="shared" si="69"/>
        <v>891</v>
      </c>
      <c r="C894" s="107">
        <f t="shared" si="70"/>
        <v>21</v>
      </c>
      <c r="D894" s="107">
        <f t="shared" si="71"/>
        <v>51</v>
      </c>
      <c r="E894" s="15">
        <f t="shared" si="67"/>
        <v>224</v>
      </c>
      <c r="F894" s="110">
        <f t="shared" si="68"/>
        <v>457</v>
      </c>
    </row>
    <row r="895" spans="2:6" x14ac:dyDescent="0.25">
      <c r="B895" s="105">
        <f t="shared" si="69"/>
        <v>892</v>
      </c>
      <c r="C895" s="107">
        <f t="shared" si="70"/>
        <v>22</v>
      </c>
      <c r="D895" s="107">
        <f t="shared" si="71"/>
        <v>51</v>
      </c>
      <c r="E895" s="15">
        <f t="shared" si="67"/>
        <v>224</v>
      </c>
      <c r="F895" s="110">
        <f t="shared" si="68"/>
        <v>452</v>
      </c>
    </row>
    <row r="896" spans="2:6" x14ac:dyDescent="0.25">
      <c r="B896" s="105">
        <f t="shared" si="69"/>
        <v>893</v>
      </c>
      <c r="C896" s="107">
        <f t="shared" si="70"/>
        <v>23</v>
      </c>
      <c r="D896" s="107">
        <f t="shared" si="71"/>
        <v>51</v>
      </c>
      <c r="E896" s="15">
        <f t="shared" si="67"/>
        <v>224</v>
      </c>
      <c r="F896" s="110">
        <f t="shared" si="68"/>
        <v>442</v>
      </c>
    </row>
    <row r="897" spans="2:6" x14ac:dyDescent="0.25">
      <c r="B897" s="105">
        <f t="shared" si="69"/>
        <v>894</v>
      </c>
      <c r="C897" s="107">
        <f t="shared" si="70"/>
        <v>24</v>
      </c>
      <c r="D897" s="107">
        <f t="shared" si="71"/>
        <v>51</v>
      </c>
      <c r="E897" s="15">
        <f t="shared" si="67"/>
        <v>224</v>
      </c>
      <c r="F897" s="110">
        <f t="shared" si="68"/>
        <v>420</v>
      </c>
    </row>
    <row r="898" spans="2:6" x14ac:dyDescent="0.25">
      <c r="B898" s="105">
        <f t="shared" si="69"/>
        <v>895</v>
      </c>
      <c r="C898" s="107">
        <f t="shared" si="70"/>
        <v>25</v>
      </c>
      <c r="D898" s="107">
        <f t="shared" si="71"/>
        <v>51</v>
      </c>
      <c r="E898" s="15">
        <f t="shared" si="67"/>
        <v>224</v>
      </c>
      <c r="F898" s="110">
        <f t="shared" si="68"/>
        <v>410</v>
      </c>
    </row>
    <row r="899" spans="2:6" x14ac:dyDescent="0.25">
      <c r="B899" s="105">
        <f t="shared" si="69"/>
        <v>896</v>
      </c>
      <c r="C899" s="107">
        <f t="shared" si="70"/>
        <v>26</v>
      </c>
      <c r="D899" s="107">
        <f t="shared" si="71"/>
        <v>51</v>
      </c>
      <c r="E899" s="15">
        <f t="shared" si="67"/>
        <v>224</v>
      </c>
      <c r="F899" s="110">
        <f t="shared" si="68"/>
        <v>409</v>
      </c>
    </row>
    <row r="900" spans="2:6" x14ac:dyDescent="0.25">
      <c r="B900" s="105">
        <f t="shared" si="69"/>
        <v>897</v>
      </c>
      <c r="C900" s="107">
        <f t="shared" si="70"/>
        <v>27</v>
      </c>
      <c r="D900" s="107">
        <f t="shared" si="71"/>
        <v>51</v>
      </c>
      <c r="E900" s="15">
        <f t="shared" ref="E900:E963" si="72">IFERROR(VLOOKUP(D900,$H$4:$I$69,2,0),"")</f>
        <v>224</v>
      </c>
      <c r="F900" s="110">
        <f t="shared" ref="F900:F963" si="73">IFERROR(VLOOKUP(C900,$H$4:$I$69,2,0),"")</f>
        <v>408</v>
      </c>
    </row>
    <row r="901" spans="2:6" x14ac:dyDescent="0.25">
      <c r="B901" s="105">
        <f t="shared" ref="B901:B964" si="74">ROW()-3</f>
        <v>898</v>
      </c>
      <c r="C901" s="107">
        <f t="shared" si="70"/>
        <v>28</v>
      </c>
      <c r="D901" s="107">
        <f t="shared" si="71"/>
        <v>51</v>
      </c>
      <c r="E901" s="15">
        <f t="shared" si="72"/>
        <v>224</v>
      </c>
      <c r="F901" s="110">
        <f t="shared" si="73"/>
        <v>404</v>
      </c>
    </row>
    <row r="902" spans="2:6" x14ac:dyDescent="0.25">
      <c r="B902" s="105">
        <f t="shared" si="74"/>
        <v>899</v>
      </c>
      <c r="C902" s="107">
        <f t="shared" ref="C902:C965" si="75">IF((D901-C901)=1,1,C901+1)</f>
        <v>29</v>
      </c>
      <c r="D902" s="107">
        <f t="shared" ref="D902:D965" si="76">IF((D901-C901)=1,D901-1,D901)</f>
        <v>51</v>
      </c>
      <c r="E902" s="15">
        <f t="shared" si="72"/>
        <v>224</v>
      </c>
      <c r="F902" s="110">
        <f t="shared" si="73"/>
        <v>399</v>
      </c>
    </row>
    <row r="903" spans="2:6" x14ac:dyDescent="0.25">
      <c r="B903" s="105">
        <f t="shared" si="74"/>
        <v>900</v>
      </c>
      <c r="C903" s="107">
        <f t="shared" si="75"/>
        <v>30</v>
      </c>
      <c r="D903" s="107">
        <f t="shared" si="76"/>
        <v>51</v>
      </c>
      <c r="E903" s="15">
        <f t="shared" si="72"/>
        <v>224</v>
      </c>
      <c r="F903" s="110">
        <f t="shared" si="73"/>
        <v>396</v>
      </c>
    </row>
    <row r="904" spans="2:6" x14ac:dyDescent="0.25">
      <c r="B904" s="105">
        <f t="shared" si="74"/>
        <v>901</v>
      </c>
      <c r="C904" s="107">
        <f t="shared" si="75"/>
        <v>31</v>
      </c>
      <c r="D904" s="107">
        <f t="shared" si="76"/>
        <v>51</v>
      </c>
      <c r="E904" s="15">
        <f t="shared" si="72"/>
        <v>224</v>
      </c>
      <c r="F904" s="110">
        <f t="shared" si="73"/>
        <v>384</v>
      </c>
    </row>
    <row r="905" spans="2:6" x14ac:dyDescent="0.25">
      <c r="B905" s="105">
        <f t="shared" si="74"/>
        <v>902</v>
      </c>
      <c r="C905" s="107">
        <f t="shared" si="75"/>
        <v>32</v>
      </c>
      <c r="D905" s="107">
        <f t="shared" si="76"/>
        <v>51</v>
      </c>
      <c r="E905" s="15">
        <f t="shared" si="72"/>
        <v>224</v>
      </c>
      <c r="F905" s="110">
        <f t="shared" si="73"/>
        <v>381</v>
      </c>
    </row>
    <row r="906" spans="2:6" x14ac:dyDescent="0.25">
      <c r="B906" s="105">
        <f t="shared" si="74"/>
        <v>903</v>
      </c>
      <c r="C906" s="107">
        <f t="shared" si="75"/>
        <v>33</v>
      </c>
      <c r="D906" s="107">
        <f t="shared" si="76"/>
        <v>51</v>
      </c>
      <c r="E906" s="15">
        <f t="shared" si="72"/>
        <v>224</v>
      </c>
      <c r="F906" s="110">
        <f t="shared" si="73"/>
        <v>376</v>
      </c>
    </row>
    <row r="907" spans="2:6" x14ac:dyDescent="0.25">
      <c r="B907" s="105">
        <f t="shared" si="74"/>
        <v>904</v>
      </c>
      <c r="C907" s="107">
        <f t="shared" si="75"/>
        <v>34</v>
      </c>
      <c r="D907" s="107">
        <f t="shared" si="76"/>
        <v>51</v>
      </c>
      <c r="E907" s="15">
        <f t="shared" si="72"/>
        <v>224</v>
      </c>
      <c r="F907" s="110">
        <f t="shared" si="73"/>
        <v>370</v>
      </c>
    </row>
    <row r="908" spans="2:6" x14ac:dyDescent="0.25">
      <c r="B908" s="105">
        <f t="shared" si="74"/>
        <v>905</v>
      </c>
      <c r="C908" s="107">
        <f t="shared" si="75"/>
        <v>35</v>
      </c>
      <c r="D908" s="107">
        <f t="shared" si="76"/>
        <v>51</v>
      </c>
      <c r="E908" s="15">
        <f t="shared" si="72"/>
        <v>224</v>
      </c>
      <c r="F908" s="110">
        <f t="shared" si="73"/>
        <v>362</v>
      </c>
    </row>
    <row r="909" spans="2:6" x14ac:dyDescent="0.25">
      <c r="B909" s="105">
        <f t="shared" si="74"/>
        <v>906</v>
      </c>
      <c r="C909" s="107">
        <f t="shared" si="75"/>
        <v>36</v>
      </c>
      <c r="D909" s="107">
        <f t="shared" si="76"/>
        <v>51</v>
      </c>
      <c r="E909" s="15">
        <f t="shared" si="72"/>
        <v>224</v>
      </c>
      <c r="F909" s="110">
        <f t="shared" si="73"/>
        <v>357</v>
      </c>
    </row>
    <row r="910" spans="2:6" x14ac:dyDescent="0.25">
      <c r="B910" s="105">
        <f t="shared" si="74"/>
        <v>907</v>
      </c>
      <c r="C910" s="107">
        <f t="shared" si="75"/>
        <v>37</v>
      </c>
      <c r="D910" s="107">
        <f t="shared" si="76"/>
        <v>51</v>
      </c>
      <c r="E910" s="15">
        <f t="shared" si="72"/>
        <v>224</v>
      </c>
      <c r="F910" s="110">
        <f t="shared" si="73"/>
        <v>351</v>
      </c>
    </row>
    <row r="911" spans="2:6" x14ac:dyDescent="0.25">
      <c r="B911" s="105">
        <f t="shared" si="74"/>
        <v>908</v>
      </c>
      <c r="C911" s="107">
        <f t="shared" si="75"/>
        <v>38</v>
      </c>
      <c r="D911" s="107">
        <f t="shared" si="76"/>
        <v>51</v>
      </c>
      <c r="E911" s="15">
        <f t="shared" si="72"/>
        <v>224</v>
      </c>
      <c r="F911" s="110">
        <f t="shared" si="73"/>
        <v>339</v>
      </c>
    </row>
    <row r="912" spans="2:6" x14ac:dyDescent="0.25">
      <c r="B912" s="105">
        <f t="shared" si="74"/>
        <v>909</v>
      </c>
      <c r="C912" s="107">
        <f t="shared" si="75"/>
        <v>39</v>
      </c>
      <c r="D912" s="107">
        <f t="shared" si="76"/>
        <v>51</v>
      </c>
      <c r="E912" s="15">
        <f t="shared" si="72"/>
        <v>224</v>
      </c>
      <c r="F912" s="110">
        <f t="shared" si="73"/>
        <v>304</v>
      </c>
    </row>
    <row r="913" spans="2:6" x14ac:dyDescent="0.25">
      <c r="B913" s="105">
        <f t="shared" si="74"/>
        <v>910</v>
      </c>
      <c r="C913" s="107">
        <f t="shared" si="75"/>
        <v>40</v>
      </c>
      <c r="D913" s="107">
        <f t="shared" si="76"/>
        <v>51</v>
      </c>
      <c r="E913" s="15">
        <f t="shared" si="72"/>
        <v>224</v>
      </c>
      <c r="F913" s="110">
        <f t="shared" si="73"/>
        <v>301</v>
      </c>
    </row>
    <row r="914" spans="2:6" x14ac:dyDescent="0.25">
      <c r="B914" s="105">
        <f t="shared" si="74"/>
        <v>911</v>
      </c>
      <c r="C914" s="107">
        <f t="shared" si="75"/>
        <v>41</v>
      </c>
      <c r="D914" s="107">
        <f t="shared" si="76"/>
        <v>51</v>
      </c>
      <c r="E914" s="15">
        <f t="shared" si="72"/>
        <v>224</v>
      </c>
      <c r="F914" s="110">
        <f t="shared" si="73"/>
        <v>300</v>
      </c>
    </row>
    <row r="915" spans="2:6" x14ac:dyDescent="0.25">
      <c r="B915" s="105">
        <f t="shared" si="74"/>
        <v>912</v>
      </c>
      <c r="C915" s="107">
        <f t="shared" si="75"/>
        <v>42</v>
      </c>
      <c r="D915" s="107">
        <f t="shared" si="76"/>
        <v>51</v>
      </c>
      <c r="E915" s="15">
        <f t="shared" si="72"/>
        <v>224</v>
      </c>
      <c r="F915" s="110">
        <f t="shared" si="73"/>
        <v>288</v>
      </c>
    </row>
    <row r="916" spans="2:6" x14ac:dyDescent="0.25">
      <c r="B916" s="105">
        <f t="shared" si="74"/>
        <v>913</v>
      </c>
      <c r="C916" s="107">
        <f t="shared" si="75"/>
        <v>43</v>
      </c>
      <c r="D916" s="107">
        <f t="shared" si="76"/>
        <v>51</v>
      </c>
      <c r="E916" s="15">
        <f t="shared" si="72"/>
        <v>224</v>
      </c>
      <c r="F916" s="110">
        <f t="shared" si="73"/>
        <v>273</v>
      </c>
    </row>
    <row r="917" spans="2:6" x14ac:dyDescent="0.25">
      <c r="B917" s="105">
        <f t="shared" si="74"/>
        <v>914</v>
      </c>
      <c r="C917" s="107">
        <f t="shared" si="75"/>
        <v>44</v>
      </c>
      <c r="D917" s="107">
        <f t="shared" si="76"/>
        <v>51</v>
      </c>
      <c r="E917" s="15">
        <f t="shared" si="72"/>
        <v>224</v>
      </c>
      <c r="F917" s="110">
        <f t="shared" si="73"/>
        <v>268</v>
      </c>
    </row>
    <row r="918" spans="2:6" x14ac:dyDescent="0.25">
      <c r="B918" s="105">
        <f t="shared" si="74"/>
        <v>915</v>
      </c>
      <c r="C918" s="107">
        <f t="shared" si="75"/>
        <v>45</v>
      </c>
      <c r="D918" s="107">
        <f t="shared" si="76"/>
        <v>51</v>
      </c>
      <c r="E918" s="15">
        <f t="shared" si="72"/>
        <v>224</v>
      </c>
      <c r="F918" s="110">
        <f t="shared" si="73"/>
        <v>262</v>
      </c>
    </row>
    <row r="919" spans="2:6" x14ac:dyDescent="0.25">
      <c r="B919" s="105">
        <f t="shared" si="74"/>
        <v>916</v>
      </c>
      <c r="C919" s="107">
        <f t="shared" si="75"/>
        <v>46</v>
      </c>
      <c r="D919" s="107">
        <f t="shared" si="76"/>
        <v>51</v>
      </c>
      <c r="E919" s="15">
        <f t="shared" si="72"/>
        <v>224</v>
      </c>
      <c r="F919" s="110">
        <f t="shared" si="73"/>
        <v>248</v>
      </c>
    </row>
    <row r="920" spans="2:6" x14ac:dyDescent="0.25">
      <c r="B920" s="105">
        <f t="shared" si="74"/>
        <v>917</v>
      </c>
      <c r="C920" s="107">
        <f t="shared" si="75"/>
        <v>47</v>
      </c>
      <c r="D920" s="107">
        <f t="shared" si="76"/>
        <v>51</v>
      </c>
      <c r="E920" s="15">
        <f t="shared" si="72"/>
        <v>224</v>
      </c>
      <c r="F920" s="110">
        <f t="shared" si="73"/>
        <v>246</v>
      </c>
    </row>
    <row r="921" spans="2:6" x14ac:dyDescent="0.25">
      <c r="B921" s="105">
        <f t="shared" si="74"/>
        <v>918</v>
      </c>
      <c r="C921" s="107">
        <f t="shared" si="75"/>
        <v>48</v>
      </c>
      <c r="D921" s="107">
        <f t="shared" si="76"/>
        <v>51</v>
      </c>
      <c r="E921" s="15">
        <f t="shared" si="72"/>
        <v>224</v>
      </c>
      <c r="F921" s="110">
        <f t="shared" si="73"/>
        <v>236</v>
      </c>
    </row>
    <row r="922" spans="2:6" x14ac:dyDescent="0.25">
      <c r="B922" s="105">
        <f t="shared" si="74"/>
        <v>919</v>
      </c>
      <c r="C922" s="107">
        <f t="shared" si="75"/>
        <v>49</v>
      </c>
      <c r="D922" s="107">
        <f t="shared" si="76"/>
        <v>51</v>
      </c>
      <c r="E922" s="15">
        <f t="shared" si="72"/>
        <v>224</v>
      </c>
      <c r="F922" s="110">
        <f t="shared" si="73"/>
        <v>231</v>
      </c>
    </row>
    <row r="923" spans="2:6" x14ac:dyDescent="0.25">
      <c r="B923" s="105">
        <f t="shared" si="74"/>
        <v>920</v>
      </c>
      <c r="C923" s="107">
        <f t="shared" si="75"/>
        <v>50</v>
      </c>
      <c r="D923" s="107">
        <f t="shared" si="76"/>
        <v>51</v>
      </c>
      <c r="E923" s="15">
        <f t="shared" si="72"/>
        <v>224</v>
      </c>
      <c r="F923" s="110">
        <f t="shared" si="73"/>
        <v>227</v>
      </c>
    </row>
    <row r="924" spans="2:6" x14ac:dyDescent="0.25">
      <c r="B924" s="105">
        <f t="shared" si="74"/>
        <v>921</v>
      </c>
      <c r="C924" s="107">
        <f t="shared" si="75"/>
        <v>1</v>
      </c>
      <c r="D924" s="107">
        <f t="shared" si="76"/>
        <v>50</v>
      </c>
      <c r="E924" s="15">
        <f t="shared" si="72"/>
        <v>227</v>
      </c>
      <c r="F924" s="110">
        <f t="shared" si="73"/>
        <v>1048</v>
      </c>
    </row>
    <row r="925" spans="2:6" x14ac:dyDescent="0.25">
      <c r="B925" s="105">
        <f t="shared" si="74"/>
        <v>922</v>
      </c>
      <c r="C925" s="107">
        <f t="shared" si="75"/>
        <v>2</v>
      </c>
      <c r="D925" s="107">
        <f t="shared" si="76"/>
        <v>50</v>
      </c>
      <c r="E925" s="15">
        <f t="shared" si="72"/>
        <v>227</v>
      </c>
      <c r="F925" s="110">
        <f t="shared" si="73"/>
        <v>1025</v>
      </c>
    </row>
    <row r="926" spans="2:6" x14ac:dyDescent="0.25">
      <c r="B926" s="105">
        <f t="shared" si="74"/>
        <v>923</v>
      </c>
      <c r="C926" s="107">
        <f t="shared" si="75"/>
        <v>3</v>
      </c>
      <c r="D926" s="107">
        <f t="shared" si="76"/>
        <v>50</v>
      </c>
      <c r="E926" s="15">
        <f t="shared" si="72"/>
        <v>227</v>
      </c>
      <c r="F926" s="110">
        <f t="shared" si="73"/>
        <v>805</v>
      </c>
    </row>
    <row r="927" spans="2:6" x14ac:dyDescent="0.25">
      <c r="B927" s="105">
        <f t="shared" si="74"/>
        <v>924</v>
      </c>
      <c r="C927" s="107">
        <f t="shared" si="75"/>
        <v>4</v>
      </c>
      <c r="D927" s="107">
        <f t="shared" si="76"/>
        <v>50</v>
      </c>
      <c r="E927" s="15">
        <f t="shared" si="72"/>
        <v>227</v>
      </c>
      <c r="F927" s="110">
        <f t="shared" si="73"/>
        <v>666</v>
      </c>
    </row>
    <row r="928" spans="2:6" x14ac:dyDescent="0.25">
      <c r="B928" s="105">
        <f t="shared" si="74"/>
        <v>925</v>
      </c>
      <c r="C928" s="107">
        <f t="shared" si="75"/>
        <v>5</v>
      </c>
      <c r="D928" s="107">
        <f t="shared" si="76"/>
        <v>50</v>
      </c>
      <c r="E928" s="15">
        <f t="shared" si="72"/>
        <v>227</v>
      </c>
      <c r="F928" s="110">
        <f t="shared" si="73"/>
        <v>655</v>
      </c>
    </row>
    <row r="929" spans="2:6" x14ac:dyDescent="0.25">
      <c r="B929" s="105">
        <f t="shared" si="74"/>
        <v>926</v>
      </c>
      <c r="C929" s="107">
        <f t="shared" si="75"/>
        <v>6</v>
      </c>
      <c r="D929" s="107">
        <f t="shared" si="76"/>
        <v>50</v>
      </c>
      <c r="E929" s="15">
        <f t="shared" si="72"/>
        <v>227</v>
      </c>
      <c r="F929" s="110">
        <f t="shared" si="73"/>
        <v>652</v>
      </c>
    </row>
    <row r="930" spans="2:6" x14ac:dyDescent="0.25">
      <c r="B930" s="105">
        <f t="shared" si="74"/>
        <v>927</v>
      </c>
      <c r="C930" s="107">
        <f t="shared" si="75"/>
        <v>7</v>
      </c>
      <c r="D930" s="107">
        <f t="shared" si="76"/>
        <v>50</v>
      </c>
      <c r="E930" s="15">
        <f t="shared" si="72"/>
        <v>227</v>
      </c>
      <c r="F930" s="110">
        <f t="shared" si="73"/>
        <v>633</v>
      </c>
    </row>
    <row r="931" spans="2:6" x14ac:dyDescent="0.25">
      <c r="B931" s="105">
        <f t="shared" si="74"/>
        <v>928</v>
      </c>
      <c r="C931" s="107">
        <f t="shared" si="75"/>
        <v>8</v>
      </c>
      <c r="D931" s="107">
        <f t="shared" si="76"/>
        <v>50</v>
      </c>
      <c r="E931" s="15">
        <f t="shared" si="72"/>
        <v>227</v>
      </c>
      <c r="F931" s="110">
        <f t="shared" si="73"/>
        <v>632</v>
      </c>
    </row>
    <row r="932" spans="2:6" x14ac:dyDescent="0.25">
      <c r="B932" s="105">
        <f t="shared" si="74"/>
        <v>929</v>
      </c>
      <c r="C932" s="107">
        <f t="shared" si="75"/>
        <v>9</v>
      </c>
      <c r="D932" s="107">
        <f t="shared" si="76"/>
        <v>50</v>
      </c>
      <c r="E932" s="15">
        <f t="shared" si="72"/>
        <v>227</v>
      </c>
      <c r="F932" s="110">
        <f t="shared" si="73"/>
        <v>625</v>
      </c>
    </row>
    <row r="933" spans="2:6" x14ac:dyDescent="0.25">
      <c r="B933" s="105">
        <f t="shared" si="74"/>
        <v>930</v>
      </c>
      <c r="C933" s="107">
        <f t="shared" si="75"/>
        <v>10</v>
      </c>
      <c r="D933" s="107">
        <f t="shared" si="76"/>
        <v>50</v>
      </c>
      <c r="E933" s="15">
        <f t="shared" si="72"/>
        <v>227</v>
      </c>
      <c r="F933" s="110">
        <f t="shared" si="73"/>
        <v>619</v>
      </c>
    </row>
    <row r="934" spans="2:6" x14ac:dyDescent="0.25">
      <c r="B934" s="105">
        <f t="shared" si="74"/>
        <v>931</v>
      </c>
      <c r="C934" s="107">
        <f t="shared" si="75"/>
        <v>11</v>
      </c>
      <c r="D934" s="107">
        <f t="shared" si="76"/>
        <v>50</v>
      </c>
      <c r="E934" s="15">
        <f t="shared" si="72"/>
        <v>227</v>
      </c>
      <c r="F934" s="110">
        <f t="shared" si="73"/>
        <v>610</v>
      </c>
    </row>
    <row r="935" spans="2:6" x14ac:dyDescent="0.25">
      <c r="B935" s="105">
        <f t="shared" si="74"/>
        <v>932</v>
      </c>
      <c r="C935" s="107">
        <f t="shared" si="75"/>
        <v>12</v>
      </c>
      <c r="D935" s="107">
        <f t="shared" si="76"/>
        <v>50</v>
      </c>
      <c r="E935" s="15">
        <f t="shared" si="72"/>
        <v>227</v>
      </c>
      <c r="F935" s="110">
        <f t="shared" si="73"/>
        <v>599</v>
      </c>
    </row>
    <row r="936" spans="2:6" x14ac:dyDescent="0.25">
      <c r="B936" s="105">
        <f t="shared" si="74"/>
        <v>933</v>
      </c>
      <c r="C936" s="107">
        <f t="shared" si="75"/>
        <v>13</v>
      </c>
      <c r="D936" s="107">
        <f t="shared" si="76"/>
        <v>50</v>
      </c>
      <c r="E936" s="15">
        <f t="shared" si="72"/>
        <v>227</v>
      </c>
      <c r="F936" s="110">
        <f t="shared" si="73"/>
        <v>559</v>
      </c>
    </row>
    <row r="937" spans="2:6" x14ac:dyDescent="0.25">
      <c r="B937" s="105">
        <f t="shared" si="74"/>
        <v>934</v>
      </c>
      <c r="C937" s="107">
        <f t="shared" si="75"/>
        <v>14</v>
      </c>
      <c r="D937" s="107">
        <f t="shared" si="76"/>
        <v>50</v>
      </c>
      <c r="E937" s="15">
        <f t="shared" si="72"/>
        <v>227</v>
      </c>
      <c r="F937" s="110">
        <f t="shared" si="73"/>
        <v>556</v>
      </c>
    </row>
    <row r="938" spans="2:6" x14ac:dyDescent="0.25">
      <c r="B938" s="105">
        <f t="shared" si="74"/>
        <v>935</v>
      </c>
      <c r="C938" s="107">
        <f t="shared" si="75"/>
        <v>15</v>
      </c>
      <c r="D938" s="107">
        <f t="shared" si="76"/>
        <v>50</v>
      </c>
      <c r="E938" s="15">
        <f t="shared" si="72"/>
        <v>227</v>
      </c>
      <c r="F938" s="110">
        <f t="shared" si="73"/>
        <v>540</v>
      </c>
    </row>
    <row r="939" spans="2:6" x14ac:dyDescent="0.25">
      <c r="B939" s="105">
        <f t="shared" si="74"/>
        <v>936</v>
      </c>
      <c r="C939" s="107">
        <f t="shared" si="75"/>
        <v>16</v>
      </c>
      <c r="D939" s="107">
        <f t="shared" si="76"/>
        <v>50</v>
      </c>
      <c r="E939" s="15">
        <f t="shared" si="72"/>
        <v>227</v>
      </c>
      <c r="F939" s="110">
        <f t="shared" si="73"/>
        <v>536</v>
      </c>
    </row>
    <row r="940" spans="2:6" x14ac:dyDescent="0.25">
      <c r="B940" s="105">
        <f t="shared" si="74"/>
        <v>937</v>
      </c>
      <c r="C940" s="107">
        <f t="shared" si="75"/>
        <v>17</v>
      </c>
      <c r="D940" s="107">
        <f t="shared" si="76"/>
        <v>50</v>
      </c>
      <c r="E940" s="15">
        <f t="shared" si="72"/>
        <v>227</v>
      </c>
      <c r="F940" s="110">
        <f t="shared" si="73"/>
        <v>527</v>
      </c>
    </row>
    <row r="941" spans="2:6" x14ac:dyDescent="0.25">
      <c r="B941" s="105">
        <f t="shared" si="74"/>
        <v>938</v>
      </c>
      <c r="C941" s="107">
        <f t="shared" si="75"/>
        <v>18</v>
      </c>
      <c r="D941" s="107">
        <f t="shared" si="76"/>
        <v>50</v>
      </c>
      <c r="E941" s="15">
        <f t="shared" si="72"/>
        <v>227</v>
      </c>
      <c r="F941" s="110">
        <f t="shared" si="73"/>
        <v>478</v>
      </c>
    </row>
    <row r="942" spans="2:6" x14ac:dyDescent="0.25">
      <c r="B942" s="105">
        <f t="shared" si="74"/>
        <v>939</v>
      </c>
      <c r="C942" s="107">
        <f t="shared" si="75"/>
        <v>19</v>
      </c>
      <c r="D942" s="107">
        <f t="shared" si="76"/>
        <v>50</v>
      </c>
      <c r="E942" s="15">
        <f t="shared" si="72"/>
        <v>227</v>
      </c>
      <c r="F942" s="110">
        <f t="shared" si="73"/>
        <v>474</v>
      </c>
    </row>
    <row r="943" spans="2:6" x14ac:dyDescent="0.25">
      <c r="B943" s="105">
        <f t="shared" si="74"/>
        <v>940</v>
      </c>
      <c r="C943" s="107">
        <f t="shared" si="75"/>
        <v>20</v>
      </c>
      <c r="D943" s="107">
        <f t="shared" si="76"/>
        <v>50</v>
      </c>
      <c r="E943" s="15">
        <f t="shared" si="72"/>
        <v>227</v>
      </c>
      <c r="F943" s="110">
        <f t="shared" si="73"/>
        <v>468</v>
      </c>
    </row>
    <row r="944" spans="2:6" x14ac:dyDescent="0.25">
      <c r="B944" s="105">
        <f t="shared" si="74"/>
        <v>941</v>
      </c>
      <c r="C944" s="107">
        <f t="shared" si="75"/>
        <v>21</v>
      </c>
      <c r="D944" s="107">
        <f t="shared" si="76"/>
        <v>50</v>
      </c>
      <c r="E944" s="15">
        <f t="shared" si="72"/>
        <v>227</v>
      </c>
      <c r="F944" s="110">
        <f t="shared" si="73"/>
        <v>457</v>
      </c>
    </row>
    <row r="945" spans="2:6" x14ac:dyDescent="0.25">
      <c r="B945" s="105">
        <f t="shared" si="74"/>
        <v>942</v>
      </c>
      <c r="C945" s="107">
        <f t="shared" si="75"/>
        <v>22</v>
      </c>
      <c r="D945" s="107">
        <f t="shared" si="76"/>
        <v>50</v>
      </c>
      <c r="E945" s="15">
        <f t="shared" si="72"/>
        <v>227</v>
      </c>
      <c r="F945" s="110">
        <f t="shared" si="73"/>
        <v>452</v>
      </c>
    </row>
    <row r="946" spans="2:6" x14ac:dyDescent="0.25">
      <c r="B946" s="105">
        <f t="shared" si="74"/>
        <v>943</v>
      </c>
      <c r="C946" s="107">
        <f t="shared" si="75"/>
        <v>23</v>
      </c>
      <c r="D946" s="107">
        <f t="shared" si="76"/>
        <v>50</v>
      </c>
      <c r="E946" s="15">
        <f t="shared" si="72"/>
        <v>227</v>
      </c>
      <c r="F946" s="110">
        <f t="shared" si="73"/>
        <v>442</v>
      </c>
    </row>
    <row r="947" spans="2:6" x14ac:dyDescent="0.25">
      <c r="B947" s="105">
        <f t="shared" si="74"/>
        <v>944</v>
      </c>
      <c r="C947" s="107">
        <f t="shared" si="75"/>
        <v>24</v>
      </c>
      <c r="D947" s="107">
        <f t="shared" si="76"/>
        <v>50</v>
      </c>
      <c r="E947" s="15">
        <f t="shared" si="72"/>
        <v>227</v>
      </c>
      <c r="F947" s="110">
        <f t="shared" si="73"/>
        <v>420</v>
      </c>
    </row>
    <row r="948" spans="2:6" x14ac:dyDescent="0.25">
      <c r="B948" s="105">
        <f t="shared" si="74"/>
        <v>945</v>
      </c>
      <c r="C948" s="107">
        <f t="shared" si="75"/>
        <v>25</v>
      </c>
      <c r="D948" s="107">
        <f t="shared" si="76"/>
        <v>50</v>
      </c>
      <c r="E948" s="15">
        <f t="shared" si="72"/>
        <v>227</v>
      </c>
      <c r="F948" s="110">
        <f t="shared" si="73"/>
        <v>410</v>
      </c>
    </row>
    <row r="949" spans="2:6" x14ac:dyDescent="0.25">
      <c r="B949" s="105">
        <f t="shared" si="74"/>
        <v>946</v>
      </c>
      <c r="C949" s="107">
        <f t="shared" si="75"/>
        <v>26</v>
      </c>
      <c r="D949" s="107">
        <f t="shared" si="76"/>
        <v>50</v>
      </c>
      <c r="E949" s="15">
        <f t="shared" si="72"/>
        <v>227</v>
      </c>
      <c r="F949" s="110">
        <f t="shared" si="73"/>
        <v>409</v>
      </c>
    </row>
    <row r="950" spans="2:6" x14ac:dyDescent="0.25">
      <c r="B950" s="105">
        <f t="shared" si="74"/>
        <v>947</v>
      </c>
      <c r="C950" s="107">
        <f t="shared" si="75"/>
        <v>27</v>
      </c>
      <c r="D950" s="107">
        <f t="shared" si="76"/>
        <v>50</v>
      </c>
      <c r="E950" s="15">
        <f t="shared" si="72"/>
        <v>227</v>
      </c>
      <c r="F950" s="110">
        <f t="shared" si="73"/>
        <v>408</v>
      </c>
    </row>
    <row r="951" spans="2:6" x14ac:dyDescent="0.25">
      <c r="B951" s="105">
        <f t="shared" si="74"/>
        <v>948</v>
      </c>
      <c r="C951" s="107">
        <f t="shared" si="75"/>
        <v>28</v>
      </c>
      <c r="D951" s="107">
        <f t="shared" si="76"/>
        <v>50</v>
      </c>
      <c r="E951" s="15">
        <f t="shared" si="72"/>
        <v>227</v>
      </c>
      <c r="F951" s="110">
        <f t="shared" si="73"/>
        <v>404</v>
      </c>
    </row>
    <row r="952" spans="2:6" x14ac:dyDescent="0.25">
      <c r="B952" s="105">
        <f t="shared" si="74"/>
        <v>949</v>
      </c>
      <c r="C952" s="107">
        <f t="shared" si="75"/>
        <v>29</v>
      </c>
      <c r="D952" s="107">
        <f t="shared" si="76"/>
        <v>50</v>
      </c>
      <c r="E952" s="15">
        <f t="shared" si="72"/>
        <v>227</v>
      </c>
      <c r="F952" s="110">
        <f t="shared" si="73"/>
        <v>399</v>
      </c>
    </row>
    <row r="953" spans="2:6" x14ac:dyDescent="0.25">
      <c r="B953" s="105">
        <f t="shared" si="74"/>
        <v>950</v>
      </c>
      <c r="C953" s="107">
        <f t="shared" si="75"/>
        <v>30</v>
      </c>
      <c r="D953" s="107">
        <f t="shared" si="76"/>
        <v>50</v>
      </c>
      <c r="E953" s="15">
        <f t="shared" si="72"/>
        <v>227</v>
      </c>
      <c r="F953" s="110">
        <f t="shared" si="73"/>
        <v>396</v>
      </c>
    </row>
    <row r="954" spans="2:6" x14ac:dyDescent="0.25">
      <c r="B954" s="105">
        <f t="shared" si="74"/>
        <v>951</v>
      </c>
      <c r="C954" s="107">
        <f t="shared" si="75"/>
        <v>31</v>
      </c>
      <c r="D954" s="107">
        <f t="shared" si="76"/>
        <v>50</v>
      </c>
      <c r="E954" s="15">
        <f t="shared" si="72"/>
        <v>227</v>
      </c>
      <c r="F954" s="110">
        <f t="shared" si="73"/>
        <v>384</v>
      </c>
    </row>
    <row r="955" spans="2:6" x14ac:dyDescent="0.25">
      <c r="B955" s="105">
        <f t="shared" si="74"/>
        <v>952</v>
      </c>
      <c r="C955" s="107">
        <f t="shared" si="75"/>
        <v>32</v>
      </c>
      <c r="D955" s="107">
        <f t="shared" si="76"/>
        <v>50</v>
      </c>
      <c r="E955" s="15">
        <f t="shared" si="72"/>
        <v>227</v>
      </c>
      <c r="F955" s="110">
        <f t="shared" si="73"/>
        <v>381</v>
      </c>
    </row>
    <row r="956" spans="2:6" x14ac:dyDescent="0.25">
      <c r="B956" s="105">
        <f t="shared" si="74"/>
        <v>953</v>
      </c>
      <c r="C956" s="107">
        <f t="shared" si="75"/>
        <v>33</v>
      </c>
      <c r="D956" s="107">
        <f t="shared" si="76"/>
        <v>50</v>
      </c>
      <c r="E956" s="15">
        <f t="shared" si="72"/>
        <v>227</v>
      </c>
      <c r="F956" s="110">
        <f t="shared" si="73"/>
        <v>376</v>
      </c>
    </row>
    <row r="957" spans="2:6" x14ac:dyDescent="0.25">
      <c r="B957" s="105">
        <f t="shared" si="74"/>
        <v>954</v>
      </c>
      <c r="C957" s="107">
        <f t="shared" si="75"/>
        <v>34</v>
      </c>
      <c r="D957" s="107">
        <f t="shared" si="76"/>
        <v>50</v>
      </c>
      <c r="E957" s="15">
        <f t="shared" si="72"/>
        <v>227</v>
      </c>
      <c r="F957" s="110">
        <f t="shared" si="73"/>
        <v>370</v>
      </c>
    </row>
    <row r="958" spans="2:6" x14ac:dyDescent="0.25">
      <c r="B958" s="105">
        <f t="shared" si="74"/>
        <v>955</v>
      </c>
      <c r="C958" s="107">
        <f t="shared" si="75"/>
        <v>35</v>
      </c>
      <c r="D958" s="107">
        <f t="shared" si="76"/>
        <v>50</v>
      </c>
      <c r="E958" s="15">
        <f t="shared" si="72"/>
        <v>227</v>
      </c>
      <c r="F958" s="110">
        <f t="shared" si="73"/>
        <v>362</v>
      </c>
    </row>
    <row r="959" spans="2:6" x14ac:dyDescent="0.25">
      <c r="B959" s="105">
        <f t="shared" si="74"/>
        <v>956</v>
      </c>
      <c r="C959" s="107">
        <f t="shared" si="75"/>
        <v>36</v>
      </c>
      <c r="D959" s="107">
        <f t="shared" si="76"/>
        <v>50</v>
      </c>
      <c r="E959" s="15">
        <f t="shared" si="72"/>
        <v>227</v>
      </c>
      <c r="F959" s="110">
        <f t="shared" si="73"/>
        <v>357</v>
      </c>
    </row>
    <row r="960" spans="2:6" x14ac:dyDescent="0.25">
      <c r="B960" s="105">
        <f t="shared" si="74"/>
        <v>957</v>
      </c>
      <c r="C960" s="107">
        <f t="shared" si="75"/>
        <v>37</v>
      </c>
      <c r="D960" s="107">
        <f t="shared" si="76"/>
        <v>50</v>
      </c>
      <c r="E960" s="15">
        <f t="shared" si="72"/>
        <v>227</v>
      </c>
      <c r="F960" s="110">
        <f t="shared" si="73"/>
        <v>351</v>
      </c>
    </row>
    <row r="961" spans="2:6" x14ac:dyDescent="0.25">
      <c r="B961" s="105">
        <f t="shared" si="74"/>
        <v>958</v>
      </c>
      <c r="C961" s="107">
        <f t="shared" si="75"/>
        <v>38</v>
      </c>
      <c r="D961" s="107">
        <f t="shared" si="76"/>
        <v>50</v>
      </c>
      <c r="E961" s="15">
        <f t="shared" si="72"/>
        <v>227</v>
      </c>
      <c r="F961" s="110">
        <f t="shared" si="73"/>
        <v>339</v>
      </c>
    </row>
    <row r="962" spans="2:6" x14ac:dyDescent="0.25">
      <c r="B962" s="105">
        <f t="shared" si="74"/>
        <v>959</v>
      </c>
      <c r="C962" s="107">
        <f t="shared" si="75"/>
        <v>39</v>
      </c>
      <c r="D962" s="107">
        <f t="shared" si="76"/>
        <v>50</v>
      </c>
      <c r="E962" s="15">
        <f t="shared" si="72"/>
        <v>227</v>
      </c>
      <c r="F962" s="110">
        <f t="shared" si="73"/>
        <v>304</v>
      </c>
    </row>
    <row r="963" spans="2:6" x14ac:dyDescent="0.25">
      <c r="B963" s="105">
        <f t="shared" si="74"/>
        <v>960</v>
      </c>
      <c r="C963" s="107">
        <f t="shared" si="75"/>
        <v>40</v>
      </c>
      <c r="D963" s="107">
        <f t="shared" si="76"/>
        <v>50</v>
      </c>
      <c r="E963" s="15">
        <f t="shared" si="72"/>
        <v>227</v>
      </c>
      <c r="F963" s="110">
        <f t="shared" si="73"/>
        <v>301</v>
      </c>
    </row>
    <row r="964" spans="2:6" x14ac:dyDescent="0.25">
      <c r="B964" s="105">
        <f t="shared" si="74"/>
        <v>961</v>
      </c>
      <c r="C964" s="107">
        <f t="shared" si="75"/>
        <v>41</v>
      </c>
      <c r="D964" s="107">
        <f t="shared" si="76"/>
        <v>50</v>
      </c>
      <c r="E964" s="15">
        <f t="shared" ref="E964:E1027" si="77">IFERROR(VLOOKUP(D964,$H$4:$I$69,2,0),"")</f>
        <v>227</v>
      </c>
      <c r="F964" s="110">
        <f t="shared" ref="F964:F1027" si="78">IFERROR(VLOOKUP(C964,$H$4:$I$69,2,0),"")</f>
        <v>300</v>
      </c>
    </row>
    <row r="965" spans="2:6" x14ac:dyDescent="0.25">
      <c r="B965" s="105">
        <f t="shared" ref="B965:B1028" si="79">ROW()-3</f>
        <v>962</v>
      </c>
      <c r="C965" s="107">
        <f t="shared" si="75"/>
        <v>42</v>
      </c>
      <c r="D965" s="107">
        <f t="shared" si="76"/>
        <v>50</v>
      </c>
      <c r="E965" s="15">
        <f t="shared" si="77"/>
        <v>227</v>
      </c>
      <c r="F965" s="110">
        <f t="shared" si="78"/>
        <v>288</v>
      </c>
    </row>
    <row r="966" spans="2:6" x14ac:dyDescent="0.25">
      <c r="B966" s="105">
        <f t="shared" si="79"/>
        <v>963</v>
      </c>
      <c r="C966" s="107">
        <f t="shared" ref="C966:C1029" si="80">IF((D965-C965)=1,1,C965+1)</f>
        <v>43</v>
      </c>
      <c r="D966" s="107">
        <f t="shared" ref="D966:D1029" si="81">IF((D965-C965)=1,D965-1,D965)</f>
        <v>50</v>
      </c>
      <c r="E966" s="15">
        <f t="shared" si="77"/>
        <v>227</v>
      </c>
      <c r="F966" s="110">
        <f t="shared" si="78"/>
        <v>273</v>
      </c>
    </row>
    <row r="967" spans="2:6" x14ac:dyDescent="0.25">
      <c r="B967" s="105">
        <f t="shared" si="79"/>
        <v>964</v>
      </c>
      <c r="C967" s="107">
        <f t="shared" si="80"/>
        <v>44</v>
      </c>
      <c r="D967" s="107">
        <f t="shared" si="81"/>
        <v>50</v>
      </c>
      <c r="E967" s="15">
        <f t="shared" si="77"/>
        <v>227</v>
      </c>
      <c r="F967" s="110">
        <f t="shared" si="78"/>
        <v>268</v>
      </c>
    </row>
    <row r="968" spans="2:6" x14ac:dyDescent="0.25">
      <c r="B968" s="105">
        <f t="shared" si="79"/>
        <v>965</v>
      </c>
      <c r="C968" s="107">
        <f t="shared" si="80"/>
        <v>45</v>
      </c>
      <c r="D968" s="107">
        <f t="shared" si="81"/>
        <v>50</v>
      </c>
      <c r="E968" s="15">
        <f t="shared" si="77"/>
        <v>227</v>
      </c>
      <c r="F968" s="110">
        <f t="shared" si="78"/>
        <v>262</v>
      </c>
    </row>
    <row r="969" spans="2:6" x14ac:dyDescent="0.25">
      <c r="B969" s="105">
        <f t="shared" si="79"/>
        <v>966</v>
      </c>
      <c r="C969" s="107">
        <f t="shared" si="80"/>
        <v>46</v>
      </c>
      <c r="D969" s="107">
        <f t="shared" si="81"/>
        <v>50</v>
      </c>
      <c r="E969" s="15">
        <f t="shared" si="77"/>
        <v>227</v>
      </c>
      <c r="F969" s="110">
        <f t="shared" si="78"/>
        <v>248</v>
      </c>
    </row>
    <row r="970" spans="2:6" x14ac:dyDescent="0.25">
      <c r="B970" s="105">
        <f t="shared" si="79"/>
        <v>967</v>
      </c>
      <c r="C970" s="107">
        <f t="shared" si="80"/>
        <v>47</v>
      </c>
      <c r="D970" s="107">
        <f t="shared" si="81"/>
        <v>50</v>
      </c>
      <c r="E970" s="15">
        <f t="shared" si="77"/>
        <v>227</v>
      </c>
      <c r="F970" s="110">
        <f t="shared" si="78"/>
        <v>246</v>
      </c>
    </row>
    <row r="971" spans="2:6" x14ac:dyDescent="0.25">
      <c r="B971" s="105">
        <f t="shared" si="79"/>
        <v>968</v>
      </c>
      <c r="C971" s="107">
        <f t="shared" si="80"/>
        <v>48</v>
      </c>
      <c r="D971" s="107">
        <f t="shared" si="81"/>
        <v>50</v>
      </c>
      <c r="E971" s="15">
        <f t="shared" si="77"/>
        <v>227</v>
      </c>
      <c r="F971" s="110">
        <f t="shared" si="78"/>
        <v>236</v>
      </c>
    </row>
    <row r="972" spans="2:6" x14ac:dyDescent="0.25">
      <c r="B972" s="105">
        <f t="shared" si="79"/>
        <v>969</v>
      </c>
      <c r="C972" s="107">
        <f t="shared" si="80"/>
        <v>49</v>
      </c>
      <c r="D972" s="107">
        <f t="shared" si="81"/>
        <v>50</v>
      </c>
      <c r="E972" s="15">
        <f t="shared" si="77"/>
        <v>227</v>
      </c>
      <c r="F972" s="110">
        <f t="shared" si="78"/>
        <v>231</v>
      </c>
    </row>
    <row r="973" spans="2:6" x14ac:dyDescent="0.25">
      <c r="B973" s="105">
        <f t="shared" si="79"/>
        <v>970</v>
      </c>
      <c r="C973" s="107">
        <f t="shared" si="80"/>
        <v>1</v>
      </c>
      <c r="D973" s="107">
        <f t="shared" si="81"/>
        <v>49</v>
      </c>
      <c r="E973" s="15">
        <f t="shared" si="77"/>
        <v>231</v>
      </c>
      <c r="F973" s="110">
        <f t="shared" si="78"/>
        <v>1048</v>
      </c>
    </row>
    <row r="974" spans="2:6" x14ac:dyDescent="0.25">
      <c r="B974" s="105">
        <f t="shared" si="79"/>
        <v>971</v>
      </c>
      <c r="C974" s="107">
        <f t="shared" si="80"/>
        <v>2</v>
      </c>
      <c r="D974" s="107">
        <f t="shared" si="81"/>
        <v>49</v>
      </c>
      <c r="E974" s="15">
        <f t="shared" si="77"/>
        <v>231</v>
      </c>
      <c r="F974" s="110">
        <f t="shared" si="78"/>
        <v>1025</v>
      </c>
    </row>
    <row r="975" spans="2:6" x14ac:dyDescent="0.25">
      <c r="B975" s="105">
        <f t="shared" si="79"/>
        <v>972</v>
      </c>
      <c r="C975" s="107">
        <f t="shared" si="80"/>
        <v>3</v>
      </c>
      <c r="D975" s="107">
        <f t="shared" si="81"/>
        <v>49</v>
      </c>
      <c r="E975" s="15">
        <f t="shared" si="77"/>
        <v>231</v>
      </c>
      <c r="F975" s="110">
        <f t="shared" si="78"/>
        <v>805</v>
      </c>
    </row>
    <row r="976" spans="2:6" x14ac:dyDescent="0.25">
      <c r="B976" s="105">
        <f t="shared" si="79"/>
        <v>973</v>
      </c>
      <c r="C976" s="107">
        <f t="shared" si="80"/>
        <v>4</v>
      </c>
      <c r="D976" s="107">
        <f t="shared" si="81"/>
        <v>49</v>
      </c>
      <c r="E976" s="15">
        <f t="shared" si="77"/>
        <v>231</v>
      </c>
      <c r="F976" s="110">
        <f t="shared" si="78"/>
        <v>666</v>
      </c>
    </row>
    <row r="977" spans="2:6" x14ac:dyDescent="0.25">
      <c r="B977" s="105">
        <f t="shared" si="79"/>
        <v>974</v>
      </c>
      <c r="C977" s="107">
        <f t="shared" si="80"/>
        <v>5</v>
      </c>
      <c r="D977" s="107">
        <f t="shared" si="81"/>
        <v>49</v>
      </c>
      <c r="E977" s="15">
        <f t="shared" si="77"/>
        <v>231</v>
      </c>
      <c r="F977" s="110">
        <f t="shared" si="78"/>
        <v>655</v>
      </c>
    </row>
    <row r="978" spans="2:6" x14ac:dyDescent="0.25">
      <c r="B978" s="105">
        <f t="shared" si="79"/>
        <v>975</v>
      </c>
      <c r="C978" s="107">
        <f t="shared" si="80"/>
        <v>6</v>
      </c>
      <c r="D978" s="107">
        <f t="shared" si="81"/>
        <v>49</v>
      </c>
      <c r="E978" s="15">
        <f t="shared" si="77"/>
        <v>231</v>
      </c>
      <c r="F978" s="110">
        <f t="shared" si="78"/>
        <v>652</v>
      </c>
    </row>
    <row r="979" spans="2:6" x14ac:dyDescent="0.25">
      <c r="B979" s="105">
        <f t="shared" si="79"/>
        <v>976</v>
      </c>
      <c r="C979" s="107">
        <f t="shared" si="80"/>
        <v>7</v>
      </c>
      <c r="D979" s="107">
        <f t="shared" si="81"/>
        <v>49</v>
      </c>
      <c r="E979" s="15">
        <f t="shared" si="77"/>
        <v>231</v>
      </c>
      <c r="F979" s="110">
        <f t="shared" si="78"/>
        <v>633</v>
      </c>
    </row>
    <row r="980" spans="2:6" x14ac:dyDescent="0.25">
      <c r="B980" s="105">
        <f t="shared" si="79"/>
        <v>977</v>
      </c>
      <c r="C980" s="107">
        <f t="shared" si="80"/>
        <v>8</v>
      </c>
      <c r="D980" s="107">
        <f t="shared" si="81"/>
        <v>49</v>
      </c>
      <c r="E980" s="15">
        <f t="shared" si="77"/>
        <v>231</v>
      </c>
      <c r="F980" s="110">
        <f t="shared" si="78"/>
        <v>632</v>
      </c>
    </row>
    <row r="981" spans="2:6" x14ac:dyDescent="0.25">
      <c r="B981" s="105">
        <f t="shared" si="79"/>
        <v>978</v>
      </c>
      <c r="C981" s="107">
        <f t="shared" si="80"/>
        <v>9</v>
      </c>
      <c r="D981" s="107">
        <f t="shared" si="81"/>
        <v>49</v>
      </c>
      <c r="E981" s="15">
        <f t="shared" si="77"/>
        <v>231</v>
      </c>
      <c r="F981" s="110">
        <f t="shared" si="78"/>
        <v>625</v>
      </c>
    </row>
    <row r="982" spans="2:6" x14ac:dyDescent="0.25">
      <c r="B982" s="105">
        <f t="shared" si="79"/>
        <v>979</v>
      </c>
      <c r="C982" s="107">
        <f t="shared" si="80"/>
        <v>10</v>
      </c>
      <c r="D982" s="107">
        <f t="shared" si="81"/>
        <v>49</v>
      </c>
      <c r="E982" s="15">
        <f t="shared" si="77"/>
        <v>231</v>
      </c>
      <c r="F982" s="110">
        <f t="shared" si="78"/>
        <v>619</v>
      </c>
    </row>
    <row r="983" spans="2:6" x14ac:dyDescent="0.25">
      <c r="B983" s="105">
        <f t="shared" si="79"/>
        <v>980</v>
      </c>
      <c r="C983" s="107">
        <f t="shared" si="80"/>
        <v>11</v>
      </c>
      <c r="D983" s="107">
        <f t="shared" si="81"/>
        <v>49</v>
      </c>
      <c r="E983" s="15">
        <f t="shared" si="77"/>
        <v>231</v>
      </c>
      <c r="F983" s="110">
        <f t="shared" si="78"/>
        <v>610</v>
      </c>
    </row>
    <row r="984" spans="2:6" x14ac:dyDescent="0.25">
      <c r="B984" s="105">
        <f t="shared" si="79"/>
        <v>981</v>
      </c>
      <c r="C984" s="107">
        <f t="shared" si="80"/>
        <v>12</v>
      </c>
      <c r="D984" s="107">
        <f t="shared" si="81"/>
        <v>49</v>
      </c>
      <c r="E984" s="15">
        <f t="shared" si="77"/>
        <v>231</v>
      </c>
      <c r="F984" s="110">
        <f t="shared" si="78"/>
        <v>599</v>
      </c>
    </row>
    <row r="985" spans="2:6" x14ac:dyDescent="0.25">
      <c r="B985" s="105">
        <f t="shared" si="79"/>
        <v>982</v>
      </c>
      <c r="C985" s="107">
        <f t="shared" si="80"/>
        <v>13</v>
      </c>
      <c r="D985" s="107">
        <f t="shared" si="81"/>
        <v>49</v>
      </c>
      <c r="E985" s="15">
        <f t="shared" si="77"/>
        <v>231</v>
      </c>
      <c r="F985" s="110">
        <f t="shared" si="78"/>
        <v>559</v>
      </c>
    </row>
    <row r="986" spans="2:6" x14ac:dyDescent="0.25">
      <c r="B986" s="105">
        <f t="shared" si="79"/>
        <v>983</v>
      </c>
      <c r="C986" s="107">
        <f t="shared" si="80"/>
        <v>14</v>
      </c>
      <c r="D986" s="107">
        <f t="shared" si="81"/>
        <v>49</v>
      </c>
      <c r="E986" s="15">
        <f t="shared" si="77"/>
        <v>231</v>
      </c>
      <c r="F986" s="110">
        <f t="shared" si="78"/>
        <v>556</v>
      </c>
    </row>
    <row r="987" spans="2:6" x14ac:dyDescent="0.25">
      <c r="B987" s="105">
        <f t="shared" si="79"/>
        <v>984</v>
      </c>
      <c r="C987" s="107">
        <f t="shared" si="80"/>
        <v>15</v>
      </c>
      <c r="D987" s="107">
        <f t="shared" si="81"/>
        <v>49</v>
      </c>
      <c r="E987" s="15">
        <f t="shared" si="77"/>
        <v>231</v>
      </c>
      <c r="F987" s="110">
        <f t="shared" si="78"/>
        <v>540</v>
      </c>
    </row>
    <row r="988" spans="2:6" x14ac:dyDescent="0.25">
      <c r="B988" s="105">
        <f t="shared" si="79"/>
        <v>985</v>
      </c>
      <c r="C988" s="107">
        <f t="shared" si="80"/>
        <v>16</v>
      </c>
      <c r="D988" s="107">
        <f t="shared" si="81"/>
        <v>49</v>
      </c>
      <c r="E988" s="15">
        <f t="shared" si="77"/>
        <v>231</v>
      </c>
      <c r="F988" s="110">
        <f t="shared" si="78"/>
        <v>536</v>
      </c>
    </row>
    <row r="989" spans="2:6" x14ac:dyDescent="0.25">
      <c r="B989" s="105">
        <f t="shared" si="79"/>
        <v>986</v>
      </c>
      <c r="C989" s="107">
        <f t="shared" si="80"/>
        <v>17</v>
      </c>
      <c r="D989" s="107">
        <f t="shared" si="81"/>
        <v>49</v>
      </c>
      <c r="E989" s="15">
        <f t="shared" si="77"/>
        <v>231</v>
      </c>
      <c r="F989" s="110">
        <f t="shared" si="78"/>
        <v>527</v>
      </c>
    </row>
    <row r="990" spans="2:6" x14ac:dyDescent="0.25">
      <c r="B990" s="105">
        <f t="shared" si="79"/>
        <v>987</v>
      </c>
      <c r="C990" s="107">
        <f t="shared" si="80"/>
        <v>18</v>
      </c>
      <c r="D990" s="107">
        <f t="shared" si="81"/>
        <v>49</v>
      </c>
      <c r="E990" s="15">
        <f t="shared" si="77"/>
        <v>231</v>
      </c>
      <c r="F990" s="110">
        <f t="shared" si="78"/>
        <v>478</v>
      </c>
    </row>
    <row r="991" spans="2:6" x14ac:dyDescent="0.25">
      <c r="B991" s="105">
        <f t="shared" si="79"/>
        <v>988</v>
      </c>
      <c r="C991" s="107">
        <f t="shared" si="80"/>
        <v>19</v>
      </c>
      <c r="D991" s="107">
        <f t="shared" si="81"/>
        <v>49</v>
      </c>
      <c r="E991" s="15">
        <f t="shared" si="77"/>
        <v>231</v>
      </c>
      <c r="F991" s="110">
        <f t="shared" si="78"/>
        <v>474</v>
      </c>
    </row>
    <row r="992" spans="2:6" x14ac:dyDescent="0.25">
      <c r="B992" s="105">
        <f t="shared" si="79"/>
        <v>989</v>
      </c>
      <c r="C992" s="107">
        <f t="shared" si="80"/>
        <v>20</v>
      </c>
      <c r="D992" s="107">
        <f t="shared" si="81"/>
        <v>49</v>
      </c>
      <c r="E992" s="15">
        <f t="shared" si="77"/>
        <v>231</v>
      </c>
      <c r="F992" s="110">
        <f t="shared" si="78"/>
        <v>468</v>
      </c>
    </row>
    <row r="993" spans="2:6" x14ac:dyDescent="0.25">
      <c r="B993" s="105">
        <f t="shared" si="79"/>
        <v>990</v>
      </c>
      <c r="C993" s="107">
        <f t="shared" si="80"/>
        <v>21</v>
      </c>
      <c r="D993" s="107">
        <f t="shared" si="81"/>
        <v>49</v>
      </c>
      <c r="E993" s="15">
        <f t="shared" si="77"/>
        <v>231</v>
      </c>
      <c r="F993" s="110">
        <f t="shared" si="78"/>
        <v>457</v>
      </c>
    </row>
    <row r="994" spans="2:6" x14ac:dyDescent="0.25">
      <c r="B994" s="108">
        <f t="shared" si="79"/>
        <v>991</v>
      </c>
      <c r="C994" s="109">
        <f t="shared" si="80"/>
        <v>22</v>
      </c>
      <c r="D994" s="109">
        <f t="shared" si="81"/>
        <v>49</v>
      </c>
      <c r="E994" s="15">
        <f t="shared" si="77"/>
        <v>231</v>
      </c>
      <c r="F994" s="110">
        <f t="shared" si="78"/>
        <v>452</v>
      </c>
    </row>
    <row r="995" spans="2:6" x14ac:dyDescent="0.25">
      <c r="B995" s="105">
        <f t="shared" si="79"/>
        <v>992</v>
      </c>
      <c r="C995" s="107">
        <f t="shared" si="80"/>
        <v>23</v>
      </c>
      <c r="D995" s="107">
        <f t="shared" si="81"/>
        <v>49</v>
      </c>
      <c r="E995" s="15">
        <f t="shared" si="77"/>
        <v>231</v>
      </c>
      <c r="F995" s="110">
        <f t="shared" si="78"/>
        <v>442</v>
      </c>
    </row>
    <row r="996" spans="2:6" x14ac:dyDescent="0.25">
      <c r="B996" s="105">
        <f t="shared" si="79"/>
        <v>993</v>
      </c>
      <c r="C996" s="107">
        <f t="shared" si="80"/>
        <v>24</v>
      </c>
      <c r="D996" s="107">
        <f t="shared" si="81"/>
        <v>49</v>
      </c>
      <c r="E996" s="15">
        <f t="shared" si="77"/>
        <v>231</v>
      </c>
      <c r="F996" s="110">
        <f t="shared" si="78"/>
        <v>420</v>
      </c>
    </row>
    <row r="997" spans="2:6" x14ac:dyDescent="0.25">
      <c r="B997" s="105">
        <f t="shared" si="79"/>
        <v>994</v>
      </c>
      <c r="C997" s="107">
        <f t="shared" si="80"/>
        <v>25</v>
      </c>
      <c r="D997" s="107">
        <f t="shared" si="81"/>
        <v>49</v>
      </c>
      <c r="E997" s="15">
        <f t="shared" si="77"/>
        <v>231</v>
      </c>
      <c r="F997" s="110">
        <f t="shared" si="78"/>
        <v>410</v>
      </c>
    </row>
    <row r="998" spans="2:6" x14ac:dyDescent="0.25">
      <c r="B998" s="105">
        <f t="shared" si="79"/>
        <v>995</v>
      </c>
      <c r="C998" s="107">
        <f t="shared" si="80"/>
        <v>26</v>
      </c>
      <c r="D998" s="107">
        <f t="shared" si="81"/>
        <v>49</v>
      </c>
      <c r="E998" s="15">
        <f t="shared" si="77"/>
        <v>231</v>
      </c>
      <c r="F998" s="110">
        <f t="shared" si="78"/>
        <v>409</v>
      </c>
    </row>
    <row r="999" spans="2:6" x14ac:dyDescent="0.25">
      <c r="B999" s="105">
        <f t="shared" si="79"/>
        <v>996</v>
      </c>
      <c r="C999" s="107">
        <f t="shared" si="80"/>
        <v>27</v>
      </c>
      <c r="D999" s="107">
        <f t="shared" si="81"/>
        <v>49</v>
      </c>
      <c r="E999" s="15">
        <f t="shared" si="77"/>
        <v>231</v>
      </c>
      <c r="F999" s="110">
        <f t="shared" si="78"/>
        <v>408</v>
      </c>
    </row>
    <row r="1000" spans="2:6" x14ac:dyDescent="0.25">
      <c r="B1000" s="105">
        <f t="shared" si="79"/>
        <v>997</v>
      </c>
      <c r="C1000" s="107">
        <f t="shared" si="80"/>
        <v>28</v>
      </c>
      <c r="D1000" s="107">
        <f t="shared" si="81"/>
        <v>49</v>
      </c>
      <c r="E1000" s="15">
        <f t="shared" si="77"/>
        <v>231</v>
      </c>
      <c r="F1000" s="110">
        <f t="shared" si="78"/>
        <v>404</v>
      </c>
    </row>
    <row r="1001" spans="2:6" x14ac:dyDescent="0.25">
      <c r="B1001" s="105">
        <f t="shared" si="79"/>
        <v>998</v>
      </c>
      <c r="C1001" s="107">
        <f t="shared" si="80"/>
        <v>29</v>
      </c>
      <c r="D1001" s="107">
        <f t="shared" si="81"/>
        <v>49</v>
      </c>
      <c r="E1001" s="15">
        <f t="shared" si="77"/>
        <v>231</v>
      </c>
      <c r="F1001" s="110">
        <f t="shared" si="78"/>
        <v>399</v>
      </c>
    </row>
    <row r="1002" spans="2:6" x14ac:dyDescent="0.25">
      <c r="B1002" s="105">
        <f t="shared" si="79"/>
        <v>999</v>
      </c>
      <c r="C1002" s="107">
        <f t="shared" si="80"/>
        <v>30</v>
      </c>
      <c r="D1002" s="107">
        <f t="shared" si="81"/>
        <v>49</v>
      </c>
      <c r="E1002" s="15">
        <f t="shared" si="77"/>
        <v>231</v>
      </c>
      <c r="F1002" s="110">
        <f t="shared" si="78"/>
        <v>396</v>
      </c>
    </row>
    <row r="1003" spans="2:6" x14ac:dyDescent="0.25">
      <c r="B1003" s="105">
        <f t="shared" si="79"/>
        <v>1000</v>
      </c>
      <c r="C1003" s="107">
        <f t="shared" si="80"/>
        <v>31</v>
      </c>
      <c r="D1003" s="107">
        <f t="shared" si="81"/>
        <v>49</v>
      </c>
      <c r="E1003" s="15">
        <f t="shared" si="77"/>
        <v>231</v>
      </c>
      <c r="F1003" s="110">
        <f t="shared" si="78"/>
        <v>384</v>
      </c>
    </row>
    <row r="1004" spans="2:6" x14ac:dyDescent="0.25">
      <c r="B1004" s="105">
        <f t="shared" si="79"/>
        <v>1001</v>
      </c>
      <c r="C1004" s="107">
        <f t="shared" si="80"/>
        <v>32</v>
      </c>
      <c r="D1004" s="107">
        <f t="shared" si="81"/>
        <v>49</v>
      </c>
      <c r="E1004" s="15">
        <f t="shared" si="77"/>
        <v>231</v>
      </c>
      <c r="F1004" s="110">
        <f t="shared" si="78"/>
        <v>381</v>
      </c>
    </row>
    <row r="1005" spans="2:6" x14ac:dyDescent="0.25">
      <c r="B1005" s="105">
        <f t="shared" si="79"/>
        <v>1002</v>
      </c>
      <c r="C1005" s="107">
        <f t="shared" si="80"/>
        <v>33</v>
      </c>
      <c r="D1005" s="107">
        <f t="shared" si="81"/>
        <v>49</v>
      </c>
      <c r="E1005" s="15">
        <f t="shared" si="77"/>
        <v>231</v>
      </c>
      <c r="F1005" s="110">
        <f t="shared" si="78"/>
        <v>376</v>
      </c>
    </row>
    <row r="1006" spans="2:6" x14ac:dyDescent="0.25">
      <c r="B1006" s="105">
        <f t="shared" si="79"/>
        <v>1003</v>
      </c>
      <c r="C1006" s="107">
        <f t="shared" si="80"/>
        <v>34</v>
      </c>
      <c r="D1006" s="107">
        <f t="shared" si="81"/>
        <v>49</v>
      </c>
      <c r="E1006" s="15">
        <f t="shared" si="77"/>
        <v>231</v>
      </c>
      <c r="F1006" s="110">
        <f t="shared" si="78"/>
        <v>370</v>
      </c>
    </row>
    <row r="1007" spans="2:6" x14ac:dyDescent="0.25">
      <c r="B1007" s="105">
        <f t="shared" si="79"/>
        <v>1004</v>
      </c>
      <c r="C1007" s="107">
        <f t="shared" si="80"/>
        <v>35</v>
      </c>
      <c r="D1007" s="107">
        <f t="shared" si="81"/>
        <v>49</v>
      </c>
      <c r="E1007" s="15">
        <f t="shared" si="77"/>
        <v>231</v>
      </c>
      <c r="F1007" s="110">
        <f t="shared" si="78"/>
        <v>362</v>
      </c>
    </row>
    <row r="1008" spans="2:6" x14ac:dyDescent="0.25">
      <c r="B1008" s="105">
        <f t="shared" si="79"/>
        <v>1005</v>
      </c>
      <c r="C1008" s="107">
        <f t="shared" si="80"/>
        <v>36</v>
      </c>
      <c r="D1008" s="107">
        <f t="shared" si="81"/>
        <v>49</v>
      </c>
      <c r="E1008" s="15">
        <f t="shared" si="77"/>
        <v>231</v>
      </c>
      <c r="F1008" s="110">
        <f t="shared" si="78"/>
        <v>357</v>
      </c>
    </row>
    <row r="1009" spans="2:6" x14ac:dyDescent="0.25">
      <c r="B1009" s="105">
        <f t="shared" si="79"/>
        <v>1006</v>
      </c>
      <c r="C1009" s="107">
        <f t="shared" si="80"/>
        <v>37</v>
      </c>
      <c r="D1009" s="107">
        <f t="shared" si="81"/>
        <v>49</v>
      </c>
      <c r="E1009" s="15">
        <f t="shared" si="77"/>
        <v>231</v>
      </c>
      <c r="F1009" s="110">
        <f t="shared" si="78"/>
        <v>351</v>
      </c>
    </row>
    <row r="1010" spans="2:6" x14ac:dyDescent="0.25">
      <c r="B1010" s="105">
        <f t="shared" si="79"/>
        <v>1007</v>
      </c>
      <c r="C1010" s="107">
        <f t="shared" si="80"/>
        <v>38</v>
      </c>
      <c r="D1010" s="107">
        <f t="shared" si="81"/>
        <v>49</v>
      </c>
      <c r="E1010" s="15">
        <f t="shared" si="77"/>
        <v>231</v>
      </c>
      <c r="F1010" s="110">
        <f t="shared" si="78"/>
        <v>339</v>
      </c>
    </row>
    <row r="1011" spans="2:6" x14ac:dyDescent="0.25">
      <c r="B1011" s="105">
        <f t="shared" si="79"/>
        <v>1008</v>
      </c>
      <c r="C1011" s="107">
        <f t="shared" si="80"/>
        <v>39</v>
      </c>
      <c r="D1011" s="107">
        <f t="shared" si="81"/>
        <v>49</v>
      </c>
      <c r="E1011" s="15">
        <f t="shared" si="77"/>
        <v>231</v>
      </c>
      <c r="F1011" s="110">
        <f t="shared" si="78"/>
        <v>304</v>
      </c>
    </row>
    <row r="1012" spans="2:6" x14ac:dyDescent="0.25">
      <c r="B1012" s="105">
        <f t="shared" si="79"/>
        <v>1009</v>
      </c>
      <c r="C1012" s="107">
        <f t="shared" si="80"/>
        <v>40</v>
      </c>
      <c r="D1012" s="107">
        <f t="shared" si="81"/>
        <v>49</v>
      </c>
      <c r="E1012" s="15">
        <f t="shared" si="77"/>
        <v>231</v>
      </c>
      <c r="F1012" s="110">
        <f t="shared" si="78"/>
        <v>301</v>
      </c>
    </row>
    <row r="1013" spans="2:6" x14ac:dyDescent="0.25">
      <c r="B1013" s="105">
        <f t="shared" si="79"/>
        <v>1010</v>
      </c>
      <c r="C1013" s="107">
        <f t="shared" si="80"/>
        <v>41</v>
      </c>
      <c r="D1013" s="107">
        <f t="shared" si="81"/>
        <v>49</v>
      </c>
      <c r="E1013" s="15">
        <f t="shared" si="77"/>
        <v>231</v>
      </c>
      <c r="F1013" s="110">
        <f t="shared" si="78"/>
        <v>300</v>
      </c>
    </row>
    <row r="1014" spans="2:6" x14ac:dyDescent="0.25">
      <c r="B1014" s="105">
        <f t="shared" si="79"/>
        <v>1011</v>
      </c>
      <c r="C1014" s="107">
        <f t="shared" si="80"/>
        <v>42</v>
      </c>
      <c r="D1014" s="107">
        <f t="shared" si="81"/>
        <v>49</v>
      </c>
      <c r="E1014" s="15">
        <f t="shared" si="77"/>
        <v>231</v>
      </c>
      <c r="F1014" s="110">
        <f t="shared" si="78"/>
        <v>288</v>
      </c>
    </row>
    <row r="1015" spans="2:6" x14ac:dyDescent="0.25">
      <c r="B1015" s="105">
        <f t="shared" si="79"/>
        <v>1012</v>
      </c>
      <c r="C1015" s="107">
        <f t="shared" si="80"/>
        <v>43</v>
      </c>
      <c r="D1015" s="107">
        <f t="shared" si="81"/>
        <v>49</v>
      </c>
      <c r="E1015" s="15">
        <f t="shared" si="77"/>
        <v>231</v>
      </c>
      <c r="F1015" s="110">
        <f t="shared" si="78"/>
        <v>273</v>
      </c>
    </row>
    <row r="1016" spans="2:6" x14ac:dyDescent="0.25">
      <c r="B1016" s="105">
        <f t="shared" si="79"/>
        <v>1013</v>
      </c>
      <c r="C1016" s="107">
        <f t="shared" si="80"/>
        <v>44</v>
      </c>
      <c r="D1016" s="107">
        <f t="shared" si="81"/>
        <v>49</v>
      </c>
      <c r="E1016" s="15">
        <f t="shared" si="77"/>
        <v>231</v>
      </c>
      <c r="F1016" s="110">
        <f t="shared" si="78"/>
        <v>268</v>
      </c>
    </row>
    <row r="1017" spans="2:6" x14ac:dyDescent="0.25">
      <c r="B1017" s="105">
        <f t="shared" si="79"/>
        <v>1014</v>
      </c>
      <c r="C1017" s="107">
        <f t="shared" si="80"/>
        <v>45</v>
      </c>
      <c r="D1017" s="107">
        <f t="shared" si="81"/>
        <v>49</v>
      </c>
      <c r="E1017" s="15">
        <f t="shared" si="77"/>
        <v>231</v>
      </c>
      <c r="F1017" s="110">
        <f t="shared" si="78"/>
        <v>262</v>
      </c>
    </row>
    <row r="1018" spans="2:6" x14ac:dyDescent="0.25">
      <c r="B1018" s="105">
        <f t="shared" si="79"/>
        <v>1015</v>
      </c>
      <c r="C1018" s="107">
        <f t="shared" si="80"/>
        <v>46</v>
      </c>
      <c r="D1018" s="107">
        <f t="shared" si="81"/>
        <v>49</v>
      </c>
      <c r="E1018" s="15">
        <f t="shared" si="77"/>
        <v>231</v>
      </c>
      <c r="F1018" s="110">
        <f t="shared" si="78"/>
        <v>248</v>
      </c>
    </row>
    <row r="1019" spans="2:6" x14ac:dyDescent="0.25">
      <c r="B1019" s="105">
        <f t="shared" si="79"/>
        <v>1016</v>
      </c>
      <c r="C1019" s="107">
        <f t="shared" si="80"/>
        <v>47</v>
      </c>
      <c r="D1019" s="107">
        <f t="shared" si="81"/>
        <v>49</v>
      </c>
      <c r="E1019" s="15">
        <f t="shared" si="77"/>
        <v>231</v>
      </c>
      <c r="F1019" s="110">
        <f t="shared" si="78"/>
        <v>246</v>
      </c>
    </row>
    <row r="1020" spans="2:6" x14ac:dyDescent="0.25">
      <c r="B1020" s="105">
        <f t="shared" si="79"/>
        <v>1017</v>
      </c>
      <c r="C1020" s="107">
        <f t="shared" si="80"/>
        <v>48</v>
      </c>
      <c r="D1020" s="107">
        <f t="shared" si="81"/>
        <v>49</v>
      </c>
      <c r="E1020" s="15">
        <f t="shared" si="77"/>
        <v>231</v>
      </c>
      <c r="F1020" s="110">
        <f t="shared" si="78"/>
        <v>236</v>
      </c>
    </row>
    <row r="1021" spans="2:6" x14ac:dyDescent="0.25">
      <c r="B1021" s="105">
        <f t="shared" si="79"/>
        <v>1018</v>
      </c>
      <c r="C1021" s="107">
        <f t="shared" si="80"/>
        <v>1</v>
      </c>
      <c r="D1021" s="107">
        <f t="shared" si="81"/>
        <v>48</v>
      </c>
      <c r="E1021" s="15">
        <f t="shared" si="77"/>
        <v>236</v>
      </c>
      <c r="F1021" s="110">
        <f t="shared" si="78"/>
        <v>1048</v>
      </c>
    </row>
    <row r="1022" spans="2:6" x14ac:dyDescent="0.25">
      <c r="B1022" s="105">
        <f t="shared" si="79"/>
        <v>1019</v>
      </c>
      <c r="C1022" s="107">
        <f t="shared" si="80"/>
        <v>2</v>
      </c>
      <c r="D1022" s="107">
        <f t="shared" si="81"/>
        <v>48</v>
      </c>
      <c r="E1022" s="15">
        <f t="shared" si="77"/>
        <v>236</v>
      </c>
      <c r="F1022" s="110">
        <f t="shared" si="78"/>
        <v>1025</v>
      </c>
    </row>
    <row r="1023" spans="2:6" x14ac:dyDescent="0.25">
      <c r="B1023" s="105">
        <f t="shared" si="79"/>
        <v>1020</v>
      </c>
      <c r="C1023" s="107">
        <f t="shared" si="80"/>
        <v>3</v>
      </c>
      <c r="D1023" s="107">
        <f t="shared" si="81"/>
        <v>48</v>
      </c>
      <c r="E1023" s="15">
        <f t="shared" si="77"/>
        <v>236</v>
      </c>
      <c r="F1023" s="110">
        <f t="shared" si="78"/>
        <v>805</v>
      </c>
    </row>
    <row r="1024" spans="2:6" x14ac:dyDescent="0.25">
      <c r="B1024" s="105">
        <f t="shared" si="79"/>
        <v>1021</v>
      </c>
      <c r="C1024" s="107">
        <f t="shared" si="80"/>
        <v>4</v>
      </c>
      <c r="D1024" s="107">
        <f t="shared" si="81"/>
        <v>48</v>
      </c>
      <c r="E1024" s="15">
        <f t="shared" si="77"/>
        <v>236</v>
      </c>
      <c r="F1024" s="110">
        <f t="shared" si="78"/>
        <v>666</v>
      </c>
    </row>
    <row r="1025" spans="2:6" x14ac:dyDescent="0.25">
      <c r="B1025" s="105">
        <f t="shared" si="79"/>
        <v>1022</v>
      </c>
      <c r="C1025" s="107">
        <f t="shared" si="80"/>
        <v>5</v>
      </c>
      <c r="D1025" s="107">
        <f t="shared" si="81"/>
        <v>48</v>
      </c>
      <c r="E1025" s="15">
        <f t="shared" si="77"/>
        <v>236</v>
      </c>
      <c r="F1025" s="110">
        <f t="shared" si="78"/>
        <v>655</v>
      </c>
    </row>
    <row r="1026" spans="2:6" x14ac:dyDescent="0.25">
      <c r="B1026" s="105">
        <f t="shared" si="79"/>
        <v>1023</v>
      </c>
      <c r="C1026" s="107">
        <f t="shared" si="80"/>
        <v>6</v>
      </c>
      <c r="D1026" s="107">
        <f t="shared" si="81"/>
        <v>48</v>
      </c>
      <c r="E1026" s="15">
        <f t="shared" si="77"/>
        <v>236</v>
      </c>
      <c r="F1026" s="110">
        <f t="shared" si="78"/>
        <v>652</v>
      </c>
    </row>
    <row r="1027" spans="2:6" x14ac:dyDescent="0.25">
      <c r="B1027" s="105">
        <f t="shared" si="79"/>
        <v>1024</v>
      </c>
      <c r="C1027" s="107">
        <f t="shared" si="80"/>
        <v>7</v>
      </c>
      <c r="D1027" s="107">
        <f t="shared" si="81"/>
        <v>48</v>
      </c>
      <c r="E1027" s="15">
        <f t="shared" si="77"/>
        <v>236</v>
      </c>
      <c r="F1027" s="110">
        <f t="shared" si="78"/>
        <v>633</v>
      </c>
    </row>
    <row r="1028" spans="2:6" x14ac:dyDescent="0.25">
      <c r="B1028" s="105">
        <f t="shared" si="79"/>
        <v>1025</v>
      </c>
      <c r="C1028" s="107">
        <f t="shared" si="80"/>
        <v>8</v>
      </c>
      <c r="D1028" s="107">
        <f t="shared" si="81"/>
        <v>48</v>
      </c>
      <c r="E1028" s="15">
        <f t="shared" ref="E1028:E1091" si="82">IFERROR(VLOOKUP(D1028,$H$4:$I$69,2,0),"")</f>
        <v>236</v>
      </c>
      <c r="F1028" s="110">
        <f t="shared" ref="F1028:F1091" si="83">IFERROR(VLOOKUP(C1028,$H$4:$I$69,2,0),"")</f>
        <v>632</v>
      </c>
    </row>
    <row r="1029" spans="2:6" x14ac:dyDescent="0.25">
      <c r="B1029" s="105">
        <f t="shared" ref="B1029:B1092" si="84">ROW()-3</f>
        <v>1026</v>
      </c>
      <c r="C1029" s="107">
        <f t="shared" si="80"/>
        <v>9</v>
      </c>
      <c r="D1029" s="107">
        <f t="shared" si="81"/>
        <v>48</v>
      </c>
      <c r="E1029" s="15">
        <f t="shared" si="82"/>
        <v>236</v>
      </c>
      <c r="F1029" s="110">
        <f t="shared" si="83"/>
        <v>625</v>
      </c>
    </row>
    <row r="1030" spans="2:6" x14ac:dyDescent="0.25">
      <c r="B1030" s="105">
        <f t="shared" si="84"/>
        <v>1027</v>
      </c>
      <c r="C1030" s="107">
        <f t="shared" ref="C1030:C1093" si="85">IF((D1029-C1029)=1,1,C1029+1)</f>
        <v>10</v>
      </c>
      <c r="D1030" s="107">
        <f t="shared" ref="D1030:D1093" si="86">IF((D1029-C1029)=1,D1029-1,D1029)</f>
        <v>48</v>
      </c>
      <c r="E1030" s="15">
        <f t="shared" si="82"/>
        <v>236</v>
      </c>
      <c r="F1030" s="110">
        <f t="shared" si="83"/>
        <v>619</v>
      </c>
    </row>
    <row r="1031" spans="2:6" x14ac:dyDescent="0.25">
      <c r="B1031" s="105">
        <f t="shared" si="84"/>
        <v>1028</v>
      </c>
      <c r="C1031" s="107">
        <f t="shared" si="85"/>
        <v>11</v>
      </c>
      <c r="D1031" s="107">
        <f t="shared" si="86"/>
        <v>48</v>
      </c>
      <c r="E1031" s="15">
        <f t="shared" si="82"/>
        <v>236</v>
      </c>
      <c r="F1031" s="110">
        <f t="shared" si="83"/>
        <v>610</v>
      </c>
    </row>
    <row r="1032" spans="2:6" x14ac:dyDescent="0.25">
      <c r="B1032" s="105">
        <f t="shared" si="84"/>
        <v>1029</v>
      </c>
      <c r="C1032" s="107">
        <f t="shared" si="85"/>
        <v>12</v>
      </c>
      <c r="D1032" s="107">
        <f t="shared" si="86"/>
        <v>48</v>
      </c>
      <c r="E1032" s="15">
        <f t="shared" si="82"/>
        <v>236</v>
      </c>
      <c r="F1032" s="110">
        <f t="shared" si="83"/>
        <v>599</v>
      </c>
    </row>
    <row r="1033" spans="2:6" x14ac:dyDescent="0.25">
      <c r="B1033" s="105">
        <f t="shared" si="84"/>
        <v>1030</v>
      </c>
      <c r="C1033" s="107">
        <f t="shared" si="85"/>
        <v>13</v>
      </c>
      <c r="D1033" s="107">
        <f t="shared" si="86"/>
        <v>48</v>
      </c>
      <c r="E1033" s="15">
        <f t="shared" si="82"/>
        <v>236</v>
      </c>
      <c r="F1033" s="110">
        <f t="shared" si="83"/>
        <v>559</v>
      </c>
    </row>
    <row r="1034" spans="2:6" x14ac:dyDescent="0.25">
      <c r="B1034" s="105">
        <f t="shared" si="84"/>
        <v>1031</v>
      </c>
      <c r="C1034" s="107">
        <f t="shared" si="85"/>
        <v>14</v>
      </c>
      <c r="D1034" s="107">
        <f t="shared" si="86"/>
        <v>48</v>
      </c>
      <c r="E1034" s="15">
        <f t="shared" si="82"/>
        <v>236</v>
      </c>
      <c r="F1034" s="110">
        <f t="shared" si="83"/>
        <v>556</v>
      </c>
    </row>
    <row r="1035" spans="2:6" x14ac:dyDescent="0.25">
      <c r="B1035" s="105">
        <f t="shared" si="84"/>
        <v>1032</v>
      </c>
      <c r="C1035" s="107">
        <f t="shared" si="85"/>
        <v>15</v>
      </c>
      <c r="D1035" s="107">
        <f t="shared" si="86"/>
        <v>48</v>
      </c>
      <c r="E1035" s="15">
        <f t="shared" si="82"/>
        <v>236</v>
      </c>
      <c r="F1035" s="110">
        <f t="shared" si="83"/>
        <v>540</v>
      </c>
    </row>
    <row r="1036" spans="2:6" x14ac:dyDescent="0.25">
      <c r="B1036" s="105">
        <f t="shared" si="84"/>
        <v>1033</v>
      </c>
      <c r="C1036" s="107">
        <f t="shared" si="85"/>
        <v>16</v>
      </c>
      <c r="D1036" s="107">
        <f t="shared" si="86"/>
        <v>48</v>
      </c>
      <c r="E1036" s="15">
        <f t="shared" si="82"/>
        <v>236</v>
      </c>
      <c r="F1036" s="110">
        <f t="shared" si="83"/>
        <v>536</v>
      </c>
    </row>
    <row r="1037" spans="2:6" x14ac:dyDescent="0.25">
      <c r="B1037" s="105">
        <f t="shared" si="84"/>
        <v>1034</v>
      </c>
      <c r="C1037" s="107">
        <f t="shared" si="85"/>
        <v>17</v>
      </c>
      <c r="D1037" s="107">
        <f t="shared" si="86"/>
        <v>48</v>
      </c>
      <c r="E1037" s="15">
        <f t="shared" si="82"/>
        <v>236</v>
      </c>
      <c r="F1037" s="110">
        <f t="shared" si="83"/>
        <v>527</v>
      </c>
    </row>
    <row r="1038" spans="2:6" x14ac:dyDescent="0.25">
      <c r="B1038" s="105">
        <f t="shared" si="84"/>
        <v>1035</v>
      </c>
      <c r="C1038" s="107">
        <f t="shared" si="85"/>
        <v>18</v>
      </c>
      <c r="D1038" s="107">
        <f t="shared" si="86"/>
        <v>48</v>
      </c>
      <c r="E1038" s="15">
        <f t="shared" si="82"/>
        <v>236</v>
      </c>
      <c r="F1038" s="110">
        <f t="shared" si="83"/>
        <v>478</v>
      </c>
    </row>
    <row r="1039" spans="2:6" x14ac:dyDescent="0.25">
      <c r="B1039" s="105">
        <f t="shared" si="84"/>
        <v>1036</v>
      </c>
      <c r="C1039" s="107">
        <f t="shared" si="85"/>
        <v>19</v>
      </c>
      <c r="D1039" s="107">
        <f t="shared" si="86"/>
        <v>48</v>
      </c>
      <c r="E1039" s="15">
        <f t="shared" si="82"/>
        <v>236</v>
      </c>
      <c r="F1039" s="110">
        <f t="shared" si="83"/>
        <v>474</v>
      </c>
    </row>
    <row r="1040" spans="2:6" x14ac:dyDescent="0.25">
      <c r="B1040" s="105">
        <f t="shared" si="84"/>
        <v>1037</v>
      </c>
      <c r="C1040" s="107">
        <f t="shared" si="85"/>
        <v>20</v>
      </c>
      <c r="D1040" s="107">
        <f t="shared" si="86"/>
        <v>48</v>
      </c>
      <c r="E1040" s="15">
        <f t="shared" si="82"/>
        <v>236</v>
      </c>
      <c r="F1040" s="110">
        <f t="shared" si="83"/>
        <v>468</v>
      </c>
    </row>
    <row r="1041" spans="2:6" x14ac:dyDescent="0.25">
      <c r="B1041" s="105">
        <f t="shared" si="84"/>
        <v>1038</v>
      </c>
      <c r="C1041" s="107">
        <f t="shared" si="85"/>
        <v>21</v>
      </c>
      <c r="D1041" s="107">
        <f t="shared" si="86"/>
        <v>48</v>
      </c>
      <c r="E1041" s="15">
        <f t="shared" si="82"/>
        <v>236</v>
      </c>
      <c r="F1041" s="110">
        <f t="shared" si="83"/>
        <v>457</v>
      </c>
    </row>
    <row r="1042" spans="2:6" x14ac:dyDescent="0.25">
      <c r="B1042" s="105">
        <f t="shared" si="84"/>
        <v>1039</v>
      </c>
      <c r="C1042" s="107">
        <f t="shared" si="85"/>
        <v>22</v>
      </c>
      <c r="D1042" s="107">
        <f t="shared" si="86"/>
        <v>48</v>
      </c>
      <c r="E1042" s="15">
        <f t="shared" si="82"/>
        <v>236</v>
      </c>
      <c r="F1042" s="110">
        <f t="shared" si="83"/>
        <v>452</v>
      </c>
    </row>
    <row r="1043" spans="2:6" x14ac:dyDescent="0.25">
      <c r="B1043" s="105">
        <f t="shared" si="84"/>
        <v>1040</v>
      </c>
      <c r="C1043" s="107">
        <f t="shared" si="85"/>
        <v>23</v>
      </c>
      <c r="D1043" s="107">
        <f t="shared" si="86"/>
        <v>48</v>
      </c>
      <c r="E1043" s="15">
        <f t="shared" si="82"/>
        <v>236</v>
      </c>
      <c r="F1043" s="110">
        <f t="shared" si="83"/>
        <v>442</v>
      </c>
    </row>
    <row r="1044" spans="2:6" x14ac:dyDescent="0.25">
      <c r="B1044" s="105">
        <f t="shared" si="84"/>
        <v>1041</v>
      </c>
      <c r="C1044" s="107">
        <f t="shared" si="85"/>
        <v>24</v>
      </c>
      <c r="D1044" s="107">
        <f t="shared" si="86"/>
        <v>48</v>
      </c>
      <c r="E1044" s="15">
        <f t="shared" si="82"/>
        <v>236</v>
      </c>
      <c r="F1044" s="110">
        <f t="shared" si="83"/>
        <v>420</v>
      </c>
    </row>
    <row r="1045" spans="2:6" x14ac:dyDescent="0.25">
      <c r="B1045" s="105">
        <f t="shared" si="84"/>
        <v>1042</v>
      </c>
      <c r="C1045" s="107">
        <f t="shared" si="85"/>
        <v>25</v>
      </c>
      <c r="D1045" s="107">
        <f t="shared" si="86"/>
        <v>48</v>
      </c>
      <c r="E1045" s="15">
        <f t="shared" si="82"/>
        <v>236</v>
      </c>
      <c r="F1045" s="110">
        <f t="shared" si="83"/>
        <v>410</v>
      </c>
    </row>
    <row r="1046" spans="2:6" x14ac:dyDescent="0.25">
      <c r="B1046" s="105">
        <f t="shared" si="84"/>
        <v>1043</v>
      </c>
      <c r="C1046" s="107">
        <f t="shared" si="85"/>
        <v>26</v>
      </c>
      <c r="D1046" s="107">
        <f t="shared" si="86"/>
        <v>48</v>
      </c>
      <c r="E1046" s="15">
        <f t="shared" si="82"/>
        <v>236</v>
      </c>
      <c r="F1046" s="110">
        <f t="shared" si="83"/>
        <v>409</v>
      </c>
    </row>
    <row r="1047" spans="2:6" x14ac:dyDescent="0.25">
      <c r="B1047" s="105">
        <f t="shared" si="84"/>
        <v>1044</v>
      </c>
      <c r="C1047" s="107">
        <f t="shared" si="85"/>
        <v>27</v>
      </c>
      <c r="D1047" s="107">
        <f t="shared" si="86"/>
        <v>48</v>
      </c>
      <c r="E1047" s="15">
        <f t="shared" si="82"/>
        <v>236</v>
      </c>
      <c r="F1047" s="110">
        <f t="shared" si="83"/>
        <v>408</v>
      </c>
    </row>
    <row r="1048" spans="2:6" x14ac:dyDescent="0.25">
      <c r="B1048" s="105">
        <f t="shared" si="84"/>
        <v>1045</v>
      </c>
      <c r="C1048" s="107">
        <f t="shared" si="85"/>
        <v>28</v>
      </c>
      <c r="D1048" s="107">
        <f t="shared" si="86"/>
        <v>48</v>
      </c>
      <c r="E1048" s="15">
        <f t="shared" si="82"/>
        <v>236</v>
      </c>
      <c r="F1048" s="110">
        <f t="shared" si="83"/>
        <v>404</v>
      </c>
    </row>
    <row r="1049" spans="2:6" x14ac:dyDescent="0.25">
      <c r="B1049" s="105">
        <f t="shared" si="84"/>
        <v>1046</v>
      </c>
      <c r="C1049" s="107">
        <f t="shared" si="85"/>
        <v>29</v>
      </c>
      <c r="D1049" s="107">
        <f t="shared" si="86"/>
        <v>48</v>
      </c>
      <c r="E1049" s="15">
        <f t="shared" si="82"/>
        <v>236</v>
      </c>
      <c r="F1049" s="110">
        <f t="shared" si="83"/>
        <v>399</v>
      </c>
    </row>
    <row r="1050" spans="2:6" x14ac:dyDescent="0.25">
      <c r="B1050" s="105">
        <f t="shared" si="84"/>
        <v>1047</v>
      </c>
      <c r="C1050" s="107">
        <f t="shared" si="85"/>
        <v>30</v>
      </c>
      <c r="D1050" s="107">
        <f t="shared" si="86"/>
        <v>48</v>
      </c>
      <c r="E1050" s="15">
        <f t="shared" si="82"/>
        <v>236</v>
      </c>
      <c r="F1050" s="110">
        <f t="shared" si="83"/>
        <v>396</v>
      </c>
    </row>
    <row r="1051" spans="2:6" x14ac:dyDescent="0.25">
      <c r="B1051" s="105">
        <f t="shared" si="84"/>
        <v>1048</v>
      </c>
      <c r="C1051" s="107">
        <f t="shared" si="85"/>
        <v>31</v>
      </c>
      <c r="D1051" s="107">
        <f t="shared" si="86"/>
        <v>48</v>
      </c>
      <c r="E1051" s="15">
        <f t="shared" si="82"/>
        <v>236</v>
      </c>
      <c r="F1051" s="110">
        <f t="shared" si="83"/>
        <v>384</v>
      </c>
    </row>
    <row r="1052" spans="2:6" x14ac:dyDescent="0.25">
      <c r="B1052" s="105">
        <f t="shared" si="84"/>
        <v>1049</v>
      </c>
      <c r="C1052" s="107">
        <f t="shared" si="85"/>
        <v>32</v>
      </c>
      <c r="D1052" s="107">
        <f t="shared" si="86"/>
        <v>48</v>
      </c>
      <c r="E1052" s="15">
        <f t="shared" si="82"/>
        <v>236</v>
      </c>
      <c r="F1052" s="110">
        <f t="shared" si="83"/>
        <v>381</v>
      </c>
    </row>
    <row r="1053" spans="2:6" x14ac:dyDescent="0.25">
      <c r="B1053" s="105">
        <f t="shared" si="84"/>
        <v>1050</v>
      </c>
      <c r="C1053" s="107">
        <f t="shared" si="85"/>
        <v>33</v>
      </c>
      <c r="D1053" s="107">
        <f t="shared" si="86"/>
        <v>48</v>
      </c>
      <c r="E1053" s="15">
        <f t="shared" si="82"/>
        <v>236</v>
      </c>
      <c r="F1053" s="110">
        <f t="shared" si="83"/>
        <v>376</v>
      </c>
    </row>
    <row r="1054" spans="2:6" x14ac:dyDescent="0.25">
      <c r="B1054" s="105">
        <f t="shared" si="84"/>
        <v>1051</v>
      </c>
      <c r="C1054" s="107">
        <f t="shared" si="85"/>
        <v>34</v>
      </c>
      <c r="D1054" s="107">
        <f t="shared" si="86"/>
        <v>48</v>
      </c>
      <c r="E1054" s="15">
        <f t="shared" si="82"/>
        <v>236</v>
      </c>
      <c r="F1054" s="110">
        <f t="shared" si="83"/>
        <v>370</v>
      </c>
    </row>
    <row r="1055" spans="2:6" x14ac:dyDescent="0.25">
      <c r="B1055" s="105">
        <f t="shared" si="84"/>
        <v>1052</v>
      </c>
      <c r="C1055" s="107">
        <f t="shared" si="85"/>
        <v>35</v>
      </c>
      <c r="D1055" s="107">
        <f t="shared" si="86"/>
        <v>48</v>
      </c>
      <c r="E1055" s="15">
        <f t="shared" si="82"/>
        <v>236</v>
      </c>
      <c r="F1055" s="110">
        <f t="shared" si="83"/>
        <v>362</v>
      </c>
    </row>
    <row r="1056" spans="2:6" x14ac:dyDescent="0.25">
      <c r="B1056" s="105">
        <f t="shared" si="84"/>
        <v>1053</v>
      </c>
      <c r="C1056" s="107">
        <f t="shared" si="85"/>
        <v>36</v>
      </c>
      <c r="D1056" s="107">
        <f t="shared" si="86"/>
        <v>48</v>
      </c>
      <c r="E1056" s="15">
        <f t="shared" si="82"/>
        <v>236</v>
      </c>
      <c r="F1056" s="110">
        <f t="shared" si="83"/>
        <v>357</v>
      </c>
    </row>
    <row r="1057" spans="2:6" x14ac:dyDescent="0.25">
      <c r="B1057" s="105">
        <f t="shared" si="84"/>
        <v>1054</v>
      </c>
      <c r="C1057" s="107">
        <f t="shared" si="85"/>
        <v>37</v>
      </c>
      <c r="D1057" s="107">
        <f t="shared" si="86"/>
        <v>48</v>
      </c>
      <c r="E1057" s="15">
        <f t="shared" si="82"/>
        <v>236</v>
      </c>
      <c r="F1057" s="110">
        <f t="shared" si="83"/>
        <v>351</v>
      </c>
    </row>
    <row r="1058" spans="2:6" x14ac:dyDescent="0.25">
      <c r="B1058" s="105">
        <f t="shared" si="84"/>
        <v>1055</v>
      </c>
      <c r="C1058" s="107">
        <f t="shared" si="85"/>
        <v>38</v>
      </c>
      <c r="D1058" s="107">
        <f t="shared" si="86"/>
        <v>48</v>
      </c>
      <c r="E1058" s="15">
        <f t="shared" si="82"/>
        <v>236</v>
      </c>
      <c r="F1058" s="110">
        <f t="shared" si="83"/>
        <v>339</v>
      </c>
    </row>
    <row r="1059" spans="2:6" x14ac:dyDescent="0.25">
      <c r="B1059" s="105">
        <f t="shared" si="84"/>
        <v>1056</v>
      </c>
      <c r="C1059" s="107">
        <f t="shared" si="85"/>
        <v>39</v>
      </c>
      <c r="D1059" s="107">
        <f t="shared" si="86"/>
        <v>48</v>
      </c>
      <c r="E1059" s="15">
        <f t="shared" si="82"/>
        <v>236</v>
      </c>
      <c r="F1059" s="110">
        <f t="shared" si="83"/>
        <v>304</v>
      </c>
    </row>
    <row r="1060" spans="2:6" x14ac:dyDescent="0.25">
      <c r="B1060" s="105">
        <f t="shared" si="84"/>
        <v>1057</v>
      </c>
      <c r="C1060" s="107">
        <f t="shared" si="85"/>
        <v>40</v>
      </c>
      <c r="D1060" s="107">
        <f t="shared" si="86"/>
        <v>48</v>
      </c>
      <c r="E1060" s="15">
        <f t="shared" si="82"/>
        <v>236</v>
      </c>
      <c r="F1060" s="110">
        <f t="shared" si="83"/>
        <v>301</v>
      </c>
    </row>
    <row r="1061" spans="2:6" x14ac:dyDescent="0.25">
      <c r="B1061" s="105">
        <f t="shared" si="84"/>
        <v>1058</v>
      </c>
      <c r="C1061" s="107">
        <f t="shared" si="85"/>
        <v>41</v>
      </c>
      <c r="D1061" s="107">
        <f t="shared" si="86"/>
        <v>48</v>
      </c>
      <c r="E1061" s="15">
        <f t="shared" si="82"/>
        <v>236</v>
      </c>
      <c r="F1061" s="110">
        <f t="shared" si="83"/>
        <v>300</v>
      </c>
    </row>
    <row r="1062" spans="2:6" x14ac:dyDescent="0.25">
      <c r="B1062" s="105">
        <f t="shared" si="84"/>
        <v>1059</v>
      </c>
      <c r="C1062" s="107">
        <f t="shared" si="85"/>
        <v>42</v>
      </c>
      <c r="D1062" s="107">
        <f t="shared" si="86"/>
        <v>48</v>
      </c>
      <c r="E1062" s="15">
        <f t="shared" si="82"/>
        <v>236</v>
      </c>
      <c r="F1062" s="110">
        <f t="shared" si="83"/>
        <v>288</v>
      </c>
    </row>
    <row r="1063" spans="2:6" x14ac:dyDescent="0.25">
      <c r="B1063" s="105">
        <f t="shared" si="84"/>
        <v>1060</v>
      </c>
      <c r="C1063" s="107">
        <f t="shared" si="85"/>
        <v>43</v>
      </c>
      <c r="D1063" s="107">
        <f t="shared" si="86"/>
        <v>48</v>
      </c>
      <c r="E1063" s="15">
        <f t="shared" si="82"/>
        <v>236</v>
      </c>
      <c r="F1063" s="110">
        <f t="shared" si="83"/>
        <v>273</v>
      </c>
    </row>
    <row r="1064" spans="2:6" x14ac:dyDescent="0.25">
      <c r="B1064" s="105">
        <f t="shared" si="84"/>
        <v>1061</v>
      </c>
      <c r="C1064" s="107">
        <f t="shared" si="85"/>
        <v>44</v>
      </c>
      <c r="D1064" s="107">
        <f t="shared" si="86"/>
        <v>48</v>
      </c>
      <c r="E1064" s="15">
        <f t="shared" si="82"/>
        <v>236</v>
      </c>
      <c r="F1064" s="110">
        <f t="shared" si="83"/>
        <v>268</v>
      </c>
    </row>
    <row r="1065" spans="2:6" x14ac:dyDescent="0.25">
      <c r="B1065" s="105">
        <f t="shared" si="84"/>
        <v>1062</v>
      </c>
      <c r="C1065" s="107">
        <f t="shared" si="85"/>
        <v>45</v>
      </c>
      <c r="D1065" s="107">
        <f t="shared" si="86"/>
        <v>48</v>
      </c>
      <c r="E1065" s="15">
        <f t="shared" si="82"/>
        <v>236</v>
      </c>
      <c r="F1065" s="110">
        <f t="shared" si="83"/>
        <v>262</v>
      </c>
    </row>
    <row r="1066" spans="2:6" x14ac:dyDescent="0.25">
      <c r="B1066" s="105">
        <f t="shared" si="84"/>
        <v>1063</v>
      </c>
      <c r="C1066" s="107">
        <f t="shared" si="85"/>
        <v>46</v>
      </c>
      <c r="D1066" s="107">
        <f t="shared" si="86"/>
        <v>48</v>
      </c>
      <c r="E1066" s="15">
        <f t="shared" si="82"/>
        <v>236</v>
      </c>
      <c r="F1066" s="110">
        <f t="shared" si="83"/>
        <v>248</v>
      </c>
    </row>
    <row r="1067" spans="2:6" x14ac:dyDescent="0.25">
      <c r="B1067" s="105">
        <f t="shared" si="84"/>
        <v>1064</v>
      </c>
      <c r="C1067" s="107">
        <f t="shared" si="85"/>
        <v>47</v>
      </c>
      <c r="D1067" s="107">
        <f t="shared" si="86"/>
        <v>48</v>
      </c>
      <c r="E1067" s="15">
        <f t="shared" si="82"/>
        <v>236</v>
      </c>
      <c r="F1067" s="110">
        <f t="shared" si="83"/>
        <v>246</v>
      </c>
    </row>
    <row r="1068" spans="2:6" x14ac:dyDescent="0.25">
      <c r="B1068" s="105">
        <f t="shared" si="84"/>
        <v>1065</v>
      </c>
      <c r="C1068" s="107">
        <f t="shared" si="85"/>
        <v>1</v>
      </c>
      <c r="D1068" s="107">
        <f t="shared" si="86"/>
        <v>47</v>
      </c>
      <c r="E1068" s="15">
        <f t="shared" si="82"/>
        <v>246</v>
      </c>
      <c r="F1068" s="110">
        <f t="shared" si="83"/>
        <v>1048</v>
      </c>
    </row>
    <row r="1069" spans="2:6" x14ac:dyDescent="0.25">
      <c r="B1069" s="105">
        <f t="shared" si="84"/>
        <v>1066</v>
      </c>
      <c r="C1069" s="107">
        <f t="shared" si="85"/>
        <v>2</v>
      </c>
      <c r="D1069" s="107">
        <f t="shared" si="86"/>
        <v>47</v>
      </c>
      <c r="E1069" s="15">
        <f t="shared" si="82"/>
        <v>246</v>
      </c>
      <c r="F1069" s="110">
        <f t="shared" si="83"/>
        <v>1025</v>
      </c>
    </row>
    <row r="1070" spans="2:6" x14ac:dyDescent="0.25">
      <c r="B1070" s="105">
        <f t="shared" si="84"/>
        <v>1067</v>
      </c>
      <c r="C1070" s="107">
        <f t="shared" si="85"/>
        <v>3</v>
      </c>
      <c r="D1070" s="107">
        <f t="shared" si="86"/>
        <v>47</v>
      </c>
      <c r="E1070" s="15">
        <f t="shared" si="82"/>
        <v>246</v>
      </c>
      <c r="F1070" s="110">
        <f t="shared" si="83"/>
        <v>805</v>
      </c>
    </row>
    <row r="1071" spans="2:6" x14ac:dyDescent="0.25">
      <c r="B1071" s="105">
        <f t="shared" si="84"/>
        <v>1068</v>
      </c>
      <c r="C1071" s="107">
        <f t="shared" si="85"/>
        <v>4</v>
      </c>
      <c r="D1071" s="107">
        <f t="shared" si="86"/>
        <v>47</v>
      </c>
      <c r="E1071" s="15">
        <f t="shared" si="82"/>
        <v>246</v>
      </c>
      <c r="F1071" s="110">
        <f t="shared" si="83"/>
        <v>666</v>
      </c>
    </row>
    <row r="1072" spans="2:6" x14ac:dyDescent="0.25">
      <c r="B1072" s="105">
        <f t="shared" si="84"/>
        <v>1069</v>
      </c>
      <c r="C1072" s="107">
        <f t="shared" si="85"/>
        <v>5</v>
      </c>
      <c r="D1072" s="107">
        <f t="shared" si="86"/>
        <v>47</v>
      </c>
      <c r="E1072" s="15">
        <f t="shared" si="82"/>
        <v>246</v>
      </c>
      <c r="F1072" s="110">
        <f t="shared" si="83"/>
        <v>655</v>
      </c>
    </row>
    <row r="1073" spans="2:6" x14ac:dyDescent="0.25">
      <c r="B1073" s="105">
        <f t="shared" si="84"/>
        <v>1070</v>
      </c>
      <c r="C1073" s="107">
        <f t="shared" si="85"/>
        <v>6</v>
      </c>
      <c r="D1073" s="107">
        <f t="shared" si="86"/>
        <v>47</v>
      </c>
      <c r="E1073" s="15">
        <f t="shared" si="82"/>
        <v>246</v>
      </c>
      <c r="F1073" s="110">
        <f t="shared" si="83"/>
        <v>652</v>
      </c>
    </row>
    <row r="1074" spans="2:6" x14ac:dyDescent="0.25">
      <c r="B1074" s="105">
        <f t="shared" si="84"/>
        <v>1071</v>
      </c>
      <c r="C1074" s="107">
        <f t="shared" si="85"/>
        <v>7</v>
      </c>
      <c r="D1074" s="107">
        <f t="shared" si="86"/>
        <v>47</v>
      </c>
      <c r="E1074" s="15">
        <f t="shared" si="82"/>
        <v>246</v>
      </c>
      <c r="F1074" s="110">
        <f t="shared" si="83"/>
        <v>633</v>
      </c>
    </row>
    <row r="1075" spans="2:6" x14ac:dyDescent="0.25">
      <c r="B1075" s="105">
        <f t="shared" si="84"/>
        <v>1072</v>
      </c>
      <c r="C1075" s="107">
        <f t="shared" si="85"/>
        <v>8</v>
      </c>
      <c r="D1075" s="107">
        <f t="shared" si="86"/>
        <v>47</v>
      </c>
      <c r="E1075" s="15">
        <f t="shared" si="82"/>
        <v>246</v>
      </c>
      <c r="F1075" s="110">
        <f t="shared" si="83"/>
        <v>632</v>
      </c>
    </row>
    <row r="1076" spans="2:6" x14ac:dyDescent="0.25">
      <c r="B1076" s="105">
        <f t="shared" si="84"/>
        <v>1073</v>
      </c>
      <c r="C1076" s="107">
        <f t="shared" si="85"/>
        <v>9</v>
      </c>
      <c r="D1076" s="107">
        <f t="shared" si="86"/>
        <v>47</v>
      </c>
      <c r="E1076" s="15">
        <f t="shared" si="82"/>
        <v>246</v>
      </c>
      <c r="F1076" s="110">
        <f t="shared" si="83"/>
        <v>625</v>
      </c>
    </row>
    <row r="1077" spans="2:6" x14ac:dyDescent="0.25">
      <c r="B1077" s="105">
        <f t="shared" si="84"/>
        <v>1074</v>
      </c>
      <c r="C1077" s="107">
        <f t="shared" si="85"/>
        <v>10</v>
      </c>
      <c r="D1077" s="107">
        <f t="shared" si="86"/>
        <v>47</v>
      </c>
      <c r="E1077" s="15">
        <f t="shared" si="82"/>
        <v>246</v>
      </c>
      <c r="F1077" s="110">
        <f t="shared" si="83"/>
        <v>619</v>
      </c>
    </row>
    <row r="1078" spans="2:6" x14ac:dyDescent="0.25">
      <c r="B1078" s="105">
        <f t="shared" si="84"/>
        <v>1075</v>
      </c>
      <c r="C1078" s="107">
        <f t="shared" si="85"/>
        <v>11</v>
      </c>
      <c r="D1078" s="107">
        <f t="shared" si="86"/>
        <v>47</v>
      </c>
      <c r="E1078" s="15">
        <f t="shared" si="82"/>
        <v>246</v>
      </c>
      <c r="F1078" s="110">
        <f t="shared" si="83"/>
        <v>610</v>
      </c>
    </row>
    <row r="1079" spans="2:6" x14ac:dyDescent="0.25">
      <c r="B1079" s="105">
        <f t="shared" si="84"/>
        <v>1076</v>
      </c>
      <c r="C1079" s="107">
        <f t="shared" si="85"/>
        <v>12</v>
      </c>
      <c r="D1079" s="107">
        <f t="shared" si="86"/>
        <v>47</v>
      </c>
      <c r="E1079" s="15">
        <f t="shared" si="82"/>
        <v>246</v>
      </c>
      <c r="F1079" s="110">
        <f t="shared" si="83"/>
        <v>599</v>
      </c>
    </row>
    <row r="1080" spans="2:6" x14ac:dyDescent="0.25">
      <c r="B1080" s="105">
        <f t="shared" si="84"/>
        <v>1077</v>
      </c>
      <c r="C1080" s="107">
        <f t="shared" si="85"/>
        <v>13</v>
      </c>
      <c r="D1080" s="107">
        <f t="shared" si="86"/>
        <v>47</v>
      </c>
      <c r="E1080" s="15">
        <f t="shared" si="82"/>
        <v>246</v>
      </c>
      <c r="F1080" s="110">
        <f t="shared" si="83"/>
        <v>559</v>
      </c>
    </row>
    <row r="1081" spans="2:6" x14ac:dyDescent="0.25">
      <c r="B1081" s="105">
        <f t="shared" si="84"/>
        <v>1078</v>
      </c>
      <c r="C1081" s="107">
        <f t="shared" si="85"/>
        <v>14</v>
      </c>
      <c r="D1081" s="107">
        <f t="shared" si="86"/>
        <v>47</v>
      </c>
      <c r="E1081" s="15">
        <f t="shared" si="82"/>
        <v>246</v>
      </c>
      <c r="F1081" s="110">
        <f t="shared" si="83"/>
        <v>556</v>
      </c>
    </row>
    <row r="1082" spans="2:6" x14ac:dyDescent="0.25">
      <c r="B1082" s="105">
        <f t="shared" si="84"/>
        <v>1079</v>
      </c>
      <c r="C1082" s="107">
        <f t="shared" si="85"/>
        <v>15</v>
      </c>
      <c r="D1082" s="107">
        <f t="shared" si="86"/>
        <v>47</v>
      </c>
      <c r="E1082" s="15">
        <f t="shared" si="82"/>
        <v>246</v>
      </c>
      <c r="F1082" s="110">
        <f t="shared" si="83"/>
        <v>540</v>
      </c>
    </row>
    <row r="1083" spans="2:6" x14ac:dyDescent="0.25">
      <c r="B1083" s="105">
        <f t="shared" si="84"/>
        <v>1080</v>
      </c>
      <c r="C1083" s="107">
        <f t="shared" si="85"/>
        <v>16</v>
      </c>
      <c r="D1083" s="107">
        <f t="shared" si="86"/>
        <v>47</v>
      </c>
      <c r="E1083" s="15">
        <f t="shared" si="82"/>
        <v>246</v>
      </c>
      <c r="F1083" s="110">
        <f t="shared" si="83"/>
        <v>536</v>
      </c>
    </row>
    <row r="1084" spans="2:6" x14ac:dyDescent="0.25">
      <c r="B1084" s="105">
        <f t="shared" si="84"/>
        <v>1081</v>
      </c>
      <c r="C1084" s="107">
        <f t="shared" si="85"/>
        <v>17</v>
      </c>
      <c r="D1084" s="107">
        <f t="shared" si="86"/>
        <v>47</v>
      </c>
      <c r="E1084" s="15">
        <f t="shared" si="82"/>
        <v>246</v>
      </c>
      <c r="F1084" s="110">
        <f t="shared" si="83"/>
        <v>527</v>
      </c>
    </row>
    <row r="1085" spans="2:6" x14ac:dyDescent="0.25">
      <c r="B1085" s="105">
        <f t="shared" si="84"/>
        <v>1082</v>
      </c>
      <c r="C1085" s="107">
        <f t="shared" si="85"/>
        <v>18</v>
      </c>
      <c r="D1085" s="107">
        <f t="shared" si="86"/>
        <v>47</v>
      </c>
      <c r="E1085" s="15">
        <f t="shared" si="82"/>
        <v>246</v>
      </c>
      <c r="F1085" s="110">
        <f t="shared" si="83"/>
        <v>478</v>
      </c>
    </row>
    <row r="1086" spans="2:6" x14ac:dyDescent="0.25">
      <c r="B1086" s="105">
        <f t="shared" si="84"/>
        <v>1083</v>
      </c>
      <c r="C1086" s="107">
        <f t="shared" si="85"/>
        <v>19</v>
      </c>
      <c r="D1086" s="107">
        <f t="shared" si="86"/>
        <v>47</v>
      </c>
      <c r="E1086" s="15">
        <f t="shared" si="82"/>
        <v>246</v>
      </c>
      <c r="F1086" s="110">
        <f t="shared" si="83"/>
        <v>474</v>
      </c>
    </row>
    <row r="1087" spans="2:6" x14ac:dyDescent="0.25">
      <c r="B1087" s="105">
        <f t="shared" si="84"/>
        <v>1084</v>
      </c>
      <c r="C1087" s="107">
        <f t="shared" si="85"/>
        <v>20</v>
      </c>
      <c r="D1087" s="107">
        <f t="shared" si="86"/>
        <v>47</v>
      </c>
      <c r="E1087" s="15">
        <f t="shared" si="82"/>
        <v>246</v>
      </c>
      <c r="F1087" s="110">
        <f t="shared" si="83"/>
        <v>468</v>
      </c>
    </row>
    <row r="1088" spans="2:6" x14ac:dyDescent="0.25">
      <c r="B1088" s="105">
        <f t="shared" si="84"/>
        <v>1085</v>
      </c>
      <c r="C1088" s="107">
        <f t="shared" si="85"/>
        <v>21</v>
      </c>
      <c r="D1088" s="107">
        <f t="shared" si="86"/>
        <v>47</v>
      </c>
      <c r="E1088" s="15">
        <f t="shared" si="82"/>
        <v>246</v>
      </c>
      <c r="F1088" s="110">
        <f t="shared" si="83"/>
        <v>457</v>
      </c>
    </row>
    <row r="1089" spans="2:6" x14ac:dyDescent="0.25">
      <c r="B1089" s="105">
        <f t="shared" si="84"/>
        <v>1086</v>
      </c>
      <c r="C1089" s="107">
        <f t="shared" si="85"/>
        <v>22</v>
      </c>
      <c r="D1089" s="107">
        <f t="shared" si="86"/>
        <v>47</v>
      </c>
      <c r="E1089" s="15">
        <f t="shared" si="82"/>
        <v>246</v>
      </c>
      <c r="F1089" s="110">
        <f t="shared" si="83"/>
        <v>452</v>
      </c>
    </row>
    <row r="1090" spans="2:6" x14ac:dyDescent="0.25">
      <c r="B1090" s="105">
        <f t="shared" si="84"/>
        <v>1087</v>
      </c>
      <c r="C1090" s="107">
        <f t="shared" si="85"/>
        <v>23</v>
      </c>
      <c r="D1090" s="107">
        <f t="shared" si="86"/>
        <v>47</v>
      </c>
      <c r="E1090" s="15">
        <f t="shared" si="82"/>
        <v>246</v>
      </c>
      <c r="F1090" s="110">
        <f t="shared" si="83"/>
        <v>442</v>
      </c>
    </row>
    <row r="1091" spans="2:6" x14ac:dyDescent="0.25">
      <c r="B1091" s="105">
        <f t="shared" si="84"/>
        <v>1088</v>
      </c>
      <c r="C1091" s="107">
        <f t="shared" si="85"/>
        <v>24</v>
      </c>
      <c r="D1091" s="107">
        <f t="shared" si="86"/>
        <v>47</v>
      </c>
      <c r="E1091" s="15">
        <f t="shared" si="82"/>
        <v>246</v>
      </c>
      <c r="F1091" s="110">
        <f t="shared" si="83"/>
        <v>420</v>
      </c>
    </row>
    <row r="1092" spans="2:6" x14ac:dyDescent="0.25">
      <c r="B1092" s="105">
        <f t="shared" si="84"/>
        <v>1089</v>
      </c>
      <c r="C1092" s="107">
        <f t="shared" si="85"/>
        <v>25</v>
      </c>
      <c r="D1092" s="107">
        <f t="shared" si="86"/>
        <v>47</v>
      </c>
      <c r="E1092" s="15">
        <f t="shared" ref="E1092:E1155" si="87">IFERROR(VLOOKUP(D1092,$H$4:$I$69,2,0),"")</f>
        <v>246</v>
      </c>
      <c r="F1092" s="110">
        <f t="shared" ref="F1092:F1155" si="88">IFERROR(VLOOKUP(C1092,$H$4:$I$69,2,0),"")</f>
        <v>410</v>
      </c>
    </row>
    <row r="1093" spans="2:6" x14ac:dyDescent="0.25">
      <c r="B1093" s="105">
        <f t="shared" ref="B1093:B1156" si="89">ROW()-3</f>
        <v>1090</v>
      </c>
      <c r="C1093" s="107">
        <f t="shared" si="85"/>
        <v>26</v>
      </c>
      <c r="D1093" s="107">
        <f t="shared" si="86"/>
        <v>47</v>
      </c>
      <c r="E1093" s="15">
        <f t="shared" si="87"/>
        <v>246</v>
      </c>
      <c r="F1093" s="110">
        <f t="shared" si="88"/>
        <v>409</v>
      </c>
    </row>
    <row r="1094" spans="2:6" x14ac:dyDescent="0.25">
      <c r="B1094" s="105">
        <f t="shared" si="89"/>
        <v>1091</v>
      </c>
      <c r="C1094" s="107">
        <f t="shared" ref="C1094:C1157" si="90">IF((D1093-C1093)=1,1,C1093+1)</f>
        <v>27</v>
      </c>
      <c r="D1094" s="107">
        <f t="shared" ref="D1094:D1157" si="91">IF((D1093-C1093)=1,D1093-1,D1093)</f>
        <v>47</v>
      </c>
      <c r="E1094" s="15">
        <f t="shared" si="87"/>
        <v>246</v>
      </c>
      <c r="F1094" s="110">
        <f t="shared" si="88"/>
        <v>408</v>
      </c>
    </row>
    <row r="1095" spans="2:6" x14ac:dyDescent="0.25">
      <c r="B1095" s="105">
        <f t="shared" si="89"/>
        <v>1092</v>
      </c>
      <c r="C1095" s="107">
        <f t="shared" si="90"/>
        <v>28</v>
      </c>
      <c r="D1095" s="107">
        <f t="shared" si="91"/>
        <v>47</v>
      </c>
      <c r="E1095" s="15">
        <f t="shared" si="87"/>
        <v>246</v>
      </c>
      <c r="F1095" s="110">
        <f t="shared" si="88"/>
        <v>404</v>
      </c>
    </row>
    <row r="1096" spans="2:6" x14ac:dyDescent="0.25">
      <c r="B1096" s="105">
        <f t="shared" si="89"/>
        <v>1093</v>
      </c>
      <c r="C1096" s="107">
        <f t="shared" si="90"/>
        <v>29</v>
      </c>
      <c r="D1096" s="107">
        <f t="shared" si="91"/>
        <v>47</v>
      </c>
      <c r="E1096" s="15">
        <f t="shared" si="87"/>
        <v>246</v>
      </c>
      <c r="F1096" s="110">
        <f t="shared" si="88"/>
        <v>399</v>
      </c>
    </row>
    <row r="1097" spans="2:6" x14ac:dyDescent="0.25">
      <c r="B1097" s="105">
        <f t="shared" si="89"/>
        <v>1094</v>
      </c>
      <c r="C1097" s="107">
        <f t="shared" si="90"/>
        <v>30</v>
      </c>
      <c r="D1097" s="107">
        <f t="shared" si="91"/>
        <v>47</v>
      </c>
      <c r="E1097" s="15">
        <f t="shared" si="87"/>
        <v>246</v>
      </c>
      <c r="F1097" s="110">
        <f t="shared" si="88"/>
        <v>396</v>
      </c>
    </row>
    <row r="1098" spans="2:6" x14ac:dyDescent="0.25">
      <c r="B1098" s="105">
        <f t="shared" si="89"/>
        <v>1095</v>
      </c>
      <c r="C1098" s="107">
        <f t="shared" si="90"/>
        <v>31</v>
      </c>
      <c r="D1098" s="107">
        <f t="shared" si="91"/>
        <v>47</v>
      </c>
      <c r="E1098" s="15">
        <f t="shared" si="87"/>
        <v>246</v>
      </c>
      <c r="F1098" s="110">
        <f t="shared" si="88"/>
        <v>384</v>
      </c>
    </row>
    <row r="1099" spans="2:6" x14ac:dyDescent="0.25">
      <c r="B1099" s="105">
        <f t="shared" si="89"/>
        <v>1096</v>
      </c>
      <c r="C1099" s="107">
        <f t="shared" si="90"/>
        <v>32</v>
      </c>
      <c r="D1099" s="107">
        <f t="shared" si="91"/>
        <v>47</v>
      </c>
      <c r="E1099" s="15">
        <f t="shared" si="87"/>
        <v>246</v>
      </c>
      <c r="F1099" s="110">
        <f t="shared" si="88"/>
        <v>381</v>
      </c>
    </row>
    <row r="1100" spans="2:6" x14ac:dyDescent="0.25">
      <c r="B1100" s="105">
        <f t="shared" si="89"/>
        <v>1097</v>
      </c>
      <c r="C1100" s="107">
        <f t="shared" si="90"/>
        <v>33</v>
      </c>
      <c r="D1100" s="107">
        <f t="shared" si="91"/>
        <v>47</v>
      </c>
      <c r="E1100" s="15">
        <f t="shared" si="87"/>
        <v>246</v>
      </c>
      <c r="F1100" s="110">
        <f t="shared" si="88"/>
        <v>376</v>
      </c>
    </row>
    <row r="1101" spans="2:6" x14ac:dyDescent="0.25">
      <c r="B1101" s="105">
        <f t="shared" si="89"/>
        <v>1098</v>
      </c>
      <c r="C1101" s="107">
        <f t="shared" si="90"/>
        <v>34</v>
      </c>
      <c r="D1101" s="107">
        <f t="shared" si="91"/>
        <v>47</v>
      </c>
      <c r="E1101" s="15">
        <f t="shared" si="87"/>
        <v>246</v>
      </c>
      <c r="F1101" s="110">
        <f t="shared" si="88"/>
        <v>370</v>
      </c>
    </row>
    <row r="1102" spans="2:6" x14ac:dyDescent="0.25">
      <c r="B1102" s="105">
        <f t="shared" si="89"/>
        <v>1099</v>
      </c>
      <c r="C1102" s="107">
        <f t="shared" si="90"/>
        <v>35</v>
      </c>
      <c r="D1102" s="107">
        <f t="shared" si="91"/>
        <v>47</v>
      </c>
      <c r="E1102" s="15">
        <f t="shared" si="87"/>
        <v>246</v>
      </c>
      <c r="F1102" s="110">
        <f t="shared" si="88"/>
        <v>362</v>
      </c>
    </row>
    <row r="1103" spans="2:6" x14ac:dyDescent="0.25">
      <c r="B1103" s="105">
        <f t="shared" si="89"/>
        <v>1100</v>
      </c>
      <c r="C1103" s="107">
        <f t="shared" si="90"/>
        <v>36</v>
      </c>
      <c r="D1103" s="107">
        <f t="shared" si="91"/>
        <v>47</v>
      </c>
      <c r="E1103" s="15">
        <f t="shared" si="87"/>
        <v>246</v>
      </c>
      <c r="F1103" s="110">
        <f t="shared" si="88"/>
        <v>357</v>
      </c>
    </row>
    <row r="1104" spans="2:6" x14ac:dyDescent="0.25">
      <c r="B1104" s="105">
        <f t="shared" si="89"/>
        <v>1101</v>
      </c>
      <c r="C1104" s="107">
        <f t="shared" si="90"/>
        <v>37</v>
      </c>
      <c r="D1104" s="107">
        <f t="shared" si="91"/>
        <v>47</v>
      </c>
      <c r="E1104" s="15">
        <f t="shared" si="87"/>
        <v>246</v>
      </c>
      <c r="F1104" s="110">
        <f t="shared" si="88"/>
        <v>351</v>
      </c>
    </row>
    <row r="1105" spans="2:6" x14ac:dyDescent="0.25">
      <c r="B1105" s="105">
        <f t="shared" si="89"/>
        <v>1102</v>
      </c>
      <c r="C1105" s="107">
        <f t="shared" si="90"/>
        <v>38</v>
      </c>
      <c r="D1105" s="107">
        <f t="shared" si="91"/>
        <v>47</v>
      </c>
      <c r="E1105" s="15">
        <f t="shared" si="87"/>
        <v>246</v>
      </c>
      <c r="F1105" s="110">
        <f t="shared" si="88"/>
        <v>339</v>
      </c>
    </row>
    <row r="1106" spans="2:6" x14ac:dyDescent="0.25">
      <c r="B1106" s="105">
        <f t="shared" si="89"/>
        <v>1103</v>
      </c>
      <c r="C1106" s="107">
        <f t="shared" si="90"/>
        <v>39</v>
      </c>
      <c r="D1106" s="107">
        <f t="shared" si="91"/>
        <v>47</v>
      </c>
      <c r="E1106" s="15">
        <f t="shared" si="87"/>
        <v>246</v>
      </c>
      <c r="F1106" s="110">
        <f t="shared" si="88"/>
        <v>304</v>
      </c>
    </row>
    <row r="1107" spans="2:6" x14ac:dyDescent="0.25">
      <c r="B1107" s="105">
        <f t="shared" si="89"/>
        <v>1104</v>
      </c>
      <c r="C1107" s="107">
        <f t="shared" si="90"/>
        <v>40</v>
      </c>
      <c r="D1107" s="107">
        <f t="shared" si="91"/>
        <v>47</v>
      </c>
      <c r="E1107" s="15">
        <f t="shared" si="87"/>
        <v>246</v>
      </c>
      <c r="F1107" s="110">
        <f t="shared" si="88"/>
        <v>301</v>
      </c>
    </row>
    <row r="1108" spans="2:6" x14ac:dyDescent="0.25">
      <c r="B1108" s="105">
        <f t="shared" si="89"/>
        <v>1105</v>
      </c>
      <c r="C1108" s="107">
        <f t="shared" si="90"/>
        <v>41</v>
      </c>
      <c r="D1108" s="107">
        <f t="shared" si="91"/>
        <v>47</v>
      </c>
      <c r="E1108" s="15">
        <f t="shared" si="87"/>
        <v>246</v>
      </c>
      <c r="F1108" s="110">
        <f t="shared" si="88"/>
        <v>300</v>
      </c>
    </row>
    <row r="1109" spans="2:6" x14ac:dyDescent="0.25">
      <c r="B1109" s="105">
        <f t="shared" si="89"/>
        <v>1106</v>
      </c>
      <c r="C1109" s="107">
        <f t="shared" si="90"/>
        <v>42</v>
      </c>
      <c r="D1109" s="107">
        <f t="shared" si="91"/>
        <v>47</v>
      </c>
      <c r="E1109" s="15">
        <f t="shared" si="87"/>
        <v>246</v>
      </c>
      <c r="F1109" s="110">
        <f t="shared" si="88"/>
        <v>288</v>
      </c>
    </row>
    <row r="1110" spans="2:6" x14ac:dyDescent="0.25">
      <c r="B1110" s="105">
        <f t="shared" si="89"/>
        <v>1107</v>
      </c>
      <c r="C1110" s="107">
        <f t="shared" si="90"/>
        <v>43</v>
      </c>
      <c r="D1110" s="107">
        <f t="shared" si="91"/>
        <v>47</v>
      </c>
      <c r="E1110" s="15">
        <f t="shared" si="87"/>
        <v>246</v>
      </c>
      <c r="F1110" s="110">
        <f t="shared" si="88"/>
        <v>273</v>
      </c>
    </row>
    <row r="1111" spans="2:6" x14ac:dyDescent="0.25">
      <c r="B1111" s="105">
        <f t="shared" si="89"/>
        <v>1108</v>
      </c>
      <c r="C1111" s="107">
        <f t="shared" si="90"/>
        <v>44</v>
      </c>
      <c r="D1111" s="107">
        <f t="shared" si="91"/>
        <v>47</v>
      </c>
      <c r="E1111" s="15">
        <f t="shared" si="87"/>
        <v>246</v>
      </c>
      <c r="F1111" s="110">
        <f t="shared" si="88"/>
        <v>268</v>
      </c>
    </row>
    <row r="1112" spans="2:6" x14ac:dyDescent="0.25">
      <c r="B1112" s="105">
        <f t="shared" si="89"/>
        <v>1109</v>
      </c>
      <c r="C1112" s="107">
        <f t="shared" si="90"/>
        <v>45</v>
      </c>
      <c r="D1112" s="107">
        <f t="shared" si="91"/>
        <v>47</v>
      </c>
      <c r="E1112" s="15">
        <f t="shared" si="87"/>
        <v>246</v>
      </c>
      <c r="F1112" s="110">
        <f t="shared" si="88"/>
        <v>262</v>
      </c>
    </row>
    <row r="1113" spans="2:6" x14ac:dyDescent="0.25">
      <c r="B1113" s="105">
        <f t="shared" si="89"/>
        <v>1110</v>
      </c>
      <c r="C1113" s="107">
        <f t="shared" si="90"/>
        <v>46</v>
      </c>
      <c r="D1113" s="107">
        <f t="shared" si="91"/>
        <v>47</v>
      </c>
      <c r="E1113" s="15">
        <f t="shared" si="87"/>
        <v>246</v>
      </c>
      <c r="F1113" s="110">
        <f t="shared" si="88"/>
        <v>248</v>
      </c>
    </row>
    <row r="1114" spans="2:6" x14ac:dyDescent="0.25">
      <c r="B1114" s="105">
        <f t="shared" si="89"/>
        <v>1111</v>
      </c>
      <c r="C1114" s="107">
        <f t="shared" si="90"/>
        <v>1</v>
      </c>
      <c r="D1114" s="107">
        <f t="shared" si="91"/>
        <v>46</v>
      </c>
      <c r="E1114" s="15">
        <f t="shared" si="87"/>
        <v>248</v>
      </c>
      <c r="F1114" s="110">
        <f t="shared" si="88"/>
        <v>1048</v>
      </c>
    </row>
    <row r="1115" spans="2:6" x14ac:dyDescent="0.25">
      <c r="B1115" s="105">
        <f t="shared" si="89"/>
        <v>1112</v>
      </c>
      <c r="C1115" s="107">
        <f t="shared" si="90"/>
        <v>2</v>
      </c>
      <c r="D1115" s="107">
        <f t="shared" si="91"/>
        <v>46</v>
      </c>
      <c r="E1115" s="15">
        <f t="shared" si="87"/>
        <v>248</v>
      </c>
      <c r="F1115" s="110">
        <f t="shared" si="88"/>
        <v>1025</v>
      </c>
    </row>
    <row r="1116" spans="2:6" x14ac:dyDescent="0.25">
      <c r="B1116" s="105">
        <f t="shared" si="89"/>
        <v>1113</v>
      </c>
      <c r="C1116" s="107">
        <f t="shared" si="90"/>
        <v>3</v>
      </c>
      <c r="D1116" s="107">
        <f t="shared" si="91"/>
        <v>46</v>
      </c>
      <c r="E1116" s="15">
        <f t="shared" si="87"/>
        <v>248</v>
      </c>
      <c r="F1116" s="110">
        <f t="shared" si="88"/>
        <v>805</v>
      </c>
    </row>
    <row r="1117" spans="2:6" x14ac:dyDescent="0.25">
      <c r="B1117" s="105">
        <f t="shared" si="89"/>
        <v>1114</v>
      </c>
      <c r="C1117" s="107">
        <f t="shared" si="90"/>
        <v>4</v>
      </c>
      <c r="D1117" s="107">
        <f t="shared" si="91"/>
        <v>46</v>
      </c>
      <c r="E1117" s="15">
        <f t="shared" si="87"/>
        <v>248</v>
      </c>
      <c r="F1117" s="110">
        <f t="shared" si="88"/>
        <v>666</v>
      </c>
    </row>
    <row r="1118" spans="2:6" x14ac:dyDescent="0.25">
      <c r="B1118" s="105">
        <f t="shared" si="89"/>
        <v>1115</v>
      </c>
      <c r="C1118" s="107">
        <f t="shared" si="90"/>
        <v>5</v>
      </c>
      <c r="D1118" s="107">
        <f t="shared" si="91"/>
        <v>46</v>
      </c>
      <c r="E1118" s="15">
        <f t="shared" si="87"/>
        <v>248</v>
      </c>
      <c r="F1118" s="110">
        <f t="shared" si="88"/>
        <v>655</v>
      </c>
    </row>
    <row r="1119" spans="2:6" x14ac:dyDescent="0.25">
      <c r="B1119" s="105">
        <f t="shared" si="89"/>
        <v>1116</v>
      </c>
      <c r="C1119" s="107">
        <f t="shared" si="90"/>
        <v>6</v>
      </c>
      <c r="D1119" s="107">
        <f t="shared" si="91"/>
        <v>46</v>
      </c>
      <c r="E1119" s="15">
        <f t="shared" si="87"/>
        <v>248</v>
      </c>
      <c r="F1119" s="110">
        <f t="shared" si="88"/>
        <v>652</v>
      </c>
    </row>
    <row r="1120" spans="2:6" x14ac:dyDescent="0.25">
      <c r="B1120" s="105">
        <f t="shared" si="89"/>
        <v>1117</v>
      </c>
      <c r="C1120" s="107">
        <f t="shared" si="90"/>
        <v>7</v>
      </c>
      <c r="D1120" s="107">
        <f t="shared" si="91"/>
        <v>46</v>
      </c>
      <c r="E1120" s="15">
        <f t="shared" si="87"/>
        <v>248</v>
      </c>
      <c r="F1120" s="110">
        <f t="shared" si="88"/>
        <v>633</v>
      </c>
    </row>
    <row r="1121" spans="2:6" x14ac:dyDescent="0.25">
      <c r="B1121" s="105">
        <f t="shared" si="89"/>
        <v>1118</v>
      </c>
      <c r="C1121" s="107">
        <f t="shared" si="90"/>
        <v>8</v>
      </c>
      <c r="D1121" s="107">
        <f t="shared" si="91"/>
        <v>46</v>
      </c>
      <c r="E1121" s="15">
        <f t="shared" si="87"/>
        <v>248</v>
      </c>
      <c r="F1121" s="110">
        <f t="shared" si="88"/>
        <v>632</v>
      </c>
    </row>
    <row r="1122" spans="2:6" x14ac:dyDescent="0.25">
      <c r="B1122" s="105">
        <f t="shared" si="89"/>
        <v>1119</v>
      </c>
      <c r="C1122" s="107">
        <f t="shared" si="90"/>
        <v>9</v>
      </c>
      <c r="D1122" s="107">
        <f t="shared" si="91"/>
        <v>46</v>
      </c>
      <c r="E1122" s="15">
        <f t="shared" si="87"/>
        <v>248</v>
      </c>
      <c r="F1122" s="110">
        <f t="shared" si="88"/>
        <v>625</v>
      </c>
    </row>
    <row r="1123" spans="2:6" x14ac:dyDescent="0.25">
      <c r="B1123" s="105">
        <f t="shared" si="89"/>
        <v>1120</v>
      </c>
      <c r="C1123" s="107">
        <f t="shared" si="90"/>
        <v>10</v>
      </c>
      <c r="D1123" s="107">
        <f t="shared" si="91"/>
        <v>46</v>
      </c>
      <c r="E1123" s="15">
        <f t="shared" si="87"/>
        <v>248</v>
      </c>
      <c r="F1123" s="110">
        <f t="shared" si="88"/>
        <v>619</v>
      </c>
    </row>
    <row r="1124" spans="2:6" x14ac:dyDescent="0.25">
      <c r="B1124" s="105">
        <f t="shared" si="89"/>
        <v>1121</v>
      </c>
      <c r="C1124" s="107">
        <f t="shared" si="90"/>
        <v>11</v>
      </c>
      <c r="D1124" s="107">
        <f t="shared" si="91"/>
        <v>46</v>
      </c>
      <c r="E1124" s="15">
        <f t="shared" si="87"/>
        <v>248</v>
      </c>
      <c r="F1124" s="110">
        <f t="shared" si="88"/>
        <v>610</v>
      </c>
    </row>
    <row r="1125" spans="2:6" x14ac:dyDescent="0.25">
      <c r="B1125" s="105">
        <f t="shared" si="89"/>
        <v>1122</v>
      </c>
      <c r="C1125" s="107">
        <f t="shared" si="90"/>
        <v>12</v>
      </c>
      <c r="D1125" s="107">
        <f t="shared" si="91"/>
        <v>46</v>
      </c>
      <c r="E1125" s="15">
        <f t="shared" si="87"/>
        <v>248</v>
      </c>
      <c r="F1125" s="110">
        <f t="shared" si="88"/>
        <v>599</v>
      </c>
    </row>
    <row r="1126" spans="2:6" x14ac:dyDescent="0.25">
      <c r="B1126" s="105">
        <f t="shared" si="89"/>
        <v>1123</v>
      </c>
      <c r="C1126" s="107">
        <f t="shared" si="90"/>
        <v>13</v>
      </c>
      <c r="D1126" s="107">
        <f t="shared" si="91"/>
        <v>46</v>
      </c>
      <c r="E1126" s="15">
        <f t="shared" si="87"/>
        <v>248</v>
      </c>
      <c r="F1126" s="110">
        <f t="shared" si="88"/>
        <v>559</v>
      </c>
    </row>
    <row r="1127" spans="2:6" x14ac:dyDescent="0.25">
      <c r="B1127" s="105">
        <f t="shared" si="89"/>
        <v>1124</v>
      </c>
      <c r="C1127" s="107">
        <f t="shared" si="90"/>
        <v>14</v>
      </c>
      <c r="D1127" s="107">
        <f t="shared" si="91"/>
        <v>46</v>
      </c>
      <c r="E1127" s="15">
        <f t="shared" si="87"/>
        <v>248</v>
      </c>
      <c r="F1127" s="110">
        <f t="shared" si="88"/>
        <v>556</v>
      </c>
    </row>
    <row r="1128" spans="2:6" x14ac:dyDescent="0.25">
      <c r="B1128" s="105">
        <f t="shared" si="89"/>
        <v>1125</v>
      </c>
      <c r="C1128" s="107">
        <f t="shared" si="90"/>
        <v>15</v>
      </c>
      <c r="D1128" s="107">
        <f t="shared" si="91"/>
        <v>46</v>
      </c>
      <c r="E1128" s="15">
        <f t="shared" si="87"/>
        <v>248</v>
      </c>
      <c r="F1128" s="110">
        <f t="shared" si="88"/>
        <v>540</v>
      </c>
    </row>
    <row r="1129" spans="2:6" x14ac:dyDescent="0.25">
      <c r="B1129" s="105">
        <f t="shared" si="89"/>
        <v>1126</v>
      </c>
      <c r="C1129" s="107">
        <f t="shared" si="90"/>
        <v>16</v>
      </c>
      <c r="D1129" s="107">
        <f t="shared" si="91"/>
        <v>46</v>
      </c>
      <c r="E1129" s="15">
        <f t="shared" si="87"/>
        <v>248</v>
      </c>
      <c r="F1129" s="110">
        <f t="shared" si="88"/>
        <v>536</v>
      </c>
    </row>
    <row r="1130" spans="2:6" x14ac:dyDescent="0.25">
      <c r="B1130" s="105">
        <f t="shared" si="89"/>
        <v>1127</v>
      </c>
      <c r="C1130" s="107">
        <f t="shared" si="90"/>
        <v>17</v>
      </c>
      <c r="D1130" s="107">
        <f t="shared" si="91"/>
        <v>46</v>
      </c>
      <c r="E1130" s="15">
        <f t="shared" si="87"/>
        <v>248</v>
      </c>
      <c r="F1130" s="110">
        <f t="shared" si="88"/>
        <v>527</v>
      </c>
    </row>
    <row r="1131" spans="2:6" x14ac:dyDescent="0.25">
      <c r="B1131" s="105">
        <f t="shared" si="89"/>
        <v>1128</v>
      </c>
      <c r="C1131" s="107">
        <f t="shared" si="90"/>
        <v>18</v>
      </c>
      <c r="D1131" s="107">
        <f t="shared" si="91"/>
        <v>46</v>
      </c>
      <c r="E1131" s="15">
        <f t="shared" si="87"/>
        <v>248</v>
      </c>
      <c r="F1131" s="110">
        <f t="shared" si="88"/>
        <v>478</v>
      </c>
    </row>
    <row r="1132" spans="2:6" x14ac:dyDescent="0.25">
      <c r="B1132" s="105">
        <f t="shared" si="89"/>
        <v>1129</v>
      </c>
      <c r="C1132" s="107">
        <f t="shared" si="90"/>
        <v>19</v>
      </c>
      <c r="D1132" s="107">
        <f t="shared" si="91"/>
        <v>46</v>
      </c>
      <c r="E1132" s="15">
        <f t="shared" si="87"/>
        <v>248</v>
      </c>
      <c r="F1132" s="110">
        <f t="shared" si="88"/>
        <v>474</v>
      </c>
    </row>
    <row r="1133" spans="2:6" x14ac:dyDescent="0.25">
      <c r="B1133" s="105">
        <f t="shared" si="89"/>
        <v>1130</v>
      </c>
      <c r="C1133" s="107">
        <f t="shared" si="90"/>
        <v>20</v>
      </c>
      <c r="D1133" s="107">
        <f t="shared" si="91"/>
        <v>46</v>
      </c>
      <c r="E1133" s="15">
        <f t="shared" si="87"/>
        <v>248</v>
      </c>
      <c r="F1133" s="110">
        <f t="shared" si="88"/>
        <v>468</v>
      </c>
    </row>
    <row r="1134" spans="2:6" x14ac:dyDescent="0.25">
      <c r="B1134" s="105">
        <f t="shared" si="89"/>
        <v>1131</v>
      </c>
      <c r="C1134" s="107">
        <f t="shared" si="90"/>
        <v>21</v>
      </c>
      <c r="D1134" s="107">
        <f t="shared" si="91"/>
        <v>46</v>
      </c>
      <c r="E1134" s="15">
        <f t="shared" si="87"/>
        <v>248</v>
      </c>
      <c r="F1134" s="110">
        <f t="shared" si="88"/>
        <v>457</v>
      </c>
    </row>
    <row r="1135" spans="2:6" x14ac:dyDescent="0.25">
      <c r="B1135" s="105">
        <f t="shared" si="89"/>
        <v>1132</v>
      </c>
      <c r="C1135" s="107">
        <f t="shared" si="90"/>
        <v>22</v>
      </c>
      <c r="D1135" s="107">
        <f t="shared" si="91"/>
        <v>46</v>
      </c>
      <c r="E1135" s="15">
        <f t="shared" si="87"/>
        <v>248</v>
      </c>
      <c r="F1135" s="110">
        <f t="shared" si="88"/>
        <v>452</v>
      </c>
    </row>
    <row r="1136" spans="2:6" x14ac:dyDescent="0.25">
      <c r="B1136" s="105">
        <f t="shared" si="89"/>
        <v>1133</v>
      </c>
      <c r="C1136" s="107">
        <f t="shared" si="90"/>
        <v>23</v>
      </c>
      <c r="D1136" s="107">
        <f t="shared" si="91"/>
        <v>46</v>
      </c>
      <c r="E1136" s="15">
        <f t="shared" si="87"/>
        <v>248</v>
      </c>
      <c r="F1136" s="110">
        <f t="shared" si="88"/>
        <v>442</v>
      </c>
    </row>
    <row r="1137" spans="2:6" x14ac:dyDescent="0.25">
      <c r="B1137" s="105">
        <f t="shared" si="89"/>
        <v>1134</v>
      </c>
      <c r="C1137" s="107">
        <f t="shared" si="90"/>
        <v>24</v>
      </c>
      <c r="D1137" s="107">
        <f t="shared" si="91"/>
        <v>46</v>
      </c>
      <c r="E1137" s="15">
        <f t="shared" si="87"/>
        <v>248</v>
      </c>
      <c r="F1137" s="110">
        <f t="shared" si="88"/>
        <v>420</v>
      </c>
    </row>
    <row r="1138" spans="2:6" x14ac:dyDescent="0.25">
      <c r="B1138" s="105">
        <f t="shared" si="89"/>
        <v>1135</v>
      </c>
      <c r="C1138" s="107">
        <f t="shared" si="90"/>
        <v>25</v>
      </c>
      <c r="D1138" s="107">
        <f t="shared" si="91"/>
        <v>46</v>
      </c>
      <c r="E1138" s="15">
        <f t="shared" si="87"/>
        <v>248</v>
      </c>
      <c r="F1138" s="110">
        <f t="shared" si="88"/>
        <v>410</v>
      </c>
    </row>
    <row r="1139" spans="2:6" x14ac:dyDescent="0.25">
      <c r="B1139" s="105">
        <f t="shared" si="89"/>
        <v>1136</v>
      </c>
      <c r="C1139" s="107">
        <f t="shared" si="90"/>
        <v>26</v>
      </c>
      <c r="D1139" s="107">
        <f t="shared" si="91"/>
        <v>46</v>
      </c>
      <c r="E1139" s="15">
        <f t="shared" si="87"/>
        <v>248</v>
      </c>
      <c r="F1139" s="110">
        <f t="shared" si="88"/>
        <v>409</v>
      </c>
    </row>
    <row r="1140" spans="2:6" x14ac:dyDescent="0.25">
      <c r="B1140" s="105">
        <f t="shared" si="89"/>
        <v>1137</v>
      </c>
      <c r="C1140" s="107">
        <f t="shared" si="90"/>
        <v>27</v>
      </c>
      <c r="D1140" s="107">
        <f t="shared" si="91"/>
        <v>46</v>
      </c>
      <c r="E1140" s="15">
        <f t="shared" si="87"/>
        <v>248</v>
      </c>
      <c r="F1140" s="110">
        <f t="shared" si="88"/>
        <v>408</v>
      </c>
    </row>
    <row r="1141" spans="2:6" x14ac:dyDescent="0.25">
      <c r="B1141" s="105">
        <f t="shared" si="89"/>
        <v>1138</v>
      </c>
      <c r="C1141" s="107">
        <f t="shared" si="90"/>
        <v>28</v>
      </c>
      <c r="D1141" s="107">
        <f t="shared" si="91"/>
        <v>46</v>
      </c>
      <c r="E1141" s="15">
        <f t="shared" si="87"/>
        <v>248</v>
      </c>
      <c r="F1141" s="110">
        <f t="shared" si="88"/>
        <v>404</v>
      </c>
    </row>
    <row r="1142" spans="2:6" x14ac:dyDescent="0.25">
      <c r="B1142" s="105">
        <f t="shared" si="89"/>
        <v>1139</v>
      </c>
      <c r="C1142" s="107">
        <f t="shared" si="90"/>
        <v>29</v>
      </c>
      <c r="D1142" s="107">
        <f t="shared" si="91"/>
        <v>46</v>
      </c>
      <c r="E1142" s="15">
        <f t="shared" si="87"/>
        <v>248</v>
      </c>
      <c r="F1142" s="110">
        <f t="shared" si="88"/>
        <v>399</v>
      </c>
    </row>
    <row r="1143" spans="2:6" x14ac:dyDescent="0.25">
      <c r="B1143" s="105">
        <f t="shared" si="89"/>
        <v>1140</v>
      </c>
      <c r="C1143" s="107">
        <f t="shared" si="90"/>
        <v>30</v>
      </c>
      <c r="D1143" s="107">
        <f t="shared" si="91"/>
        <v>46</v>
      </c>
      <c r="E1143" s="15">
        <f t="shared" si="87"/>
        <v>248</v>
      </c>
      <c r="F1143" s="110">
        <f t="shared" si="88"/>
        <v>396</v>
      </c>
    </row>
    <row r="1144" spans="2:6" x14ac:dyDescent="0.25">
      <c r="B1144" s="105">
        <f t="shared" si="89"/>
        <v>1141</v>
      </c>
      <c r="C1144" s="107">
        <f t="shared" si="90"/>
        <v>31</v>
      </c>
      <c r="D1144" s="107">
        <f t="shared" si="91"/>
        <v>46</v>
      </c>
      <c r="E1144" s="15">
        <f t="shared" si="87"/>
        <v>248</v>
      </c>
      <c r="F1144" s="110">
        <f t="shared" si="88"/>
        <v>384</v>
      </c>
    </row>
    <row r="1145" spans="2:6" x14ac:dyDescent="0.25">
      <c r="B1145" s="105">
        <f t="shared" si="89"/>
        <v>1142</v>
      </c>
      <c r="C1145" s="107">
        <f t="shared" si="90"/>
        <v>32</v>
      </c>
      <c r="D1145" s="107">
        <f t="shared" si="91"/>
        <v>46</v>
      </c>
      <c r="E1145" s="15">
        <f t="shared" si="87"/>
        <v>248</v>
      </c>
      <c r="F1145" s="110">
        <f t="shared" si="88"/>
        <v>381</v>
      </c>
    </row>
    <row r="1146" spans="2:6" x14ac:dyDescent="0.25">
      <c r="B1146" s="105">
        <f t="shared" si="89"/>
        <v>1143</v>
      </c>
      <c r="C1146" s="107">
        <f t="shared" si="90"/>
        <v>33</v>
      </c>
      <c r="D1146" s="107">
        <f t="shared" si="91"/>
        <v>46</v>
      </c>
      <c r="E1146" s="15">
        <f t="shared" si="87"/>
        <v>248</v>
      </c>
      <c r="F1146" s="110">
        <f t="shared" si="88"/>
        <v>376</v>
      </c>
    </row>
    <row r="1147" spans="2:6" x14ac:dyDescent="0.25">
      <c r="B1147" s="105">
        <f t="shared" si="89"/>
        <v>1144</v>
      </c>
      <c r="C1147" s="107">
        <f t="shared" si="90"/>
        <v>34</v>
      </c>
      <c r="D1147" s="107">
        <f t="shared" si="91"/>
        <v>46</v>
      </c>
      <c r="E1147" s="15">
        <f t="shared" si="87"/>
        <v>248</v>
      </c>
      <c r="F1147" s="110">
        <f t="shared" si="88"/>
        <v>370</v>
      </c>
    </row>
    <row r="1148" spans="2:6" x14ac:dyDescent="0.25">
      <c r="B1148" s="105">
        <f t="shared" si="89"/>
        <v>1145</v>
      </c>
      <c r="C1148" s="107">
        <f t="shared" si="90"/>
        <v>35</v>
      </c>
      <c r="D1148" s="107">
        <f t="shared" si="91"/>
        <v>46</v>
      </c>
      <c r="E1148" s="15">
        <f t="shared" si="87"/>
        <v>248</v>
      </c>
      <c r="F1148" s="110">
        <f t="shared" si="88"/>
        <v>362</v>
      </c>
    </row>
    <row r="1149" spans="2:6" x14ac:dyDescent="0.25">
      <c r="B1149" s="105">
        <f t="shared" si="89"/>
        <v>1146</v>
      </c>
      <c r="C1149" s="107">
        <f t="shared" si="90"/>
        <v>36</v>
      </c>
      <c r="D1149" s="107">
        <f t="shared" si="91"/>
        <v>46</v>
      </c>
      <c r="E1149" s="15">
        <f t="shared" si="87"/>
        <v>248</v>
      </c>
      <c r="F1149" s="110">
        <f t="shared" si="88"/>
        <v>357</v>
      </c>
    </row>
    <row r="1150" spans="2:6" x14ac:dyDescent="0.25">
      <c r="B1150" s="105">
        <f t="shared" si="89"/>
        <v>1147</v>
      </c>
      <c r="C1150" s="107">
        <f t="shared" si="90"/>
        <v>37</v>
      </c>
      <c r="D1150" s="107">
        <f t="shared" si="91"/>
        <v>46</v>
      </c>
      <c r="E1150" s="15">
        <f t="shared" si="87"/>
        <v>248</v>
      </c>
      <c r="F1150" s="110">
        <f t="shared" si="88"/>
        <v>351</v>
      </c>
    </row>
    <row r="1151" spans="2:6" x14ac:dyDescent="0.25">
      <c r="B1151" s="105">
        <f t="shared" si="89"/>
        <v>1148</v>
      </c>
      <c r="C1151" s="107">
        <f t="shared" si="90"/>
        <v>38</v>
      </c>
      <c r="D1151" s="107">
        <f t="shared" si="91"/>
        <v>46</v>
      </c>
      <c r="E1151" s="15">
        <f t="shared" si="87"/>
        <v>248</v>
      </c>
      <c r="F1151" s="110">
        <f t="shared" si="88"/>
        <v>339</v>
      </c>
    </row>
    <row r="1152" spans="2:6" x14ac:dyDescent="0.25">
      <c r="B1152" s="105">
        <f t="shared" si="89"/>
        <v>1149</v>
      </c>
      <c r="C1152" s="107">
        <f t="shared" si="90"/>
        <v>39</v>
      </c>
      <c r="D1152" s="107">
        <f t="shared" si="91"/>
        <v>46</v>
      </c>
      <c r="E1152" s="15">
        <f t="shared" si="87"/>
        <v>248</v>
      </c>
      <c r="F1152" s="110">
        <f t="shared" si="88"/>
        <v>304</v>
      </c>
    </row>
    <row r="1153" spans="2:6" x14ac:dyDescent="0.25">
      <c r="B1153" s="105">
        <f t="shared" si="89"/>
        <v>1150</v>
      </c>
      <c r="C1153" s="107">
        <f t="shared" si="90"/>
        <v>40</v>
      </c>
      <c r="D1153" s="107">
        <f t="shared" si="91"/>
        <v>46</v>
      </c>
      <c r="E1153" s="15">
        <f t="shared" si="87"/>
        <v>248</v>
      </c>
      <c r="F1153" s="110">
        <f t="shared" si="88"/>
        <v>301</v>
      </c>
    </row>
    <row r="1154" spans="2:6" x14ac:dyDescent="0.25">
      <c r="B1154" s="105">
        <f t="shared" si="89"/>
        <v>1151</v>
      </c>
      <c r="C1154" s="107">
        <f t="shared" si="90"/>
        <v>41</v>
      </c>
      <c r="D1154" s="107">
        <f t="shared" si="91"/>
        <v>46</v>
      </c>
      <c r="E1154" s="15">
        <f t="shared" si="87"/>
        <v>248</v>
      </c>
      <c r="F1154" s="110">
        <f t="shared" si="88"/>
        <v>300</v>
      </c>
    </row>
    <row r="1155" spans="2:6" x14ac:dyDescent="0.25">
      <c r="B1155" s="105">
        <f t="shared" si="89"/>
        <v>1152</v>
      </c>
      <c r="C1155" s="107">
        <f t="shared" si="90"/>
        <v>42</v>
      </c>
      <c r="D1155" s="107">
        <f t="shared" si="91"/>
        <v>46</v>
      </c>
      <c r="E1155" s="15">
        <f t="shared" si="87"/>
        <v>248</v>
      </c>
      <c r="F1155" s="110">
        <f t="shared" si="88"/>
        <v>288</v>
      </c>
    </row>
    <row r="1156" spans="2:6" x14ac:dyDescent="0.25">
      <c r="B1156" s="105">
        <f t="shared" si="89"/>
        <v>1153</v>
      </c>
      <c r="C1156" s="107">
        <f t="shared" si="90"/>
        <v>43</v>
      </c>
      <c r="D1156" s="107">
        <f t="shared" si="91"/>
        <v>46</v>
      </c>
      <c r="E1156" s="15">
        <f t="shared" ref="E1156:E1219" si="92">IFERROR(VLOOKUP(D1156,$H$4:$I$69,2,0),"")</f>
        <v>248</v>
      </c>
      <c r="F1156" s="110">
        <f t="shared" ref="F1156:F1219" si="93">IFERROR(VLOOKUP(C1156,$H$4:$I$69,2,0),"")</f>
        <v>273</v>
      </c>
    </row>
    <row r="1157" spans="2:6" x14ac:dyDescent="0.25">
      <c r="B1157" s="105">
        <f t="shared" ref="B1157:B1220" si="94">ROW()-3</f>
        <v>1154</v>
      </c>
      <c r="C1157" s="107">
        <f t="shared" si="90"/>
        <v>44</v>
      </c>
      <c r="D1157" s="107">
        <f t="shared" si="91"/>
        <v>46</v>
      </c>
      <c r="E1157" s="15">
        <f t="shared" si="92"/>
        <v>248</v>
      </c>
      <c r="F1157" s="110">
        <f t="shared" si="93"/>
        <v>268</v>
      </c>
    </row>
    <row r="1158" spans="2:6" x14ac:dyDescent="0.25">
      <c r="B1158" s="105">
        <f t="shared" si="94"/>
        <v>1155</v>
      </c>
      <c r="C1158" s="107">
        <f t="shared" ref="C1158:C1221" si="95">IF((D1157-C1157)=1,1,C1157+1)</f>
        <v>45</v>
      </c>
      <c r="D1158" s="107">
        <f t="shared" ref="D1158:D1221" si="96">IF((D1157-C1157)=1,D1157-1,D1157)</f>
        <v>46</v>
      </c>
      <c r="E1158" s="15">
        <f t="shared" si="92"/>
        <v>248</v>
      </c>
      <c r="F1158" s="110">
        <f t="shared" si="93"/>
        <v>262</v>
      </c>
    </row>
    <row r="1159" spans="2:6" x14ac:dyDescent="0.25">
      <c r="B1159" s="105">
        <f t="shared" si="94"/>
        <v>1156</v>
      </c>
      <c r="C1159" s="107">
        <f t="shared" si="95"/>
        <v>1</v>
      </c>
      <c r="D1159" s="107">
        <f t="shared" si="96"/>
        <v>45</v>
      </c>
      <c r="E1159" s="15">
        <f t="shared" si="92"/>
        <v>262</v>
      </c>
      <c r="F1159" s="110">
        <f t="shared" si="93"/>
        <v>1048</v>
      </c>
    </row>
    <row r="1160" spans="2:6" x14ac:dyDescent="0.25">
      <c r="B1160" s="105">
        <f t="shared" si="94"/>
        <v>1157</v>
      </c>
      <c r="C1160" s="107">
        <f t="shared" si="95"/>
        <v>2</v>
      </c>
      <c r="D1160" s="107">
        <f t="shared" si="96"/>
        <v>45</v>
      </c>
      <c r="E1160" s="15">
        <f t="shared" si="92"/>
        <v>262</v>
      </c>
      <c r="F1160" s="110">
        <f t="shared" si="93"/>
        <v>1025</v>
      </c>
    </row>
    <row r="1161" spans="2:6" x14ac:dyDescent="0.25">
      <c r="B1161" s="105">
        <f t="shared" si="94"/>
        <v>1158</v>
      </c>
      <c r="C1161" s="107">
        <f t="shared" si="95"/>
        <v>3</v>
      </c>
      <c r="D1161" s="107">
        <f t="shared" si="96"/>
        <v>45</v>
      </c>
      <c r="E1161" s="15">
        <f t="shared" si="92"/>
        <v>262</v>
      </c>
      <c r="F1161" s="110">
        <f t="shared" si="93"/>
        <v>805</v>
      </c>
    </row>
    <row r="1162" spans="2:6" x14ac:dyDescent="0.25">
      <c r="B1162" s="105">
        <f t="shared" si="94"/>
        <v>1159</v>
      </c>
      <c r="C1162" s="107">
        <f t="shared" si="95"/>
        <v>4</v>
      </c>
      <c r="D1162" s="107">
        <f t="shared" si="96"/>
        <v>45</v>
      </c>
      <c r="E1162" s="15">
        <f t="shared" si="92"/>
        <v>262</v>
      </c>
      <c r="F1162" s="110">
        <f t="shared" si="93"/>
        <v>666</v>
      </c>
    </row>
    <row r="1163" spans="2:6" x14ac:dyDescent="0.25">
      <c r="B1163" s="105">
        <f t="shared" si="94"/>
        <v>1160</v>
      </c>
      <c r="C1163" s="107">
        <f t="shared" si="95"/>
        <v>5</v>
      </c>
      <c r="D1163" s="107">
        <f t="shared" si="96"/>
        <v>45</v>
      </c>
      <c r="E1163" s="15">
        <f t="shared" si="92"/>
        <v>262</v>
      </c>
      <c r="F1163" s="110">
        <f t="shared" si="93"/>
        <v>655</v>
      </c>
    </row>
    <row r="1164" spans="2:6" x14ac:dyDescent="0.25">
      <c r="B1164" s="105">
        <f t="shared" si="94"/>
        <v>1161</v>
      </c>
      <c r="C1164" s="107">
        <f t="shared" si="95"/>
        <v>6</v>
      </c>
      <c r="D1164" s="107">
        <f t="shared" si="96"/>
        <v>45</v>
      </c>
      <c r="E1164" s="15">
        <f t="shared" si="92"/>
        <v>262</v>
      </c>
      <c r="F1164" s="110">
        <f t="shared" si="93"/>
        <v>652</v>
      </c>
    </row>
    <row r="1165" spans="2:6" x14ac:dyDescent="0.25">
      <c r="B1165" s="105">
        <f t="shared" si="94"/>
        <v>1162</v>
      </c>
      <c r="C1165" s="107">
        <f t="shared" si="95"/>
        <v>7</v>
      </c>
      <c r="D1165" s="107">
        <f t="shared" si="96"/>
        <v>45</v>
      </c>
      <c r="E1165" s="15">
        <f t="shared" si="92"/>
        <v>262</v>
      </c>
      <c r="F1165" s="110">
        <f t="shared" si="93"/>
        <v>633</v>
      </c>
    </row>
    <row r="1166" spans="2:6" x14ac:dyDescent="0.25">
      <c r="B1166" s="105">
        <f t="shared" si="94"/>
        <v>1163</v>
      </c>
      <c r="C1166" s="107">
        <f t="shared" si="95"/>
        <v>8</v>
      </c>
      <c r="D1166" s="107">
        <f t="shared" si="96"/>
        <v>45</v>
      </c>
      <c r="E1166" s="15">
        <f t="shared" si="92"/>
        <v>262</v>
      </c>
      <c r="F1166" s="110">
        <f t="shared" si="93"/>
        <v>632</v>
      </c>
    </row>
    <row r="1167" spans="2:6" x14ac:dyDescent="0.25">
      <c r="B1167" s="105">
        <f t="shared" si="94"/>
        <v>1164</v>
      </c>
      <c r="C1167" s="107">
        <f t="shared" si="95"/>
        <v>9</v>
      </c>
      <c r="D1167" s="107">
        <f t="shared" si="96"/>
        <v>45</v>
      </c>
      <c r="E1167" s="15">
        <f t="shared" si="92"/>
        <v>262</v>
      </c>
      <c r="F1167" s="110">
        <f t="shared" si="93"/>
        <v>625</v>
      </c>
    </row>
    <row r="1168" spans="2:6" x14ac:dyDescent="0.25">
      <c r="B1168" s="105">
        <f t="shared" si="94"/>
        <v>1165</v>
      </c>
      <c r="C1168" s="107">
        <f t="shared" si="95"/>
        <v>10</v>
      </c>
      <c r="D1168" s="107">
        <f t="shared" si="96"/>
        <v>45</v>
      </c>
      <c r="E1168" s="15">
        <f t="shared" si="92"/>
        <v>262</v>
      </c>
      <c r="F1168" s="110">
        <f t="shared" si="93"/>
        <v>619</v>
      </c>
    </row>
    <row r="1169" spans="2:6" x14ac:dyDescent="0.25">
      <c r="B1169" s="105">
        <f t="shared" si="94"/>
        <v>1166</v>
      </c>
      <c r="C1169" s="107">
        <f t="shared" si="95"/>
        <v>11</v>
      </c>
      <c r="D1169" s="107">
        <f t="shared" si="96"/>
        <v>45</v>
      </c>
      <c r="E1169" s="15">
        <f t="shared" si="92"/>
        <v>262</v>
      </c>
      <c r="F1169" s="110">
        <f t="shared" si="93"/>
        <v>610</v>
      </c>
    </row>
    <row r="1170" spans="2:6" x14ac:dyDescent="0.25">
      <c r="B1170" s="105">
        <f t="shared" si="94"/>
        <v>1167</v>
      </c>
      <c r="C1170" s="107">
        <f t="shared" si="95"/>
        <v>12</v>
      </c>
      <c r="D1170" s="107">
        <f t="shared" si="96"/>
        <v>45</v>
      </c>
      <c r="E1170" s="15">
        <f t="shared" si="92"/>
        <v>262</v>
      </c>
      <c r="F1170" s="110">
        <f t="shared" si="93"/>
        <v>599</v>
      </c>
    </row>
    <row r="1171" spans="2:6" x14ac:dyDescent="0.25">
      <c r="B1171" s="105">
        <f t="shared" si="94"/>
        <v>1168</v>
      </c>
      <c r="C1171" s="107">
        <f t="shared" si="95"/>
        <v>13</v>
      </c>
      <c r="D1171" s="107">
        <f t="shared" si="96"/>
        <v>45</v>
      </c>
      <c r="E1171" s="15">
        <f t="shared" si="92"/>
        <v>262</v>
      </c>
      <c r="F1171" s="110">
        <f t="shared" si="93"/>
        <v>559</v>
      </c>
    </row>
    <row r="1172" spans="2:6" x14ac:dyDescent="0.25">
      <c r="B1172" s="105">
        <f t="shared" si="94"/>
        <v>1169</v>
      </c>
      <c r="C1172" s="107">
        <f t="shared" si="95"/>
        <v>14</v>
      </c>
      <c r="D1172" s="107">
        <f t="shared" si="96"/>
        <v>45</v>
      </c>
      <c r="E1172" s="15">
        <f t="shared" si="92"/>
        <v>262</v>
      </c>
      <c r="F1172" s="110">
        <f t="shared" si="93"/>
        <v>556</v>
      </c>
    </row>
    <row r="1173" spans="2:6" x14ac:dyDescent="0.25">
      <c r="B1173" s="105">
        <f t="shared" si="94"/>
        <v>1170</v>
      </c>
      <c r="C1173" s="107">
        <f t="shared" si="95"/>
        <v>15</v>
      </c>
      <c r="D1173" s="107">
        <f t="shared" si="96"/>
        <v>45</v>
      </c>
      <c r="E1173" s="15">
        <f t="shared" si="92"/>
        <v>262</v>
      </c>
      <c r="F1173" s="110">
        <f t="shared" si="93"/>
        <v>540</v>
      </c>
    </row>
    <row r="1174" spans="2:6" x14ac:dyDescent="0.25">
      <c r="B1174" s="105">
        <f t="shared" si="94"/>
        <v>1171</v>
      </c>
      <c r="C1174" s="107">
        <f t="shared" si="95"/>
        <v>16</v>
      </c>
      <c r="D1174" s="107">
        <f t="shared" si="96"/>
        <v>45</v>
      </c>
      <c r="E1174" s="15">
        <f t="shared" si="92"/>
        <v>262</v>
      </c>
      <c r="F1174" s="110">
        <f t="shared" si="93"/>
        <v>536</v>
      </c>
    </row>
    <row r="1175" spans="2:6" x14ac:dyDescent="0.25">
      <c r="B1175" s="105">
        <f t="shared" si="94"/>
        <v>1172</v>
      </c>
      <c r="C1175" s="107">
        <f t="shared" si="95"/>
        <v>17</v>
      </c>
      <c r="D1175" s="107">
        <f t="shared" si="96"/>
        <v>45</v>
      </c>
      <c r="E1175" s="15">
        <f t="shared" si="92"/>
        <v>262</v>
      </c>
      <c r="F1175" s="110">
        <f t="shared" si="93"/>
        <v>527</v>
      </c>
    </row>
    <row r="1176" spans="2:6" x14ac:dyDescent="0.25">
      <c r="B1176" s="105">
        <f t="shared" si="94"/>
        <v>1173</v>
      </c>
      <c r="C1176" s="107">
        <f t="shared" si="95"/>
        <v>18</v>
      </c>
      <c r="D1176" s="107">
        <f t="shared" si="96"/>
        <v>45</v>
      </c>
      <c r="E1176" s="15">
        <f t="shared" si="92"/>
        <v>262</v>
      </c>
      <c r="F1176" s="110">
        <f t="shared" si="93"/>
        <v>478</v>
      </c>
    </row>
    <row r="1177" spans="2:6" x14ac:dyDescent="0.25">
      <c r="B1177" s="105">
        <f t="shared" si="94"/>
        <v>1174</v>
      </c>
      <c r="C1177" s="107">
        <f t="shared" si="95"/>
        <v>19</v>
      </c>
      <c r="D1177" s="107">
        <f t="shared" si="96"/>
        <v>45</v>
      </c>
      <c r="E1177" s="15">
        <f t="shared" si="92"/>
        <v>262</v>
      </c>
      <c r="F1177" s="110">
        <f t="shared" si="93"/>
        <v>474</v>
      </c>
    </row>
    <row r="1178" spans="2:6" x14ac:dyDescent="0.25">
      <c r="B1178" s="105">
        <f t="shared" si="94"/>
        <v>1175</v>
      </c>
      <c r="C1178" s="107">
        <f t="shared" si="95"/>
        <v>20</v>
      </c>
      <c r="D1178" s="107">
        <f t="shared" si="96"/>
        <v>45</v>
      </c>
      <c r="E1178" s="15">
        <f t="shared" si="92"/>
        <v>262</v>
      </c>
      <c r="F1178" s="110">
        <f t="shared" si="93"/>
        <v>468</v>
      </c>
    </row>
    <row r="1179" spans="2:6" x14ac:dyDescent="0.25">
      <c r="B1179" s="105">
        <f t="shared" si="94"/>
        <v>1176</v>
      </c>
      <c r="C1179" s="107">
        <f t="shared" si="95"/>
        <v>21</v>
      </c>
      <c r="D1179" s="107">
        <f t="shared" si="96"/>
        <v>45</v>
      </c>
      <c r="E1179" s="15">
        <f t="shared" si="92"/>
        <v>262</v>
      </c>
      <c r="F1179" s="110">
        <f t="shared" si="93"/>
        <v>457</v>
      </c>
    </row>
    <row r="1180" spans="2:6" x14ac:dyDescent="0.25">
      <c r="B1180" s="105">
        <f t="shared" si="94"/>
        <v>1177</v>
      </c>
      <c r="C1180" s="107">
        <f t="shared" si="95"/>
        <v>22</v>
      </c>
      <c r="D1180" s="107">
        <f t="shared" si="96"/>
        <v>45</v>
      </c>
      <c r="E1180" s="15">
        <f t="shared" si="92"/>
        <v>262</v>
      </c>
      <c r="F1180" s="110">
        <f t="shared" si="93"/>
        <v>452</v>
      </c>
    </row>
    <row r="1181" spans="2:6" x14ac:dyDescent="0.25">
      <c r="B1181" s="105">
        <f t="shared" si="94"/>
        <v>1178</v>
      </c>
      <c r="C1181" s="107">
        <f t="shared" si="95"/>
        <v>23</v>
      </c>
      <c r="D1181" s="107">
        <f t="shared" si="96"/>
        <v>45</v>
      </c>
      <c r="E1181" s="15">
        <f t="shared" si="92"/>
        <v>262</v>
      </c>
      <c r="F1181" s="110">
        <f t="shared" si="93"/>
        <v>442</v>
      </c>
    </row>
    <row r="1182" spans="2:6" x14ac:dyDescent="0.25">
      <c r="B1182" s="105">
        <f t="shared" si="94"/>
        <v>1179</v>
      </c>
      <c r="C1182" s="107">
        <f t="shared" si="95"/>
        <v>24</v>
      </c>
      <c r="D1182" s="107">
        <f t="shared" si="96"/>
        <v>45</v>
      </c>
      <c r="E1182" s="15">
        <f t="shared" si="92"/>
        <v>262</v>
      </c>
      <c r="F1182" s="110">
        <f t="shared" si="93"/>
        <v>420</v>
      </c>
    </row>
    <row r="1183" spans="2:6" x14ac:dyDescent="0.25">
      <c r="B1183" s="105">
        <f t="shared" si="94"/>
        <v>1180</v>
      </c>
      <c r="C1183" s="107">
        <f t="shared" si="95"/>
        <v>25</v>
      </c>
      <c r="D1183" s="107">
        <f t="shared" si="96"/>
        <v>45</v>
      </c>
      <c r="E1183" s="15">
        <f t="shared" si="92"/>
        <v>262</v>
      </c>
      <c r="F1183" s="110">
        <f t="shared" si="93"/>
        <v>410</v>
      </c>
    </row>
    <row r="1184" spans="2:6" x14ac:dyDescent="0.25">
      <c r="B1184" s="105">
        <f t="shared" si="94"/>
        <v>1181</v>
      </c>
      <c r="C1184" s="107">
        <f t="shared" si="95"/>
        <v>26</v>
      </c>
      <c r="D1184" s="107">
        <f t="shared" si="96"/>
        <v>45</v>
      </c>
      <c r="E1184" s="15">
        <f t="shared" si="92"/>
        <v>262</v>
      </c>
      <c r="F1184" s="110">
        <f t="shared" si="93"/>
        <v>409</v>
      </c>
    </row>
    <row r="1185" spans="2:6" x14ac:dyDescent="0.25">
      <c r="B1185" s="105">
        <f t="shared" si="94"/>
        <v>1182</v>
      </c>
      <c r="C1185" s="107">
        <f t="shared" si="95"/>
        <v>27</v>
      </c>
      <c r="D1185" s="107">
        <f t="shared" si="96"/>
        <v>45</v>
      </c>
      <c r="E1185" s="15">
        <f t="shared" si="92"/>
        <v>262</v>
      </c>
      <c r="F1185" s="110">
        <f t="shared" si="93"/>
        <v>408</v>
      </c>
    </row>
    <row r="1186" spans="2:6" x14ac:dyDescent="0.25">
      <c r="B1186" s="105">
        <f t="shared" si="94"/>
        <v>1183</v>
      </c>
      <c r="C1186" s="107">
        <f t="shared" si="95"/>
        <v>28</v>
      </c>
      <c r="D1186" s="107">
        <f t="shared" si="96"/>
        <v>45</v>
      </c>
      <c r="E1186" s="15">
        <f t="shared" si="92"/>
        <v>262</v>
      </c>
      <c r="F1186" s="110">
        <f t="shared" si="93"/>
        <v>404</v>
      </c>
    </row>
    <row r="1187" spans="2:6" x14ac:dyDescent="0.25">
      <c r="B1187" s="105">
        <f t="shared" si="94"/>
        <v>1184</v>
      </c>
      <c r="C1187" s="107">
        <f t="shared" si="95"/>
        <v>29</v>
      </c>
      <c r="D1187" s="107">
        <f t="shared" si="96"/>
        <v>45</v>
      </c>
      <c r="E1187" s="15">
        <f t="shared" si="92"/>
        <v>262</v>
      </c>
      <c r="F1187" s="110">
        <f t="shared" si="93"/>
        <v>399</v>
      </c>
    </row>
    <row r="1188" spans="2:6" x14ac:dyDescent="0.25">
      <c r="B1188" s="105">
        <f t="shared" si="94"/>
        <v>1185</v>
      </c>
      <c r="C1188" s="107">
        <f t="shared" si="95"/>
        <v>30</v>
      </c>
      <c r="D1188" s="107">
        <f t="shared" si="96"/>
        <v>45</v>
      </c>
      <c r="E1188" s="15">
        <f t="shared" si="92"/>
        <v>262</v>
      </c>
      <c r="F1188" s="110">
        <f t="shared" si="93"/>
        <v>396</v>
      </c>
    </row>
    <row r="1189" spans="2:6" x14ac:dyDescent="0.25">
      <c r="B1189" s="105">
        <f t="shared" si="94"/>
        <v>1186</v>
      </c>
      <c r="C1189" s="107">
        <f t="shared" si="95"/>
        <v>31</v>
      </c>
      <c r="D1189" s="107">
        <f t="shared" si="96"/>
        <v>45</v>
      </c>
      <c r="E1189" s="15">
        <f t="shared" si="92"/>
        <v>262</v>
      </c>
      <c r="F1189" s="110">
        <f t="shared" si="93"/>
        <v>384</v>
      </c>
    </row>
    <row r="1190" spans="2:6" x14ac:dyDescent="0.25">
      <c r="B1190" s="105">
        <f t="shared" si="94"/>
        <v>1187</v>
      </c>
      <c r="C1190" s="107">
        <f t="shared" si="95"/>
        <v>32</v>
      </c>
      <c r="D1190" s="107">
        <f t="shared" si="96"/>
        <v>45</v>
      </c>
      <c r="E1190" s="15">
        <f t="shared" si="92"/>
        <v>262</v>
      </c>
      <c r="F1190" s="110">
        <f t="shared" si="93"/>
        <v>381</v>
      </c>
    </row>
    <row r="1191" spans="2:6" x14ac:dyDescent="0.25">
      <c r="B1191" s="105">
        <f t="shared" si="94"/>
        <v>1188</v>
      </c>
      <c r="C1191" s="107">
        <f t="shared" si="95"/>
        <v>33</v>
      </c>
      <c r="D1191" s="107">
        <f t="shared" si="96"/>
        <v>45</v>
      </c>
      <c r="E1191" s="15">
        <f t="shared" si="92"/>
        <v>262</v>
      </c>
      <c r="F1191" s="110">
        <f t="shared" si="93"/>
        <v>376</v>
      </c>
    </row>
    <row r="1192" spans="2:6" x14ac:dyDescent="0.25">
      <c r="B1192" s="105">
        <f t="shared" si="94"/>
        <v>1189</v>
      </c>
      <c r="C1192" s="107">
        <f t="shared" si="95"/>
        <v>34</v>
      </c>
      <c r="D1192" s="107">
        <f t="shared" si="96"/>
        <v>45</v>
      </c>
      <c r="E1192" s="15">
        <f t="shared" si="92"/>
        <v>262</v>
      </c>
      <c r="F1192" s="110">
        <f t="shared" si="93"/>
        <v>370</v>
      </c>
    </row>
    <row r="1193" spans="2:6" x14ac:dyDescent="0.25">
      <c r="B1193" s="105">
        <f t="shared" si="94"/>
        <v>1190</v>
      </c>
      <c r="C1193" s="107">
        <f t="shared" si="95"/>
        <v>35</v>
      </c>
      <c r="D1193" s="107">
        <f t="shared" si="96"/>
        <v>45</v>
      </c>
      <c r="E1193" s="15">
        <f t="shared" si="92"/>
        <v>262</v>
      </c>
      <c r="F1193" s="110">
        <f t="shared" si="93"/>
        <v>362</v>
      </c>
    </row>
    <row r="1194" spans="2:6" x14ac:dyDescent="0.25">
      <c r="B1194" s="105">
        <f t="shared" si="94"/>
        <v>1191</v>
      </c>
      <c r="C1194" s="107">
        <f t="shared" si="95"/>
        <v>36</v>
      </c>
      <c r="D1194" s="107">
        <f t="shared" si="96"/>
        <v>45</v>
      </c>
      <c r="E1194" s="15">
        <f t="shared" si="92"/>
        <v>262</v>
      </c>
      <c r="F1194" s="110">
        <f t="shared" si="93"/>
        <v>357</v>
      </c>
    </row>
    <row r="1195" spans="2:6" x14ac:dyDescent="0.25">
      <c r="B1195" s="105">
        <f t="shared" si="94"/>
        <v>1192</v>
      </c>
      <c r="C1195" s="107">
        <f t="shared" si="95"/>
        <v>37</v>
      </c>
      <c r="D1195" s="107">
        <f t="shared" si="96"/>
        <v>45</v>
      </c>
      <c r="E1195" s="15">
        <f t="shared" si="92"/>
        <v>262</v>
      </c>
      <c r="F1195" s="110">
        <f t="shared" si="93"/>
        <v>351</v>
      </c>
    </row>
    <row r="1196" spans="2:6" x14ac:dyDescent="0.25">
      <c r="B1196" s="105">
        <f t="shared" si="94"/>
        <v>1193</v>
      </c>
      <c r="C1196" s="107">
        <f t="shared" si="95"/>
        <v>38</v>
      </c>
      <c r="D1196" s="107">
        <f t="shared" si="96"/>
        <v>45</v>
      </c>
      <c r="E1196" s="15">
        <f t="shared" si="92"/>
        <v>262</v>
      </c>
      <c r="F1196" s="110">
        <f t="shared" si="93"/>
        <v>339</v>
      </c>
    </row>
    <row r="1197" spans="2:6" x14ac:dyDescent="0.25">
      <c r="B1197" s="105">
        <f t="shared" si="94"/>
        <v>1194</v>
      </c>
      <c r="C1197" s="107">
        <f t="shared" si="95"/>
        <v>39</v>
      </c>
      <c r="D1197" s="107">
        <f t="shared" si="96"/>
        <v>45</v>
      </c>
      <c r="E1197" s="15">
        <f t="shared" si="92"/>
        <v>262</v>
      </c>
      <c r="F1197" s="110">
        <f t="shared" si="93"/>
        <v>304</v>
      </c>
    </row>
    <row r="1198" spans="2:6" x14ac:dyDescent="0.25">
      <c r="B1198" s="105">
        <f t="shared" si="94"/>
        <v>1195</v>
      </c>
      <c r="C1198" s="107">
        <f t="shared" si="95"/>
        <v>40</v>
      </c>
      <c r="D1198" s="107">
        <f t="shared" si="96"/>
        <v>45</v>
      </c>
      <c r="E1198" s="15">
        <f t="shared" si="92"/>
        <v>262</v>
      </c>
      <c r="F1198" s="110">
        <f t="shared" si="93"/>
        <v>301</v>
      </c>
    </row>
    <row r="1199" spans="2:6" x14ac:dyDescent="0.25">
      <c r="B1199" s="105">
        <f t="shared" si="94"/>
        <v>1196</v>
      </c>
      <c r="C1199" s="107">
        <f t="shared" si="95"/>
        <v>41</v>
      </c>
      <c r="D1199" s="107">
        <f t="shared" si="96"/>
        <v>45</v>
      </c>
      <c r="E1199" s="15">
        <f t="shared" si="92"/>
        <v>262</v>
      </c>
      <c r="F1199" s="110">
        <f t="shared" si="93"/>
        <v>300</v>
      </c>
    </row>
    <row r="1200" spans="2:6" x14ac:dyDescent="0.25">
      <c r="B1200" s="105">
        <f t="shared" si="94"/>
        <v>1197</v>
      </c>
      <c r="C1200" s="107">
        <f t="shared" si="95"/>
        <v>42</v>
      </c>
      <c r="D1200" s="107">
        <f t="shared" si="96"/>
        <v>45</v>
      </c>
      <c r="E1200" s="15">
        <f t="shared" si="92"/>
        <v>262</v>
      </c>
      <c r="F1200" s="110">
        <f t="shared" si="93"/>
        <v>288</v>
      </c>
    </row>
    <row r="1201" spans="2:6" x14ac:dyDescent="0.25">
      <c r="B1201" s="105">
        <f t="shared" si="94"/>
        <v>1198</v>
      </c>
      <c r="C1201" s="107">
        <f t="shared" si="95"/>
        <v>43</v>
      </c>
      <c r="D1201" s="107">
        <f t="shared" si="96"/>
        <v>45</v>
      </c>
      <c r="E1201" s="15">
        <f t="shared" si="92"/>
        <v>262</v>
      </c>
      <c r="F1201" s="110">
        <f t="shared" si="93"/>
        <v>273</v>
      </c>
    </row>
    <row r="1202" spans="2:6" x14ac:dyDescent="0.25">
      <c r="B1202" s="105">
        <f t="shared" si="94"/>
        <v>1199</v>
      </c>
      <c r="C1202" s="107">
        <f t="shared" si="95"/>
        <v>44</v>
      </c>
      <c r="D1202" s="107">
        <f t="shared" si="96"/>
        <v>45</v>
      </c>
      <c r="E1202" s="15">
        <f t="shared" si="92"/>
        <v>262</v>
      </c>
      <c r="F1202" s="110">
        <f t="shared" si="93"/>
        <v>268</v>
      </c>
    </row>
    <row r="1203" spans="2:6" x14ac:dyDescent="0.25">
      <c r="B1203" s="105">
        <f t="shared" si="94"/>
        <v>1200</v>
      </c>
      <c r="C1203" s="107">
        <f t="shared" si="95"/>
        <v>1</v>
      </c>
      <c r="D1203" s="107">
        <f t="shared" si="96"/>
        <v>44</v>
      </c>
      <c r="E1203" s="15">
        <f t="shared" si="92"/>
        <v>268</v>
      </c>
      <c r="F1203" s="110">
        <f t="shared" si="93"/>
        <v>1048</v>
      </c>
    </row>
    <row r="1204" spans="2:6" x14ac:dyDescent="0.25">
      <c r="B1204" s="105">
        <f t="shared" si="94"/>
        <v>1201</v>
      </c>
      <c r="C1204" s="107">
        <f t="shared" si="95"/>
        <v>2</v>
      </c>
      <c r="D1204" s="107">
        <f t="shared" si="96"/>
        <v>44</v>
      </c>
      <c r="E1204" s="15">
        <f t="shared" si="92"/>
        <v>268</v>
      </c>
      <c r="F1204" s="110">
        <f t="shared" si="93"/>
        <v>1025</v>
      </c>
    </row>
    <row r="1205" spans="2:6" x14ac:dyDescent="0.25">
      <c r="B1205" s="105">
        <f t="shared" si="94"/>
        <v>1202</v>
      </c>
      <c r="C1205" s="107">
        <f t="shared" si="95"/>
        <v>3</v>
      </c>
      <c r="D1205" s="107">
        <f t="shared" si="96"/>
        <v>44</v>
      </c>
      <c r="E1205" s="15">
        <f t="shared" si="92"/>
        <v>268</v>
      </c>
      <c r="F1205" s="110">
        <f t="shared" si="93"/>
        <v>805</v>
      </c>
    </row>
    <row r="1206" spans="2:6" x14ac:dyDescent="0.25">
      <c r="B1206" s="105">
        <f t="shared" si="94"/>
        <v>1203</v>
      </c>
      <c r="C1206" s="107">
        <f t="shared" si="95"/>
        <v>4</v>
      </c>
      <c r="D1206" s="107">
        <f t="shared" si="96"/>
        <v>44</v>
      </c>
      <c r="E1206" s="15">
        <f t="shared" si="92"/>
        <v>268</v>
      </c>
      <c r="F1206" s="110">
        <f t="shared" si="93"/>
        <v>666</v>
      </c>
    </row>
    <row r="1207" spans="2:6" x14ac:dyDescent="0.25">
      <c r="B1207" s="105">
        <f t="shared" si="94"/>
        <v>1204</v>
      </c>
      <c r="C1207" s="107">
        <f t="shared" si="95"/>
        <v>5</v>
      </c>
      <c r="D1207" s="107">
        <f t="shared" si="96"/>
        <v>44</v>
      </c>
      <c r="E1207" s="15">
        <f t="shared" si="92"/>
        <v>268</v>
      </c>
      <c r="F1207" s="110">
        <f t="shared" si="93"/>
        <v>655</v>
      </c>
    </row>
    <row r="1208" spans="2:6" x14ac:dyDescent="0.25">
      <c r="B1208" s="105">
        <f t="shared" si="94"/>
        <v>1205</v>
      </c>
      <c r="C1208" s="107">
        <f t="shared" si="95"/>
        <v>6</v>
      </c>
      <c r="D1208" s="107">
        <f t="shared" si="96"/>
        <v>44</v>
      </c>
      <c r="E1208" s="15">
        <f t="shared" si="92"/>
        <v>268</v>
      </c>
      <c r="F1208" s="110">
        <f t="shared" si="93"/>
        <v>652</v>
      </c>
    </row>
    <row r="1209" spans="2:6" x14ac:dyDescent="0.25">
      <c r="B1209" s="105">
        <f t="shared" si="94"/>
        <v>1206</v>
      </c>
      <c r="C1209" s="107">
        <f t="shared" si="95"/>
        <v>7</v>
      </c>
      <c r="D1209" s="107">
        <f t="shared" si="96"/>
        <v>44</v>
      </c>
      <c r="E1209" s="15">
        <f t="shared" si="92"/>
        <v>268</v>
      </c>
      <c r="F1209" s="110">
        <f t="shared" si="93"/>
        <v>633</v>
      </c>
    </row>
    <row r="1210" spans="2:6" x14ac:dyDescent="0.25">
      <c r="B1210" s="105">
        <f t="shared" si="94"/>
        <v>1207</v>
      </c>
      <c r="C1210" s="107">
        <f t="shared" si="95"/>
        <v>8</v>
      </c>
      <c r="D1210" s="107">
        <f t="shared" si="96"/>
        <v>44</v>
      </c>
      <c r="E1210" s="15">
        <f t="shared" si="92"/>
        <v>268</v>
      </c>
      <c r="F1210" s="110">
        <f t="shared" si="93"/>
        <v>632</v>
      </c>
    </row>
    <row r="1211" spans="2:6" x14ac:dyDescent="0.25">
      <c r="B1211" s="105">
        <f t="shared" si="94"/>
        <v>1208</v>
      </c>
      <c r="C1211" s="107">
        <f t="shared" si="95"/>
        <v>9</v>
      </c>
      <c r="D1211" s="107">
        <f t="shared" si="96"/>
        <v>44</v>
      </c>
      <c r="E1211" s="15">
        <f t="shared" si="92"/>
        <v>268</v>
      </c>
      <c r="F1211" s="110">
        <f t="shared" si="93"/>
        <v>625</v>
      </c>
    </row>
    <row r="1212" spans="2:6" x14ac:dyDescent="0.25">
      <c r="B1212" s="105">
        <f t="shared" si="94"/>
        <v>1209</v>
      </c>
      <c r="C1212" s="107">
        <f t="shared" si="95"/>
        <v>10</v>
      </c>
      <c r="D1212" s="107">
        <f t="shared" si="96"/>
        <v>44</v>
      </c>
      <c r="E1212" s="15">
        <f t="shared" si="92"/>
        <v>268</v>
      </c>
      <c r="F1212" s="110">
        <f t="shared" si="93"/>
        <v>619</v>
      </c>
    </row>
    <row r="1213" spans="2:6" x14ac:dyDescent="0.25">
      <c r="B1213" s="105">
        <f t="shared" si="94"/>
        <v>1210</v>
      </c>
      <c r="C1213" s="107">
        <f t="shared" si="95"/>
        <v>11</v>
      </c>
      <c r="D1213" s="107">
        <f t="shared" si="96"/>
        <v>44</v>
      </c>
      <c r="E1213" s="15">
        <f t="shared" si="92"/>
        <v>268</v>
      </c>
      <c r="F1213" s="110">
        <f t="shared" si="93"/>
        <v>610</v>
      </c>
    </row>
    <row r="1214" spans="2:6" x14ac:dyDescent="0.25">
      <c r="B1214" s="105">
        <f t="shared" si="94"/>
        <v>1211</v>
      </c>
      <c r="C1214" s="107">
        <f t="shared" si="95"/>
        <v>12</v>
      </c>
      <c r="D1214" s="107">
        <f t="shared" si="96"/>
        <v>44</v>
      </c>
      <c r="E1214" s="15">
        <f t="shared" si="92"/>
        <v>268</v>
      </c>
      <c r="F1214" s="110">
        <f t="shared" si="93"/>
        <v>599</v>
      </c>
    </row>
    <row r="1215" spans="2:6" x14ac:dyDescent="0.25">
      <c r="B1215" s="105">
        <f t="shared" si="94"/>
        <v>1212</v>
      </c>
      <c r="C1215" s="107">
        <f t="shared" si="95"/>
        <v>13</v>
      </c>
      <c r="D1215" s="107">
        <f t="shared" si="96"/>
        <v>44</v>
      </c>
      <c r="E1215" s="15">
        <f t="shared" si="92"/>
        <v>268</v>
      </c>
      <c r="F1215" s="110">
        <f t="shared" si="93"/>
        <v>559</v>
      </c>
    </row>
    <row r="1216" spans="2:6" x14ac:dyDescent="0.25">
      <c r="B1216" s="105">
        <f t="shared" si="94"/>
        <v>1213</v>
      </c>
      <c r="C1216" s="107">
        <f t="shared" si="95"/>
        <v>14</v>
      </c>
      <c r="D1216" s="107">
        <f t="shared" si="96"/>
        <v>44</v>
      </c>
      <c r="E1216" s="15">
        <f t="shared" si="92"/>
        <v>268</v>
      </c>
      <c r="F1216" s="110">
        <f t="shared" si="93"/>
        <v>556</v>
      </c>
    </row>
    <row r="1217" spans="2:6" x14ac:dyDescent="0.25">
      <c r="B1217" s="105">
        <f t="shared" si="94"/>
        <v>1214</v>
      </c>
      <c r="C1217" s="107">
        <f t="shared" si="95"/>
        <v>15</v>
      </c>
      <c r="D1217" s="107">
        <f t="shared" si="96"/>
        <v>44</v>
      </c>
      <c r="E1217" s="15">
        <f t="shared" si="92"/>
        <v>268</v>
      </c>
      <c r="F1217" s="110">
        <f t="shared" si="93"/>
        <v>540</v>
      </c>
    </row>
    <row r="1218" spans="2:6" x14ac:dyDescent="0.25">
      <c r="B1218" s="105">
        <f t="shared" si="94"/>
        <v>1215</v>
      </c>
      <c r="C1218" s="107">
        <f t="shared" si="95"/>
        <v>16</v>
      </c>
      <c r="D1218" s="107">
        <f t="shared" si="96"/>
        <v>44</v>
      </c>
      <c r="E1218" s="15">
        <f t="shared" si="92"/>
        <v>268</v>
      </c>
      <c r="F1218" s="110">
        <f t="shared" si="93"/>
        <v>536</v>
      </c>
    </row>
    <row r="1219" spans="2:6" x14ac:dyDescent="0.25">
      <c r="B1219" s="105">
        <f t="shared" si="94"/>
        <v>1216</v>
      </c>
      <c r="C1219" s="107">
        <f t="shared" si="95"/>
        <v>17</v>
      </c>
      <c r="D1219" s="107">
        <f t="shared" si="96"/>
        <v>44</v>
      </c>
      <c r="E1219" s="15">
        <f t="shared" si="92"/>
        <v>268</v>
      </c>
      <c r="F1219" s="110">
        <f t="shared" si="93"/>
        <v>527</v>
      </c>
    </row>
    <row r="1220" spans="2:6" x14ac:dyDescent="0.25">
      <c r="B1220" s="105">
        <f t="shared" si="94"/>
        <v>1217</v>
      </c>
      <c r="C1220" s="107">
        <f t="shared" si="95"/>
        <v>18</v>
      </c>
      <c r="D1220" s="107">
        <f t="shared" si="96"/>
        <v>44</v>
      </c>
      <c r="E1220" s="15">
        <f t="shared" ref="E1220:E1283" si="97">IFERROR(VLOOKUP(D1220,$H$4:$I$69,2,0),"")</f>
        <v>268</v>
      </c>
      <c r="F1220" s="110">
        <f t="shared" ref="F1220:F1283" si="98">IFERROR(VLOOKUP(C1220,$H$4:$I$69,2,0),"")</f>
        <v>478</v>
      </c>
    </row>
    <row r="1221" spans="2:6" x14ac:dyDescent="0.25">
      <c r="B1221" s="105">
        <f t="shared" ref="B1221:B1284" si="99">ROW()-3</f>
        <v>1218</v>
      </c>
      <c r="C1221" s="107">
        <f t="shared" si="95"/>
        <v>19</v>
      </c>
      <c r="D1221" s="107">
        <f t="shared" si="96"/>
        <v>44</v>
      </c>
      <c r="E1221" s="15">
        <f t="shared" si="97"/>
        <v>268</v>
      </c>
      <c r="F1221" s="110">
        <f t="shared" si="98"/>
        <v>474</v>
      </c>
    </row>
    <row r="1222" spans="2:6" x14ac:dyDescent="0.25">
      <c r="B1222" s="105">
        <f t="shared" si="99"/>
        <v>1219</v>
      </c>
      <c r="C1222" s="107">
        <f t="shared" ref="C1222:C1285" si="100">IF((D1221-C1221)=1,1,C1221+1)</f>
        <v>20</v>
      </c>
      <c r="D1222" s="107">
        <f t="shared" ref="D1222:D1285" si="101">IF((D1221-C1221)=1,D1221-1,D1221)</f>
        <v>44</v>
      </c>
      <c r="E1222" s="15">
        <f t="shared" si="97"/>
        <v>268</v>
      </c>
      <c r="F1222" s="110">
        <f t="shared" si="98"/>
        <v>468</v>
      </c>
    </row>
    <row r="1223" spans="2:6" x14ac:dyDescent="0.25">
      <c r="B1223" s="105">
        <f t="shared" si="99"/>
        <v>1220</v>
      </c>
      <c r="C1223" s="107">
        <f t="shared" si="100"/>
        <v>21</v>
      </c>
      <c r="D1223" s="107">
        <f t="shared" si="101"/>
        <v>44</v>
      </c>
      <c r="E1223" s="15">
        <f t="shared" si="97"/>
        <v>268</v>
      </c>
      <c r="F1223" s="110">
        <f t="shared" si="98"/>
        <v>457</v>
      </c>
    </row>
    <row r="1224" spans="2:6" x14ac:dyDescent="0.25">
      <c r="B1224" s="105">
        <f t="shared" si="99"/>
        <v>1221</v>
      </c>
      <c r="C1224" s="107">
        <f t="shared" si="100"/>
        <v>22</v>
      </c>
      <c r="D1224" s="107">
        <f t="shared" si="101"/>
        <v>44</v>
      </c>
      <c r="E1224" s="15">
        <f t="shared" si="97"/>
        <v>268</v>
      </c>
      <c r="F1224" s="110">
        <f t="shared" si="98"/>
        <v>452</v>
      </c>
    </row>
    <row r="1225" spans="2:6" x14ac:dyDescent="0.25">
      <c r="B1225" s="105">
        <f t="shared" si="99"/>
        <v>1222</v>
      </c>
      <c r="C1225" s="107">
        <f t="shared" si="100"/>
        <v>23</v>
      </c>
      <c r="D1225" s="107">
        <f t="shared" si="101"/>
        <v>44</v>
      </c>
      <c r="E1225" s="15">
        <f t="shared" si="97"/>
        <v>268</v>
      </c>
      <c r="F1225" s="110">
        <f t="shared" si="98"/>
        <v>442</v>
      </c>
    </row>
    <row r="1226" spans="2:6" x14ac:dyDescent="0.25">
      <c r="B1226" s="105">
        <f t="shared" si="99"/>
        <v>1223</v>
      </c>
      <c r="C1226" s="107">
        <f t="shared" si="100"/>
        <v>24</v>
      </c>
      <c r="D1226" s="107">
        <f t="shared" si="101"/>
        <v>44</v>
      </c>
      <c r="E1226" s="15">
        <f t="shared" si="97"/>
        <v>268</v>
      </c>
      <c r="F1226" s="110">
        <f t="shared" si="98"/>
        <v>420</v>
      </c>
    </row>
    <row r="1227" spans="2:6" x14ac:dyDescent="0.25">
      <c r="B1227" s="105">
        <f t="shared" si="99"/>
        <v>1224</v>
      </c>
      <c r="C1227" s="107">
        <f t="shared" si="100"/>
        <v>25</v>
      </c>
      <c r="D1227" s="107">
        <f t="shared" si="101"/>
        <v>44</v>
      </c>
      <c r="E1227" s="15">
        <f t="shared" si="97"/>
        <v>268</v>
      </c>
      <c r="F1227" s="110">
        <f t="shared" si="98"/>
        <v>410</v>
      </c>
    </row>
    <row r="1228" spans="2:6" x14ac:dyDescent="0.25">
      <c r="B1228" s="105">
        <f t="shared" si="99"/>
        <v>1225</v>
      </c>
      <c r="C1228" s="107">
        <f t="shared" si="100"/>
        <v>26</v>
      </c>
      <c r="D1228" s="107">
        <f t="shared" si="101"/>
        <v>44</v>
      </c>
      <c r="E1228" s="15">
        <f t="shared" si="97"/>
        <v>268</v>
      </c>
      <c r="F1228" s="110">
        <f t="shared" si="98"/>
        <v>409</v>
      </c>
    </row>
    <row r="1229" spans="2:6" x14ac:dyDescent="0.25">
      <c r="B1229" s="105">
        <f t="shared" si="99"/>
        <v>1226</v>
      </c>
      <c r="C1229" s="107">
        <f t="shared" si="100"/>
        <v>27</v>
      </c>
      <c r="D1229" s="107">
        <f t="shared" si="101"/>
        <v>44</v>
      </c>
      <c r="E1229" s="15">
        <f t="shared" si="97"/>
        <v>268</v>
      </c>
      <c r="F1229" s="110">
        <f t="shared" si="98"/>
        <v>408</v>
      </c>
    </row>
    <row r="1230" spans="2:6" x14ac:dyDescent="0.25">
      <c r="B1230" s="105">
        <f t="shared" si="99"/>
        <v>1227</v>
      </c>
      <c r="C1230" s="107">
        <f t="shared" si="100"/>
        <v>28</v>
      </c>
      <c r="D1230" s="107">
        <f t="shared" si="101"/>
        <v>44</v>
      </c>
      <c r="E1230" s="15">
        <f t="shared" si="97"/>
        <v>268</v>
      </c>
      <c r="F1230" s="110">
        <f t="shared" si="98"/>
        <v>404</v>
      </c>
    </row>
    <row r="1231" spans="2:6" x14ac:dyDescent="0.25">
      <c r="B1231" s="105">
        <f t="shared" si="99"/>
        <v>1228</v>
      </c>
      <c r="C1231" s="107">
        <f t="shared" si="100"/>
        <v>29</v>
      </c>
      <c r="D1231" s="107">
        <f t="shared" si="101"/>
        <v>44</v>
      </c>
      <c r="E1231" s="15">
        <f t="shared" si="97"/>
        <v>268</v>
      </c>
      <c r="F1231" s="110">
        <f t="shared" si="98"/>
        <v>399</v>
      </c>
    </row>
    <row r="1232" spans="2:6" x14ac:dyDescent="0.25">
      <c r="B1232" s="105">
        <f t="shared" si="99"/>
        <v>1229</v>
      </c>
      <c r="C1232" s="107">
        <f t="shared" si="100"/>
        <v>30</v>
      </c>
      <c r="D1232" s="107">
        <f t="shared" si="101"/>
        <v>44</v>
      </c>
      <c r="E1232" s="15">
        <f t="shared" si="97"/>
        <v>268</v>
      </c>
      <c r="F1232" s="110">
        <f t="shared" si="98"/>
        <v>396</v>
      </c>
    </row>
    <row r="1233" spans="2:6" x14ac:dyDescent="0.25">
      <c r="B1233" s="105">
        <f t="shared" si="99"/>
        <v>1230</v>
      </c>
      <c r="C1233" s="107">
        <f t="shared" si="100"/>
        <v>31</v>
      </c>
      <c r="D1233" s="107">
        <f t="shared" si="101"/>
        <v>44</v>
      </c>
      <c r="E1233" s="15">
        <f t="shared" si="97"/>
        <v>268</v>
      </c>
      <c r="F1233" s="110">
        <f t="shared" si="98"/>
        <v>384</v>
      </c>
    </row>
    <row r="1234" spans="2:6" x14ac:dyDescent="0.25">
      <c r="B1234" s="105">
        <f t="shared" si="99"/>
        <v>1231</v>
      </c>
      <c r="C1234" s="107">
        <f t="shared" si="100"/>
        <v>32</v>
      </c>
      <c r="D1234" s="107">
        <f t="shared" si="101"/>
        <v>44</v>
      </c>
      <c r="E1234" s="15">
        <f t="shared" si="97"/>
        <v>268</v>
      </c>
      <c r="F1234" s="110">
        <f t="shared" si="98"/>
        <v>381</v>
      </c>
    </row>
    <row r="1235" spans="2:6" x14ac:dyDescent="0.25">
      <c r="B1235" s="105">
        <f t="shared" si="99"/>
        <v>1232</v>
      </c>
      <c r="C1235" s="107">
        <f t="shared" si="100"/>
        <v>33</v>
      </c>
      <c r="D1235" s="107">
        <f t="shared" si="101"/>
        <v>44</v>
      </c>
      <c r="E1235" s="15">
        <f t="shared" si="97"/>
        <v>268</v>
      </c>
      <c r="F1235" s="110">
        <f t="shared" si="98"/>
        <v>376</v>
      </c>
    </row>
    <row r="1236" spans="2:6" x14ac:dyDescent="0.25">
      <c r="B1236" s="105">
        <f t="shared" si="99"/>
        <v>1233</v>
      </c>
      <c r="C1236" s="107">
        <f t="shared" si="100"/>
        <v>34</v>
      </c>
      <c r="D1236" s="107">
        <f t="shared" si="101"/>
        <v>44</v>
      </c>
      <c r="E1236" s="15">
        <f t="shared" si="97"/>
        <v>268</v>
      </c>
      <c r="F1236" s="110">
        <f t="shared" si="98"/>
        <v>370</v>
      </c>
    </row>
    <row r="1237" spans="2:6" x14ac:dyDescent="0.25">
      <c r="B1237" s="105">
        <f t="shared" si="99"/>
        <v>1234</v>
      </c>
      <c r="C1237" s="107">
        <f t="shared" si="100"/>
        <v>35</v>
      </c>
      <c r="D1237" s="107">
        <f t="shared" si="101"/>
        <v>44</v>
      </c>
      <c r="E1237" s="15">
        <f t="shared" si="97"/>
        <v>268</v>
      </c>
      <c r="F1237" s="110">
        <f t="shared" si="98"/>
        <v>362</v>
      </c>
    </row>
    <row r="1238" spans="2:6" x14ac:dyDescent="0.25">
      <c r="B1238" s="105">
        <f t="shared" si="99"/>
        <v>1235</v>
      </c>
      <c r="C1238" s="107">
        <f t="shared" si="100"/>
        <v>36</v>
      </c>
      <c r="D1238" s="107">
        <f t="shared" si="101"/>
        <v>44</v>
      </c>
      <c r="E1238" s="15">
        <f t="shared" si="97"/>
        <v>268</v>
      </c>
      <c r="F1238" s="110">
        <f t="shared" si="98"/>
        <v>357</v>
      </c>
    </row>
    <row r="1239" spans="2:6" x14ac:dyDescent="0.25">
      <c r="B1239" s="105">
        <f t="shared" si="99"/>
        <v>1236</v>
      </c>
      <c r="C1239" s="107">
        <f t="shared" si="100"/>
        <v>37</v>
      </c>
      <c r="D1239" s="107">
        <f t="shared" si="101"/>
        <v>44</v>
      </c>
      <c r="E1239" s="15">
        <f t="shared" si="97"/>
        <v>268</v>
      </c>
      <c r="F1239" s="110">
        <f t="shared" si="98"/>
        <v>351</v>
      </c>
    </row>
    <row r="1240" spans="2:6" x14ac:dyDescent="0.25">
      <c r="B1240" s="105">
        <f t="shared" si="99"/>
        <v>1237</v>
      </c>
      <c r="C1240" s="107">
        <f t="shared" si="100"/>
        <v>38</v>
      </c>
      <c r="D1240" s="107">
        <f t="shared" si="101"/>
        <v>44</v>
      </c>
      <c r="E1240" s="15">
        <f t="shared" si="97"/>
        <v>268</v>
      </c>
      <c r="F1240" s="110">
        <f t="shared" si="98"/>
        <v>339</v>
      </c>
    </row>
    <row r="1241" spans="2:6" x14ac:dyDescent="0.25">
      <c r="B1241" s="105">
        <f t="shared" si="99"/>
        <v>1238</v>
      </c>
      <c r="C1241" s="107">
        <f t="shared" si="100"/>
        <v>39</v>
      </c>
      <c r="D1241" s="107">
        <f t="shared" si="101"/>
        <v>44</v>
      </c>
      <c r="E1241" s="15">
        <f t="shared" si="97"/>
        <v>268</v>
      </c>
      <c r="F1241" s="110">
        <f t="shared" si="98"/>
        <v>304</v>
      </c>
    </row>
    <row r="1242" spans="2:6" x14ac:dyDescent="0.25">
      <c r="B1242" s="105">
        <f t="shared" si="99"/>
        <v>1239</v>
      </c>
      <c r="C1242" s="107">
        <f t="shared" si="100"/>
        <v>40</v>
      </c>
      <c r="D1242" s="107">
        <f t="shared" si="101"/>
        <v>44</v>
      </c>
      <c r="E1242" s="15">
        <f t="shared" si="97"/>
        <v>268</v>
      </c>
      <c r="F1242" s="110">
        <f t="shared" si="98"/>
        <v>301</v>
      </c>
    </row>
    <row r="1243" spans="2:6" x14ac:dyDescent="0.25">
      <c r="B1243" s="105">
        <f t="shared" si="99"/>
        <v>1240</v>
      </c>
      <c r="C1243" s="107">
        <f t="shared" si="100"/>
        <v>41</v>
      </c>
      <c r="D1243" s="107">
        <f t="shared" si="101"/>
        <v>44</v>
      </c>
      <c r="E1243" s="15">
        <f t="shared" si="97"/>
        <v>268</v>
      </c>
      <c r="F1243" s="110">
        <f t="shared" si="98"/>
        <v>300</v>
      </c>
    </row>
    <row r="1244" spans="2:6" x14ac:dyDescent="0.25">
      <c r="B1244" s="105">
        <f t="shared" si="99"/>
        <v>1241</v>
      </c>
      <c r="C1244" s="107">
        <f t="shared" si="100"/>
        <v>42</v>
      </c>
      <c r="D1244" s="107">
        <f t="shared" si="101"/>
        <v>44</v>
      </c>
      <c r="E1244" s="15">
        <f t="shared" si="97"/>
        <v>268</v>
      </c>
      <c r="F1244" s="110">
        <f t="shared" si="98"/>
        <v>288</v>
      </c>
    </row>
    <row r="1245" spans="2:6" x14ac:dyDescent="0.25">
      <c r="B1245" s="105">
        <f t="shared" si="99"/>
        <v>1242</v>
      </c>
      <c r="C1245" s="107">
        <f t="shared" si="100"/>
        <v>43</v>
      </c>
      <c r="D1245" s="107">
        <f t="shared" si="101"/>
        <v>44</v>
      </c>
      <c r="E1245" s="15">
        <f t="shared" si="97"/>
        <v>268</v>
      </c>
      <c r="F1245" s="110">
        <f t="shared" si="98"/>
        <v>273</v>
      </c>
    </row>
    <row r="1246" spans="2:6" x14ac:dyDescent="0.25">
      <c r="B1246" s="105">
        <f t="shared" si="99"/>
        <v>1243</v>
      </c>
      <c r="C1246" s="107">
        <f t="shared" si="100"/>
        <v>1</v>
      </c>
      <c r="D1246" s="107">
        <f t="shared" si="101"/>
        <v>43</v>
      </c>
      <c r="E1246" s="15">
        <f t="shared" si="97"/>
        <v>273</v>
      </c>
      <c r="F1246" s="110">
        <f t="shared" si="98"/>
        <v>1048</v>
      </c>
    </row>
    <row r="1247" spans="2:6" x14ac:dyDescent="0.25">
      <c r="B1247" s="105">
        <f t="shared" si="99"/>
        <v>1244</v>
      </c>
      <c r="C1247" s="107">
        <f t="shared" si="100"/>
        <v>2</v>
      </c>
      <c r="D1247" s="107">
        <f t="shared" si="101"/>
        <v>43</v>
      </c>
      <c r="E1247" s="15">
        <f t="shared" si="97"/>
        <v>273</v>
      </c>
      <c r="F1247" s="110">
        <f t="shared" si="98"/>
        <v>1025</v>
      </c>
    </row>
    <row r="1248" spans="2:6" x14ac:dyDescent="0.25">
      <c r="B1248" s="105">
        <f t="shared" si="99"/>
        <v>1245</v>
      </c>
      <c r="C1248" s="107">
        <f t="shared" si="100"/>
        <v>3</v>
      </c>
      <c r="D1248" s="107">
        <f t="shared" si="101"/>
        <v>43</v>
      </c>
      <c r="E1248" s="15">
        <f t="shared" si="97"/>
        <v>273</v>
      </c>
      <c r="F1248" s="110">
        <f t="shared" si="98"/>
        <v>805</v>
      </c>
    </row>
    <row r="1249" spans="2:6" x14ac:dyDescent="0.25">
      <c r="B1249" s="105">
        <f t="shared" si="99"/>
        <v>1246</v>
      </c>
      <c r="C1249" s="107">
        <f t="shared" si="100"/>
        <v>4</v>
      </c>
      <c r="D1249" s="107">
        <f t="shared" si="101"/>
        <v>43</v>
      </c>
      <c r="E1249" s="15">
        <f t="shared" si="97"/>
        <v>273</v>
      </c>
      <c r="F1249" s="110">
        <f t="shared" si="98"/>
        <v>666</v>
      </c>
    </row>
    <row r="1250" spans="2:6" x14ac:dyDescent="0.25">
      <c r="B1250" s="105">
        <f t="shared" si="99"/>
        <v>1247</v>
      </c>
      <c r="C1250" s="107">
        <f t="shared" si="100"/>
        <v>5</v>
      </c>
      <c r="D1250" s="107">
        <f t="shared" si="101"/>
        <v>43</v>
      </c>
      <c r="E1250" s="15">
        <f t="shared" si="97"/>
        <v>273</v>
      </c>
      <c r="F1250" s="110">
        <f t="shared" si="98"/>
        <v>655</v>
      </c>
    </row>
    <row r="1251" spans="2:6" x14ac:dyDescent="0.25">
      <c r="B1251" s="105">
        <f t="shared" si="99"/>
        <v>1248</v>
      </c>
      <c r="C1251" s="107">
        <f t="shared" si="100"/>
        <v>6</v>
      </c>
      <c r="D1251" s="107">
        <f t="shared" si="101"/>
        <v>43</v>
      </c>
      <c r="E1251" s="15">
        <f t="shared" si="97"/>
        <v>273</v>
      </c>
      <c r="F1251" s="110">
        <f t="shared" si="98"/>
        <v>652</v>
      </c>
    </row>
    <row r="1252" spans="2:6" x14ac:dyDescent="0.25">
      <c r="B1252" s="105">
        <f t="shared" si="99"/>
        <v>1249</v>
      </c>
      <c r="C1252" s="107">
        <f t="shared" si="100"/>
        <v>7</v>
      </c>
      <c r="D1252" s="107">
        <f t="shared" si="101"/>
        <v>43</v>
      </c>
      <c r="E1252" s="15">
        <f t="shared" si="97"/>
        <v>273</v>
      </c>
      <c r="F1252" s="110">
        <f t="shared" si="98"/>
        <v>633</v>
      </c>
    </row>
    <row r="1253" spans="2:6" x14ac:dyDescent="0.25">
      <c r="B1253" s="105">
        <f t="shared" si="99"/>
        <v>1250</v>
      </c>
      <c r="C1253" s="107">
        <f t="shared" si="100"/>
        <v>8</v>
      </c>
      <c r="D1253" s="107">
        <f t="shared" si="101"/>
        <v>43</v>
      </c>
      <c r="E1253" s="15">
        <f t="shared" si="97"/>
        <v>273</v>
      </c>
      <c r="F1253" s="110">
        <f t="shared" si="98"/>
        <v>632</v>
      </c>
    </row>
    <row r="1254" spans="2:6" x14ac:dyDescent="0.25">
      <c r="B1254" s="105">
        <f t="shared" si="99"/>
        <v>1251</v>
      </c>
      <c r="C1254" s="107">
        <f t="shared" si="100"/>
        <v>9</v>
      </c>
      <c r="D1254" s="107">
        <f t="shared" si="101"/>
        <v>43</v>
      </c>
      <c r="E1254" s="15">
        <f t="shared" si="97"/>
        <v>273</v>
      </c>
      <c r="F1254" s="110">
        <f t="shared" si="98"/>
        <v>625</v>
      </c>
    </row>
    <row r="1255" spans="2:6" x14ac:dyDescent="0.25">
      <c r="B1255" s="105">
        <f t="shared" si="99"/>
        <v>1252</v>
      </c>
      <c r="C1255" s="107">
        <f t="shared" si="100"/>
        <v>10</v>
      </c>
      <c r="D1255" s="107">
        <f t="shared" si="101"/>
        <v>43</v>
      </c>
      <c r="E1255" s="15">
        <f t="shared" si="97"/>
        <v>273</v>
      </c>
      <c r="F1255" s="110">
        <f t="shared" si="98"/>
        <v>619</v>
      </c>
    </row>
    <row r="1256" spans="2:6" x14ac:dyDescent="0.25">
      <c r="B1256" s="105">
        <f t="shared" si="99"/>
        <v>1253</v>
      </c>
      <c r="C1256" s="107">
        <f t="shared" si="100"/>
        <v>11</v>
      </c>
      <c r="D1256" s="107">
        <f t="shared" si="101"/>
        <v>43</v>
      </c>
      <c r="E1256" s="15">
        <f t="shared" si="97"/>
        <v>273</v>
      </c>
      <c r="F1256" s="110">
        <f t="shared" si="98"/>
        <v>610</v>
      </c>
    </row>
    <row r="1257" spans="2:6" x14ac:dyDescent="0.25">
      <c r="B1257" s="105">
        <f t="shared" si="99"/>
        <v>1254</v>
      </c>
      <c r="C1257" s="107">
        <f t="shared" si="100"/>
        <v>12</v>
      </c>
      <c r="D1257" s="107">
        <f t="shared" si="101"/>
        <v>43</v>
      </c>
      <c r="E1257" s="15">
        <f t="shared" si="97"/>
        <v>273</v>
      </c>
      <c r="F1257" s="110">
        <f t="shared" si="98"/>
        <v>599</v>
      </c>
    </row>
    <row r="1258" spans="2:6" x14ac:dyDescent="0.25">
      <c r="B1258" s="105">
        <f t="shared" si="99"/>
        <v>1255</v>
      </c>
      <c r="C1258" s="107">
        <f t="shared" si="100"/>
        <v>13</v>
      </c>
      <c r="D1258" s="107">
        <f t="shared" si="101"/>
        <v>43</v>
      </c>
      <c r="E1258" s="15">
        <f t="shared" si="97"/>
        <v>273</v>
      </c>
      <c r="F1258" s="110">
        <f t="shared" si="98"/>
        <v>559</v>
      </c>
    </row>
    <row r="1259" spans="2:6" x14ac:dyDescent="0.25">
      <c r="B1259" s="105">
        <f t="shared" si="99"/>
        <v>1256</v>
      </c>
      <c r="C1259" s="107">
        <f t="shared" si="100"/>
        <v>14</v>
      </c>
      <c r="D1259" s="107">
        <f t="shared" si="101"/>
        <v>43</v>
      </c>
      <c r="E1259" s="15">
        <f t="shared" si="97"/>
        <v>273</v>
      </c>
      <c r="F1259" s="110">
        <f t="shared" si="98"/>
        <v>556</v>
      </c>
    </row>
    <row r="1260" spans="2:6" x14ac:dyDescent="0.25">
      <c r="B1260" s="105">
        <f t="shared" si="99"/>
        <v>1257</v>
      </c>
      <c r="C1260" s="107">
        <f t="shared" si="100"/>
        <v>15</v>
      </c>
      <c r="D1260" s="107">
        <f t="shared" si="101"/>
        <v>43</v>
      </c>
      <c r="E1260" s="15">
        <f t="shared" si="97"/>
        <v>273</v>
      </c>
      <c r="F1260" s="110">
        <f t="shared" si="98"/>
        <v>540</v>
      </c>
    </row>
    <row r="1261" spans="2:6" x14ac:dyDescent="0.25">
      <c r="B1261" s="105">
        <f t="shared" si="99"/>
        <v>1258</v>
      </c>
      <c r="C1261" s="107">
        <f t="shared" si="100"/>
        <v>16</v>
      </c>
      <c r="D1261" s="107">
        <f t="shared" si="101"/>
        <v>43</v>
      </c>
      <c r="E1261" s="15">
        <f t="shared" si="97"/>
        <v>273</v>
      </c>
      <c r="F1261" s="110">
        <f t="shared" si="98"/>
        <v>536</v>
      </c>
    </row>
    <row r="1262" spans="2:6" x14ac:dyDescent="0.25">
      <c r="B1262" s="105">
        <f t="shared" si="99"/>
        <v>1259</v>
      </c>
      <c r="C1262" s="107">
        <f t="shared" si="100"/>
        <v>17</v>
      </c>
      <c r="D1262" s="107">
        <f t="shared" si="101"/>
        <v>43</v>
      </c>
      <c r="E1262" s="15">
        <f t="shared" si="97"/>
        <v>273</v>
      </c>
      <c r="F1262" s="110">
        <f t="shared" si="98"/>
        <v>527</v>
      </c>
    </row>
    <row r="1263" spans="2:6" x14ac:dyDescent="0.25">
      <c r="B1263" s="105">
        <f t="shared" si="99"/>
        <v>1260</v>
      </c>
      <c r="C1263" s="107">
        <f t="shared" si="100"/>
        <v>18</v>
      </c>
      <c r="D1263" s="107">
        <f t="shared" si="101"/>
        <v>43</v>
      </c>
      <c r="E1263" s="15">
        <f t="shared" si="97"/>
        <v>273</v>
      </c>
      <c r="F1263" s="110">
        <f t="shared" si="98"/>
        <v>478</v>
      </c>
    </row>
    <row r="1264" spans="2:6" x14ac:dyDescent="0.25">
      <c r="B1264" s="105">
        <f t="shared" si="99"/>
        <v>1261</v>
      </c>
      <c r="C1264" s="107">
        <f t="shared" si="100"/>
        <v>19</v>
      </c>
      <c r="D1264" s="107">
        <f t="shared" si="101"/>
        <v>43</v>
      </c>
      <c r="E1264" s="15">
        <f t="shared" si="97"/>
        <v>273</v>
      </c>
      <c r="F1264" s="110">
        <f t="shared" si="98"/>
        <v>474</v>
      </c>
    </row>
    <row r="1265" spans="2:6" x14ac:dyDescent="0.25">
      <c r="B1265" s="105">
        <f t="shared" si="99"/>
        <v>1262</v>
      </c>
      <c r="C1265" s="107">
        <f t="shared" si="100"/>
        <v>20</v>
      </c>
      <c r="D1265" s="107">
        <f t="shared" si="101"/>
        <v>43</v>
      </c>
      <c r="E1265" s="15">
        <f t="shared" si="97"/>
        <v>273</v>
      </c>
      <c r="F1265" s="110">
        <f t="shared" si="98"/>
        <v>468</v>
      </c>
    </row>
    <row r="1266" spans="2:6" x14ac:dyDescent="0.25">
      <c r="B1266" s="105">
        <f t="shared" si="99"/>
        <v>1263</v>
      </c>
      <c r="C1266" s="107">
        <f t="shared" si="100"/>
        <v>21</v>
      </c>
      <c r="D1266" s="107">
        <f t="shared" si="101"/>
        <v>43</v>
      </c>
      <c r="E1266" s="15">
        <f t="shared" si="97"/>
        <v>273</v>
      </c>
      <c r="F1266" s="110">
        <f t="shared" si="98"/>
        <v>457</v>
      </c>
    </row>
    <row r="1267" spans="2:6" x14ac:dyDescent="0.25">
      <c r="B1267" s="105">
        <f t="shared" si="99"/>
        <v>1264</v>
      </c>
      <c r="C1267" s="107">
        <f t="shared" si="100"/>
        <v>22</v>
      </c>
      <c r="D1267" s="107">
        <f t="shared" si="101"/>
        <v>43</v>
      </c>
      <c r="E1267" s="15">
        <f t="shared" si="97"/>
        <v>273</v>
      </c>
      <c r="F1267" s="110">
        <f t="shared" si="98"/>
        <v>452</v>
      </c>
    </row>
    <row r="1268" spans="2:6" x14ac:dyDescent="0.25">
      <c r="B1268" s="105">
        <f t="shared" si="99"/>
        <v>1265</v>
      </c>
      <c r="C1268" s="107">
        <f t="shared" si="100"/>
        <v>23</v>
      </c>
      <c r="D1268" s="107">
        <f t="shared" si="101"/>
        <v>43</v>
      </c>
      <c r="E1268" s="15">
        <f t="shared" si="97"/>
        <v>273</v>
      </c>
      <c r="F1268" s="110">
        <f t="shared" si="98"/>
        <v>442</v>
      </c>
    </row>
    <row r="1269" spans="2:6" x14ac:dyDescent="0.25">
      <c r="B1269" s="105">
        <f t="shared" si="99"/>
        <v>1266</v>
      </c>
      <c r="C1269" s="107">
        <f t="shared" si="100"/>
        <v>24</v>
      </c>
      <c r="D1269" s="107">
        <f t="shared" si="101"/>
        <v>43</v>
      </c>
      <c r="E1269" s="15">
        <f t="shared" si="97"/>
        <v>273</v>
      </c>
      <c r="F1269" s="110">
        <f t="shared" si="98"/>
        <v>420</v>
      </c>
    </row>
    <row r="1270" spans="2:6" x14ac:dyDescent="0.25">
      <c r="B1270" s="105">
        <f t="shared" si="99"/>
        <v>1267</v>
      </c>
      <c r="C1270" s="107">
        <f t="shared" si="100"/>
        <v>25</v>
      </c>
      <c r="D1270" s="107">
        <f t="shared" si="101"/>
        <v>43</v>
      </c>
      <c r="E1270" s="15">
        <f t="shared" si="97"/>
        <v>273</v>
      </c>
      <c r="F1270" s="110">
        <f t="shared" si="98"/>
        <v>410</v>
      </c>
    </row>
    <row r="1271" spans="2:6" x14ac:dyDescent="0.25">
      <c r="B1271" s="105">
        <f t="shared" si="99"/>
        <v>1268</v>
      </c>
      <c r="C1271" s="107">
        <f t="shared" si="100"/>
        <v>26</v>
      </c>
      <c r="D1271" s="107">
        <f t="shared" si="101"/>
        <v>43</v>
      </c>
      <c r="E1271" s="15">
        <f t="shared" si="97"/>
        <v>273</v>
      </c>
      <c r="F1271" s="110">
        <f t="shared" si="98"/>
        <v>409</v>
      </c>
    </row>
    <row r="1272" spans="2:6" x14ac:dyDescent="0.25">
      <c r="B1272" s="105">
        <f t="shared" si="99"/>
        <v>1269</v>
      </c>
      <c r="C1272" s="107">
        <f t="shared" si="100"/>
        <v>27</v>
      </c>
      <c r="D1272" s="107">
        <f t="shared" si="101"/>
        <v>43</v>
      </c>
      <c r="E1272" s="15">
        <f t="shared" si="97"/>
        <v>273</v>
      </c>
      <c r="F1272" s="110">
        <f t="shared" si="98"/>
        <v>408</v>
      </c>
    </row>
    <row r="1273" spans="2:6" x14ac:dyDescent="0.25">
      <c r="B1273" s="105">
        <f t="shared" si="99"/>
        <v>1270</v>
      </c>
      <c r="C1273" s="107">
        <f t="shared" si="100"/>
        <v>28</v>
      </c>
      <c r="D1273" s="107">
        <f t="shared" si="101"/>
        <v>43</v>
      </c>
      <c r="E1273" s="15">
        <f t="shared" si="97"/>
        <v>273</v>
      </c>
      <c r="F1273" s="110">
        <f t="shared" si="98"/>
        <v>404</v>
      </c>
    </row>
    <row r="1274" spans="2:6" x14ac:dyDescent="0.25">
      <c r="B1274" s="105">
        <f t="shared" si="99"/>
        <v>1271</v>
      </c>
      <c r="C1274" s="107">
        <f t="shared" si="100"/>
        <v>29</v>
      </c>
      <c r="D1274" s="107">
        <f t="shared" si="101"/>
        <v>43</v>
      </c>
      <c r="E1274" s="15">
        <f t="shared" si="97"/>
        <v>273</v>
      </c>
      <c r="F1274" s="110">
        <f t="shared" si="98"/>
        <v>399</v>
      </c>
    </row>
    <row r="1275" spans="2:6" x14ac:dyDescent="0.25">
      <c r="B1275" s="105">
        <f t="shared" si="99"/>
        <v>1272</v>
      </c>
      <c r="C1275" s="107">
        <f t="shared" si="100"/>
        <v>30</v>
      </c>
      <c r="D1275" s="107">
        <f t="shared" si="101"/>
        <v>43</v>
      </c>
      <c r="E1275" s="15">
        <f t="shared" si="97"/>
        <v>273</v>
      </c>
      <c r="F1275" s="110">
        <f t="shared" si="98"/>
        <v>396</v>
      </c>
    </row>
    <row r="1276" spans="2:6" x14ac:dyDescent="0.25">
      <c r="B1276" s="105">
        <f t="shared" si="99"/>
        <v>1273</v>
      </c>
      <c r="C1276" s="107">
        <f t="shared" si="100"/>
        <v>31</v>
      </c>
      <c r="D1276" s="107">
        <f t="shared" si="101"/>
        <v>43</v>
      </c>
      <c r="E1276" s="15">
        <f t="shared" si="97"/>
        <v>273</v>
      </c>
      <c r="F1276" s="110">
        <f t="shared" si="98"/>
        <v>384</v>
      </c>
    </row>
    <row r="1277" spans="2:6" x14ac:dyDescent="0.25">
      <c r="B1277" s="105">
        <f t="shared" si="99"/>
        <v>1274</v>
      </c>
      <c r="C1277" s="107">
        <f t="shared" si="100"/>
        <v>32</v>
      </c>
      <c r="D1277" s="107">
        <f t="shared" si="101"/>
        <v>43</v>
      </c>
      <c r="E1277" s="15">
        <f t="shared" si="97"/>
        <v>273</v>
      </c>
      <c r="F1277" s="110">
        <f t="shared" si="98"/>
        <v>381</v>
      </c>
    </row>
    <row r="1278" spans="2:6" x14ac:dyDescent="0.25">
      <c r="B1278" s="105">
        <f t="shared" si="99"/>
        <v>1275</v>
      </c>
      <c r="C1278" s="107">
        <f t="shared" si="100"/>
        <v>33</v>
      </c>
      <c r="D1278" s="107">
        <f t="shared" si="101"/>
        <v>43</v>
      </c>
      <c r="E1278" s="15">
        <f t="shared" si="97"/>
        <v>273</v>
      </c>
      <c r="F1278" s="110">
        <f t="shared" si="98"/>
        <v>376</v>
      </c>
    </row>
    <row r="1279" spans="2:6" x14ac:dyDescent="0.25">
      <c r="B1279" s="105">
        <f t="shared" si="99"/>
        <v>1276</v>
      </c>
      <c r="C1279" s="107">
        <f t="shared" si="100"/>
        <v>34</v>
      </c>
      <c r="D1279" s="107">
        <f t="shared" si="101"/>
        <v>43</v>
      </c>
      <c r="E1279" s="15">
        <f t="shared" si="97"/>
        <v>273</v>
      </c>
      <c r="F1279" s="110">
        <f t="shared" si="98"/>
        <v>370</v>
      </c>
    </row>
    <row r="1280" spans="2:6" x14ac:dyDescent="0.25">
      <c r="B1280" s="105">
        <f t="shared" si="99"/>
        <v>1277</v>
      </c>
      <c r="C1280" s="107">
        <f t="shared" si="100"/>
        <v>35</v>
      </c>
      <c r="D1280" s="107">
        <f t="shared" si="101"/>
        <v>43</v>
      </c>
      <c r="E1280" s="15">
        <f t="shared" si="97"/>
        <v>273</v>
      </c>
      <c r="F1280" s="110">
        <f t="shared" si="98"/>
        <v>362</v>
      </c>
    </row>
    <row r="1281" spans="2:6" x14ac:dyDescent="0.25">
      <c r="B1281" s="105">
        <f t="shared" si="99"/>
        <v>1278</v>
      </c>
      <c r="C1281" s="107">
        <f t="shared" si="100"/>
        <v>36</v>
      </c>
      <c r="D1281" s="107">
        <f t="shared" si="101"/>
        <v>43</v>
      </c>
      <c r="E1281" s="15">
        <f t="shared" si="97"/>
        <v>273</v>
      </c>
      <c r="F1281" s="110">
        <f t="shared" si="98"/>
        <v>357</v>
      </c>
    </row>
    <row r="1282" spans="2:6" x14ac:dyDescent="0.25">
      <c r="B1282" s="105">
        <f t="shared" si="99"/>
        <v>1279</v>
      </c>
      <c r="C1282" s="107">
        <f t="shared" si="100"/>
        <v>37</v>
      </c>
      <c r="D1282" s="107">
        <f t="shared" si="101"/>
        <v>43</v>
      </c>
      <c r="E1282" s="15">
        <f t="shared" si="97"/>
        <v>273</v>
      </c>
      <c r="F1282" s="110">
        <f t="shared" si="98"/>
        <v>351</v>
      </c>
    </row>
    <row r="1283" spans="2:6" x14ac:dyDescent="0.25">
      <c r="B1283" s="105">
        <f t="shared" si="99"/>
        <v>1280</v>
      </c>
      <c r="C1283" s="107">
        <f t="shared" si="100"/>
        <v>38</v>
      </c>
      <c r="D1283" s="107">
        <f t="shared" si="101"/>
        <v>43</v>
      </c>
      <c r="E1283" s="15">
        <f t="shared" si="97"/>
        <v>273</v>
      </c>
      <c r="F1283" s="110">
        <f t="shared" si="98"/>
        <v>339</v>
      </c>
    </row>
    <row r="1284" spans="2:6" x14ac:dyDescent="0.25">
      <c r="B1284" s="105">
        <f t="shared" si="99"/>
        <v>1281</v>
      </c>
      <c r="C1284" s="107">
        <f t="shared" si="100"/>
        <v>39</v>
      </c>
      <c r="D1284" s="107">
        <f t="shared" si="101"/>
        <v>43</v>
      </c>
      <c r="E1284" s="15">
        <f t="shared" ref="E1284:E1347" si="102">IFERROR(VLOOKUP(D1284,$H$4:$I$69,2,0),"")</f>
        <v>273</v>
      </c>
      <c r="F1284" s="110">
        <f t="shared" ref="F1284:F1347" si="103">IFERROR(VLOOKUP(C1284,$H$4:$I$69,2,0),"")</f>
        <v>304</v>
      </c>
    </row>
    <row r="1285" spans="2:6" x14ac:dyDescent="0.25">
      <c r="B1285" s="105">
        <f t="shared" ref="B1285:B1348" si="104">ROW()-3</f>
        <v>1282</v>
      </c>
      <c r="C1285" s="107">
        <f t="shared" si="100"/>
        <v>40</v>
      </c>
      <c r="D1285" s="107">
        <f t="shared" si="101"/>
        <v>43</v>
      </c>
      <c r="E1285" s="15">
        <f t="shared" si="102"/>
        <v>273</v>
      </c>
      <c r="F1285" s="110">
        <f t="shared" si="103"/>
        <v>301</v>
      </c>
    </row>
    <row r="1286" spans="2:6" x14ac:dyDescent="0.25">
      <c r="B1286" s="105">
        <f t="shared" si="104"/>
        <v>1283</v>
      </c>
      <c r="C1286" s="107">
        <f t="shared" ref="C1286:C1349" si="105">IF((D1285-C1285)=1,1,C1285+1)</f>
        <v>41</v>
      </c>
      <c r="D1286" s="107">
        <f t="shared" ref="D1286:D1349" si="106">IF((D1285-C1285)=1,D1285-1,D1285)</f>
        <v>43</v>
      </c>
      <c r="E1286" s="15">
        <f t="shared" si="102"/>
        <v>273</v>
      </c>
      <c r="F1286" s="110">
        <f t="shared" si="103"/>
        <v>300</v>
      </c>
    </row>
    <row r="1287" spans="2:6" x14ac:dyDescent="0.25">
      <c r="B1287" s="105">
        <f t="shared" si="104"/>
        <v>1284</v>
      </c>
      <c r="C1287" s="107">
        <f t="shared" si="105"/>
        <v>42</v>
      </c>
      <c r="D1287" s="107">
        <f t="shared" si="106"/>
        <v>43</v>
      </c>
      <c r="E1287" s="15">
        <f t="shared" si="102"/>
        <v>273</v>
      </c>
      <c r="F1287" s="110">
        <f t="shared" si="103"/>
        <v>288</v>
      </c>
    </row>
    <row r="1288" spans="2:6" x14ac:dyDescent="0.25">
      <c r="B1288" s="105">
        <f t="shared" si="104"/>
        <v>1285</v>
      </c>
      <c r="C1288" s="107">
        <f t="shared" si="105"/>
        <v>1</v>
      </c>
      <c r="D1288" s="107">
        <f t="shared" si="106"/>
        <v>42</v>
      </c>
      <c r="E1288" s="15">
        <f t="shared" si="102"/>
        <v>288</v>
      </c>
      <c r="F1288" s="110">
        <f t="shared" si="103"/>
        <v>1048</v>
      </c>
    </row>
    <row r="1289" spans="2:6" x14ac:dyDescent="0.25">
      <c r="B1289" s="105">
        <f t="shared" si="104"/>
        <v>1286</v>
      </c>
      <c r="C1289" s="107">
        <f t="shared" si="105"/>
        <v>2</v>
      </c>
      <c r="D1289" s="107">
        <f t="shared" si="106"/>
        <v>42</v>
      </c>
      <c r="E1289" s="15">
        <f t="shared" si="102"/>
        <v>288</v>
      </c>
      <c r="F1289" s="110">
        <f t="shared" si="103"/>
        <v>1025</v>
      </c>
    </row>
    <row r="1290" spans="2:6" x14ac:dyDescent="0.25">
      <c r="B1290" s="105">
        <f t="shared" si="104"/>
        <v>1287</v>
      </c>
      <c r="C1290" s="107">
        <f t="shared" si="105"/>
        <v>3</v>
      </c>
      <c r="D1290" s="107">
        <f t="shared" si="106"/>
        <v>42</v>
      </c>
      <c r="E1290" s="15">
        <f t="shared" si="102"/>
        <v>288</v>
      </c>
      <c r="F1290" s="110">
        <f t="shared" si="103"/>
        <v>805</v>
      </c>
    </row>
    <row r="1291" spans="2:6" x14ac:dyDescent="0.25">
      <c r="B1291" s="105">
        <f t="shared" si="104"/>
        <v>1288</v>
      </c>
      <c r="C1291" s="107">
        <f t="shared" si="105"/>
        <v>4</v>
      </c>
      <c r="D1291" s="107">
        <f t="shared" si="106"/>
        <v>42</v>
      </c>
      <c r="E1291" s="15">
        <f t="shared" si="102"/>
        <v>288</v>
      </c>
      <c r="F1291" s="110">
        <f t="shared" si="103"/>
        <v>666</v>
      </c>
    </row>
    <row r="1292" spans="2:6" x14ac:dyDescent="0.25">
      <c r="B1292" s="105">
        <f t="shared" si="104"/>
        <v>1289</v>
      </c>
      <c r="C1292" s="107">
        <f t="shared" si="105"/>
        <v>5</v>
      </c>
      <c r="D1292" s="107">
        <f t="shared" si="106"/>
        <v>42</v>
      </c>
      <c r="E1292" s="15">
        <f t="shared" si="102"/>
        <v>288</v>
      </c>
      <c r="F1292" s="110">
        <f t="shared" si="103"/>
        <v>655</v>
      </c>
    </row>
    <row r="1293" spans="2:6" x14ac:dyDescent="0.25">
      <c r="B1293" s="105">
        <f t="shared" si="104"/>
        <v>1290</v>
      </c>
      <c r="C1293" s="107">
        <f t="shared" si="105"/>
        <v>6</v>
      </c>
      <c r="D1293" s="107">
        <f t="shared" si="106"/>
        <v>42</v>
      </c>
      <c r="E1293" s="15">
        <f t="shared" si="102"/>
        <v>288</v>
      </c>
      <c r="F1293" s="110">
        <f t="shared" si="103"/>
        <v>652</v>
      </c>
    </row>
    <row r="1294" spans="2:6" x14ac:dyDescent="0.25">
      <c r="B1294" s="105">
        <f t="shared" si="104"/>
        <v>1291</v>
      </c>
      <c r="C1294" s="107">
        <f t="shared" si="105"/>
        <v>7</v>
      </c>
      <c r="D1294" s="107">
        <f t="shared" si="106"/>
        <v>42</v>
      </c>
      <c r="E1294" s="15">
        <f t="shared" si="102"/>
        <v>288</v>
      </c>
      <c r="F1294" s="110">
        <f t="shared" si="103"/>
        <v>633</v>
      </c>
    </row>
    <row r="1295" spans="2:6" x14ac:dyDescent="0.25">
      <c r="B1295" s="105">
        <f t="shared" si="104"/>
        <v>1292</v>
      </c>
      <c r="C1295" s="107">
        <f t="shared" si="105"/>
        <v>8</v>
      </c>
      <c r="D1295" s="107">
        <f t="shared" si="106"/>
        <v>42</v>
      </c>
      <c r="E1295" s="15">
        <f t="shared" si="102"/>
        <v>288</v>
      </c>
      <c r="F1295" s="110">
        <f t="shared" si="103"/>
        <v>632</v>
      </c>
    </row>
    <row r="1296" spans="2:6" x14ac:dyDescent="0.25">
      <c r="B1296" s="105">
        <f t="shared" si="104"/>
        <v>1293</v>
      </c>
      <c r="C1296" s="107">
        <f t="shared" si="105"/>
        <v>9</v>
      </c>
      <c r="D1296" s="107">
        <f t="shared" si="106"/>
        <v>42</v>
      </c>
      <c r="E1296" s="15">
        <f t="shared" si="102"/>
        <v>288</v>
      </c>
      <c r="F1296" s="110">
        <f t="shared" si="103"/>
        <v>625</v>
      </c>
    </row>
    <row r="1297" spans="2:6" x14ac:dyDescent="0.25">
      <c r="B1297" s="105">
        <f t="shared" si="104"/>
        <v>1294</v>
      </c>
      <c r="C1297" s="107">
        <f t="shared" si="105"/>
        <v>10</v>
      </c>
      <c r="D1297" s="107">
        <f t="shared" si="106"/>
        <v>42</v>
      </c>
      <c r="E1297" s="15">
        <f t="shared" si="102"/>
        <v>288</v>
      </c>
      <c r="F1297" s="110">
        <f t="shared" si="103"/>
        <v>619</v>
      </c>
    </row>
    <row r="1298" spans="2:6" x14ac:dyDescent="0.25">
      <c r="B1298" s="105">
        <f t="shared" si="104"/>
        <v>1295</v>
      </c>
      <c r="C1298" s="107">
        <f t="shared" si="105"/>
        <v>11</v>
      </c>
      <c r="D1298" s="107">
        <f t="shared" si="106"/>
        <v>42</v>
      </c>
      <c r="E1298" s="15">
        <f t="shared" si="102"/>
        <v>288</v>
      </c>
      <c r="F1298" s="110">
        <f t="shared" si="103"/>
        <v>610</v>
      </c>
    </row>
    <row r="1299" spans="2:6" x14ac:dyDescent="0.25">
      <c r="B1299" s="105">
        <f t="shared" si="104"/>
        <v>1296</v>
      </c>
      <c r="C1299" s="107">
        <f t="shared" si="105"/>
        <v>12</v>
      </c>
      <c r="D1299" s="107">
        <f t="shared" si="106"/>
        <v>42</v>
      </c>
      <c r="E1299" s="15">
        <f t="shared" si="102"/>
        <v>288</v>
      </c>
      <c r="F1299" s="110">
        <f t="shared" si="103"/>
        <v>599</v>
      </c>
    </row>
    <row r="1300" spans="2:6" x14ac:dyDescent="0.25">
      <c r="B1300" s="105">
        <f t="shared" si="104"/>
        <v>1297</v>
      </c>
      <c r="C1300" s="107">
        <f t="shared" si="105"/>
        <v>13</v>
      </c>
      <c r="D1300" s="107">
        <f t="shared" si="106"/>
        <v>42</v>
      </c>
      <c r="E1300" s="15">
        <f t="shared" si="102"/>
        <v>288</v>
      </c>
      <c r="F1300" s="110">
        <f t="shared" si="103"/>
        <v>559</v>
      </c>
    </row>
    <row r="1301" spans="2:6" x14ac:dyDescent="0.25">
      <c r="B1301" s="105">
        <f t="shared" si="104"/>
        <v>1298</v>
      </c>
      <c r="C1301" s="107">
        <f t="shared" si="105"/>
        <v>14</v>
      </c>
      <c r="D1301" s="107">
        <f t="shared" si="106"/>
        <v>42</v>
      </c>
      <c r="E1301" s="15">
        <f t="shared" si="102"/>
        <v>288</v>
      </c>
      <c r="F1301" s="110">
        <f t="shared" si="103"/>
        <v>556</v>
      </c>
    </row>
    <row r="1302" spans="2:6" x14ac:dyDescent="0.25">
      <c r="B1302" s="105">
        <f t="shared" si="104"/>
        <v>1299</v>
      </c>
      <c r="C1302" s="107">
        <f t="shared" si="105"/>
        <v>15</v>
      </c>
      <c r="D1302" s="107">
        <f t="shared" si="106"/>
        <v>42</v>
      </c>
      <c r="E1302" s="15">
        <f t="shared" si="102"/>
        <v>288</v>
      </c>
      <c r="F1302" s="110">
        <f t="shared" si="103"/>
        <v>540</v>
      </c>
    </row>
    <row r="1303" spans="2:6" x14ac:dyDescent="0.25">
      <c r="B1303" s="105">
        <f t="shared" si="104"/>
        <v>1300</v>
      </c>
      <c r="C1303" s="107">
        <f t="shared" si="105"/>
        <v>16</v>
      </c>
      <c r="D1303" s="107">
        <f t="shared" si="106"/>
        <v>42</v>
      </c>
      <c r="E1303" s="15">
        <f t="shared" si="102"/>
        <v>288</v>
      </c>
      <c r="F1303" s="110">
        <f t="shared" si="103"/>
        <v>536</v>
      </c>
    </row>
    <row r="1304" spans="2:6" x14ac:dyDescent="0.25">
      <c r="B1304" s="105">
        <f t="shared" si="104"/>
        <v>1301</v>
      </c>
      <c r="C1304" s="107">
        <f t="shared" si="105"/>
        <v>17</v>
      </c>
      <c r="D1304" s="107">
        <f t="shared" si="106"/>
        <v>42</v>
      </c>
      <c r="E1304" s="15">
        <f t="shared" si="102"/>
        <v>288</v>
      </c>
      <c r="F1304" s="110">
        <f t="shared" si="103"/>
        <v>527</v>
      </c>
    </row>
    <row r="1305" spans="2:6" x14ac:dyDescent="0.25">
      <c r="B1305" s="105">
        <f t="shared" si="104"/>
        <v>1302</v>
      </c>
      <c r="C1305" s="107">
        <f t="shared" si="105"/>
        <v>18</v>
      </c>
      <c r="D1305" s="107">
        <f t="shared" si="106"/>
        <v>42</v>
      </c>
      <c r="E1305" s="15">
        <f t="shared" si="102"/>
        <v>288</v>
      </c>
      <c r="F1305" s="110">
        <f t="shared" si="103"/>
        <v>478</v>
      </c>
    </row>
    <row r="1306" spans="2:6" x14ac:dyDescent="0.25">
      <c r="B1306" s="105">
        <f t="shared" si="104"/>
        <v>1303</v>
      </c>
      <c r="C1306" s="107">
        <f t="shared" si="105"/>
        <v>19</v>
      </c>
      <c r="D1306" s="107">
        <f t="shared" si="106"/>
        <v>42</v>
      </c>
      <c r="E1306" s="15">
        <f t="shared" si="102"/>
        <v>288</v>
      </c>
      <c r="F1306" s="110">
        <f t="shared" si="103"/>
        <v>474</v>
      </c>
    </row>
    <row r="1307" spans="2:6" x14ac:dyDescent="0.25">
      <c r="B1307" s="105">
        <f t="shared" si="104"/>
        <v>1304</v>
      </c>
      <c r="C1307" s="107">
        <f t="shared" si="105"/>
        <v>20</v>
      </c>
      <c r="D1307" s="107">
        <f t="shared" si="106"/>
        <v>42</v>
      </c>
      <c r="E1307" s="15">
        <f t="shared" si="102"/>
        <v>288</v>
      </c>
      <c r="F1307" s="110">
        <f t="shared" si="103"/>
        <v>468</v>
      </c>
    </row>
    <row r="1308" spans="2:6" x14ac:dyDescent="0.25">
      <c r="B1308" s="105">
        <f t="shared" si="104"/>
        <v>1305</v>
      </c>
      <c r="C1308" s="107">
        <f t="shared" si="105"/>
        <v>21</v>
      </c>
      <c r="D1308" s="107">
        <f t="shared" si="106"/>
        <v>42</v>
      </c>
      <c r="E1308" s="15">
        <f t="shared" si="102"/>
        <v>288</v>
      </c>
      <c r="F1308" s="110">
        <f t="shared" si="103"/>
        <v>457</v>
      </c>
    </row>
    <row r="1309" spans="2:6" x14ac:dyDescent="0.25">
      <c r="B1309" s="105">
        <f t="shared" si="104"/>
        <v>1306</v>
      </c>
      <c r="C1309" s="107">
        <f t="shared" si="105"/>
        <v>22</v>
      </c>
      <c r="D1309" s="107">
        <f t="shared" si="106"/>
        <v>42</v>
      </c>
      <c r="E1309" s="15">
        <f t="shared" si="102"/>
        <v>288</v>
      </c>
      <c r="F1309" s="110">
        <f t="shared" si="103"/>
        <v>452</v>
      </c>
    </row>
    <row r="1310" spans="2:6" x14ac:dyDescent="0.25">
      <c r="B1310" s="105">
        <f t="shared" si="104"/>
        <v>1307</v>
      </c>
      <c r="C1310" s="107">
        <f t="shared" si="105"/>
        <v>23</v>
      </c>
      <c r="D1310" s="107">
        <f t="shared" si="106"/>
        <v>42</v>
      </c>
      <c r="E1310" s="15">
        <f t="shared" si="102"/>
        <v>288</v>
      </c>
      <c r="F1310" s="110">
        <f t="shared" si="103"/>
        <v>442</v>
      </c>
    </row>
    <row r="1311" spans="2:6" x14ac:dyDescent="0.25">
      <c r="B1311" s="105">
        <f t="shared" si="104"/>
        <v>1308</v>
      </c>
      <c r="C1311" s="107">
        <f t="shared" si="105"/>
        <v>24</v>
      </c>
      <c r="D1311" s="107">
        <f t="shared" si="106"/>
        <v>42</v>
      </c>
      <c r="E1311" s="15">
        <f t="shared" si="102"/>
        <v>288</v>
      </c>
      <c r="F1311" s="110">
        <f t="shared" si="103"/>
        <v>420</v>
      </c>
    </row>
    <row r="1312" spans="2:6" x14ac:dyDescent="0.25">
      <c r="B1312" s="105">
        <f t="shared" si="104"/>
        <v>1309</v>
      </c>
      <c r="C1312" s="107">
        <f t="shared" si="105"/>
        <v>25</v>
      </c>
      <c r="D1312" s="107">
        <f t="shared" si="106"/>
        <v>42</v>
      </c>
      <c r="E1312" s="15">
        <f t="shared" si="102"/>
        <v>288</v>
      </c>
      <c r="F1312" s="110">
        <f t="shared" si="103"/>
        <v>410</v>
      </c>
    </row>
    <row r="1313" spans="2:6" x14ac:dyDescent="0.25">
      <c r="B1313" s="105">
        <f t="shared" si="104"/>
        <v>1310</v>
      </c>
      <c r="C1313" s="107">
        <f t="shared" si="105"/>
        <v>26</v>
      </c>
      <c r="D1313" s="107">
        <f t="shared" si="106"/>
        <v>42</v>
      </c>
      <c r="E1313" s="15">
        <f t="shared" si="102"/>
        <v>288</v>
      </c>
      <c r="F1313" s="110">
        <f t="shared" si="103"/>
        <v>409</v>
      </c>
    </row>
    <row r="1314" spans="2:6" x14ac:dyDescent="0.25">
      <c r="B1314" s="105">
        <f t="shared" si="104"/>
        <v>1311</v>
      </c>
      <c r="C1314" s="107">
        <f t="shared" si="105"/>
        <v>27</v>
      </c>
      <c r="D1314" s="107">
        <f t="shared" si="106"/>
        <v>42</v>
      </c>
      <c r="E1314" s="15">
        <f t="shared" si="102"/>
        <v>288</v>
      </c>
      <c r="F1314" s="110">
        <f t="shared" si="103"/>
        <v>408</v>
      </c>
    </row>
    <row r="1315" spans="2:6" x14ac:dyDescent="0.25">
      <c r="B1315" s="105">
        <f t="shared" si="104"/>
        <v>1312</v>
      </c>
      <c r="C1315" s="107">
        <f t="shared" si="105"/>
        <v>28</v>
      </c>
      <c r="D1315" s="107">
        <f t="shared" si="106"/>
        <v>42</v>
      </c>
      <c r="E1315" s="15">
        <f t="shared" si="102"/>
        <v>288</v>
      </c>
      <c r="F1315" s="110">
        <f t="shared" si="103"/>
        <v>404</v>
      </c>
    </row>
    <row r="1316" spans="2:6" x14ac:dyDescent="0.25">
      <c r="B1316" s="105">
        <f t="shared" si="104"/>
        <v>1313</v>
      </c>
      <c r="C1316" s="107">
        <f t="shared" si="105"/>
        <v>29</v>
      </c>
      <c r="D1316" s="107">
        <f t="shared" si="106"/>
        <v>42</v>
      </c>
      <c r="E1316" s="15">
        <f t="shared" si="102"/>
        <v>288</v>
      </c>
      <c r="F1316" s="110">
        <f t="shared" si="103"/>
        <v>399</v>
      </c>
    </row>
    <row r="1317" spans="2:6" x14ac:dyDescent="0.25">
      <c r="B1317" s="105">
        <f t="shared" si="104"/>
        <v>1314</v>
      </c>
      <c r="C1317" s="107">
        <f t="shared" si="105"/>
        <v>30</v>
      </c>
      <c r="D1317" s="107">
        <f t="shared" si="106"/>
        <v>42</v>
      </c>
      <c r="E1317" s="15">
        <f t="shared" si="102"/>
        <v>288</v>
      </c>
      <c r="F1317" s="110">
        <f t="shared" si="103"/>
        <v>396</v>
      </c>
    </row>
    <row r="1318" spans="2:6" x14ac:dyDescent="0.25">
      <c r="B1318" s="105">
        <f t="shared" si="104"/>
        <v>1315</v>
      </c>
      <c r="C1318" s="107">
        <f t="shared" si="105"/>
        <v>31</v>
      </c>
      <c r="D1318" s="107">
        <f t="shared" si="106"/>
        <v>42</v>
      </c>
      <c r="E1318" s="15">
        <f t="shared" si="102"/>
        <v>288</v>
      </c>
      <c r="F1318" s="110">
        <f t="shared" si="103"/>
        <v>384</v>
      </c>
    </row>
    <row r="1319" spans="2:6" x14ac:dyDescent="0.25">
      <c r="B1319" s="105">
        <f t="shared" si="104"/>
        <v>1316</v>
      </c>
      <c r="C1319" s="107">
        <f t="shared" si="105"/>
        <v>32</v>
      </c>
      <c r="D1319" s="107">
        <f t="shared" si="106"/>
        <v>42</v>
      </c>
      <c r="E1319" s="15">
        <f t="shared" si="102"/>
        <v>288</v>
      </c>
      <c r="F1319" s="110">
        <f t="shared" si="103"/>
        <v>381</v>
      </c>
    </row>
    <row r="1320" spans="2:6" x14ac:dyDescent="0.25">
      <c r="B1320" s="105">
        <f t="shared" si="104"/>
        <v>1317</v>
      </c>
      <c r="C1320" s="107">
        <f t="shared" si="105"/>
        <v>33</v>
      </c>
      <c r="D1320" s="107">
        <f t="shared" si="106"/>
        <v>42</v>
      </c>
      <c r="E1320" s="15">
        <f t="shared" si="102"/>
        <v>288</v>
      </c>
      <c r="F1320" s="110">
        <f t="shared" si="103"/>
        <v>376</v>
      </c>
    </row>
    <row r="1321" spans="2:6" x14ac:dyDescent="0.25">
      <c r="B1321" s="105">
        <f t="shared" si="104"/>
        <v>1318</v>
      </c>
      <c r="C1321" s="107">
        <f t="shared" si="105"/>
        <v>34</v>
      </c>
      <c r="D1321" s="107">
        <f t="shared" si="106"/>
        <v>42</v>
      </c>
      <c r="E1321" s="15">
        <f t="shared" si="102"/>
        <v>288</v>
      </c>
      <c r="F1321" s="110">
        <f t="shared" si="103"/>
        <v>370</v>
      </c>
    </row>
    <row r="1322" spans="2:6" x14ac:dyDescent="0.25">
      <c r="B1322" s="105">
        <f t="shared" si="104"/>
        <v>1319</v>
      </c>
      <c r="C1322" s="107">
        <f t="shared" si="105"/>
        <v>35</v>
      </c>
      <c r="D1322" s="107">
        <f t="shared" si="106"/>
        <v>42</v>
      </c>
      <c r="E1322" s="15">
        <f t="shared" si="102"/>
        <v>288</v>
      </c>
      <c r="F1322" s="110">
        <f t="shared" si="103"/>
        <v>362</v>
      </c>
    </row>
    <row r="1323" spans="2:6" x14ac:dyDescent="0.25">
      <c r="B1323" s="105">
        <f t="shared" si="104"/>
        <v>1320</v>
      </c>
      <c r="C1323" s="107">
        <f t="shared" si="105"/>
        <v>36</v>
      </c>
      <c r="D1323" s="107">
        <f t="shared" si="106"/>
        <v>42</v>
      </c>
      <c r="E1323" s="15">
        <f t="shared" si="102"/>
        <v>288</v>
      </c>
      <c r="F1323" s="110">
        <f t="shared" si="103"/>
        <v>357</v>
      </c>
    </row>
    <row r="1324" spans="2:6" x14ac:dyDescent="0.25">
      <c r="B1324" s="105">
        <f t="shared" si="104"/>
        <v>1321</v>
      </c>
      <c r="C1324" s="107">
        <f t="shared" si="105"/>
        <v>37</v>
      </c>
      <c r="D1324" s="107">
        <f t="shared" si="106"/>
        <v>42</v>
      </c>
      <c r="E1324" s="15">
        <f t="shared" si="102"/>
        <v>288</v>
      </c>
      <c r="F1324" s="110">
        <f t="shared" si="103"/>
        <v>351</v>
      </c>
    </row>
    <row r="1325" spans="2:6" x14ac:dyDescent="0.25">
      <c r="B1325" s="105">
        <f t="shared" si="104"/>
        <v>1322</v>
      </c>
      <c r="C1325" s="107">
        <f t="shared" si="105"/>
        <v>38</v>
      </c>
      <c r="D1325" s="107">
        <f t="shared" si="106"/>
        <v>42</v>
      </c>
      <c r="E1325" s="15">
        <f t="shared" si="102"/>
        <v>288</v>
      </c>
      <c r="F1325" s="110">
        <f t="shared" si="103"/>
        <v>339</v>
      </c>
    </row>
    <row r="1326" spans="2:6" x14ac:dyDescent="0.25">
      <c r="B1326" s="105">
        <f t="shared" si="104"/>
        <v>1323</v>
      </c>
      <c r="C1326" s="107">
        <f t="shared" si="105"/>
        <v>39</v>
      </c>
      <c r="D1326" s="107">
        <f t="shared" si="106"/>
        <v>42</v>
      </c>
      <c r="E1326" s="15">
        <f t="shared" si="102"/>
        <v>288</v>
      </c>
      <c r="F1326" s="110">
        <f t="shared" si="103"/>
        <v>304</v>
      </c>
    </row>
    <row r="1327" spans="2:6" x14ac:dyDescent="0.25">
      <c r="B1327" s="105">
        <f t="shared" si="104"/>
        <v>1324</v>
      </c>
      <c r="C1327" s="107">
        <f t="shared" si="105"/>
        <v>40</v>
      </c>
      <c r="D1327" s="107">
        <f t="shared" si="106"/>
        <v>42</v>
      </c>
      <c r="E1327" s="15">
        <f t="shared" si="102"/>
        <v>288</v>
      </c>
      <c r="F1327" s="110">
        <f t="shared" si="103"/>
        <v>301</v>
      </c>
    </row>
    <row r="1328" spans="2:6" x14ac:dyDescent="0.25">
      <c r="B1328" s="105">
        <f t="shared" si="104"/>
        <v>1325</v>
      </c>
      <c r="C1328" s="107">
        <f t="shared" si="105"/>
        <v>41</v>
      </c>
      <c r="D1328" s="107">
        <f t="shared" si="106"/>
        <v>42</v>
      </c>
      <c r="E1328" s="15">
        <f t="shared" si="102"/>
        <v>288</v>
      </c>
      <c r="F1328" s="110">
        <f t="shared" si="103"/>
        <v>300</v>
      </c>
    </row>
    <row r="1329" spans="2:6" x14ac:dyDescent="0.25">
      <c r="B1329" s="105">
        <f t="shared" si="104"/>
        <v>1326</v>
      </c>
      <c r="C1329" s="107">
        <f t="shared" si="105"/>
        <v>1</v>
      </c>
      <c r="D1329" s="107">
        <f t="shared" si="106"/>
        <v>41</v>
      </c>
      <c r="E1329" s="15">
        <f t="shared" si="102"/>
        <v>300</v>
      </c>
      <c r="F1329" s="110">
        <f t="shared" si="103"/>
        <v>1048</v>
      </c>
    </row>
    <row r="1330" spans="2:6" x14ac:dyDescent="0.25">
      <c r="B1330" s="105">
        <f t="shared" si="104"/>
        <v>1327</v>
      </c>
      <c r="C1330" s="107">
        <f t="shared" si="105"/>
        <v>2</v>
      </c>
      <c r="D1330" s="107">
        <f t="shared" si="106"/>
        <v>41</v>
      </c>
      <c r="E1330" s="15">
        <f t="shared" si="102"/>
        <v>300</v>
      </c>
      <c r="F1330" s="110">
        <f t="shared" si="103"/>
        <v>1025</v>
      </c>
    </row>
    <row r="1331" spans="2:6" x14ac:dyDescent="0.25">
      <c r="B1331" s="105">
        <f t="shared" si="104"/>
        <v>1328</v>
      </c>
      <c r="C1331" s="107">
        <f t="shared" si="105"/>
        <v>3</v>
      </c>
      <c r="D1331" s="107">
        <f t="shared" si="106"/>
        <v>41</v>
      </c>
      <c r="E1331" s="15">
        <f t="shared" si="102"/>
        <v>300</v>
      </c>
      <c r="F1331" s="110">
        <f t="shared" si="103"/>
        <v>805</v>
      </c>
    </row>
    <row r="1332" spans="2:6" x14ac:dyDescent="0.25">
      <c r="B1332" s="105">
        <f t="shared" si="104"/>
        <v>1329</v>
      </c>
      <c r="C1332" s="107">
        <f t="shared" si="105"/>
        <v>4</v>
      </c>
      <c r="D1332" s="107">
        <f t="shared" si="106"/>
        <v>41</v>
      </c>
      <c r="E1332" s="15">
        <f t="shared" si="102"/>
        <v>300</v>
      </c>
      <c r="F1332" s="110">
        <f t="shared" si="103"/>
        <v>666</v>
      </c>
    </row>
    <row r="1333" spans="2:6" x14ac:dyDescent="0.25">
      <c r="B1333" s="105">
        <f t="shared" si="104"/>
        <v>1330</v>
      </c>
      <c r="C1333" s="107">
        <f t="shared" si="105"/>
        <v>5</v>
      </c>
      <c r="D1333" s="107">
        <f t="shared" si="106"/>
        <v>41</v>
      </c>
      <c r="E1333" s="15">
        <f t="shared" si="102"/>
        <v>300</v>
      </c>
      <c r="F1333" s="110">
        <f t="shared" si="103"/>
        <v>655</v>
      </c>
    </row>
    <row r="1334" spans="2:6" x14ac:dyDescent="0.25">
      <c r="B1334" s="105">
        <f t="shared" si="104"/>
        <v>1331</v>
      </c>
      <c r="C1334" s="107">
        <f t="shared" si="105"/>
        <v>6</v>
      </c>
      <c r="D1334" s="107">
        <f t="shared" si="106"/>
        <v>41</v>
      </c>
      <c r="E1334" s="15">
        <f t="shared" si="102"/>
        <v>300</v>
      </c>
      <c r="F1334" s="110">
        <f t="shared" si="103"/>
        <v>652</v>
      </c>
    </row>
    <row r="1335" spans="2:6" x14ac:dyDescent="0.25">
      <c r="B1335" s="105">
        <f t="shared" si="104"/>
        <v>1332</v>
      </c>
      <c r="C1335" s="107">
        <f t="shared" si="105"/>
        <v>7</v>
      </c>
      <c r="D1335" s="107">
        <f t="shared" si="106"/>
        <v>41</v>
      </c>
      <c r="E1335" s="15">
        <f t="shared" si="102"/>
        <v>300</v>
      </c>
      <c r="F1335" s="110">
        <f t="shared" si="103"/>
        <v>633</v>
      </c>
    </row>
    <row r="1336" spans="2:6" x14ac:dyDescent="0.25">
      <c r="B1336" s="105">
        <f t="shared" si="104"/>
        <v>1333</v>
      </c>
      <c r="C1336" s="107">
        <f t="shared" si="105"/>
        <v>8</v>
      </c>
      <c r="D1336" s="107">
        <f t="shared" si="106"/>
        <v>41</v>
      </c>
      <c r="E1336" s="15">
        <f t="shared" si="102"/>
        <v>300</v>
      </c>
      <c r="F1336" s="110">
        <f t="shared" si="103"/>
        <v>632</v>
      </c>
    </row>
    <row r="1337" spans="2:6" x14ac:dyDescent="0.25">
      <c r="B1337" s="105">
        <f t="shared" si="104"/>
        <v>1334</v>
      </c>
      <c r="C1337" s="107">
        <f t="shared" si="105"/>
        <v>9</v>
      </c>
      <c r="D1337" s="107">
        <f t="shared" si="106"/>
        <v>41</v>
      </c>
      <c r="E1337" s="15">
        <f t="shared" si="102"/>
        <v>300</v>
      </c>
      <c r="F1337" s="110">
        <f t="shared" si="103"/>
        <v>625</v>
      </c>
    </row>
    <row r="1338" spans="2:6" x14ac:dyDescent="0.25">
      <c r="B1338" s="105">
        <f t="shared" si="104"/>
        <v>1335</v>
      </c>
      <c r="C1338" s="107">
        <f t="shared" si="105"/>
        <v>10</v>
      </c>
      <c r="D1338" s="107">
        <f t="shared" si="106"/>
        <v>41</v>
      </c>
      <c r="E1338" s="15">
        <f t="shared" si="102"/>
        <v>300</v>
      </c>
      <c r="F1338" s="110">
        <f t="shared" si="103"/>
        <v>619</v>
      </c>
    </row>
    <row r="1339" spans="2:6" x14ac:dyDescent="0.25">
      <c r="B1339" s="105">
        <f t="shared" si="104"/>
        <v>1336</v>
      </c>
      <c r="C1339" s="107">
        <f t="shared" si="105"/>
        <v>11</v>
      </c>
      <c r="D1339" s="107">
        <f t="shared" si="106"/>
        <v>41</v>
      </c>
      <c r="E1339" s="15">
        <f t="shared" si="102"/>
        <v>300</v>
      </c>
      <c r="F1339" s="110">
        <f t="shared" si="103"/>
        <v>610</v>
      </c>
    </row>
    <row r="1340" spans="2:6" x14ac:dyDescent="0.25">
      <c r="B1340" s="105">
        <f t="shared" si="104"/>
        <v>1337</v>
      </c>
      <c r="C1340" s="107">
        <f t="shared" si="105"/>
        <v>12</v>
      </c>
      <c r="D1340" s="107">
        <f t="shared" si="106"/>
        <v>41</v>
      </c>
      <c r="E1340" s="15">
        <f t="shared" si="102"/>
        <v>300</v>
      </c>
      <c r="F1340" s="110">
        <f t="shared" si="103"/>
        <v>599</v>
      </c>
    </row>
    <row r="1341" spans="2:6" x14ac:dyDescent="0.25">
      <c r="B1341" s="105">
        <f t="shared" si="104"/>
        <v>1338</v>
      </c>
      <c r="C1341" s="107">
        <f t="shared" si="105"/>
        <v>13</v>
      </c>
      <c r="D1341" s="107">
        <f t="shared" si="106"/>
        <v>41</v>
      </c>
      <c r="E1341" s="15">
        <f t="shared" si="102"/>
        <v>300</v>
      </c>
      <c r="F1341" s="110">
        <f t="shared" si="103"/>
        <v>559</v>
      </c>
    </row>
    <row r="1342" spans="2:6" x14ac:dyDescent="0.25">
      <c r="B1342" s="105">
        <f t="shared" si="104"/>
        <v>1339</v>
      </c>
      <c r="C1342" s="107">
        <f t="shared" si="105"/>
        <v>14</v>
      </c>
      <c r="D1342" s="107">
        <f t="shared" si="106"/>
        <v>41</v>
      </c>
      <c r="E1342" s="15">
        <f t="shared" si="102"/>
        <v>300</v>
      </c>
      <c r="F1342" s="110">
        <f t="shared" si="103"/>
        <v>556</v>
      </c>
    </row>
    <row r="1343" spans="2:6" x14ac:dyDescent="0.25">
      <c r="B1343" s="105">
        <f t="shared" si="104"/>
        <v>1340</v>
      </c>
      <c r="C1343" s="107">
        <f t="shared" si="105"/>
        <v>15</v>
      </c>
      <c r="D1343" s="107">
        <f t="shared" si="106"/>
        <v>41</v>
      </c>
      <c r="E1343" s="15">
        <f t="shared" si="102"/>
        <v>300</v>
      </c>
      <c r="F1343" s="110">
        <f t="shared" si="103"/>
        <v>540</v>
      </c>
    </row>
    <row r="1344" spans="2:6" x14ac:dyDescent="0.25">
      <c r="B1344" s="105">
        <f t="shared" si="104"/>
        <v>1341</v>
      </c>
      <c r="C1344" s="107">
        <f t="shared" si="105"/>
        <v>16</v>
      </c>
      <c r="D1344" s="107">
        <f t="shared" si="106"/>
        <v>41</v>
      </c>
      <c r="E1344" s="15">
        <f t="shared" si="102"/>
        <v>300</v>
      </c>
      <c r="F1344" s="110">
        <f t="shared" si="103"/>
        <v>536</v>
      </c>
    </row>
    <row r="1345" spans="2:6" x14ac:dyDescent="0.25">
      <c r="B1345" s="105">
        <f t="shared" si="104"/>
        <v>1342</v>
      </c>
      <c r="C1345" s="107">
        <f t="shared" si="105"/>
        <v>17</v>
      </c>
      <c r="D1345" s="107">
        <f t="shared" si="106"/>
        <v>41</v>
      </c>
      <c r="E1345" s="15">
        <f t="shared" si="102"/>
        <v>300</v>
      </c>
      <c r="F1345" s="110">
        <f t="shared" si="103"/>
        <v>527</v>
      </c>
    </row>
    <row r="1346" spans="2:6" x14ac:dyDescent="0.25">
      <c r="B1346" s="105">
        <f t="shared" si="104"/>
        <v>1343</v>
      </c>
      <c r="C1346" s="107">
        <f t="shared" si="105"/>
        <v>18</v>
      </c>
      <c r="D1346" s="107">
        <f t="shared" si="106"/>
        <v>41</v>
      </c>
      <c r="E1346" s="15">
        <f t="shared" si="102"/>
        <v>300</v>
      </c>
      <c r="F1346" s="110">
        <f t="shared" si="103"/>
        <v>478</v>
      </c>
    </row>
    <row r="1347" spans="2:6" x14ac:dyDescent="0.25">
      <c r="B1347" s="105">
        <f t="shared" si="104"/>
        <v>1344</v>
      </c>
      <c r="C1347" s="107">
        <f t="shared" si="105"/>
        <v>19</v>
      </c>
      <c r="D1347" s="107">
        <f t="shared" si="106"/>
        <v>41</v>
      </c>
      <c r="E1347" s="15">
        <f t="shared" si="102"/>
        <v>300</v>
      </c>
      <c r="F1347" s="110">
        <f t="shared" si="103"/>
        <v>474</v>
      </c>
    </row>
    <row r="1348" spans="2:6" x14ac:dyDescent="0.25">
      <c r="B1348" s="105">
        <f t="shared" si="104"/>
        <v>1345</v>
      </c>
      <c r="C1348" s="107">
        <f t="shared" si="105"/>
        <v>20</v>
      </c>
      <c r="D1348" s="107">
        <f t="shared" si="106"/>
        <v>41</v>
      </c>
      <c r="E1348" s="15">
        <f t="shared" ref="E1348:E1411" si="107">IFERROR(VLOOKUP(D1348,$H$4:$I$69,2,0),"")</f>
        <v>300</v>
      </c>
      <c r="F1348" s="110">
        <f t="shared" ref="F1348:F1411" si="108">IFERROR(VLOOKUP(C1348,$H$4:$I$69,2,0),"")</f>
        <v>468</v>
      </c>
    </row>
    <row r="1349" spans="2:6" x14ac:dyDescent="0.25">
      <c r="B1349" s="105">
        <f t="shared" ref="B1349:B1412" si="109">ROW()-3</f>
        <v>1346</v>
      </c>
      <c r="C1349" s="107">
        <f t="shared" si="105"/>
        <v>21</v>
      </c>
      <c r="D1349" s="107">
        <f t="shared" si="106"/>
        <v>41</v>
      </c>
      <c r="E1349" s="15">
        <f t="shared" si="107"/>
        <v>300</v>
      </c>
      <c r="F1349" s="110">
        <f t="shared" si="108"/>
        <v>457</v>
      </c>
    </row>
    <row r="1350" spans="2:6" x14ac:dyDescent="0.25">
      <c r="B1350" s="105">
        <f t="shared" si="109"/>
        <v>1347</v>
      </c>
      <c r="C1350" s="107">
        <f t="shared" ref="C1350:C1413" si="110">IF((D1349-C1349)=1,1,C1349+1)</f>
        <v>22</v>
      </c>
      <c r="D1350" s="107">
        <f t="shared" ref="D1350:D1413" si="111">IF((D1349-C1349)=1,D1349-1,D1349)</f>
        <v>41</v>
      </c>
      <c r="E1350" s="15">
        <f t="shared" si="107"/>
        <v>300</v>
      </c>
      <c r="F1350" s="110">
        <f t="shared" si="108"/>
        <v>452</v>
      </c>
    </row>
    <row r="1351" spans="2:6" x14ac:dyDescent="0.25">
      <c r="B1351" s="105">
        <f t="shared" si="109"/>
        <v>1348</v>
      </c>
      <c r="C1351" s="107">
        <f t="shared" si="110"/>
        <v>23</v>
      </c>
      <c r="D1351" s="107">
        <f t="shared" si="111"/>
        <v>41</v>
      </c>
      <c r="E1351" s="15">
        <f t="shared" si="107"/>
        <v>300</v>
      </c>
      <c r="F1351" s="110">
        <f t="shared" si="108"/>
        <v>442</v>
      </c>
    </row>
    <row r="1352" spans="2:6" x14ac:dyDescent="0.25">
      <c r="B1352" s="105">
        <f t="shared" si="109"/>
        <v>1349</v>
      </c>
      <c r="C1352" s="107">
        <f t="shared" si="110"/>
        <v>24</v>
      </c>
      <c r="D1352" s="107">
        <f t="shared" si="111"/>
        <v>41</v>
      </c>
      <c r="E1352" s="15">
        <f t="shared" si="107"/>
        <v>300</v>
      </c>
      <c r="F1352" s="110">
        <f t="shared" si="108"/>
        <v>420</v>
      </c>
    </row>
    <row r="1353" spans="2:6" x14ac:dyDescent="0.25">
      <c r="B1353" s="105">
        <f t="shared" si="109"/>
        <v>1350</v>
      </c>
      <c r="C1353" s="107">
        <f t="shared" si="110"/>
        <v>25</v>
      </c>
      <c r="D1353" s="107">
        <f t="shared" si="111"/>
        <v>41</v>
      </c>
      <c r="E1353" s="15">
        <f t="shared" si="107"/>
        <v>300</v>
      </c>
      <c r="F1353" s="110">
        <f t="shared" si="108"/>
        <v>410</v>
      </c>
    </row>
    <row r="1354" spans="2:6" x14ac:dyDescent="0.25">
      <c r="B1354" s="105">
        <f t="shared" si="109"/>
        <v>1351</v>
      </c>
      <c r="C1354" s="107">
        <f t="shared" si="110"/>
        <v>26</v>
      </c>
      <c r="D1354" s="107">
        <f t="shared" si="111"/>
        <v>41</v>
      </c>
      <c r="E1354" s="15">
        <f t="shared" si="107"/>
        <v>300</v>
      </c>
      <c r="F1354" s="110">
        <f t="shared" si="108"/>
        <v>409</v>
      </c>
    </row>
    <row r="1355" spans="2:6" x14ac:dyDescent="0.25">
      <c r="B1355" s="105">
        <f t="shared" si="109"/>
        <v>1352</v>
      </c>
      <c r="C1355" s="107">
        <f t="shared" si="110"/>
        <v>27</v>
      </c>
      <c r="D1355" s="107">
        <f t="shared" si="111"/>
        <v>41</v>
      </c>
      <c r="E1355" s="15">
        <f t="shared" si="107"/>
        <v>300</v>
      </c>
      <c r="F1355" s="110">
        <f t="shared" si="108"/>
        <v>408</v>
      </c>
    </row>
    <row r="1356" spans="2:6" x14ac:dyDescent="0.25">
      <c r="B1356" s="105">
        <f t="shared" si="109"/>
        <v>1353</v>
      </c>
      <c r="C1356" s="107">
        <f t="shared" si="110"/>
        <v>28</v>
      </c>
      <c r="D1356" s="107">
        <f t="shared" si="111"/>
        <v>41</v>
      </c>
      <c r="E1356" s="15">
        <f t="shared" si="107"/>
        <v>300</v>
      </c>
      <c r="F1356" s="110">
        <f t="shared" si="108"/>
        <v>404</v>
      </c>
    </row>
    <row r="1357" spans="2:6" x14ac:dyDescent="0.25">
      <c r="B1357" s="105">
        <f t="shared" si="109"/>
        <v>1354</v>
      </c>
      <c r="C1357" s="107">
        <f t="shared" si="110"/>
        <v>29</v>
      </c>
      <c r="D1357" s="107">
        <f t="shared" si="111"/>
        <v>41</v>
      </c>
      <c r="E1357" s="15">
        <f t="shared" si="107"/>
        <v>300</v>
      </c>
      <c r="F1357" s="110">
        <f t="shared" si="108"/>
        <v>399</v>
      </c>
    </row>
    <row r="1358" spans="2:6" x14ac:dyDescent="0.25">
      <c r="B1358" s="105">
        <f t="shared" si="109"/>
        <v>1355</v>
      </c>
      <c r="C1358" s="107">
        <f t="shared" si="110"/>
        <v>30</v>
      </c>
      <c r="D1358" s="107">
        <f t="shared" si="111"/>
        <v>41</v>
      </c>
      <c r="E1358" s="15">
        <f t="shared" si="107"/>
        <v>300</v>
      </c>
      <c r="F1358" s="110">
        <f t="shared" si="108"/>
        <v>396</v>
      </c>
    </row>
    <row r="1359" spans="2:6" x14ac:dyDescent="0.25">
      <c r="B1359" s="105">
        <f t="shared" si="109"/>
        <v>1356</v>
      </c>
      <c r="C1359" s="107">
        <f t="shared" si="110"/>
        <v>31</v>
      </c>
      <c r="D1359" s="107">
        <f t="shared" si="111"/>
        <v>41</v>
      </c>
      <c r="E1359" s="15">
        <f t="shared" si="107"/>
        <v>300</v>
      </c>
      <c r="F1359" s="110">
        <f t="shared" si="108"/>
        <v>384</v>
      </c>
    </row>
    <row r="1360" spans="2:6" x14ac:dyDescent="0.25">
      <c r="B1360" s="105">
        <f t="shared" si="109"/>
        <v>1357</v>
      </c>
      <c r="C1360" s="107">
        <f t="shared" si="110"/>
        <v>32</v>
      </c>
      <c r="D1360" s="107">
        <f t="shared" si="111"/>
        <v>41</v>
      </c>
      <c r="E1360" s="15">
        <f t="shared" si="107"/>
        <v>300</v>
      </c>
      <c r="F1360" s="110">
        <f t="shared" si="108"/>
        <v>381</v>
      </c>
    </row>
    <row r="1361" spans="2:6" x14ac:dyDescent="0.25">
      <c r="B1361" s="105">
        <f t="shared" si="109"/>
        <v>1358</v>
      </c>
      <c r="C1361" s="107">
        <f t="shared" si="110"/>
        <v>33</v>
      </c>
      <c r="D1361" s="107">
        <f t="shared" si="111"/>
        <v>41</v>
      </c>
      <c r="E1361" s="15">
        <f t="shared" si="107"/>
        <v>300</v>
      </c>
      <c r="F1361" s="110">
        <f t="shared" si="108"/>
        <v>376</v>
      </c>
    </row>
    <row r="1362" spans="2:6" x14ac:dyDescent="0.25">
      <c r="B1362" s="105">
        <f t="shared" si="109"/>
        <v>1359</v>
      </c>
      <c r="C1362" s="107">
        <f t="shared" si="110"/>
        <v>34</v>
      </c>
      <c r="D1362" s="107">
        <f t="shared" si="111"/>
        <v>41</v>
      </c>
      <c r="E1362" s="15">
        <f t="shared" si="107"/>
        <v>300</v>
      </c>
      <c r="F1362" s="110">
        <f t="shared" si="108"/>
        <v>370</v>
      </c>
    </row>
    <row r="1363" spans="2:6" x14ac:dyDescent="0.25">
      <c r="B1363" s="105">
        <f t="shared" si="109"/>
        <v>1360</v>
      </c>
      <c r="C1363" s="107">
        <f t="shared" si="110"/>
        <v>35</v>
      </c>
      <c r="D1363" s="107">
        <f t="shared" si="111"/>
        <v>41</v>
      </c>
      <c r="E1363" s="15">
        <f t="shared" si="107"/>
        <v>300</v>
      </c>
      <c r="F1363" s="110">
        <f t="shared" si="108"/>
        <v>362</v>
      </c>
    </row>
    <row r="1364" spans="2:6" x14ac:dyDescent="0.25">
      <c r="B1364" s="105">
        <f t="shared" si="109"/>
        <v>1361</v>
      </c>
      <c r="C1364" s="107">
        <f t="shared" si="110"/>
        <v>36</v>
      </c>
      <c r="D1364" s="107">
        <f t="shared" si="111"/>
        <v>41</v>
      </c>
      <c r="E1364" s="15">
        <f t="shared" si="107"/>
        <v>300</v>
      </c>
      <c r="F1364" s="110">
        <f t="shared" si="108"/>
        <v>357</v>
      </c>
    </row>
    <row r="1365" spans="2:6" x14ac:dyDescent="0.25">
      <c r="B1365" s="105">
        <f t="shared" si="109"/>
        <v>1362</v>
      </c>
      <c r="C1365" s="107">
        <f t="shared" si="110"/>
        <v>37</v>
      </c>
      <c r="D1365" s="107">
        <f t="shared" si="111"/>
        <v>41</v>
      </c>
      <c r="E1365" s="15">
        <f t="shared" si="107"/>
        <v>300</v>
      </c>
      <c r="F1365" s="110">
        <f t="shared" si="108"/>
        <v>351</v>
      </c>
    </row>
    <row r="1366" spans="2:6" x14ac:dyDescent="0.25">
      <c r="B1366" s="105">
        <f t="shared" si="109"/>
        <v>1363</v>
      </c>
      <c r="C1366" s="107">
        <f t="shared" si="110"/>
        <v>38</v>
      </c>
      <c r="D1366" s="107">
        <f t="shared" si="111"/>
        <v>41</v>
      </c>
      <c r="E1366" s="15">
        <f t="shared" si="107"/>
        <v>300</v>
      </c>
      <c r="F1366" s="110">
        <f t="shared" si="108"/>
        <v>339</v>
      </c>
    </row>
    <row r="1367" spans="2:6" x14ac:dyDescent="0.25">
      <c r="B1367" s="105">
        <f t="shared" si="109"/>
        <v>1364</v>
      </c>
      <c r="C1367" s="107">
        <f t="shared" si="110"/>
        <v>39</v>
      </c>
      <c r="D1367" s="107">
        <f t="shared" si="111"/>
        <v>41</v>
      </c>
      <c r="E1367" s="15">
        <f t="shared" si="107"/>
        <v>300</v>
      </c>
      <c r="F1367" s="110">
        <f t="shared" si="108"/>
        <v>304</v>
      </c>
    </row>
    <row r="1368" spans="2:6" x14ac:dyDescent="0.25">
      <c r="B1368" s="105">
        <f t="shared" si="109"/>
        <v>1365</v>
      </c>
      <c r="C1368" s="107">
        <f t="shared" si="110"/>
        <v>40</v>
      </c>
      <c r="D1368" s="107">
        <f t="shared" si="111"/>
        <v>41</v>
      </c>
      <c r="E1368" s="15">
        <f t="shared" si="107"/>
        <v>300</v>
      </c>
      <c r="F1368" s="110">
        <f t="shared" si="108"/>
        <v>301</v>
      </c>
    </row>
    <row r="1369" spans="2:6" x14ac:dyDescent="0.25">
      <c r="B1369" s="105">
        <f t="shared" si="109"/>
        <v>1366</v>
      </c>
      <c r="C1369" s="107">
        <f t="shared" si="110"/>
        <v>1</v>
      </c>
      <c r="D1369" s="107">
        <f t="shared" si="111"/>
        <v>40</v>
      </c>
      <c r="E1369" s="15">
        <f t="shared" si="107"/>
        <v>301</v>
      </c>
      <c r="F1369" s="110">
        <f t="shared" si="108"/>
        <v>1048</v>
      </c>
    </row>
    <row r="1370" spans="2:6" x14ac:dyDescent="0.25">
      <c r="B1370" s="105">
        <f t="shared" si="109"/>
        <v>1367</v>
      </c>
      <c r="C1370" s="107">
        <f t="shared" si="110"/>
        <v>2</v>
      </c>
      <c r="D1370" s="107">
        <f t="shared" si="111"/>
        <v>40</v>
      </c>
      <c r="E1370" s="15">
        <f t="shared" si="107"/>
        <v>301</v>
      </c>
      <c r="F1370" s="110">
        <f t="shared" si="108"/>
        <v>1025</v>
      </c>
    </row>
    <row r="1371" spans="2:6" x14ac:dyDescent="0.25">
      <c r="B1371" s="105">
        <f t="shared" si="109"/>
        <v>1368</v>
      </c>
      <c r="C1371" s="107">
        <f t="shared" si="110"/>
        <v>3</v>
      </c>
      <c r="D1371" s="107">
        <f t="shared" si="111"/>
        <v>40</v>
      </c>
      <c r="E1371" s="15">
        <f t="shared" si="107"/>
        <v>301</v>
      </c>
      <c r="F1371" s="110">
        <f t="shared" si="108"/>
        <v>805</v>
      </c>
    </row>
    <row r="1372" spans="2:6" x14ac:dyDescent="0.25">
      <c r="B1372" s="105">
        <f t="shared" si="109"/>
        <v>1369</v>
      </c>
      <c r="C1372" s="107">
        <f t="shared" si="110"/>
        <v>4</v>
      </c>
      <c r="D1372" s="107">
        <f t="shared" si="111"/>
        <v>40</v>
      </c>
      <c r="E1372" s="15">
        <f t="shared" si="107"/>
        <v>301</v>
      </c>
      <c r="F1372" s="110">
        <f t="shared" si="108"/>
        <v>666</v>
      </c>
    </row>
    <row r="1373" spans="2:6" x14ac:dyDescent="0.25">
      <c r="B1373" s="105">
        <f t="shared" si="109"/>
        <v>1370</v>
      </c>
      <c r="C1373" s="107">
        <f t="shared" si="110"/>
        <v>5</v>
      </c>
      <c r="D1373" s="107">
        <f t="shared" si="111"/>
        <v>40</v>
      </c>
      <c r="E1373" s="15">
        <f t="shared" si="107"/>
        <v>301</v>
      </c>
      <c r="F1373" s="110">
        <f t="shared" si="108"/>
        <v>655</v>
      </c>
    </row>
    <row r="1374" spans="2:6" x14ac:dyDescent="0.25">
      <c r="B1374" s="105">
        <f t="shared" si="109"/>
        <v>1371</v>
      </c>
      <c r="C1374" s="107">
        <f t="shared" si="110"/>
        <v>6</v>
      </c>
      <c r="D1374" s="107">
        <f t="shared" si="111"/>
        <v>40</v>
      </c>
      <c r="E1374" s="15">
        <f t="shared" si="107"/>
        <v>301</v>
      </c>
      <c r="F1374" s="110">
        <f t="shared" si="108"/>
        <v>652</v>
      </c>
    </row>
    <row r="1375" spans="2:6" x14ac:dyDescent="0.25">
      <c r="B1375" s="105">
        <f t="shared" si="109"/>
        <v>1372</v>
      </c>
      <c r="C1375" s="107">
        <f t="shared" si="110"/>
        <v>7</v>
      </c>
      <c r="D1375" s="107">
        <f t="shared" si="111"/>
        <v>40</v>
      </c>
      <c r="E1375" s="15">
        <f t="shared" si="107"/>
        <v>301</v>
      </c>
      <c r="F1375" s="110">
        <f t="shared" si="108"/>
        <v>633</v>
      </c>
    </row>
    <row r="1376" spans="2:6" x14ac:dyDescent="0.25">
      <c r="B1376" s="105">
        <f t="shared" si="109"/>
        <v>1373</v>
      </c>
      <c r="C1376" s="107">
        <f t="shared" si="110"/>
        <v>8</v>
      </c>
      <c r="D1376" s="107">
        <f t="shared" si="111"/>
        <v>40</v>
      </c>
      <c r="E1376" s="15">
        <f t="shared" si="107"/>
        <v>301</v>
      </c>
      <c r="F1376" s="110">
        <f t="shared" si="108"/>
        <v>632</v>
      </c>
    </row>
    <row r="1377" spans="2:6" x14ac:dyDescent="0.25">
      <c r="B1377" s="105">
        <f t="shared" si="109"/>
        <v>1374</v>
      </c>
      <c r="C1377" s="107">
        <f t="shared" si="110"/>
        <v>9</v>
      </c>
      <c r="D1377" s="107">
        <f t="shared" si="111"/>
        <v>40</v>
      </c>
      <c r="E1377" s="15">
        <f t="shared" si="107"/>
        <v>301</v>
      </c>
      <c r="F1377" s="110">
        <f t="shared" si="108"/>
        <v>625</v>
      </c>
    </row>
    <row r="1378" spans="2:6" x14ac:dyDescent="0.25">
      <c r="B1378" s="105">
        <f t="shared" si="109"/>
        <v>1375</v>
      </c>
      <c r="C1378" s="107">
        <f t="shared" si="110"/>
        <v>10</v>
      </c>
      <c r="D1378" s="107">
        <f t="shared" si="111"/>
        <v>40</v>
      </c>
      <c r="E1378" s="15">
        <f t="shared" si="107"/>
        <v>301</v>
      </c>
      <c r="F1378" s="110">
        <f t="shared" si="108"/>
        <v>619</v>
      </c>
    </row>
    <row r="1379" spans="2:6" x14ac:dyDescent="0.25">
      <c r="B1379" s="105">
        <f t="shared" si="109"/>
        <v>1376</v>
      </c>
      <c r="C1379" s="107">
        <f t="shared" si="110"/>
        <v>11</v>
      </c>
      <c r="D1379" s="107">
        <f t="shared" si="111"/>
        <v>40</v>
      </c>
      <c r="E1379" s="15">
        <f t="shared" si="107"/>
        <v>301</v>
      </c>
      <c r="F1379" s="110">
        <f t="shared" si="108"/>
        <v>610</v>
      </c>
    </row>
    <row r="1380" spans="2:6" x14ac:dyDescent="0.25">
      <c r="B1380" s="105">
        <f t="shared" si="109"/>
        <v>1377</v>
      </c>
      <c r="C1380" s="107">
        <f t="shared" si="110"/>
        <v>12</v>
      </c>
      <c r="D1380" s="107">
        <f t="shared" si="111"/>
        <v>40</v>
      </c>
      <c r="E1380" s="15">
        <f t="shared" si="107"/>
        <v>301</v>
      </c>
      <c r="F1380" s="110">
        <f t="shared" si="108"/>
        <v>599</v>
      </c>
    </row>
    <row r="1381" spans="2:6" x14ac:dyDescent="0.25">
      <c r="B1381" s="105">
        <f t="shared" si="109"/>
        <v>1378</v>
      </c>
      <c r="C1381" s="107">
        <f t="shared" si="110"/>
        <v>13</v>
      </c>
      <c r="D1381" s="107">
        <f t="shared" si="111"/>
        <v>40</v>
      </c>
      <c r="E1381" s="15">
        <f t="shared" si="107"/>
        <v>301</v>
      </c>
      <c r="F1381" s="110">
        <f t="shared" si="108"/>
        <v>559</v>
      </c>
    </row>
    <row r="1382" spans="2:6" x14ac:dyDescent="0.25">
      <c r="B1382" s="105">
        <f t="shared" si="109"/>
        <v>1379</v>
      </c>
      <c r="C1382" s="107">
        <f t="shared" si="110"/>
        <v>14</v>
      </c>
      <c r="D1382" s="107">
        <f t="shared" si="111"/>
        <v>40</v>
      </c>
      <c r="E1382" s="15">
        <f t="shared" si="107"/>
        <v>301</v>
      </c>
      <c r="F1382" s="110">
        <f t="shared" si="108"/>
        <v>556</v>
      </c>
    </row>
    <row r="1383" spans="2:6" x14ac:dyDescent="0.25">
      <c r="B1383" s="105">
        <f t="shared" si="109"/>
        <v>1380</v>
      </c>
      <c r="C1383" s="107">
        <f t="shared" si="110"/>
        <v>15</v>
      </c>
      <c r="D1383" s="107">
        <f t="shared" si="111"/>
        <v>40</v>
      </c>
      <c r="E1383" s="15">
        <f t="shared" si="107"/>
        <v>301</v>
      </c>
      <c r="F1383" s="110">
        <f t="shared" si="108"/>
        <v>540</v>
      </c>
    </row>
    <row r="1384" spans="2:6" x14ac:dyDescent="0.25">
      <c r="B1384" s="105">
        <f t="shared" si="109"/>
        <v>1381</v>
      </c>
      <c r="C1384" s="107">
        <f t="shared" si="110"/>
        <v>16</v>
      </c>
      <c r="D1384" s="107">
        <f t="shared" si="111"/>
        <v>40</v>
      </c>
      <c r="E1384" s="15">
        <f t="shared" si="107"/>
        <v>301</v>
      </c>
      <c r="F1384" s="110">
        <f t="shared" si="108"/>
        <v>536</v>
      </c>
    </row>
    <row r="1385" spans="2:6" x14ac:dyDescent="0.25">
      <c r="B1385" s="105">
        <f t="shared" si="109"/>
        <v>1382</v>
      </c>
      <c r="C1385" s="107">
        <f t="shared" si="110"/>
        <v>17</v>
      </c>
      <c r="D1385" s="107">
        <f t="shared" si="111"/>
        <v>40</v>
      </c>
      <c r="E1385" s="15">
        <f t="shared" si="107"/>
        <v>301</v>
      </c>
      <c r="F1385" s="110">
        <f t="shared" si="108"/>
        <v>527</v>
      </c>
    </row>
    <row r="1386" spans="2:6" x14ac:dyDescent="0.25">
      <c r="B1386" s="105">
        <f t="shared" si="109"/>
        <v>1383</v>
      </c>
      <c r="C1386" s="107">
        <f t="shared" si="110"/>
        <v>18</v>
      </c>
      <c r="D1386" s="107">
        <f t="shared" si="111"/>
        <v>40</v>
      </c>
      <c r="E1386" s="15">
        <f t="shared" si="107"/>
        <v>301</v>
      </c>
      <c r="F1386" s="110">
        <f t="shared" si="108"/>
        <v>478</v>
      </c>
    </row>
    <row r="1387" spans="2:6" x14ac:dyDescent="0.25">
      <c r="B1387" s="105">
        <f t="shared" si="109"/>
        <v>1384</v>
      </c>
      <c r="C1387" s="107">
        <f t="shared" si="110"/>
        <v>19</v>
      </c>
      <c r="D1387" s="107">
        <f t="shared" si="111"/>
        <v>40</v>
      </c>
      <c r="E1387" s="15">
        <f t="shared" si="107"/>
        <v>301</v>
      </c>
      <c r="F1387" s="110">
        <f t="shared" si="108"/>
        <v>474</v>
      </c>
    </row>
    <row r="1388" spans="2:6" x14ac:dyDescent="0.25">
      <c r="B1388" s="105">
        <f t="shared" si="109"/>
        <v>1385</v>
      </c>
      <c r="C1388" s="107">
        <f t="shared" si="110"/>
        <v>20</v>
      </c>
      <c r="D1388" s="107">
        <f t="shared" si="111"/>
        <v>40</v>
      </c>
      <c r="E1388" s="15">
        <f t="shared" si="107"/>
        <v>301</v>
      </c>
      <c r="F1388" s="110">
        <f t="shared" si="108"/>
        <v>468</v>
      </c>
    </row>
    <row r="1389" spans="2:6" x14ac:dyDescent="0.25">
      <c r="B1389" s="105">
        <f t="shared" si="109"/>
        <v>1386</v>
      </c>
      <c r="C1389" s="107">
        <f t="shared" si="110"/>
        <v>21</v>
      </c>
      <c r="D1389" s="107">
        <f t="shared" si="111"/>
        <v>40</v>
      </c>
      <c r="E1389" s="15">
        <f t="shared" si="107"/>
        <v>301</v>
      </c>
      <c r="F1389" s="110">
        <f t="shared" si="108"/>
        <v>457</v>
      </c>
    </row>
    <row r="1390" spans="2:6" x14ac:dyDescent="0.25">
      <c r="B1390" s="105">
        <f t="shared" si="109"/>
        <v>1387</v>
      </c>
      <c r="C1390" s="107">
        <f t="shared" si="110"/>
        <v>22</v>
      </c>
      <c r="D1390" s="107">
        <f t="shared" si="111"/>
        <v>40</v>
      </c>
      <c r="E1390" s="15">
        <f t="shared" si="107"/>
        <v>301</v>
      </c>
      <c r="F1390" s="110">
        <f t="shared" si="108"/>
        <v>452</v>
      </c>
    </row>
    <row r="1391" spans="2:6" x14ac:dyDescent="0.25">
      <c r="B1391" s="105">
        <f t="shared" si="109"/>
        <v>1388</v>
      </c>
      <c r="C1391" s="107">
        <f t="shared" si="110"/>
        <v>23</v>
      </c>
      <c r="D1391" s="107">
        <f t="shared" si="111"/>
        <v>40</v>
      </c>
      <c r="E1391" s="15">
        <f t="shared" si="107"/>
        <v>301</v>
      </c>
      <c r="F1391" s="110">
        <f t="shared" si="108"/>
        <v>442</v>
      </c>
    </row>
    <row r="1392" spans="2:6" x14ac:dyDescent="0.25">
      <c r="B1392" s="105">
        <f t="shared" si="109"/>
        <v>1389</v>
      </c>
      <c r="C1392" s="107">
        <f t="shared" si="110"/>
        <v>24</v>
      </c>
      <c r="D1392" s="107">
        <f t="shared" si="111"/>
        <v>40</v>
      </c>
      <c r="E1392" s="15">
        <f t="shared" si="107"/>
        <v>301</v>
      </c>
      <c r="F1392" s="110">
        <f t="shared" si="108"/>
        <v>420</v>
      </c>
    </row>
    <row r="1393" spans="2:6" x14ac:dyDescent="0.25">
      <c r="B1393" s="105">
        <f t="shared" si="109"/>
        <v>1390</v>
      </c>
      <c r="C1393" s="107">
        <f t="shared" si="110"/>
        <v>25</v>
      </c>
      <c r="D1393" s="107">
        <f t="shared" si="111"/>
        <v>40</v>
      </c>
      <c r="E1393" s="15">
        <f t="shared" si="107"/>
        <v>301</v>
      </c>
      <c r="F1393" s="110">
        <f t="shared" si="108"/>
        <v>410</v>
      </c>
    </row>
    <row r="1394" spans="2:6" x14ac:dyDescent="0.25">
      <c r="B1394" s="105">
        <f t="shared" si="109"/>
        <v>1391</v>
      </c>
      <c r="C1394" s="107">
        <f t="shared" si="110"/>
        <v>26</v>
      </c>
      <c r="D1394" s="107">
        <f t="shared" si="111"/>
        <v>40</v>
      </c>
      <c r="E1394" s="15">
        <f t="shared" si="107"/>
        <v>301</v>
      </c>
      <c r="F1394" s="110">
        <f t="shared" si="108"/>
        <v>409</v>
      </c>
    </row>
    <row r="1395" spans="2:6" x14ac:dyDescent="0.25">
      <c r="B1395" s="105">
        <f t="shared" si="109"/>
        <v>1392</v>
      </c>
      <c r="C1395" s="107">
        <f t="shared" si="110"/>
        <v>27</v>
      </c>
      <c r="D1395" s="107">
        <f t="shared" si="111"/>
        <v>40</v>
      </c>
      <c r="E1395" s="15">
        <f t="shared" si="107"/>
        <v>301</v>
      </c>
      <c r="F1395" s="110">
        <f t="shared" si="108"/>
        <v>408</v>
      </c>
    </row>
    <row r="1396" spans="2:6" x14ac:dyDescent="0.25">
      <c r="B1396" s="105">
        <f t="shared" si="109"/>
        <v>1393</v>
      </c>
      <c r="C1396" s="107">
        <f t="shared" si="110"/>
        <v>28</v>
      </c>
      <c r="D1396" s="107">
        <f t="shared" si="111"/>
        <v>40</v>
      </c>
      <c r="E1396" s="15">
        <f t="shared" si="107"/>
        <v>301</v>
      </c>
      <c r="F1396" s="110">
        <f t="shared" si="108"/>
        <v>404</v>
      </c>
    </row>
    <row r="1397" spans="2:6" x14ac:dyDescent="0.25">
      <c r="B1397" s="105">
        <f t="shared" si="109"/>
        <v>1394</v>
      </c>
      <c r="C1397" s="107">
        <f t="shared" si="110"/>
        <v>29</v>
      </c>
      <c r="D1397" s="107">
        <f t="shared" si="111"/>
        <v>40</v>
      </c>
      <c r="E1397" s="15">
        <f t="shared" si="107"/>
        <v>301</v>
      </c>
      <c r="F1397" s="110">
        <f t="shared" si="108"/>
        <v>399</v>
      </c>
    </row>
    <row r="1398" spans="2:6" x14ac:dyDescent="0.25">
      <c r="B1398" s="105">
        <f t="shared" si="109"/>
        <v>1395</v>
      </c>
      <c r="C1398" s="107">
        <f t="shared" si="110"/>
        <v>30</v>
      </c>
      <c r="D1398" s="107">
        <f t="shared" si="111"/>
        <v>40</v>
      </c>
      <c r="E1398" s="15">
        <f t="shared" si="107"/>
        <v>301</v>
      </c>
      <c r="F1398" s="110">
        <f t="shared" si="108"/>
        <v>396</v>
      </c>
    </row>
    <row r="1399" spans="2:6" x14ac:dyDescent="0.25">
      <c r="B1399" s="105">
        <f t="shared" si="109"/>
        <v>1396</v>
      </c>
      <c r="C1399" s="107">
        <f t="shared" si="110"/>
        <v>31</v>
      </c>
      <c r="D1399" s="107">
        <f t="shared" si="111"/>
        <v>40</v>
      </c>
      <c r="E1399" s="15">
        <f t="shared" si="107"/>
        <v>301</v>
      </c>
      <c r="F1399" s="110">
        <f t="shared" si="108"/>
        <v>384</v>
      </c>
    </row>
    <row r="1400" spans="2:6" x14ac:dyDescent="0.25">
      <c r="B1400" s="105">
        <f t="shared" si="109"/>
        <v>1397</v>
      </c>
      <c r="C1400" s="107">
        <f t="shared" si="110"/>
        <v>32</v>
      </c>
      <c r="D1400" s="107">
        <f t="shared" si="111"/>
        <v>40</v>
      </c>
      <c r="E1400" s="15">
        <f t="shared" si="107"/>
        <v>301</v>
      </c>
      <c r="F1400" s="110">
        <f t="shared" si="108"/>
        <v>381</v>
      </c>
    </row>
    <row r="1401" spans="2:6" x14ac:dyDescent="0.25">
      <c r="B1401" s="105">
        <f t="shared" si="109"/>
        <v>1398</v>
      </c>
      <c r="C1401" s="107">
        <f t="shared" si="110"/>
        <v>33</v>
      </c>
      <c r="D1401" s="107">
        <f t="shared" si="111"/>
        <v>40</v>
      </c>
      <c r="E1401" s="15">
        <f t="shared" si="107"/>
        <v>301</v>
      </c>
      <c r="F1401" s="110">
        <f t="shared" si="108"/>
        <v>376</v>
      </c>
    </row>
    <row r="1402" spans="2:6" x14ac:dyDescent="0.25">
      <c r="B1402" s="105">
        <f t="shared" si="109"/>
        <v>1399</v>
      </c>
      <c r="C1402" s="107">
        <f t="shared" si="110"/>
        <v>34</v>
      </c>
      <c r="D1402" s="107">
        <f t="shared" si="111"/>
        <v>40</v>
      </c>
      <c r="E1402" s="15">
        <f t="shared" si="107"/>
        <v>301</v>
      </c>
      <c r="F1402" s="110">
        <f t="shared" si="108"/>
        <v>370</v>
      </c>
    </row>
    <row r="1403" spans="2:6" x14ac:dyDescent="0.25">
      <c r="B1403" s="105">
        <f t="shared" si="109"/>
        <v>1400</v>
      </c>
      <c r="C1403" s="107">
        <f t="shared" si="110"/>
        <v>35</v>
      </c>
      <c r="D1403" s="107">
        <f t="shared" si="111"/>
        <v>40</v>
      </c>
      <c r="E1403" s="15">
        <f t="shared" si="107"/>
        <v>301</v>
      </c>
      <c r="F1403" s="110">
        <f t="shared" si="108"/>
        <v>362</v>
      </c>
    </row>
    <row r="1404" spans="2:6" x14ac:dyDescent="0.25">
      <c r="B1404" s="105">
        <f t="shared" si="109"/>
        <v>1401</v>
      </c>
      <c r="C1404" s="107">
        <f t="shared" si="110"/>
        <v>36</v>
      </c>
      <c r="D1404" s="107">
        <f t="shared" si="111"/>
        <v>40</v>
      </c>
      <c r="E1404" s="15">
        <f t="shared" si="107"/>
        <v>301</v>
      </c>
      <c r="F1404" s="110">
        <f t="shared" si="108"/>
        <v>357</v>
      </c>
    </row>
    <row r="1405" spans="2:6" x14ac:dyDescent="0.25">
      <c r="B1405" s="105">
        <f t="shared" si="109"/>
        <v>1402</v>
      </c>
      <c r="C1405" s="107">
        <f t="shared" si="110"/>
        <v>37</v>
      </c>
      <c r="D1405" s="107">
        <f t="shared" si="111"/>
        <v>40</v>
      </c>
      <c r="E1405" s="15">
        <f t="shared" si="107"/>
        <v>301</v>
      </c>
      <c r="F1405" s="110">
        <f t="shared" si="108"/>
        <v>351</v>
      </c>
    </row>
    <row r="1406" spans="2:6" x14ac:dyDescent="0.25">
      <c r="B1406" s="105">
        <f t="shared" si="109"/>
        <v>1403</v>
      </c>
      <c r="C1406" s="107">
        <f t="shared" si="110"/>
        <v>38</v>
      </c>
      <c r="D1406" s="107">
        <f t="shared" si="111"/>
        <v>40</v>
      </c>
      <c r="E1406" s="15">
        <f t="shared" si="107"/>
        <v>301</v>
      </c>
      <c r="F1406" s="110">
        <f t="shared" si="108"/>
        <v>339</v>
      </c>
    </row>
    <row r="1407" spans="2:6" x14ac:dyDescent="0.25">
      <c r="B1407" s="105">
        <f t="shared" si="109"/>
        <v>1404</v>
      </c>
      <c r="C1407" s="107">
        <f t="shared" si="110"/>
        <v>39</v>
      </c>
      <c r="D1407" s="107">
        <f t="shared" si="111"/>
        <v>40</v>
      </c>
      <c r="E1407" s="15">
        <f t="shared" si="107"/>
        <v>301</v>
      </c>
      <c r="F1407" s="110">
        <f t="shared" si="108"/>
        <v>304</v>
      </c>
    </row>
    <row r="1408" spans="2:6" x14ac:dyDescent="0.25">
      <c r="B1408" s="105">
        <f t="shared" si="109"/>
        <v>1405</v>
      </c>
      <c r="C1408" s="107">
        <f t="shared" si="110"/>
        <v>1</v>
      </c>
      <c r="D1408" s="107">
        <f t="shared" si="111"/>
        <v>39</v>
      </c>
      <c r="E1408" s="15">
        <f t="shared" si="107"/>
        <v>304</v>
      </c>
      <c r="F1408" s="110">
        <f t="shared" si="108"/>
        <v>1048</v>
      </c>
    </row>
    <row r="1409" spans="2:6" x14ac:dyDescent="0.25">
      <c r="B1409" s="105">
        <f t="shared" si="109"/>
        <v>1406</v>
      </c>
      <c r="C1409" s="107">
        <f t="shared" si="110"/>
        <v>2</v>
      </c>
      <c r="D1409" s="107">
        <f t="shared" si="111"/>
        <v>39</v>
      </c>
      <c r="E1409" s="15">
        <f t="shared" si="107"/>
        <v>304</v>
      </c>
      <c r="F1409" s="110">
        <f t="shared" si="108"/>
        <v>1025</v>
      </c>
    </row>
    <row r="1410" spans="2:6" x14ac:dyDescent="0.25">
      <c r="B1410" s="105">
        <f t="shared" si="109"/>
        <v>1407</v>
      </c>
      <c r="C1410" s="107">
        <f t="shared" si="110"/>
        <v>3</v>
      </c>
      <c r="D1410" s="107">
        <f t="shared" si="111"/>
        <v>39</v>
      </c>
      <c r="E1410" s="15">
        <f t="shared" si="107"/>
        <v>304</v>
      </c>
      <c r="F1410" s="110">
        <f t="shared" si="108"/>
        <v>805</v>
      </c>
    </row>
    <row r="1411" spans="2:6" x14ac:dyDescent="0.25">
      <c r="B1411" s="105">
        <f t="shared" si="109"/>
        <v>1408</v>
      </c>
      <c r="C1411" s="107">
        <f t="shared" si="110"/>
        <v>4</v>
      </c>
      <c r="D1411" s="107">
        <f t="shared" si="111"/>
        <v>39</v>
      </c>
      <c r="E1411" s="15">
        <f t="shared" si="107"/>
        <v>304</v>
      </c>
      <c r="F1411" s="110">
        <f t="shared" si="108"/>
        <v>666</v>
      </c>
    </row>
    <row r="1412" spans="2:6" x14ac:dyDescent="0.25">
      <c r="B1412" s="105">
        <f t="shared" si="109"/>
        <v>1409</v>
      </c>
      <c r="C1412" s="107">
        <f t="shared" si="110"/>
        <v>5</v>
      </c>
      <c r="D1412" s="107">
        <f t="shared" si="111"/>
        <v>39</v>
      </c>
      <c r="E1412" s="15">
        <f t="shared" ref="E1412:E1475" si="112">IFERROR(VLOOKUP(D1412,$H$4:$I$69,2,0),"")</f>
        <v>304</v>
      </c>
      <c r="F1412" s="110">
        <f t="shared" ref="F1412:F1475" si="113">IFERROR(VLOOKUP(C1412,$H$4:$I$69,2,0),"")</f>
        <v>655</v>
      </c>
    </row>
    <row r="1413" spans="2:6" x14ac:dyDescent="0.25">
      <c r="B1413" s="105">
        <f t="shared" ref="B1413:B1476" si="114">ROW()-3</f>
        <v>1410</v>
      </c>
      <c r="C1413" s="107">
        <f t="shared" si="110"/>
        <v>6</v>
      </c>
      <c r="D1413" s="107">
        <f t="shared" si="111"/>
        <v>39</v>
      </c>
      <c r="E1413" s="15">
        <f t="shared" si="112"/>
        <v>304</v>
      </c>
      <c r="F1413" s="110">
        <f t="shared" si="113"/>
        <v>652</v>
      </c>
    </row>
    <row r="1414" spans="2:6" x14ac:dyDescent="0.25">
      <c r="B1414" s="105">
        <f t="shared" si="114"/>
        <v>1411</v>
      </c>
      <c r="C1414" s="107">
        <f t="shared" ref="C1414:C1477" si="115">IF((D1413-C1413)=1,1,C1413+1)</f>
        <v>7</v>
      </c>
      <c r="D1414" s="107">
        <f t="shared" ref="D1414:D1477" si="116">IF((D1413-C1413)=1,D1413-1,D1413)</f>
        <v>39</v>
      </c>
      <c r="E1414" s="15">
        <f t="shared" si="112"/>
        <v>304</v>
      </c>
      <c r="F1414" s="110">
        <f t="shared" si="113"/>
        <v>633</v>
      </c>
    </row>
    <row r="1415" spans="2:6" x14ac:dyDescent="0.25">
      <c r="B1415" s="105">
        <f t="shared" si="114"/>
        <v>1412</v>
      </c>
      <c r="C1415" s="107">
        <f t="shared" si="115"/>
        <v>8</v>
      </c>
      <c r="D1415" s="107">
        <f t="shared" si="116"/>
        <v>39</v>
      </c>
      <c r="E1415" s="15">
        <f t="shared" si="112"/>
        <v>304</v>
      </c>
      <c r="F1415" s="110">
        <f t="shared" si="113"/>
        <v>632</v>
      </c>
    </row>
    <row r="1416" spans="2:6" x14ac:dyDescent="0.25">
      <c r="B1416" s="105">
        <f t="shared" si="114"/>
        <v>1413</v>
      </c>
      <c r="C1416" s="107">
        <f t="shared" si="115"/>
        <v>9</v>
      </c>
      <c r="D1416" s="107">
        <f t="shared" si="116"/>
        <v>39</v>
      </c>
      <c r="E1416" s="15">
        <f t="shared" si="112"/>
        <v>304</v>
      </c>
      <c r="F1416" s="110">
        <f t="shared" si="113"/>
        <v>625</v>
      </c>
    </row>
    <row r="1417" spans="2:6" x14ac:dyDescent="0.25">
      <c r="B1417" s="105">
        <f t="shared" si="114"/>
        <v>1414</v>
      </c>
      <c r="C1417" s="107">
        <f t="shared" si="115"/>
        <v>10</v>
      </c>
      <c r="D1417" s="107">
        <f t="shared" si="116"/>
        <v>39</v>
      </c>
      <c r="E1417" s="15">
        <f t="shared" si="112"/>
        <v>304</v>
      </c>
      <c r="F1417" s="110">
        <f t="shared" si="113"/>
        <v>619</v>
      </c>
    </row>
    <row r="1418" spans="2:6" x14ac:dyDescent="0.25">
      <c r="B1418" s="105">
        <f t="shared" si="114"/>
        <v>1415</v>
      </c>
      <c r="C1418" s="107">
        <f t="shared" si="115"/>
        <v>11</v>
      </c>
      <c r="D1418" s="107">
        <f t="shared" si="116"/>
        <v>39</v>
      </c>
      <c r="E1418" s="15">
        <f t="shared" si="112"/>
        <v>304</v>
      </c>
      <c r="F1418" s="110">
        <f t="shared" si="113"/>
        <v>610</v>
      </c>
    </row>
    <row r="1419" spans="2:6" x14ac:dyDescent="0.25">
      <c r="B1419" s="105">
        <f t="shared" si="114"/>
        <v>1416</v>
      </c>
      <c r="C1419" s="107">
        <f t="shared" si="115"/>
        <v>12</v>
      </c>
      <c r="D1419" s="107">
        <f t="shared" si="116"/>
        <v>39</v>
      </c>
      <c r="E1419" s="15">
        <f t="shared" si="112"/>
        <v>304</v>
      </c>
      <c r="F1419" s="110">
        <f t="shared" si="113"/>
        <v>599</v>
      </c>
    </row>
    <row r="1420" spans="2:6" x14ac:dyDescent="0.25">
      <c r="B1420" s="105">
        <f t="shared" si="114"/>
        <v>1417</v>
      </c>
      <c r="C1420" s="107">
        <f t="shared" si="115"/>
        <v>13</v>
      </c>
      <c r="D1420" s="107">
        <f t="shared" si="116"/>
        <v>39</v>
      </c>
      <c r="E1420" s="15">
        <f t="shared" si="112"/>
        <v>304</v>
      </c>
      <c r="F1420" s="110">
        <f t="shared" si="113"/>
        <v>559</v>
      </c>
    </row>
    <row r="1421" spans="2:6" x14ac:dyDescent="0.25">
      <c r="B1421" s="105">
        <f t="shared" si="114"/>
        <v>1418</v>
      </c>
      <c r="C1421" s="107">
        <f t="shared" si="115"/>
        <v>14</v>
      </c>
      <c r="D1421" s="107">
        <f t="shared" si="116"/>
        <v>39</v>
      </c>
      <c r="E1421" s="15">
        <f t="shared" si="112"/>
        <v>304</v>
      </c>
      <c r="F1421" s="110">
        <f t="shared" si="113"/>
        <v>556</v>
      </c>
    </row>
    <row r="1422" spans="2:6" x14ac:dyDescent="0.25">
      <c r="B1422" s="105">
        <f t="shared" si="114"/>
        <v>1419</v>
      </c>
      <c r="C1422" s="107">
        <f t="shared" si="115"/>
        <v>15</v>
      </c>
      <c r="D1422" s="107">
        <f t="shared" si="116"/>
        <v>39</v>
      </c>
      <c r="E1422" s="15">
        <f t="shared" si="112"/>
        <v>304</v>
      </c>
      <c r="F1422" s="110">
        <f t="shared" si="113"/>
        <v>540</v>
      </c>
    </row>
    <row r="1423" spans="2:6" x14ac:dyDescent="0.25">
      <c r="B1423" s="105">
        <f t="shared" si="114"/>
        <v>1420</v>
      </c>
      <c r="C1423" s="107">
        <f t="shared" si="115"/>
        <v>16</v>
      </c>
      <c r="D1423" s="107">
        <f t="shared" si="116"/>
        <v>39</v>
      </c>
      <c r="E1423" s="15">
        <f t="shared" si="112"/>
        <v>304</v>
      </c>
      <c r="F1423" s="110">
        <f t="shared" si="113"/>
        <v>536</v>
      </c>
    </row>
    <row r="1424" spans="2:6" x14ac:dyDescent="0.25">
      <c r="B1424" s="105">
        <f t="shared" si="114"/>
        <v>1421</v>
      </c>
      <c r="C1424" s="107">
        <f t="shared" si="115"/>
        <v>17</v>
      </c>
      <c r="D1424" s="107">
        <f t="shared" si="116"/>
        <v>39</v>
      </c>
      <c r="E1424" s="15">
        <f t="shared" si="112"/>
        <v>304</v>
      </c>
      <c r="F1424" s="110">
        <f t="shared" si="113"/>
        <v>527</v>
      </c>
    </row>
    <row r="1425" spans="2:6" x14ac:dyDescent="0.25">
      <c r="B1425" s="105">
        <f t="shared" si="114"/>
        <v>1422</v>
      </c>
      <c r="C1425" s="107">
        <f t="shared" si="115"/>
        <v>18</v>
      </c>
      <c r="D1425" s="107">
        <f t="shared" si="116"/>
        <v>39</v>
      </c>
      <c r="E1425" s="15">
        <f t="shared" si="112"/>
        <v>304</v>
      </c>
      <c r="F1425" s="110">
        <f t="shared" si="113"/>
        <v>478</v>
      </c>
    </row>
    <row r="1426" spans="2:6" x14ac:dyDescent="0.25">
      <c r="B1426" s="105">
        <f t="shared" si="114"/>
        <v>1423</v>
      </c>
      <c r="C1426" s="107">
        <f t="shared" si="115"/>
        <v>19</v>
      </c>
      <c r="D1426" s="107">
        <f t="shared" si="116"/>
        <v>39</v>
      </c>
      <c r="E1426" s="15">
        <f t="shared" si="112"/>
        <v>304</v>
      </c>
      <c r="F1426" s="110">
        <f t="shared" si="113"/>
        <v>474</v>
      </c>
    </row>
    <row r="1427" spans="2:6" x14ac:dyDescent="0.25">
      <c r="B1427" s="105">
        <f t="shared" si="114"/>
        <v>1424</v>
      </c>
      <c r="C1427" s="107">
        <f t="shared" si="115"/>
        <v>20</v>
      </c>
      <c r="D1427" s="107">
        <f t="shared" si="116"/>
        <v>39</v>
      </c>
      <c r="E1427" s="15">
        <f t="shared" si="112"/>
        <v>304</v>
      </c>
      <c r="F1427" s="110">
        <f t="shared" si="113"/>
        <v>468</v>
      </c>
    </row>
    <row r="1428" spans="2:6" x14ac:dyDescent="0.25">
      <c r="B1428" s="105">
        <f t="shared" si="114"/>
        <v>1425</v>
      </c>
      <c r="C1428" s="107">
        <f t="shared" si="115"/>
        <v>21</v>
      </c>
      <c r="D1428" s="107">
        <f t="shared" si="116"/>
        <v>39</v>
      </c>
      <c r="E1428" s="15">
        <f t="shared" si="112"/>
        <v>304</v>
      </c>
      <c r="F1428" s="110">
        <f t="shared" si="113"/>
        <v>457</v>
      </c>
    </row>
    <row r="1429" spans="2:6" x14ac:dyDescent="0.25">
      <c r="B1429" s="105">
        <f t="shared" si="114"/>
        <v>1426</v>
      </c>
      <c r="C1429" s="107">
        <f t="shared" si="115"/>
        <v>22</v>
      </c>
      <c r="D1429" s="107">
        <f t="shared" si="116"/>
        <v>39</v>
      </c>
      <c r="E1429" s="15">
        <f t="shared" si="112"/>
        <v>304</v>
      </c>
      <c r="F1429" s="110">
        <f t="shared" si="113"/>
        <v>452</v>
      </c>
    </row>
    <row r="1430" spans="2:6" x14ac:dyDescent="0.25">
      <c r="B1430" s="105">
        <f t="shared" si="114"/>
        <v>1427</v>
      </c>
      <c r="C1430" s="107">
        <f t="shared" si="115"/>
        <v>23</v>
      </c>
      <c r="D1430" s="107">
        <f t="shared" si="116"/>
        <v>39</v>
      </c>
      <c r="E1430" s="15">
        <f t="shared" si="112"/>
        <v>304</v>
      </c>
      <c r="F1430" s="110">
        <f t="shared" si="113"/>
        <v>442</v>
      </c>
    </row>
    <row r="1431" spans="2:6" x14ac:dyDescent="0.25">
      <c r="B1431" s="105">
        <f t="shared" si="114"/>
        <v>1428</v>
      </c>
      <c r="C1431" s="107">
        <f t="shared" si="115"/>
        <v>24</v>
      </c>
      <c r="D1431" s="107">
        <f t="shared" si="116"/>
        <v>39</v>
      </c>
      <c r="E1431" s="15">
        <f t="shared" si="112"/>
        <v>304</v>
      </c>
      <c r="F1431" s="110">
        <f t="shared" si="113"/>
        <v>420</v>
      </c>
    </row>
    <row r="1432" spans="2:6" x14ac:dyDescent="0.25">
      <c r="B1432" s="105">
        <f t="shared" si="114"/>
        <v>1429</v>
      </c>
      <c r="C1432" s="107">
        <f t="shared" si="115"/>
        <v>25</v>
      </c>
      <c r="D1432" s="107">
        <f t="shared" si="116"/>
        <v>39</v>
      </c>
      <c r="E1432" s="15">
        <f t="shared" si="112"/>
        <v>304</v>
      </c>
      <c r="F1432" s="110">
        <f t="shared" si="113"/>
        <v>410</v>
      </c>
    </row>
    <row r="1433" spans="2:6" x14ac:dyDescent="0.25">
      <c r="B1433" s="105">
        <f t="shared" si="114"/>
        <v>1430</v>
      </c>
      <c r="C1433" s="107">
        <f t="shared" si="115"/>
        <v>26</v>
      </c>
      <c r="D1433" s="107">
        <f t="shared" si="116"/>
        <v>39</v>
      </c>
      <c r="E1433" s="15">
        <f t="shared" si="112"/>
        <v>304</v>
      </c>
      <c r="F1433" s="110">
        <f t="shared" si="113"/>
        <v>409</v>
      </c>
    </row>
    <row r="1434" spans="2:6" x14ac:dyDescent="0.25">
      <c r="B1434" s="105">
        <f t="shared" si="114"/>
        <v>1431</v>
      </c>
      <c r="C1434" s="107">
        <f t="shared" si="115"/>
        <v>27</v>
      </c>
      <c r="D1434" s="107">
        <f t="shared" si="116"/>
        <v>39</v>
      </c>
      <c r="E1434" s="15">
        <f t="shared" si="112"/>
        <v>304</v>
      </c>
      <c r="F1434" s="110">
        <f t="shared" si="113"/>
        <v>408</v>
      </c>
    </row>
    <row r="1435" spans="2:6" x14ac:dyDescent="0.25">
      <c r="B1435" s="105">
        <f t="shared" si="114"/>
        <v>1432</v>
      </c>
      <c r="C1435" s="107">
        <f t="shared" si="115"/>
        <v>28</v>
      </c>
      <c r="D1435" s="107">
        <f t="shared" si="116"/>
        <v>39</v>
      </c>
      <c r="E1435" s="15">
        <f t="shared" si="112"/>
        <v>304</v>
      </c>
      <c r="F1435" s="110">
        <f t="shared" si="113"/>
        <v>404</v>
      </c>
    </row>
    <row r="1436" spans="2:6" x14ac:dyDescent="0.25">
      <c r="B1436" s="105">
        <f t="shared" si="114"/>
        <v>1433</v>
      </c>
      <c r="C1436" s="107">
        <f t="shared" si="115"/>
        <v>29</v>
      </c>
      <c r="D1436" s="107">
        <f t="shared" si="116"/>
        <v>39</v>
      </c>
      <c r="E1436" s="15">
        <f t="shared" si="112"/>
        <v>304</v>
      </c>
      <c r="F1436" s="110">
        <f t="shared" si="113"/>
        <v>399</v>
      </c>
    </row>
    <row r="1437" spans="2:6" x14ac:dyDescent="0.25">
      <c r="B1437" s="105">
        <f t="shared" si="114"/>
        <v>1434</v>
      </c>
      <c r="C1437" s="107">
        <f t="shared" si="115"/>
        <v>30</v>
      </c>
      <c r="D1437" s="107">
        <f t="shared" si="116"/>
        <v>39</v>
      </c>
      <c r="E1437" s="15">
        <f t="shared" si="112"/>
        <v>304</v>
      </c>
      <c r="F1437" s="110">
        <f t="shared" si="113"/>
        <v>396</v>
      </c>
    </row>
    <row r="1438" spans="2:6" x14ac:dyDescent="0.25">
      <c r="B1438" s="105">
        <f t="shared" si="114"/>
        <v>1435</v>
      </c>
      <c r="C1438" s="107">
        <f t="shared" si="115"/>
        <v>31</v>
      </c>
      <c r="D1438" s="107">
        <f t="shared" si="116"/>
        <v>39</v>
      </c>
      <c r="E1438" s="15">
        <f t="shared" si="112"/>
        <v>304</v>
      </c>
      <c r="F1438" s="110">
        <f t="shared" si="113"/>
        <v>384</v>
      </c>
    </row>
    <row r="1439" spans="2:6" x14ac:dyDescent="0.25">
      <c r="B1439" s="105">
        <f t="shared" si="114"/>
        <v>1436</v>
      </c>
      <c r="C1439" s="107">
        <f t="shared" si="115"/>
        <v>32</v>
      </c>
      <c r="D1439" s="107">
        <f t="shared" si="116"/>
        <v>39</v>
      </c>
      <c r="E1439" s="15">
        <f t="shared" si="112"/>
        <v>304</v>
      </c>
      <c r="F1439" s="110">
        <f t="shared" si="113"/>
        <v>381</v>
      </c>
    </row>
    <row r="1440" spans="2:6" x14ac:dyDescent="0.25">
      <c r="B1440" s="105">
        <f t="shared" si="114"/>
        <v>1437</v>
      </c>
      <c r="C1440" s="107">
        <f t="shared" si="115"/>
        <v>33</v>
      </c>
      <c r="D1440" s="107">
        <f t="shared" si="116"/>
        <v>39</v>
      </c>
      <c r="E1440" s="15">
        <f t="shared" si="112"/>
        <v>304</v>
      </c>
      <c r="F1440" s="110">
        <f t="shared" si="113"/>
        <v>376</v>
      </c>
    </row>
    <row r="1441" spans="2:6" x14ac:dyDescent="0.25">
      <c r="B1441" s="105">
        <f t="shared" si="114"/>
        <v>1438</v>
      </c>
      <c r="C1441" s="107">
        <f t="shared" si="115"/>
        <v>34</v>
      </c>
      <c r="D1441" s="107">
        <f t="shared" si="116"/>
        <v>39</v>
      </c>
      <c r="E1441" s="15">
        <f t="shared" si="112"/>
        <v>304</v>
      </c>
      <c r="F1441" s="110">
        <f t="shared" si="113"/>
        <v>370</v>
      </c>
    </row>
    <row r="1442" spans="2:6" x14ac:dyDescent="0.25">
      <c r="B1442" s="105">
        <f t="shared" si="114"/>
        <v>1439</v>
      </c>
      <c r="C1442" s="107">
        <f t="shared" si="115"/>
        <v>35</v>
      </c>
      <c r="D1442" s="107">
        <f t="shared" si="116"/>
        <v>39</v>
      </c>
      <c r="E1442" s="15">
        <f t="shared" si="112"/>
        <v>304</v>
      </c>
      <c r="F1442" s="110">
        <f t="shared" si="113"/>
        <v>362</v>
      </c>
    </row>
    <row r="1443" spans="2:6" x14ac:dyDescent="0.25">
      <c r="B1443" s="105">
        <f t="shared" si="114"/>
        <v>1440</v>
      </c>
      <c r="C1443" s="107">
        <f t="shared" si="115"/>
        <v>36</v>
      </c>
      <c r="D1443" s="107">
        <f t="shared" si="116"/>
        <v>39</v>
      </c>
      <c r="E1443" s="15">
        <f t="shared" si="112"/>
        <v>304</v>
      </c>
      <c r="F1443" s="110">
        <f t="shared" si="113"/>
        <v>357</v>
      </c>
    </row>
    <row r="1444" spans="2:6" x14ac:dyDescent="0.25">
      <c r="B1444" s="105">
        <f t="shared" si="114"/>
        <v>1441</v>
      </c>
      <c r="C1444" s="107">
        <f t="shared" si="115"/>
        <v>37</v>
      </c>
      <c r="D1444" s="107">
        <f t="shared" si="116"/>
        <v>39</v>
      </c>
      <c r="E1444" s="15">
        <f t="shared" si="112"/>
        <v>304</v>
      </c>
      <c r="F1444" s="110">
        <f t="shared" si="113"/>
        <v>351</v>
      </c>
    </row>
    <row r="1445" spans="2:6" x14ac:dyDescent="0.25">
      <c r="B1445" s="105">
        <f t="shared" si="114"/>
        <v>1442</v>
      </c>
      <c r="C1445" s="107">
        <f t="shared" si="115"/>
        <v>38</v>
      </c>
      <c r="D1445" s="107">
        <f t="shared" si="116"/>
        <v>39</v>
      </c>
      <c r="E1445" s="15">
        <f t="shared" si="112"/>
        <v>304</v>
      </c>
      <c r="F1445" s="110">
        <f t="shared" si="113"/>
        <v>339</v>
      </c>
    </row>
    <row r="1446" spans="2:6" x14ac:dyDescent="0.25">
      <c r="B1446" s="105">
        <f t="shared" si="114"/>
        <v>1443</v>
      </c>
      <c r="C1446" s="107">
        <f t="shared" si="115"/>
        <v>1</v>
      </c>
      <c r="D1446" s="107">
        <f t="shared" si="116"/>
        <v>38</v>
      </c>
      <c r="E1446" s="15">
        <f t="shared" si="112"/>
        <v>339</v>
      </c>
      <c r="F1446" s="110">
        <f t="shared" si="113"/>
        <v>1048</v>
      </c>
    </row>
    <row r="1447" spans="2:6" x14ac:dyDescent="0.25">
      <c r="B1447" s="105">
        <f t="shared" si="114"/>
        <v>1444</v>
      </c>
      <c r="C1447" s="107">
        <f t="shared" si="115"/>
        <v>2</v>
      </c>
      <c r="D1447" s="107">
        <f t="shared" si="116"/>
        <v>38</v>
      </c>
      <c r="E1447" s="15">
        <f t="shared" si="112"/>
        <v>339</v>
      </c>
      <c r="F1447" s="110">
        <f t="shared" si="113"/>
        <v>1025</v>
      </c>
    </row>
    <row r="1448" spans="2:6" x14ac:dyDescent="0.25">
      <c r="B1448" s="105">
        <f t="shared" si="114"/>
        <v>1445</v>
      </c>
      <c r="C1448" s="107">
        <f t="shared" si="115"/>
        <v>3</v>
      </c>
      <c r="D1448" s="107">
        <f t="shared" si="116"/>
        <v>38</v>
      </c>
      <c r="E1448" s="15">
        <f t="shared" si="112"/>
        <v>339</v>
      </c>
      <c r="F1448" s="110">
        <f t="shared" si="113"/>
        <v>805</v>
      </c>
    </row>
    <row r="1449" spans="2:6" x14ac:dyDescent="0.25">
      <c r="B1449" s="105">
        <f t="shared" si="114"/>
        <v>1446</v>
      </c>
      <c r="C1449" s="107">
        <f t="shared" si="115"/>
        <v>4</v>
      </c>
      <c r="D1449" s="107">
        <f t="shared" si="116"/>
        <v>38</v>
      </c>
      <c r="E1449" s="15">
        <f t="shared" si="112"/>
        <v>339</v>
      </c>
      <c r="F1449" s="110">
        <f t="shared" si="113"/>
        <v>666</v>
      </c>
    </row>
    <row r="1450" spans="2:6" x14ac:dyDescent="0.25">
      <c r="B1450" s="105">
        <f t="shared" si="114"/>
        <v>1447</v>
      </c>
      <c r="C1450" s="107">
        <f t="shared" si="115"/>
        <v>5</v>
      </c>
      <c r="D1450" s="107">
        <f t="shared" si="116"/>
        <v>38</v>
      </c>
      <c r="E1450" s="15">
        <f t="shared" si="112"/>
        <v>339</v>
      </c>
      <c r="F1450" s="110">
        <f t="shared" si="113"/>
        <v>655</v>
      </c>
    </row>
    <row r="1451" spans="2:6" x14ac:dyDescent="0.25">
      <c r="B1451" s="105">
        <f t="shared" si="114"/>
        <v>1448</v>
      </c>
      <c r="C1451" s="107">
        <f t="shared" si="115"/>
        <v>6</v>
      </c>
      <c r="D1451" s="107">
        <f t="shared" si="116"/>
        <v>38</v>
      </c>
      <c r="E1451" s="15">
        <f t="shared" si="112"/>
        <v>339</v>
      </c>
      <c r="F1451" s="110">
        <f t="shared" si="113"/>
        <v>652</v>
      </c>
    </row>
    <row r="1452" spans="2:6" x14ac:dyDescent="0.25">
      <c r="B1452" s="105">
        <f t="shared" si="114"/>
        <v>1449</v>
      </c>
      <c r="C1452" s="107">
        <f t="shared" si="115"/>
        <v>7</v>
      </c>
      <c r="D1452" s="107">
        <f t="shared" si="116"/>
        <v>38</v>
      </c>
      <c r="E1452" s="15">
        <f t="shared" si="112"/>
        <v>339</v>
      </c>
      <c r="F1452" s="110">
        <f t="shared" si="113"/>
        <v>633</v>
      </c>
    </row>
    <row r="1453" spans="2:6" x14ac:dyDescent="0.25">
      <c r="B1453" s="105">
        <f t="shared" si="114"/>
        <v>1450</v>
      </c>
      <c r="C1453" s="107">
        <f t="shared" si="115"/>
        <v>8</v>
      </c>
      <c r="D1453" s="107">
        <f t="shared" si="116"/>
        <v>38</v>
      </c>
      <c r="E1453" s="15">
        <f t="shared" si="112"/>
        <v>339</v>
      </c>
      <c r="F1453" s="110">
        <f t="shared" si="113"/>
        <v>632</v>
      </c>
    </row>
    <row r="1454" spans="2:6" x14ac:dyDescent="0.25">
      <c r="B1454" s="105">
        <f t="shared" si="114"/>
        <v>1451</v>
      </c>
      <c r="C1454" s="107">
        <f t="shared" si="115"/>
        <v>9</v>
      </c>
      <c r="D1454" s="107">
        <f t="shared" si="116"/>
        <v>38</v>
      </c>
      <c r="E1454" s="15">
        <f t="shared" si="112"/>
        <v>339</v>
      </c>
      <c r="F1454" s="110">
        <f t="shared" si="113"/>
        <v>625</v>
      </c>
    </row>
    <row r="1455" spans="2:6" x14ac:dyDescent="0.25">
      <c r="B1455" s="105">
        <f t="shared" si="114"/>
        <v>1452</v>
      </c>
      <c r="C1455" s="107">
        <f t="shared" si="115"/>
        <v>10</v>
      </c>
      <c r="D1455" s="107">
        <f t="shared" si="116"/>
        <v>38</v>
      </c>
      <c r="E1455" s="15">
        <f t="shared" si="112"/>
        <v>339</v>
      </c>
      <c r="F1455" s="110">
        <f t="shared" si="113"/>
        <v>619</v>
      </c>
    </row>
    <row r="1456" spans="2:6" x14ac:dyDescent="0.25">
      <c r="B1456" s="105">
        <f t="shared" si="114"/>
        <v>1453</v>
      </c>
      <c r="C1456" s="107">
        <f t="shared" si="115"/>
        <v>11</v>
      </c>
      <c r="D1456" s="107">
        <f t="shared" si="116"/>
        <v>38</v>
      </c>
      <c r="E1456" s="15">
        <f t="shared" si="112"/>
        <v>339</v>
      </c>
      <c r="F1456" s="110">
        <f t="shared" si="113"/>
        <v>610</v>
      </c>
    </row>
    <row r="1457" spans="2:6" x14ac:dyDescent="0.25">
      <c r="B1457" s="105">
        <f t="shared" si="114"/>
        <v>1454</v>
      </c>
      <c r="C1457" s="107">
        <f t="shared" si="115"/>
        <v>12</v>
      </c>
      <c r="D1457" s="107">
        <f t="shared" si="116"/>
        <v>38</v>
      </c>
      <c r="E1457" s="15">
        <f t="shared" si="112"/>
        <v>339</v>
      </c>
      <c r="F1457" s="110">
        <f t="shared" si="113"/>
        <v>599</v>
      </c>
    </row>
    <row r="1458" spans="2:6" x14ac:dyDescent="0.25">
      <c r="B1458" s="105">
        <f t="shared" si="114"/>
        <v>1455</v>
      </c>
      <c r="C1458" s="107">
        <f t="shared" si="115"/>
        <v>13</v>
      </c>
      <c r="D1458" s="107">
        <f t="shared" si="116"/>
        <v>38</v>
      </c>
      <c r="E1458" s="15">
        <f t="shared" si="112"/>
        <v>339</v>
      </c>
      <c r="F1458" s="110">
        <f t="shared" si="113"/>
        <v>559</v>
      </c>
    </row>
    <row r="1459" spans="2:6" x14ac:dyDescent="0.25">
      <c r="B1459" s="105">
        <f t="shared" si="114"/>
        <v>1456</v>
      </c>
      <c r="C1459" s="107">
        <f t="shared" si="115"/>
        <v>14</v>
      </c>
      <c r="D1459" s="107">
        <f t="shared" si="116"/>
        <v>38</v>
      </c>
      <c r="E1459" s="15">
        <f t="shared" si="112"/>
        <v>339</v>
      </c>
      <c r="F1459" s="110">
        <f t="shared" si="113"/>
        <v>556</v>
      </c>
    </row>
    <row r="1460" spans="2:6" x14ac:dyDescent="0.25">
      <c r="B1460" s="105">
        <f t="shared" si="114"/>
        <v>1457</v>
      </c>
      <c r="C1460" s="107">
        <f t="shared" si="115"/>
        <v>15</v>
      </c>
      <c r="D1460" s="107">
        <f t="shared" si="116"/>
        <v>38</v>
      </c>
      <c r="E1460" s="15">
        <f t="shared" si="112"/>
        <v>339</v>
      </c>
      <c r="F1460" s="110">
        <f t="shared" si="113"/>
        <v>540</v>
      </c>
    </row>
    <row r="1461" spans="2:6" x14ac:dyDescent="0.25">
      <c r="B1461" s="105">
        <f t="shared" si="114"/>
        <v>1458</v>
      </c>
      <c r="C1461" s="107">
        <f t="shared" si="115"/>
        <v>16</v>
      </c>
      <c r="D1461" s="107">
        <f t="shared" si="116"/>
        <v>38</v>
      </c>
      <c r="E1461" s="15">
        <f t="shared" si="112"/>
        <v>339</v>
      </c>
      <c r="F1461" s="110">
        <f t="shared" si="113"/>
        <v>536</v>
      </c>
    </row>
    <row r="1462" spans="2:6" x14ac:dyDescent="0.25">
      <c r="B1462" s="105">
        <f t="shared" si="114"/>
        <v>1459</v>
      </c>
      <c r="C1462" s="107">
        <f t="shared" si="115"/>
        <v>17</v>
      </c>
      <c r="D1462" s="107">
        <f t="shared" si="116"/>
        <v>38</v>
      </c>
      <c r="E1462" s="15">
        <f t="shared" si="112"/>
        <v>339</v>
      </c>
      <c r="F1462" s="110">
        <f t="shared" si="113"/>
        <v>527</v>
      </c>
    </row>
    <row r="1463" spans="2:6" x14ac:dyDescent="0.25">
      <c r="B1463" s="105">
        <f t="shared" si="114"/>
        <v>1460</v>
      </c>
      <c r="C1463" s="107">
        <f t="shared" si="115"/>
        <v>18</v>
      </c>
      <c r="D1463" s="107">
        <f t="shared" si="116"/>
        <v>38</v>
      </c>
      <c r="E1463" s="15">
        <f t="shared" si="112"/>
        <v>339</v>
      </c>
      <c r="F1463" s="110">
        <f t="shared" si="113"/>
        <v>478</v>
      </c>
    </row>
    <row r="1464" spans="2:6" x14ac:dyDescent="0.25">
      <c r="B1464" s="105">
        <f t="shared" si="114"/>
        <v>1461</v>
      </c>
      <c r="C1464" s="107">
        <f t="shared" si="115"/>
        <v>19</v>
      </c>
      <c r="D1464" s="107">
        <f t="shared" si="116"/>
        <v>38</v>
      </c>
      <c r="E1464" s="15">
        <f t="shared" si="112"/>
        <v>339</v>
      </c>
      <c r="F1464" s="110">
        <f t="shared" si="113"/>
        <v>474</v>
      </c>
    </row>
    <row r="1465" spans="2:6" x14ac:dyDescent="0.25">
      <c r="B1465" s="105">
        <f t="shared" si="114"/>
        <v>1462</v>
      </c>
      <c r="C1465" s="107">
        <f t="shared" si="115"/>
        <v>20</v>
      </c>
      <c r="D1465" s="107">
        <f t="shared" si="116"/>
        <v>38</v>
      </c>
      <c r="E1465" s="15">
        <f t="shared" si="112"/>
        <v>339</v>
      </c>
      <c r="F1465" s="110">
        <f t="shared" si="113"/>
        <v>468</v>
      </c>
    </row>
    <row r="1466" spans="2:6" x14ac:dyDescent="0.25">
      <c r="B1466" s="105">
        <f t="shared" si="114"/>
        <v>1463</v>
      </c>
      <c r="C1466" s="107">
        <f t="shared" si="115"/>
        <v>21</v>
      </c>
      <c r="D1466" s="107">
        <f t="shared" si="116"/>
        <v>38</v>
      </c>
      <c r="E1466" s="15">
        <f t="shared" si="112"/>
        <v>339</v>
      </c>
      <c r="F1466" s="110">
        <f t="shared" si="113"/>
        <v>457</v>
      </c>
    </row>
    <row r="1467" spans="2:6" x14ac:dyDescent="0.25">
      <c r="B1467" s="105">
        <f t="shared" si="114"/>
        <v>1464</v>
      </c>
      <c r="C1467" s="107">
        <f t="shared" si="115"/>
        <v>22</v>
      </c>
      <c r="D1467" s="107">
        <f t="shared" si="116"/>
        <v>38</v>
      </c>
      <c r="E1467" s="15">
        <f t="shared" si="112"/>
        <v>339</v>
      </c>
      <c r="F1467" s="110">
        <f t="shared" si="113"/>
        <v>452</v>
      </c>
    </row>
    <row r="1468" spans="2:6" x14ac:dyDescent="0.25">
      <c r="B1468" s="105">
        <f t="shared" si="114"/>
        <v>1465</v>
      </c>
      <c r="C1468" s="107">
        <f t="shared" si="115"/>
        <v>23</v>
      </c>
      <c r="D1468" s="107">
        <f t="shared" si="116"/>
        <v>38</v>
      </c>
      <c r="E1468" s="15">
        <f t="shared" si="112"/>
        <v>339</v>
      </c>
      <c r="F1468" s="110">
        <f t="shared" si="113"/>
        <v>442</v>
      </c>
    </row>
    <row r="1469" spans="2:6" x14ac:dyDescent="0.25">
      <c r="B1469" s="105">
        <f t="shared" si="114"/>
        <v>1466</v>
      </c>
      <c r="C1469" s="107">
        <f t="shared" si="115"/>
        <v>24</v>
      </c>
      <c r="D1469" s="107">
        <f t="shared" si="116"/>
        <v>38</v>
      </c>
      <c r="E1469" s="15">
        <f t="shared" si="112"/>
        <v>339</v>
      </c>
      <c r="F1469" s="110">
        <f t="shared" si="113"/>
        <v>420</v>
      </c>
    </row>
    <row r="1470" spans="2:6" x14ac:dyDescent="0.25">
      <c r="B1470" s="105">
        <f t="shared" si="114"/>
        <v>1467</v>
      </c>
      <c r="C1470" s="107">
        <f t="shared" si="115"/>
        <v>25</v>
      </c>
      <c r="D1470" s="107">
        <f t="shared" si="116"/>
        <v>38</v>
      </c>
      <c r="E1470" s="15">
        <f t="shared" si="112"/>
        <v>339</v>
      </c>
      <c r="F1470" s="110">
        <f t="shared" si="113"/>
        <v>410</v>
      </c>
    </row>
    <row r="1471" spans="2:6" x14ac:dyDescent="0.25">
      <c r="B1471" s="105">
        <f t="shared" si="114"/>
        <v>1468</v>
      </c>
      <c r="C1471" s="107">
        <f t="shared" si="115"/>
        <v>26</v>
      </c>
      <c r="D1471" s="107">
        <f t="shared" si="116"/>
        <v>38</v>
      </c>
      <c r="E1471" s="15">
        <f t="shared" si="112"/>
        <v>339</v>
      </c>
      <c r="F1471" s="110">
        <f t="shared" si="113"/>
        <v>409</v>
      </c>
    </row>
    <row r="1472" spans="2:6" x14ac:dyDescent="0.25">
      <c r="B1472" s="105">
        <f t="shared" si="114"/>
        <v>1469</v>
      </c>
      <c r="C1472" s="107">
        <f t="shared" si="115"/>
        <v>27</v>
      </c>
      <c r="D1472" s="107">
        <f t="shared" si="116"/>
        <v>38</v>
      </c>
      <c r="E1472" s="15">
        <f t="shared" si="112"/>
        <v>339</v>
      </c>
      <c r="F1472" s="110">
        <f t="shared" si="113"/>
        <v>408</v>
      </c>
    </row>
    <row r="1473" spans="2:6" x14ac:dyDescent="0.25">
      <c r="B1473" s="105">
        <f t="shared" si="114"/>
        <v>1470</v>
      </c>
      <c r="C1473" s="107">
        <f t="shared" si="115"/>
        <v>28</v>
      </c>
      <c r="D1473" s="107">
        <f t="shared" si="116"/>
        <v>38</v>
      </c>
      <c r="E1473" s="15">
        <f t="shared" si="112"/>
        <v>339</v>
      </c>
      <c r="F1473" s="110">
        <f t="shared" si="113"/>
        <v>404</v>
      </c>
    </row>
    <row r="1474" spans="2:6" x14ac:dyDescent="0.25">
      <c r="B1474" s="105">
        <f t="shared" si="114"/>
        <v>1471</v>
      </c>
      <c r="C1474" s="107">
        <f t="shared" si="115"/>
        <v>29</v>
      </c>
      <c r="D1474" s="107">
        <f t="shared" si="116"/>
        <v>38</v>
      </c>
      <c r="E1474" s="15">
        <f t="shared" si="112"/>
        <v>339</v>
      </c>
      <c r="F1474" s="110">
        <f t="shared" si="113"/>
        <v>399</v>
      </c>
    </row>
    <row r="1475" spans="2:6" x14ac:dyDescent="0.25">
      <c r="B1475" s="105">
        <f t="shared" si="114"/>
        <v>1472</v>
      </c>
      <c r="C1475" s="107">
        <f t="shared" si="115"/>
        <v>30</v>
      </c>
      <c r="D1475" s="107">
        <f t="shared" si="116"/>
        <v>38</v>
      </c>
      <c r="E1475" s="15">
        <f t="shared" si="112"/>
        <v>339</v>
      </c>
      <c r="F1475" s="110">
        <f t="shared" si="113"/>
        <v>396</v>
      </c>
    </row>
    <row r="1476" spans="2:6" x14ac:dyDescent="0.25">
      <c r="B1476" s="105">
        <f t="shared" si="114"/>
        <v>1473</v>
      </c>
      <c r="C1476" s="107">
        <f t="shared" si="115"/>
        <v>31</v>
      </c>
      <c r="D1476" s="107">
        <f t="shared" si="116"/>
        <v>38</v>
      </c>
      <c r="E1476" s="15">
        <f t="shared" ref="E1476:E1539" si="117">IFERROR(VLOOKUP(D1476,$H$4:$I$69,2,0),"")</f>
        <v>339</v>
      </c>
      <c r="F1476" s="110">
        <f t="shared" ref="F1476:F1539" si="118">IFERROR(VLOOKUP(C1476,$H$4:$I$69,2,0),"")</f>
        <v>384</v>
      </c>
    </row>
    <row r="1477" spans="2:6" x14ac:dyDescent="0.25">
      <c r="B1477" s="105">
        <f t="shared" ref="B1477:B1540" si="119">ROW()-3</f>
        <v>1474</v>
      </c>
      <c r="C1477" s="107">
        <f t="shared" si="115"/>
        <v>32</v>
      </c>
      <c r="D1477" s="107">
        <f t="shared" si="116"/>
        <v>38</v>
      </c>
      <c r="E1477" s="15">
        <f t="shared" si="117"/>
        <v>339</v>
      </c>
      <c r="F1477" s="110">
        <f t="shared" si="118"/>
        <v>381</v>
      </c>
    </row>
    <row r="1478" spans="2:6" x14ac:dyDescent="0.25">
      <c r="B1478" s="105">
        <f t="shared" si="119"/>
        <v>1475</v>
      </c>
      <c r="C1478" s="107">
        <f t="shared" ref="C1478:C1541" si="120">IF((D1477-C1477)=1,1,C1477+1)</f>
        <v>33</v>
      </c>
      <c r="D1478" s="107">
        <f t="shared" ref="D1478:D1541" si="121">IF((D1477-C1477)=1,D1477-1,D1477)</f>
        <v>38</v>
      </c>
      <c r="E1478" s="15">
        <f t="shared" si="117"/>
        <v>339</v>
      </c>
      <c r="F1478" s="110">
        <f t="shared" si="118"/>
        <v>376</v>
      </c>
    </row>
    <row r="1479" spans="2:6" x14ac:dyDescent="0.25">
      <c r="B1479" s="105">
        <f t="shared" si="119"/>
        <v>1476</v>
      </c>
      <c r="C1479" s="107">
        <f t="shared" si="120"/>
        <v>34</v>
      </c>
      <c r="D1479" s="107">
        <f t="shared" si="121"/>
        <v>38</v>
      </c>
      <c r="E1479" s="15">
        <f t="shared" si="117"/>
        <v>339</v>
      </c>
      <c r="F1479" s="110">
        <f t="shared" si="118"/>
        <v>370</v>
      </c>
    </row>
    <row r="1480" spans="2:6" x14ac:dyDescent="0.25">
      <c r="B1480" s="105">
        <f t="shared" si="119"/>
        <v>1477</v>
      </c>
      <c r="C1480" s="107">
        <f t="shared" si="120"/>
        <v>35</v>
      </c>
      <c r="D1480" s="107">
        <f t="shared" si="121"/>
        <v>38</v>
      </c>
      <c r="E1480" s="15">
        <f t="shared" si="117"/>
        <v>339</v>
      </c>
      <c r="F1480" s="110">
        <f t="shared" si="118"/>
        <v>362</v>
      </c>
    </row>
    <row r="1481" spans="2:6" x14ac:dyDescent="0.25">
      <c r="B1481" s="105">
        <f t="shared" si="119"/>
        <v>1478</v>
      </c>
      <c r="C1481" s="107">
        <f t="shared" si="120"/>
        <v>36</v>
      </c>
      <c r="D1481" s="107">
        <f t="shared" si="121"/>
        <v>38</v>
      </c>
      <c r="E1481" s="15">
        <f t="shared" si="117"/>
        <v>339</v>
      </c>
      <c r="F1481" s="110">
        <f t="shared" si="118"/>
        <v>357</v>
      </c>
    </row>
    <row r="1482" spans="2:6" x14ac:dyDescent="0.25">
      <c r="B1482" s="105">
        <f t="shared" si="119"/>
        <v>1479</v>
      </c>
      <c r="C1482" s="107">
        <f t="shared" si="120"/>
        <v>37</v>
      </c>
      <c r="D1482" s="107">
        <f t="shared" si="121"/>
        <v>38</v>
      </c>
      <c r="E1482" s="15">
        <f t="shared" si="117"/>
        <v>339</v>
      </c>
      <c r="F1482" s="110">
        <f t="shared" si="118"/>
        <v>351</v>
      </c>
    </row>
    <row r="1483" spans="2:6" x14ac:dyDescent="0.25">
      <c r="B1483" s="105">
        <f t="shared" si="119"/>
        <v>1480</v>
      </c>
      <c r="C1483" s="107">
        <f t="shared" si="120"/>
        <v>1</v>
      </c>
      <c r="D1483" s="107">
        <f t="shared" si="121"/>
        <v>37</v>
      </c>
      <c r="E1483" s="15">
        <f t="shared" si="117"/>
        <v>351</v>
      </c>
      <c r="F1483" s="110">
        <f t="shared" si="118"/>
        <v>1048</v>
      </c>
    </row>
    <row r="1484" spans="2:6" x14ac:dyDescent="0.25">
      <c r="B1484" s="105">
        <f t="shared" si="119"/>
        <v>1481</v>
      </c>
      <c r="C1484" s="107">
        <f t="shared" si="120"/>
        <v>2</v>
      </c>
      <c r="D1484" s="107">
        <f t="shared" si="121"/>
        <v>37</v>
      </c>
      <c r="E1484" s="15">
        <f t="shared" si="117"/>
        <v>351</v>
      </c>
      <c r="F1484" s="110">
        <f t="shared" si="118"/>
        <v>1025</v>
      </c>
    </row>
    <row r="1485" spans="2:6" x14ac:dyDescent="0.25">
      <c r="B1485" s="105">
        <f t="shared" si="119"/>
        <v>1482</v>
      </c>
      <c r="C1485" s="107">
        <f t="shared" si="120"/>
        <v>3</v>
      </c>
      <c r="D1485" s="107">
        <f t="shared" si="121"/>
        <v>37</v>
      </c>
      <c r="E1485" s="15">
        <f t="shared" si="117"/>
        <v>351</v>
      </c>
      <c r="F1485" s="110">
        <f t="shared" si="118"/>
        <v>805</v>
      </c>
    </row>
    <row r="1486" spans="2:6" x14ac:dyDescent="0.25">
      <c r="B1486" s="105">
        <f t="shared" si="119"/>
        <v>1483</v>
      </c>
      <c r="C1486" s="107">
        <f t="shared" si="120"/>
        <v>4</v>
      </c>
      <c r="D1486" s="107">
        <f t="shared" si="121"/>
        <v>37</v>
      </c>
      <c r="E1486" s="15">
        <f t="shared" si="117"/>
        <v>351</v>
      </c>
      <c r="F1486" s="110">
        <f t="shared" si="118"/>
        <v>666</v>
      </c>
    </row>
    <row r="1487" spans="2:6" x14ac:dyDescent="0.25">
      <c r="B1487" s="105">
        <f t="shared" si="119"/>
        <v>1484</v>
      </c>
      <c r="C1487" s="107">
        <f t="shared" si="120"/>
        <v>5</v>
      </c>
      <c r="D1487" s="107">
        <f t="shared" si="121"/>
        <v>37</v>
      </c>
      <c r="E1487" s="15">
        <f t="shared" si="117"/>
        <v>351</v>
      </c>
      <c r="F1487" s="110">
        <f t="shared" si="118"/>
        <v>655</v>
      </c>
    </row>
    <row r="1488" spans="2:6" x14ac:dyDescent="0.25">
      <c r="B1488" s="105">
        <f t="shared" si="119"/>
        <v>1485</v>
      </c>
      <c r="C1488" s="107">
        <f t="shared" si="120"/>
        <v>6</v>
      </c>
      <c r="D1488" s="107">
        <f t="shared" si="121"/>
        <v>37</v>
      </c>
      <c r="E1488" s="15">
        <f t="shared" si="117"/>
        <v>351</v>
      </c>
      <c r="F1488" s="110">
        <f t="shared" si="118"/>
        <v>652</v>
      </c>
    </row>
    <row r="1489" spans="2:6" x14ac:dyDescent="0.25">
      <c r="B1489" s="108">
        <f t="shared" si="119"/>
        <v>1486</v>
      </c>
      <c r="C1489" s="109">
        <f t="shared" si="120"/>
        <v>7</v>
      </c>
      <c r="D1489" s="109">
        <f t="shared" si="121"/>
        <v>37</v>
      </c>
      <c r="E1489" s="15">
        <f t="shared" si="117"/>
        <v>351</v>
      </c>
      <c r="F1489" s="110">
        <f t="shared" si="118"/>
        <v>633</v>
      </c>
    </row>
    <row r="1490" spans="2:6" x14ac:dyDescent="0.25">
      <c r="B1490" s="105">
        <f t="shared" si="119"/>
        <v>1487</v>
      </c>
      <c r="C1490" s="107">
        <f t="shared" si="120"/>
        <v>8</v>
      </c>
      <c r="D1490" s="107">
        <f t="shared" si="121"/>
        <v>37</v>
      </c>
      <c r="E1490" s="15">
        <f t="shared" si="117"/>
        <v>351</v>
      </c>
      <c r="F1490" s="110">
        <f t="shared" si="118"/>
        <v>632</v>
      </c>
    </row>
    <row r="1491" spans="2:6" x14ac:dyDescent="0.25">
      <c r="B1491" s="105">
        <f t="shared" si="119"/>
        <v>1488</v>
      </c>
      <c r="C1491" s="107">
        <f t="shared" si="120"/>
        <v>9</v>
      </c>
      <c r="D1491" s="107">
        <f t="shared" si="121"/>
        <v>37</v>
      </c>
      <c r="E1491" s="15">
        <f t="shared" si="117"/>
        <v>351</v>
      </c>
      <c r="F1491" s="110">
        <f t="shared" si="118"/>
        <v>625</v>
      </c>
    </row>
    <row r="1492" spans="2:6" x14ac:dyDescent="0.25">
      <c r="B1492" s="105">
        <f t="shared" si="119"/>
        <v>1489</v>
      </c>
      <c r="C1492" s="107">
        <f t="shared" si="120"/>
        <v>10</v>
      </c>
      <c r="D1492" s="107">
        <f t="shared" si="121"/>
        <v>37</v>
      </c>
      <c r="E1492" s="15">
        <f t="shared" si="117"/>
        <v>351</v>
      </c>
      <c r="F1492" s="110">
        <f t="shared" si="118"/>
        <v>619</v>
      </c>
    </row>
    <row r="1493" spans="2:6" x14ac:dyDescent="0.25">
      <c r="B1493" s="105">
        <f t="shared" si="119"/>
        <v>1490</v>
      </c>
      <c r="C1493" s="107">
        <f t="shared" si="120"/>
        <v>11</v>
      </c>
      <c r="D1493" s="107">
        <f t="shared" si="121"/>
        <v>37</v>
      </c>
      <c r="E1493" s="15">
        <f t="shared" si="117"/>
        <v>351</v>
      </c>
      <c r="F1493" s="110">
        <f t="shared" si="118"/>
        <v>610</v>
      </c>
    </row>
    <row r="1494" spans="2:6" x14ac:dyDescent="0.25">
      <c r="B1494" s="105">
        <f t="shared" si="119"/>
        <v>1491</v>
      </c>
      <c r="C1494" s="107">
        <f t="shared" si="120"/>
        <v>12</v>
      </c>
      <c r="D1494" s="107">
        <f t="shared" si="121"/>
        <v>37</v>
      </c>
      <c r="E1494" s="15">
        <f t="shared" si="117"/>
        <v>351</v>
      </c>
      <c r="F1494" s="110">
        <f t="shared" si="118"/>
        <v>599</v>
      </c>
    </row>
    <row r="1495" spans="2:6" x14ac:dyDescent="0.25">
      <c r="B1495" s="105">
        <f t="shared" si="119"/>
        <v>1492</v>
      </c>
      <c r="C1495" s="107">
        <f t="shared" si="120"/>
        <v>13</v>
      </c>
      <c r="D1495" s="107">
        <f t="shared" si="121"/>
        <v>37</v>
      </c>
      <c r="E1495" s="15">
        <f t="shared" si="117"/>
        <v>351</v>
      </c>
      <c r="F1495" s="110">
        <f t="shared" si="118"/>
        <v>559</v>
      </c>
    </row>
    <row r="1496" spans="2:6" x14ac:dyDescent="0.25">
      <c r="B1496" s="105">
        <f t="shared" si="119"/>
        <v>1493</v>
      </c>
      <c r="C1496" s="107">
        <f t="shared" si="120"/>
        <v>14</v>
      </c>
      <c r="D1496" s="107">
        <f t="shared" si="121"/>
        <v>37</v>
      </c>
      <c r="E1496" s="15">
        <f t="shared" si="117"/>
        <v>351</v>
      </c>
      <c r="F1496" s="110">
        <f t="shared" si="118"/>
        <v>556</v>
      </c>
    </row>
    <row r="1497" spans="2:6" x14ac:dyDescent="0.25">
      <c r="B1497" s="105">
        <f t="shared" si="119"/>
        <v>1494</v>
      </c>
      <c r="C1497" s="107">
        <f t="shared" si="120"/>
        <v>15</v>
      </c>
      <c r="D1497" s="107">
        <f t="shared" si="121"/>
        <v>37</v>
      </c>
      <c r="E1497" s="15">
        <f t="shared" si="117"/>
        <v>351</v>
      </c>
      <c r="F1497" s="110">
        <f t="shared" si="118"/>
        <v>540</v>
      </c>
    </row>
    <row r="1498" spans="2:6" x14ac:dyDescent="0.25">
      <c r="B1498" s="105">
        <f t="shared" si="119"/>
        <v>1495</v>
      </c>
      <c r="C1498" s="107">
        <f t="shared" si="120"/>
        <v>16</v>
      </c>
      <c r="D1498" s="107">
        <f t="shared" si="121"/>
        <v>37</v>
      </c>
      <c r="E1498" s="15">
        <f t="shared" si="117"/>
        <v>351</v>
      </c>
      <c r="F1498" s="110">
        <f t="shared" si="118"/>
        <v>536</v>
      </c>
    </row>
    <row r="1499" spans="2:6" x14ac:dyDescent="0.25">
      <c r="B1499" s="105">
        <f t="shared" si="119"/>
        <v>1496</v>
      </c>
      <c r="C1499" s="107">
        <f t="shared" si="120"/>
        <v>17</v>
      </c>
      <c r="D1499" s="107">
        <f t="shared" si="121"/>
        <v>37</v>
      </c>
      <c r="E1499" s="15">
        <f t="shared" si="117"/>
        <v>351</v>
      </c>
      <c r="F1499" s="110">
        <f t="shared" si="118"/>
        <v>527</v>
      </c>
    </row>
    <row r="1500" spans="2:6" x14ac:dyDescent="0.25">
      <c r="B1500" s="105">
        <f t="shared" si="119"/>
        <v>1497</v>
      </c>
      <c r="C1500" s="107">
        <f t="shared" si="120"/>
        <v>18</v>
      </c>
      <c r="D1500" s="107">
        <f t="shared" si="121"/>
        <v>37</v>
      </c>
      <c r="E1500" s="15">
        <f t="shared" si="117"/>
        <v>351</v>
      </c>
      <c r="F1500" s="110">
        <f t="shared" si="118"/>
        <v>478</v>
      </c>
    </row>
    <row r="1501" spans="2:6" x14ac:dyDescent="0.25">
      <c r="B1501" s="105">
        <f t="shared" si="119"/>
        <v>1498</v>
      </c>
      <c r="C1501" s="107">
        <f t="shared" si="120"/>
        <v>19</v>
      </c>
      <c r="D1501" s="107">
        <f t="shared" si="121"/>
        <v>37</v>
      </c>
      <c r="E1501" s="15">
        <f t="shared" si="117"/>
        <v>351</v>
      </c>
      <c r="F1501" s="110">
        <f t="shared" si="118"/>
        <v>474</v>
      </c>
    </row>
    <row r="1502" spans="2:6" x14ac:dyDescent="0.25">
      <c r="B1502" s="105">
        <f t="shared" si="119"/>
        <v>1499</v>
      </c>
      <c r="C1502" s="107">
        <f t="shared" si="120"/>
        <v>20</v>
      </c>
      <c r="D1502" s="107">
        <f t="shared" si="121"/>
        <v>37</v>
      </c>
      <c r="E1502" s="15">
        <f t="shared" si="117"/>
        <v>351</v>
      </c>
      <c r="F1502" s="110">
        <f t="shared" si="118"/>
        <v>468</v>
      </c>
    </row>
    <row r="1503" spans="2:6" x14ac:dyDescent="0.25">
      <c r="B1503" s="105">
        <f t="shared" si="119"/>
        <v>1500</v>
      </c>
      <c r="C1503" s="107">
        <f t="shared" si="120"/>
        <v>21</v>
      </c>
      <c r="D1503" s="107">
        <f t="shared" si="121"/>
        <v>37</v>
      </c>
      <c r="E1503" s="15">
        <f t="shared" si="117"/>
        <v>351</v>
      </c>
      <c r="F1503" s="110">
        <f t="shared" si="118"/>
        <v>457</v>
      </c>
    </row>
    <row r="1504" spans="2:6" x14ac:dyDescent="0.25">
      <c r="B1504" s="105">
        <f t="shared" si="119"/>
        <v>1501</v>
      </c>
      <c r="C1504" s="107">
        <f t="shared" si="120"/>
        <v>22</v>
      </c>
      <c r="D1504" s="107">
        <f t="shared" si="121"/>
        <v>37</v>
      </c>
      <c r="E1504" s="15">
        <f t="shared" si="117"/>
        <v>351</v>
      </c>
      <c r="F1504" s="110">
        <f t="shared" si="118"/>
        <v>452</v>
      </c>
    </row>
    <row r="1505" spans="2:6" x14ac:dyDescent="0.25">
      <c r="B1505" s="105">
        <f t="shared" si="119"/>
        <v>1502</v>
      </c>
      <c r="C1505" s="107">
        <f t="shared" si="120"/>
        <v>23</v>
      </c>
      <c r="D1505" s="107">
        <f t="shared" si="121"/>
        <v>37</v>
      </c>
      <c r="E1505" s="15">
        <f t="shared" si="117"/>
        <v>351</v>
      </c>
      <c r="F1505" s="110">
        <f t="shared" si="118"/>
        <v>442</v>
      </c>
    </row>
    <row r="1506" spans="2:6" x14ac:dyDescent="0.25">
      <c r="B1506" s="105">
        <f t="shared" si="119"/>
        <v>1503</v>
      </c>
      <c r="C1506" s="107">
        <f t="shared" si="120"/>
        <v>24</v>
      </c>
      <c r="D1506" s="107">
        <f t="shared" si="121"/>
        <v>37</v>
      </c>
      <c r="E1506" s="15">
        <f t="shared" si="117"/>
        <v>351</v>
      </c>
      <c r="F1506" s="110">
        <f t="shared" si="118"/>
        <v>420</v>
      </c>
    </row>
    <row r="1507" spans="2:6" x14ac:dyDescent="0.25">
      <c r="B1507" s="105">
        <f t="shared" si="119"/>
        <v>1504</v>
      </c>
      <c r="C1507" s="107">
        <f t="shared" si="120"/>
        <v>25</v>
      </c>
      <c r="D1507" s="107">
        <f t="shared" si="121"/>
        <v>37</v>
      </c>
      <c r="E1507" s="15">
        <f t="shared" si="117"/>
        <v>351</v>
      </c>
      <c r="F1507" s="110">
        <f t="shared" si="118"/>
        <v>410</v>
      </c>
    </row>
    <row r="1508" spans="2:6" x14ac:dyDescent="0.25">
      <c r="B1508" s="105">
        <f t="shared" si="119"/>
        <v>1505</v>
      </c>
      <c r="C1508" s="107">
        <f t="shared" si="120"/>
        <v>26</v>
      </c>
      <c r="D1508" s="107">
        <f t="shared" si="121"/>
        <v>37</v>
      </c>
      <c r="E1508" s="15">
        <f t="shared" si="117"/>
        <v>351</v>
      </c>
      <c r="F1508" s="110">
        <f t="shared" si="118"/>
        <v>409</v>
      </c>
    </row>
    <row r="1509" spans="2:6" x14ac:dyDescent="0.25">
      <c r="B1509" s="105">
        <f t="shared" si="119"/>
        <v>1506</v>
      </c>
      <c r="C1509" s="107">
        <f t="shared" si="120"/>
        <v>27</v>
      </c>
      <c r="D1509" s="107">
        <f t="shared" si="121"/>
        <v>37</v>
      </c>
      <c r="E1509" s="15">
        <f t="shared" si="117"/>
        <v>351</v>
      </c>
      <c r="F1509" s="110">
        <f t="shared" si="118"/>
        <v>408</v>
      </c>
    </row>
    <row r="1510" spans="2:6" x14ac:dyDescent="0.25">
      <c r="B1510" s="105">
        <f t="shared" si="119"/>
        <v>1507</v>
      </c>
      <c r="C1510" s="107">
        <f t="shared" si="120"/>
        <v>28</v>
      </c>
      <c r="D1510" s="107">
        <f t="shared" si="121"/>
        <v>37</v>
      </c>
      <c r="E1510" s="15">
        <f t="shared" si="117"/>
        <v>351</v>
      </c>
      <c r="F1510" s="110">
        <f t="shared" si="118"/>
        <v>404</v>
      </c>
    </row>
    <row r="1511" spans="2:6" x14ac:dyDescent="0.25">
      <c r="B1511" s="105">
        <f t="shared" si="119"/>
        <v>1508</v>
      </c>
      <c r="C1511" s="107">
        <f t="shared" si="120"/>
        <v>29</v>
      </c>
      <c r="D1511" s="107">
        <f t="shared" si="121"/>
        <v>37</v>
      </c>
      <c r="E1511" s="15">
        <f t="shared" si="117"/>
        <v>351</v>
      </c>
      <c r="F1511" s="110">
        <f t="shared" si="118"/>
        <v>399</v>
      </c>
    </row>
    <row r="1512" spans="2:6" x14ac:dyDescent="0.25">
      <c r="B1512" s="105">
        <f t="shared" si="119"/>
        <v>1509</v>
      </c>
      <c r="C1512" s="107">
        <f t="shared" si="120"/>
        <v>30</v>
      </c>
      <c r="D1512" s="107">
        <f t="shared" si="121"/>
        <v>37</v>
      </c>
      <c r="E1512" s="15">
        <f t="shared" si="117"/>
        <v>351</v>
      </c>
      <c r="F1512" s="110">
        <f t="shared" si="118"/>
        <v>396</v>
      </c>
    </row>
    <row r="1513" spans="2:6" x14ac:dyDescent="0.25">
      <c r="B1513" s="105">
        <f t="shared" si="119"/>
        <v>1510</v>
      </c>
      <c r="C1513" s="107">
        <f t="shared" si="120"/>
        <v>31</v>
      </c>
      <c r="D1513" s="107">
        <f t="shared" si="121"/>
        <v>37</v>
      </c>
      <c r="E1513" s="15">
        <f t="shared" si="117"/>
        <v>351</v>
      </c>
      <c r="F1513" s="110">
        <f t="shared" si="118"/>
        <v>384</v>
      </c>
    </row>
    <row r="1514" spans="2:6" x14ac:dyDescent="0.25">
      <c r="B1514" s="105">
        <f t="shared" si="119"/>
        <v>1511</v>
      </c>
      <c r="C1514" s="107">
        <f t="shared" si="120"/>
        <v>32</v>
      </c>
      <c r="D1514" s="107">
        <f t="shared" si="121"/>
        <v>37</v>
      </c>
      <c r="E1514" s="15">
        <f t="shared" si="117"/>
        <v>351</v>
      </c>
      <c r="F1514" s="110">
        <f t="shared" si="118"/>
        <v>381</v>
      </c>
    </row>
    <row r="1515" spans="2:6" x14ac:dyDescent="0.25">
      <c r="B1515" s="105">
        <f t="shared" si="119"/>
        <v>1512</v>
      </c>
      <c r="C1515" s="107">
        <f t="shared" si="120"/>
        <v>33</v>
      </c>
      <c r="D1515" s="107">
        <f t="shared" si="121"/>
        <v>37</v>
      </c>
      <c r="E1515" s="15">
        <f t="shared" si="117"/>
        <v>351</v>
      </c>
      <c r="F1515" s="110">
        <f t="shared" si="118"/>
        <v>376</v>
      </c>
    </row>
    <row r="1516" spans="2:6" x14ac:dyDescent="0.25">
      <c r="B1516" s="105">
        <f t="shared" si="119"/>
        <v>1513</v>
      </c>
      <c r="C1516" s="107">
        <f t="shared" si="120"/>
        <v>34</v>
      </c>
      <c r="D1516" s="107">
        <f t="shared" si="121"/>
        <v>37</v>
      </c>
      <c r="E1516" s="15">
        <f t="shared" si="117"/>
        <v>351</v>
      </c>
      <c r="F1516" s="110">
        <f t="shared" si="118"/>
        <v>370</v>
      </c>
    </row>
    <row r="1517" spans="2:6" x14ac:dyDescent="0.25">
      <c r="B1517" s="105">
        <f t="shared" si="119"/>
        <v>1514</v>
      </c>
      <c r="C1517" s="107">
        <f t="shared" si="120"/>
        <v>35</v>
      </c>
      <c r="D1517" s="107">
        <f t="shared" si="121"/>
        <v>37</v>
      </c>
      <c r="E1517" s="15">
        <f t="shared" si="117"/>
        <v>351</v>
      </c>
      <c r="F1517" s="110">
        <f t="shared" si="118"/>
        <v>362</v>
      </c>
    </row>
    <row r="1518" spans="2:6" x14ac:dyDescent="0.25">
      <c r="B1518" s="105">
        <f t="shared" si="119"/>
        <v>1515</v>
      </c>
      <c r="C1518" s="107">
        <f t="shared" si="120"/>
        <v>36</v>
      </c>
      <c r="D1518" s="107">
        <f t="shared" si="121"/>
        <v>37</v>
      </c>
      <c r="E1518" s="15">
        <f t="shared" si="117"/>
        <v>351</v>
      </c>
      <c r="F1518" s="110">
        <f t="shared" si="118"/>
        <v>357</v>
      </c>
    </row>
    <row r="1519" spans="2:6" x14ac:dyDescent="0.25">
      <c r="B1519" s="105">
        <f t="shared" si="119"/>
        <v>1516</v>
      </c>
      <c r="C1519" s="107">
        <f t="shared" si="120"/>
        <v>1</v>
      </c>
      <c r="D1519" s="107">
        <f t="shared" si="121"/>
        <v>36</v>
      </c>
      <c r="E1519" s="15">
        <f t="shared" si="117"/>
        <v>357</v>
      </c>
      <c r="F1519" s="110">
        <f t="shared" si="118"/>
        <v>1048</v>
      </c>
    </row>
    <row r="1520" spans="2:6" x14ac:dyDescent="0.25">
      <c r="B1520" s="105">
        <f t="shared" si="119"/>
        <v>1517</v>
      </c>
      <c r="C1520" s="107">
        <f t="shared" si="120"/>
        <v>2</v>
      </c>
      <c r="D1520" s="107">
        <f t="shared" si="121"/>
        <v>36</v>
      </c>
      <c r="E1520" s="15">
        <f t="shared" si="117"/>
        <v>357</v>
      </c>
      <c r="F1520" s="110">
        <f t="shared" si="118"/>
        <v>1025</v>
      </c>
    </row>
    <row r="1521" spans="2:6" x14ac:dyDescent="0.25">
      <c r="B1521" s="105">
        <f t="shared" si="119"/>
        <v>1518</v>
      </c>
      <c r="C1521" s="107">
        <f t="shared" si="120"/>
        <v>3</v>
      </c>
      <c r="D1521" s="107">
        <f t="shared" si="121"/>
        <v>36</v>
      </c>
      <c r="E1521" s="15">
        <f t="shared" si="117"/>
        <v>357</v>
      </c>
      <c r="F1521" s="110">
        <f t="shared" si="118"/>
        <v>805</v>
      </c>
    </row>
    <row r="1522" spans="2:6" x14ac:dyDescent="0.25">
      <c r="B1522" s="105">
        <f t="shared" si="119"/>
        <v>1519</v>
      </c>
      <c r="C1522" s="107">
        <f t="shared" si="120"/>
        <v>4</v>
      </c>
      <c r="D1522" s="107">
        <f t="shared" si="121"/>
        <v>36</v>
      </c>
      <c r="E1522" s="15">
        <f t="shared" si="117"/>
        <v>357</v>
      </c>
      <c r="F1522" s="110">
        <f t="shared" si="118"/>
        <v>666</v>
      </c>
    </row>
    <row r="1523" spans="2:6" x14ac:dyDescent="0.25">
      <c r="B1523" s="105">
        <f t="shared" si="119"/>
        <v>1520</v>
      </c>
      <c r="C1523" s="107">
        <f t="shared" si="120"/>
        <v>5</v>
      </c>
      <c r="D1523" s="107">
        <f t="shared" si="121"/>
        <v>36</v>
      </c>
      <c r="E1523" s="15">
        <f t="shared" si="117"/>
        <v>357</v>
      </c>
      <c r="F1523" s="110">
        <f t="shared" si="118"/>
        <v>655</v>
      </c>
    </row>
    <row r="1524" spans="2:6" x14ac:dyDescent="0.25">
      <c r="B1524" s="105">
        <f t="shared" si="119"/>
        <v>1521</v>
      </c>
      <c r="C1524" s="107">
        <f t="shared" si="120"/>
        <v>6</v>
      </c>
      <c r="D1524" s="107">
        <f t="shared" si="121"/>
        <v>36</v>
      </c>
      <c r="E1524" s="15">
        <f t="shared" si="117"/>
        <v>357</v>
      </c>
      <c r="F1524" s="110">
        <f t="shared" si="118"/>
        <v>652</v>
      </c>
    </row>
    <row r="1525" spans="2:6" x14ac:dyDescent="0.25">
      <c r="B1525" s="105">
        <f t="shared" si="119"/>
        <v>1522</v>
      </c>
      <c r="C1525" s="107">
        <f t="shared" si="120"/>
        <v>7</v>
      </c>
      <c r="D1525" s="107">
        <f t="shared" si="121"/>
        <v>36</v>
      </c>
      <c r="E1525" s="15">
        <f t="shared" si="117"/>
        <v>357</v>
      </c>
      <c r="F1525" s="110">
        <f t="shared" si="118"/>
        <v>633</v>
      </c>
    </row>
    <row r="1526" spans="2:6" x14ac:dyDescent="0.25">
      <c r="B1526" s="105">
        <f t="shared" si="119"/>
        <v>1523</v>
      </c>
      <c r="C1526" s="107">
        <f t="shared" si="120"/>
        <v>8</v>
      </c>
      <c r="D1526" s="107">
        <f t="shared" si="121"/>
        <v>36</v>
      </c>
      <c r="E1526" s="15">
        <f t="shared" si="117"/>
        <v>357</v>
      </c>
      <c r="F1526" s="110">
        <f t="shared" si="118"/>
        <v>632</v>
      </c>
    </row>
    <row r="1527" spans="2:6" x14ac:dyDescent="0.25">
      <c r="B1527" s="105">
        <f t="shared" si="119"/>
        <v>1524</v>
      </c>
      <c r="C1527" s="107">
        <f t="shared" si="120"/>
        <v>9</v>
      </c>
      <c r="D1527" s="107">
        <f t="shared" si="121"/>
        <v>36</v>
      </c>
      <c r="E1527" s="15">
        <f t="shared" si="117"/>
        <v>357</v>
      </c>
      <c r="F1527" s="110">
        <f t="shared" si="118"/>
        <v>625</v>
      </c>
    </row>
    <row r="1528" spans="2:6" x14ac:dyDescent="0.25">
      <c r="B1528" s="105">
        <f t="shared" si="119"/>
        <v>1525</v>
      </c>
      <c r="C1528" s="107">
        <f t="shared" si="120"/>
        <v>10</v>
      </c>
      <c r="D1528" s="107">
        <f t="shared" si="121"/>
        <v>36</v>
      </c>
      <c r="E1528" s="15">
        <f t="shared" si="117"/>
        <v>357</v>
      </c>
      <c r="F1528" s="110">
        <f t="shared" si="118"/>
        <v>619</v>
      </c>
    </row>
    <row r="1529" spans="2:6" x14ac:dyDescent="0.25">
      <c r="B1529" s="105">
        <f t="shared" si="119"/>
        <v>1526</v>
      </c>
      <c r="C1529" s="107">
        <f t="shared" si="120"/>
        <v>11</v>
      </c>
      <c r="D1529" s="107">
        <f t="shared" si="121"/>
        <v>36</v>
      </c>
      <c r="E1529" s="15">
        <f t="shared" si="117"/>
        <v>357</v>
      </c>
      <c r="F1529" s="110">
        <f t="shared" si="118"/>
        <v>610</v>
      </c>
    </row>
    <row r="1530" spans="2:6" x14ac:dyDescent="0.25">
      <c r="B1530" s="105">
        <f t="shared" si="119"/>
        <v>1527</v>
      </c>
      <c r="C1530" s="107">
        <f t="shared" si="120"/>
        <v>12</v>
      </c>
      <c r="D1530" s="107">
        <f t="shared" si="121"/>
        <v>36</v>
      </c>
      <c r="E1530" s="15">
        <f t="shared" si="117"/>
        <v>357</v>
      </c>
      <c r="F1530" s="110">
        <f t="shared" si="118"/>
        <v>599</v>
      </c>
    </row>
    <row r="1531" spans="2:6" x14ac:dyDescent="0.25">
      <c r="B1531" s="105">
        <f t="shared" si="119"/>
        <v>1528</v>
      </c>
      <c r="C1531" s="107">
        <f t="shared" si="120"/>
        <v>13</v>
      </c>
      <c r="D1531" s="107">
        <f t="shared" si="121"/>
        <v>36</v>
      </c>
      <c r="E1531" s="15">
        <f t="shared" si="117"/>
        <v>357</v>
      </c>
      <c r="F1531" s="110">
        <f t="shared" si="118"/>
        <v>559</v>
      </c>
    </row>
    <row r="1532" spans="2:6" x14ac:dyDescent="0.25">
      <c r="B1532" s="105">
        <f t="shared" si="119"/>
        <v>1529</v>
      </c>
      <c r="C1532" s="107">
        <f t="shared" si="120"/>
        <v>14</v>
      </c>
      <c r="D1532" s="107">
        <f t="shared" si="121"/>
        <v>36</v>
      </c>
      <c r="E1532" s="15">
        <f t="shared" si="117"/>
        <v>357</v>
      </c>
      <c r="F1532" s="110">
        <f t="shared" si="118"/>
        <v>556</v>
      </c>
    </row>
    <row r="1533" spans="2:6" x14ac:dyDescent="0.25">
      <c r="B1533" s="105">
        <f t="shared" si="119"/>
        <v>1530</v>
      </c>
      <c r="C1533" s="107">
        <f t="shared" si="120"/>
        <v>15</v>
      </c>
      <c r="D1533" s="107">
        <f t="shared" si="121"/>
        <v>36</v>
      </c>
      <c r="E1533" s="15">
        <f t="shared" si="117"/>
        <v>357</v>
      </c>
      <c r="F1533" s="110">
        <f t="shared" si="118"/>
        <v>540</v>
      </c>
    </row>
    <row r="1534" spans="2:6" x14ac:dyDescent="0.25">
      <c r="B1534" s="105">
        <f t="shared" si="119"/>
        <v>1531</v>
      </c>
      <c r="C1534" s="107">
        <f t="shared" si="120"/>
        <v>16</v>
      </c>
      <c r="D1534" s="107">
        <f t="shared" si="121"/>
        <v>36</v>
      </c>
      <c r="E1534" s="15">
        <f t="shared" si="117"/>
        <v>357</v>
      </c>
      <c r="F1534" s="110">
        <f t="shared" si="118"/>
        <v>536</v>
      </c>
    </row>
    <row r="1535" spans="2:6" x14ac:dyDescent="0.25">
      <c r="B1535" s="105">
        <f t="shared" si="119"/>
        <v>1532</v>
      </c>
      <c r="C1535" s="107">
        <f t="shared" si="120"/>
        <v>17</v>
      </c>
      <c r="D1535" s="107">
        <f t="shared" si="121"/>
        <v>36</v>
      </c>
      <c r="E1535" s="15">
        <f t="shared" si="117"/>
        <v>357</v>
      </c>
      <c r="F1535" s="110">
        <f t="shared" si="118"/>
        <v>527</v>
      </c>
    </row>
    <row r="1536" spans="2:6" x14ac:dyDescent="0.25">
      <c r="B1536" s="105">
        <f t="shared" si="119"/>
        <v>1533</v>
      </c>
      <c r="C1536" s="107">
        <f t="shared" si="120"/>
        <v>18</v>
      </c>
      <c r="D1536" s="107">
        <f t="shared" si="121"/>
        <v>36</v>
      </c>
      <c r="E1536" s="15">
        <f t="shared" si="117"/>
        <v>357</v>
      </c>
      <c r="F1536" s="110">
        <f t="shared" si="118"/>
        <v>478</v>
      </c>
    </row>
    <row r="1537" spans="2:6" x14ac:dyDescent="0.25">
      <c r="B1537" s="105">
        <f t="shared" si="119"/>
        <v>1534</v>
      </c>
      <c r="C1537" s="107">
        <f t="shared" si="120"/>
        <v>19</v>
      </c>
      <c r="D1537" s="107">
        <f t="shared" si="121"/>
        <v>36</v>
      </c>
      <c r="E1537" s="15">
        <f t="shared" si="117"/>
        <v>357</v>
      </c>
      <c r="F1537" s="110">
        <f t="shared" si="118"/>
        <v>474</v>
      </c>
    </row>
    <row r="1538" spans="2:6" x14ac:dyDescent="0.25">
      <c r="B1538" s="105">
        <f t="shared" si="119"/>
        <v>1535</v>
      </c>
      <c r="C1538" s="107">
        <f t="shared" si="120"/>
        <v>20</v>
      </c>
      <c r="D1538" s="107">
        <f t="shared" si="121"/>
        <v>36</v>
      </c>
      <c r="E1538" s="15">
        <f t="shared" si="117"/>
        <v>357</v>
      </c>
      <c r="F1538" s="110">
        <f t="shared" si="118"/>
        <v>468</v>
      </c>
    </row>
    <row r="1539" spans="2:6" x14ac:dyDescent="0.25">
      <c r="B1539" s="105">
        <f t="shared" si="119"/>
        <v>1536</v>
      </c>
      <c r="C1539" s="107">
        <f t="shared" si="120"/>
        <v>21</v>
      </c>
      <c r="D1539" s="107">
        <f t="shared" si="121"/>
        <v>36</v>
      </c>
      <c r="E1539" s="15">
        <f t="shared" si="117"/>
        <v>357</v>
      </c>
      <c r="F1539" s="110">
        <f t="shared" si="118"/>
        <v>457</v>
      </c>
    </row>
    <row r="1540" spans="2:6" x14ac:dyDescent="0.25">
      <c r="B1540" s="105">
        <f t="shared" si="119"/>
        <v>1537</v>
      </c>
      <c r="C1540" s="107">
        <f t="shared" si="120"/>
        <v>22</v>
      </c>
      <c r="D1540" s="107">
        <f t="shared" si="121"/>
        <v>36</v>
      </c>
      <c r="E1540" s="15">
        <f t="shared" ref="E1540:E1603" si="122">IFERROR(VLOOKUP(D1540,$H$4:$I$69,2,0),"")</f>
        <v>357</v>
      </c>
      <c r="F1540" s="110">
        <f t="shared" ref="F1540:F1603" si="123">IFERROR(VLOOKUP(C1540,$H$4:$I$69,2,0),"")</f>
        <v>452</v>
      </c>
    </row>
    <row r="1541" spans="2:6" x14ac:dyDescent="0.25">
      <c r="B1541" s="105">
        <f t="shared" ref="B1541:B1604" si="124">ROW()-3</f>
        <v>1538</v>
      </c>
      <c r="C1541" s="107">
        <f t="shared" si="120"/>
        <v>23</v>
      </c>
      <c r="D1541" s="107">
        <f t="shared" si="121"/>
        <v>36</v>
      </c>
      <c r="E1541" s="15">
        <f t="shared" si="122"/>
        <v>357</v>
      </c>
      <c r="F1541" s="110">
        <f t="shared" si="123"/>
        <v>442</v>
      </c>
    </row>
    <row r="1542" spans="2:6" x14ac:dyDescent="0.25">
      <c r="B1542" s="105">
        <f t="shared" si="124"/>
        <v>1539</v>
      </c>
      <c r="C1542" s="107">
        <f t="shared" ref="C1542:C1605" si="125">IF((D1541-C1541)=1,1,C1541+1)</f>
        <v>24</v>
      </c>
      <c r="D1542" s="107">
        <f t="shared" ref="D1542:D1605" si="126">IF((D1541-C1541)=1,D1541-1,D1541)</f>
        <v>36</v>
      </c>
      <c r="E1542" s="15">
        <f t="shared" si="122"/>
        <v>357</v>
      </c>
      <c r="F1542" s="110">
        <f t="shared" si="123"/>
        <v>420</v>
      </c>
    </row>
    <row r="1543" spans="2:6" x14ac:dyDescent="0.25">
      <c r="B1543" s="105">
        <f t="shared" si="124"/>
        <v>1540</v>
      </c>
      <c r="C1543" s="107">
        <f t="shared" si="125"/>
        <v>25</v>
      </c>
      <c r="D1543" s="107">
        <f t="shared" si="126"/>
        <v>36</v>
      </c>
      <c r="E1543" s="15">
        <f t="shared" si="122"/>
        <v>357</v>
      </c>
      <c r="F1543" s="110">
        <f t="shared" si="123"/>
        <v>410</v>
      </c>
    </row>
    <row r="1544" spans="2:6" x14ac:dyDescent="0.25">
      <c r="B1544" s="105">
        <f t="shared" si="124"/>
        <v>1541</v>
      </c>
      <c r="C1544" s="107">
        <f t="shared" si="125"/>
        <v>26</v>
      </c>
      <c r="D1544" s="107">
        <f t="shared" si="126"/>
        <v>36</v>
      </c>
      <c r="E1544" s="15">
        <f t="shared" si="122"/>
        <v>357</v>
      </c>
      <c r="F1544" s="110">
        <f t="shared" si="123"/>
        <v>409</v>
      </c>
    </row>
    <row r="1545" spans="2:6" x14ac:dyDescent="0.25">
      <c r="B1545" s="105">
        <f t="shared" si="124"/>
        <v>1542</v>
      </c>
      <c r="C1545" s="107">
        <f t="shared" si="125"/>
        <v>27</v>
      </c>
      <c r="D1545" s="107">
        <f t="shared" si="126"/>
        <v>36</v>
      </c>
      <c r="E1545" s="15">
        <f t="shared" si="122"/>
        <v>357</v>
      </c>
      <c r="F1545" s="110">
        <f t="shared" si="123"/>
        <v>408</v>
      </c>
    </row>
    <row r="1546" spans="2:6" x14ac:dyDescent="0.25">
      <c r="B1546" s="105">
        <f t="shared" si="124"/>
        <v>1543</v>
      </c>
      <c r="C1546" s="107">
        <f t="shared" si="125"/>
        <v>28</v>
      </c>
      <c r="D1546" s="107">
        <f t="shared" si="126"/>
        <v>36</v>
      </c>
      <c r="E1546" s="15">
        <f t="shared" si="122"/>
        <v>357</v>
      </c>
      <c r="F1546" s="110">
        <f t="shared" si="123"/>
        <v>404</v>
      </c>
    </row>
    <row r="1547" spans="2:6" x14ac:dyDescent="0.25">
      <c r="B1547" s="105">
        <f t="shared" si="124"/>
        <v>1544</v>
      </c>
      <c r="C1547" s="107">
        <f t="shared" si="125"/>
        <v>29</v>
      </c>
      <c r="D1547" s="107">
        <f t="shared" si="126"/>
        <v>36</v>
      </c>
      <c r="E1547" s="15">
        <f t="shared" si="122"/>
        <v>357</v>
      </c>
      <c r="F1547" s="110">
        <f t="shared" si="123"/>
        <v>399</v>
      </c>
    </row>
    <row r="1548" spans="2:6" x14ac:dyDescent="0.25">
      <c r="B1548" s="105">
        <f t="shared" si="124"/>
        <v>1545</v>
      </c>
      <c r="C1548" s="107">
        <f t="shared" si="125"/>
        <v>30</v>
      </c>
      <c r="D1548" s="107">
        <f t="shared" si="126"/>
        <v>36</v>
      </c>
      <c r="E1548" s="15">
        <f t="shared" si="122"/>
        <v>357</v>
      </c>
      <c r="F1548" s="110">
        <f t="shared" si="123"/>
        <v>396</v>
      </c>
    </row>
    <row r="1549" spans="2:6" x14ac:dyDescent="0.25">
      <c r="B1549" s="105">
        <f t="shared" si="124"/>
        <v>1546</v>
      </c>
      <c r="C1549" s="107">
        <f t="shared" si="125"/>
        <v>31</v>
      </c>
      <c r="D1549" s="107">
        <f t="shared" si="126"/>
        <v>36</v>
      </c>
      <c r="E1549" s="15">
        <f t="shared" si="122"/>
        <v>357</v>
      </c>
      <c r="F1549" s="110">
        <f t="shared" si="123"/>
        <v>384</v>
      </c>
    </row>
    <row r="1550" spans="2:6" x14ac:dyDescent="0.25">
      <c r="B1550" s="105">
        <f t="shared" si="124"/>
        <v>1547</v>
      </c>
      <c r="C1550" s="107">
        <f t="shared" si="125"/>
        <v>32</v>
      </c>
      <c r="D1550" s="107">
        <f t="shared" si="126"/>
        <v>36</v>
      </c>
      <c r="E1550" s="15">
        <f t="shared" si="122"/>
        <v>357</v>
      </c>
      <c r="F1550" s="110">
        <f t="shared" si="123"/>
        <v>381</v>
      </c>
    </row>
    <row r="1551" spans="2:6" x14ac:dyDescent="0.25">
      <c r="B1551" s="105">
        <f t="shared" si="124"/>
        <v>1548</v>
      </c>
      <c r="C1551" s="107">
        <f t="shared" si="125"/>
        <v>33</v>
      </c>
      <c r="D1551" s="107">
        <f t="shared" si="126"/>
        <v>36</v>
      </c>
      <c r="E1551" s="15">
        <f t="shared" si="122"/>
        <v>357</v>
      </c>
      <c r="F1551" s="110">
        <f t="shared" si="123"/>
        <v>376</v>
      </c>
    </row>
    <row r="1552" spans="2:6" x14ac:dyDescent="0.25">
      <c r="B1552" s="105">
        <f t="shared" si="124"/>
        <v>1549</v>
      </c>
      <c r="C1552" s="107">
        <f t="shared" si="125"/>
        <v>34</v>
      </c>
      <c r="D1552" s="107">
        <f t="shared" si="126"/>
        <v>36</v>
      </c>
      <c r="E1552" s="15">
        <f t="shared" si="122"/>
        <v>357</v>
      </c>
      <c r="F1552" s="110">
        <f t="shared" si="123"/>
        <v>370</v>
      </c>
    </row>
    <row r="1553" spans="2:6" x14ac:dyDescent="0.25">
      <c r="B1553" s="105">
        <f t="shared" si="124"/>
        <v>1550</v>
      </c>
      <c r="C1553" s="107">
        <f t="shared" si="125"/>
        <v>35</v>
      </c>
      <c r="D1553" s="107">
        <f t="shared" si="126"/>
        <v>36</v>
      </c>
      <c r="E1553" s="15">
        <f t="shared" si="122"/>
        <v>357</v>
      </c>
      <c r="F1553" s="110">
        <f t="shared" si="123"/>
        <v>362</v>
      </c>
    </row>
    <row r="1554" spans="2:6" x14ac:dyDescent="0.25">
      <c r="B1554" s="105">
        <f t="shared" si="124"/>
        <v>1551</v>
      </c>
      <c r="C1554" s="107">
        <f t="shared" si="125"/>
        <v>1</v>
      </c>
      <c r="D1554" s="107">
        <f t="shared" si="126"/>
        <v>35</v>
      </c>
      <c r="E1554" s="15">
        <f t="shared" si="122"/>
        <v>362</v>
      </c>
      <c r="F1554" s="110">
        <f t="shared" si="123"/>
        <v>1048</v>
      </c>
    </row>
    <row r="1555" spans="2:6" x14ac:dyDescent="0.25">
      <c r="B1555" s="105">
        <f t="shared" si="124"/>
        <v>1552</v>
      </c>
      <c r="C1555" s="107">
        <f t="shared" si="125"/>
        <v>2</v>
      </c>
      <c r="D1555" s="107">
        <f t="shared" si="126"/>
        <v>35</v>
      </c>
      <c r="E1555" s="15">
        <f t="shared" si="122"/>
        <v>362</v>
      </c>
      <c r="F1555" s="110">
        <f t="shared" si="123"/>
        <v>1025</v>
      </c>
    </row>
    <row r="1556" spans="2:6" x14ac:dyDescent="0.25">
      <c r="B1556" s="105">
        <f t="shared" si="124"/>
        <v>1553</v>
      </c>
      <c r="C1556" s="107">
        <f t="shared" si="125"/>
        <v>3</v>
      </c>
      <c r="D1556" s="107">
        <f t="shared" si="126"/>
        <v>35</v>
      </c>
      <c r="E1556" s="15">
        <f t="shared" si="122"/>
        <v>362</v>
      </c>
      <c r="F1556" s="110">
        <f t="shared" si="123"/>
        <v>805</v>
      </c>
    </row>
    <row r="1557" spans="2:6" x14ac:dyDescent="0.25">
      <c r="B1557" s="105">
        <f t="shared" si="124"/>
        <v>1554</v>
      </c>
      <c r="C1557" s="107">
        <f t="shared" si="125"/>
        <v>4</v>
      </c>
      <c r="D1557" s="107">
        <f t="shared" si="126"/>
        <v>35</v>
      </c>
      <c r="E1557" s="15">
        <f t="shared" si="122"/>
        <v>362</v>
      </c>
      <c r="F1557" s="110">
        <f t="shared" si="123"/>
        <v>666</v>
      </c>
    </row>
    <row r="1558" spans="2:6" x14ac:dyDescent="0.25">
      <c r="B1558" s="105">
        <f t="shared" si="124"/>
        <v>1555</v>
      </c>
      <c r="C1558" s="107">
        <f t="shared" si="125"/>
        <v>5</v>
      </c>
      <c r="D1558" s="107">
        <f t="shared" si="126"/>
        <v>35</v>
      </c>
      <c r="E1558" s="15">
        <f t="shared" si="122"/>
        <v>362</v>
      </c>
      <c r="F1558" s="110">
        <f t="shared" si="123"/>
        <v>655</v>
      </c>
    </row>
    <row r="1559" spans="2:6" x14ac:dyDescent="0.25">
      <c r="B1559" s="105">
        <f t="shared" si="124"/>
        <v>1556</v>
      </c>
      <c r="C1559" s="107">
        <f t="shared" si="125"/>
        <v>6</v>
      </c>
      <c r="D1559" s="107">
        <f t="shared" si="126"/>
        <v>35</v>
      </c>
      <c r="E1559" s="15">
        <f t="shared" si="122"/>
        <v>362</v>
      </c>
      <c r="F1559" s="110">
        <f t="shared" si="123"/>
        <v>652</v>
      </c>
    </row>
    <row r="1560" spans="2:6" x14ac:dyDescent="0.25">
      <c r="B1560" s="105">
        <f t="shared" si="124"/>
        <v>1557</v>
      </c>
      <c r="C1560" s="107">
        <f t="shared" si="125"/>
        <v>7</v>
      </c>
      <c r="D1560" s="107">
        <f t="shared" si="126"/>
        <v>35</v>
      </c>
      <c r="E1560" s="15">
        <f t="shared" si="122"/>
        <v>362</v>
      </c>
      <c r="F1560" s="110">
        <f t="shared" si="123"/>
        <v>633</v>
      </c>
    </row>
    <row r="1561" spans="2:6" x14ac:dyDescent="0.25">
      <c r="B1561" s="105">
        <f t="shared" si="124"/>
        <v>1558</v>
      </c>
      <c r="C1561" s="107">
        <f t="shared" si="125"/>
        <v>8</v>
      </c>
      <c r="D1561" s="107">
        <f t="shared" si="126"/>
        <v>35</v>
      </c>
      <c r="E1561" s="15">
        <f t="shared" si="122"/>
        <v>362</v>
      </c>
      <c r="F1561" s="110">
        <f t="shared" si="123"/>
        <v>632</v>
      </c>
    </row>
    <row r="1562" spans="2:6" x14ac:dyDescent="0.25">
      <c r="B1562" s="105">
        <f t="shared" si="124"/>
        <v>1559</v>
      </c>
      <c r="C1562" s="107">
        <f t="shared" si="125"/>
        <v>9</v>
      </c>
      <c r="D1562" s="107">
        <f t="shared" si="126"/>
        <v>35</v>
      </c>
      <c r="E1562" s="15">
        <f t="shared" si="122"/>
        <v>362</v>
      </c>
      <c r="F1562" s="110">
        <f t="shared" si="123"/>
        <v>625</v>
      </c>
    </row>
    <row r="1563" spans="2:6" x14ac:dyDescent="0.25">
      <c r="B1563" s="105">
        <f t="shared" si="124"/>
        <v>1560</v>
      </c>
      <c r="C1563" s="107">
        <f t="shared" si="125"/>
        <v>10</v>
      </c>
      <c r="D1563" s="107">
        <f t="shared" si="126"/>
        <v>35</v>
      </c>
      <c r="E1563" s="15">
        <f t="shared" si="122"/>
        <v>362</v>
      </c>
      <c r="F1563" s="110">
        <f t="shared" si="123"/>
        <v>619</v>
      </c>
    </row>
    <row r="1564" spans="2:6" x14ac:dyDescent="0.25">
      <c r="B1564" s="105">
        <f t="shared" si="124"/>
        <v>1561</v>
      </c>
      <c r="C1564" s="107">
        <f t="shared" si="125"/>
        <v>11</v>
      </c>
      <c r="D1564" s="107">
        <f t="shared" si="126"/>
        <v>35</v>
      </c>
      <c r="E1564" s="15">
        <f t="shared" si="122"/>
        <v>362</v>
      </c>
      <c r="F1564" s="110">
        <f t="shared" si="123"/>
        <v>610</v>
      </c>
    </row>
    <row r="1565" spans="2:6" x14ac:dyDescent="0.25">
      <c r="B1565" s="105">
        <f t="shared" si="124"/>
        <v>1562</v>
      </c>
      <c r="C1565" s="107">
        <f t="shared" si="125"/>
        <v>12</v>
      </c>
      <c r="D1565" s="107">
        <f t="shared" si="126"/>
        <v>35</v>
      </c>
      <c r="E1565" s="15">
        <f t="shared" si="122"/>
        <v>362</v>
      </c>
      <c r="F1565" s="110">
        <f t="shared" si="123"/>
        <v>599</v>
      </c>
    </row>
    <row r="1566" spans="2:6" x14ac:dyDescent="0.25">
      <c r="B1566" s="105">
        <f t="shared" si="124"/>
        <v>1563</v>
      </c>
      <c r="C1566" s="107">
        <f t="shared" si="125"/>
        <v>13</v>
      </c>
      <c r="D1566" s="107">
        <f t="shared" si="126"/>
        <v>35</v>
      </c>
      <c r="E1566" s="15">
        <f t="shared" si="122"/>
        <v>362</v>
      </c>
      <c r="F1566" s="110">
        <f t="shared" si="123"/>
        <v>559</v>
      </c>
    </row>
    <row r="1567" spans="2:6" x14ac:dyDescent="0.25">
      <c r="B1567" s="105">
        <f t="shared" si="124"/>
        <v>1564</v>
      </c>
      <c r="C1567" s="107">
        <f t="shared" si="125"/>
        <v>14</v>
      </c>
      <c r="D1567" s="107">
        <f t="shared" si="126"/>
        <v>35</v>
      </c>
      <c r="E1567" s="15">
        <f t="shared" si="122"/>
        <v>362</v>
      </c>
      <c r="F1567" s="110">
        <f t="shared" si="123"/>
        <v>556</v>
      </c>
    </row>
    <row r="1568" spans="2:6" x14ac:dyDescent="0.25">
      <c r="B1568" s="105">
        <f t="shared" si="124"/>
        <v>1565</v>
      </c>
      <c r="C1568" s="107">
        <f t="shared" si="125"/>
        <v>15</v>
      </c>
      <c r="D1568" s="107">
        <f t="shared" si="126"/>
        <v>35</v>
      </c>
      <c r="E1568" s="15">
        <f t="shared" si="122"/>
        <v>362</v>
      </c>
      <c r="F1568" s="110">
        <f t="shared" si="123"/>
        <v>540</v>
      </c>
    </row>
    <row r="1569" spans="2:6" x14ac:dyDescent="0.25">
      <c r="B1569" s="105">
        <f t="shared" si="124"/>
        <v>1566</v>
      </c>
      <c r="C1569" s="107">
        <f t="shared" si="125"/>
        <v>16</v>
      </c>
      <c r="D1569" s="107">
        <f t="shared" si="126"/>
        <v>35</v>
      </c>
      <c r="E1569" s="15">
        <f t="shared" si="122"/>
        <v>362</v>
      </c>
      <c r="F1569" s="110">
        <f t="shared" si="123"/>
        <v>536</v>
      </c>
    </row>
    <row r="1570" spans="2:6" x14ac:dyDescent="0.25">
      <c r="B1570" s="105">
        <f t="shared" si="124"/>
        <v>1567</v>
      </c>
      <c r="C1570" s="107">
        <f t="shared" si="125"/>
        <v>17</v>
      </c>
      <c r="D1570" s="107">
        <f t="shared" si="126"/>
        <v>35</v>
      </c>
      <c r="E1570" s="15">
        <f t="shared" si="122"/>
        <v>362</v>
      </c>
      <c r="F1570" s="110">
        <f t="shared" si="123"/>
        <v>527</v>
      </c>
    </row>
    <row r="1571" spans="2:6" x14ac:dyDescent="0.25">
      <c r="B1571" s="105">
        <f t="shared" si="124"/>
        <v>1568</v>
      </c>
      <c r="C1571" s="107">
        <f t="shared" si="125"/>
        <v>18</v>
      </c>
      <c r="D1571" s="107">
        <f t="shared" si="126"/>
        <v>35</v>
      </c>
      <c r="E1571" s="15">
        <f t="shared" si="122"/>
        <v>362</v>
      </c>
      <c r="F1571" s="110">
        <f t="shared" si="123"/>
        <v>478</v>
      </c>
    </row>
    <row r="1572" spans="2:6" x14ac:dyDescent="0.25">
      <c r="B1572" s="105">
        <f t="shared" si="124"/>
        <v>1569</v>
      </c>
      <c r="C1572" s="107">
        <f t="shared" si="125"/>
        <v>19</v>
      </c>
      <c r="D1572" s="107">
        <f t="shared" si="126"/>
        <v>35</v>
      </c>
      <c r="E1572" s="15">
        <f t="shared" si="122"/>
        <v>362</v>
      </c>
      <c r="F1572" s="110">
        <f t="shared" si="123"/>
        <v>474</v>
      </c>
    </row>
    <row r="1573" spans="2:6" x14ac:dyDescent="0.25">
      <c r="B1573" s="105">
        <f t="shared" si="124"/>
        <v>1570</v>
      </c>
      <c r="C1573" s="107">
        <f t="shared" si="125"/>
        <v>20</v>
      </c>
      <c r="D1573" s="107">
        <f t="shared" si="126"/>
        <v>35</v>
      </c>
      <c r="E1573" s="15">
        <f t="shared" si="122"/>
        <v>362</v>
      </c>
      <c r="F1573" s="110">
        <f t="shared" si="123"/>
        <v>468</v>
      </c>
    </row>
    <row r="1574" spans="2:6" x14ac:dyDescent="0.25">
      <c r="B1574" s="105">
        <f t="shared" si="124"/>
        <v>1571</v>
      </c>
      <c r="C1574" s="107">
        <f t="shared" si="125"/>
        <v>21</v>
      </c>
      <c r="D1574" s="107">
        <f t="shared" si="126"/>
        <v>35</v>
      </c>
      <c r="E1574" s="15">
        <f t="shared" si="122"/>
        <v>362</v>
      </c>
      <c r="F1574" s="110">
        <f t="shared" si="123"/>
        <v>457</v>
      </c>
    </row>
    <row r="1575" spans="2:6" x14ac:dyDescent="0.25">
      <c r="B1575" s="105">
        <f t="shared" si="124"/>
        <v>1572</v>
      </c>
      <c r="C1575" s="107">
        <f t="shared" si="125"/>
        <v>22</v>
      </c>
      <c r="D1575" s="107">
        <f t="shared" si="126"/>
        <v>35</v>
      </c>
      <c r="E1575" s="15">
        <f t="shared" si="122"/>
        <v>362</v>
      </c>
      <c r="F1575" s="110">
        <f t="shared" si="123"/>
        <v>452</v>
      </c>
    </row>
    <row r="1576" spans="2:6" x14ac:dyDescent="0.25">
      <c r="B1576" s="105">
        <f t="shared" si="124"/>
        <v>1573</v>
      </c>
      <c r="C1576" s="107">
        <f t="shared" si="125"/>
        <v>23</v>
      </c>
      <c r="D1576" s="107">
        <f t="shared" si="126"/>
        <v>35</v>
      </c>
      <c r="E1576" s="15">
        <f t="shared" si="122"/>
        <v>362</v>
      </c>
      <c r="F1576" s="110">
        <f t="shared" si="123"/>
        <v>442</v>
      </c>
    </row>
    <row r="1577" spans="2:6" x14ac:dyDescent="0.25">
      <c r="B1577" s="105">
        <f t="shared" si="124"/>
        <v>1574</v>
      </c>
      <c r="C1577" s="107">
        <f t="shared" si="125"/>
        <v>24</v>
      </c>
      <c r="D1577" s="107">
        <f t="shared" si="126"/>
        <v>35</v>
      </c>
      <c r="E1577" s="15">
        <f t="shared" si="122"/>
        <v>362</v>
      </c>
      <c r="F1577" s="110">
        <f t="shared" si="123"/>
        <v>420</v>
      </c>
    </row>
    <row r="1578" spans="2:6" x14ac:dyDescent="0.25">
      <c r="B1578" s="105">
        <f t="shared" si="124"/>
        <v>1575</v>
      </c>
      <c r="C1578" s="107">
        <f t="shared" si="125"/>
        <v>25</v>
      </c>
      <c r="D1578" s="107">
        <f t="shared" si="126"/>
        <v>35</v>
      </c>
      <c r="E1578" s="15">
        <f t="shared" si="122"/>
        <v>362</v>
      </c>
      <c r="F1578" s="110">
        <f t="shared" si="123"/>
        <v>410</v>
      </c>
    </row>
    <row r="1579" spans="2:6" x14ac:dyDescent="0.25">
      <c r="B1579" s="105">
        <f t="shared" si="124"/>
        <v>1576</v>
      </c>
      <c r="C1579" s="107">
        <f t="shared" si="125"/>
        <v>26</v>
      </c>
      <c r="D1579" s="107">
        <f t="shared" si="126"/>
        <v>35</v>
      </c>
      <c r="E1579" s="15">
        <f t="shared" si="122"/>
        <v>362</v>
      </c>
      <c r="F1579" s="110">
        <f t="shared" si="123"/>
        <v>409</v>
      </c>
    </row>
    <row r="1580" spans="2:6" x14ac:dyDescent="0.25">
      <c r="B1580" s="105">
        <f t="shared" si="124"/>
        <v>1577</v>
      </c>
      <c r="C1580" s="107">
        <f t="shared" si="125"/>
        <v>27</v>
      </c>
      <c r="D1580" s="107">
        <f t="shared" si="126"/>
        <v>35</v>
      </c>
      <c r="E1580" s="15">
        <f t="shared" si="122"/>
        <v>362</v>
      </c>
      <c r="F1580" s="110">
        <f t="shared" si="123"/>
        <v>408</v>
      </c>
    </row>
    <row r="1581" spans="2:6" x14ac:dyDescent="0.25">
      <c r="B1581" s="105">
        <f t="shared" si="124"/>
        <v>1578</v>
      </c>
      <c r="C1581" s="107">
        <f t="shared" si="125"/>
        <v>28</v>
      </c>
      <c r="D1581" s="107">
        <f t="shared" si="126"/>
        <v>35</v>
      </c>
      <c r="E1581" s="15">
        <f t="shared" si="122"/>
        <v>362</v>
      </c>
      <c r="F1581" s="110">
        <f t="shared" si="123"/>
        <v>404</v>
      </c>
    </row>
    <row r="1582" spans="2:6" x14ac:dyDescent="0.25">
      <c r="B1582" s="105">
        <f t="shared" si="124"/>
        <v>1579</v>
      </c>
      <c r="C1582" s="107">
        <f t="shared" si="125"/>
        <v>29</v>
      </c>
      <c r="D1582" s="107">
        <f t="shared" si="126"/>
        <v>35</v>
      </c>
      <c r="E1582" s="15">
        <f t="shared" si="122"/>
        <v>362</v>
      </c>
      <c r="F1582" s="110">
        <f t="shared" si="123"/>
        <v>399</v>
      </c>
    </row>
    <row r="1583" spans="2:6" x14ac:dyDescent="0.25">
      <c r="B1583" s="105">
        <f t="shared" si="124"/>
        <v>1580</v>
      </c>
      <c r="C1583" s="107">
        <f t="shared" si="125"/>
        <v>30</v>
      </c>
      <c r="D1583" s="107">
        <f t="shared" si="126"/>
        <v>35</v>
      </c>
      <c r="E1583" s="15">
        <f t="shared" si="122"/>
        <v>362</v>
      </c>
      <c r="F1583" s="110">
        <f t="shared" si="123"/>
        <v>396</v>
      </c>
    </row>
    <row r="1584" spans="2:6" x14ac:dyDescent="0.25">
      <c r="B1584" s="105">
        <f t="shared" si="124"/>
        <v>1581</v>
      </c>
      <c r="C1584" s="107">
        <f t="shared" si="125"/>
        <v>31</v>
      </c>
      <c r="D1584" s="107">
        <f t="shared" si="126"/>
        <v>35</v>
      </c>
      <c r="E1584" s="15">
        <f t="shared" si="122"/>
        <v>362</v>
      </c>
      <c r="F1584" s="110">
        <f t="shared" si="123"/>
        <v>384</v>
      </c>
    </row>
    <row r="1585" spans="2:6" x14ac:dyDescent="0.25">
      <c r="B1585" s="105">
        <f t="shared" si="124"/>
        <v>1582</v>
      </c>
      <c r="C1585" s="107">
        <f t="shared" si="125"/>
        <v>32</v>
      </c>
      <c r="D1585" s="107">
        <f t="shared" si="126"/>
        <v>35</v>
      </c>
      <c r="E1585" s="15">
        <f t="shared" si="122"/>
        <v>362</v>
      </c>
      <c r="F1585" s="110">
        <f t="shared" si="123"/>
        <v>381</v>
      </c>
    </row>
    <row r="1586" spans="2:6" x14ac:dyDescent="0.25">
      <c r="B1586" s="105">
        <f t="shared" si="124"/>
        <v>1583</v>
      </c>
      <c r="C1586" s="107">
        <f t="shared" si="125"/>
        <v>33</v>
      </c>
      <c r="D1586" s="107">
        <f t="shared" si="126"/>
        <v>35</v>
      </c>
      <c r="E1586" s="15">
        <f t="shared" si="122"/>
        <v>362</v>
      </c>
      <c r="F1586" s="110">
        <f t="shared" si="123"/>
        <v>376</v>
      </c>
    </row>
    <row r="1587" spans="2:6" x14ac:dyDescent="0.25">
      <c r="B1587" s="105">
        <f t="shared" si="124"/>
        <v>1584</v>
      </c>
      <c r="C1587" s="107">
        <f t="shared" si="125"/>
        <v>34</v>
      </c>
      <c r="D1587" s="107">
        <f t="shared" si="126"/>
        <v>35</v>
      </c>
      <c r="E1587" s="15">
        <f t="shared" si="122"/>
        <v>362</v>
      </c>
      <c r="F1587" s="110">
        <f t="shared" si="123"/>
        <v>370</v>
      </c>
    </row>
    <row r="1588" spans="2:6" x14ac:dyDescent="0.25">
      <c r="B1588" s="105">
        <f t="shared" si="124"/>
        <v>1585</v>
      </c>
      <c r="C1588" s="107">
        <f t="shared" si="125"/>
        <v>1</v>
      </c>
      <c r="D1588" s="107">
        <f t="shared" si="126"/>
        <v>34</v>
      </c>
      <c r="E1588" s="15">
        <f t="shared" si="122"/>
        <v>370</v>
      </c>
      <c r="F1588" s="110">
        <f t="shared" si="123"/>
        <v>1048</v>
      </c>
    </row>
    <row r="1589" spans="2:6" x14ac:dyDescent="0.25">
      <c r="B1589" s="105">
        <f t="shared" si="124"/>
        <v>1586</v>
      </c>
      <c r="C1589" s="107">
        <f t="shared" si="125"/>
        <v>2</v>
      </c>
      <c r="D1589" s="107">
        <f t="shared" si="126"/>
        <v>34</v>
      </c>
      <c r="E1589" s="15">
        <f t="shared" si="122"/>
        <v>370</v>
      </c>
      <c r="F1589" s="110">
        <f t="shared" si="123"/>
        <v>1025</v>
      </c>
    </row>
    <row r="1590" spans="2:6" x14ac:dyDescent="0.25">
      <c r="B1590" s="105">
        <f t="shared" si="124"/>
        <v>1587</v>
      </c>
      <c r="C1590" s="107">
        <f t="shared" si="125"/>
        <v>3</v>
      </c>
      <c r="D1590" s="107">
        <f t="shared" si="126"/>
        <v>34</v>
      </c>
      <c r="E1590" s="15">
        <f t="shared" si="122"/>
        <v>370</v>
      </c>
      <c r="F1590" s="110">
        <f t="shared" si="123"/>
        <v>805</v>
      </c>
    </row>
    <row r="1591" spans="2:6" x14ac:dyDescent="0.25">
      <c r="B1591" s="105">
        <f t="shared" si="124"/>
        <v>1588</v>
      </c>
      <c r="C1591" s="107">
        <f t="shared" si="125"/>
        <v>4</v>
      </c>
      <c r="D1591" s="107">
        <f t="shared" si="126"/>
        <v>34</v>
      </c>
      <c r="E1591" s="15">
        <f t="shared" si="122"/>
        <v>370</v>
      </c>
      <c r="F1591" s="110">
        <f t="shared" si="123"/>
        <v>666</v>
      </c>
    </row>
    <row r="1592" spans="2:6" x14ac:dyDescent="0.25">
      <c r="B1592" s="105">
        <f t="shared" si="124"/>
        <v>1589</v>
      </c>
      <c r="C1592" s="107">
        <f t="shared" si="125"/>
        <v>5</v>
      </c>
      <c r="D1592" s="107">
        <f t="shared" si="126"/>
        <v>34</v>
      </c>
      <c r="E1592" s="15">
        <f t="shared" si="122"/>
        <v>370</v>
      </c>
      <c r="F1592" s="110">
        <f t="shared" si="123"/>
        <v>655</v>
      </c>
    </row>
    <row r="1593" spans="2:6" x14ac:dyDescent="0.25">
      <c r="B1593" s="105">
        <f t="shared" si="124"/>
        <v>1590</v>
      </c>
      <c r="C1593" s="107">
        <f t="shared" si="125"/>
        <v>6</v>
      </c>
      <c r="D1593" s="107">
        <f t="shared" si="126"/>
        <v>34</v>
      </c>
      <c r="E1593" s="15">
        <f t="shared" si="122"/>
        <v>370</v>
      </c>
      <c r="F1593" s="110">
        <f t="shared" si="123"/>
        <v>652</v>
      </c>
    </row>
    <row r="1594" spans="2:6" x14ac:dyDescent="0.25">
      <c r="B1594" s="105">
        <f t="shared" si="124"/>
        <v>1591</v>
      </c>
      <c r="C1594" s="107">
        <f t="shared" si="125"/>
        <v>7</v>
      </c>
      <c r="D1594" s="107">
        <f t="shared" si="126"/>
        <v>34</v>
      </c>
      <c r="E1594" s="15">
        <f t="shared" si="122"/>
        <v>370</v>
      </c>
      <c r="F1594" s="110">
        <f t="shared" si="123"/>
        <v>633</v>
      </c>
    </row>
    <row r="1595" spans="2:6" x14ac:dyDescent="0.25">
      <c r="B1595" s="105">
        <f t="shared" si="124"/>
        <v>1592</v>
      </c>
      <c r="C1595" s="107">
        <f t="shared" si="125"/>
        <v>8</v>
      </c>
      <c r="D1595" s="107">
        <f t="shared" si="126"/>
        <v>34</v>
      </c>
      <c r="E1595" s="15">
        <f t="shared" si="122"/>
        <v>370</v>
      </c>
      <c r="F1595" s="110">
        <f t="shared" si="123"/>
        <v>632</v>
      </c>
    </row>
    <row r="1596" spans="2:6" x14ac:dyDescent="0.25">
      <c r="B1596" s="105">
        <f t="shared" si="124"/>
        <v>1593</v>
      </c>
      <c r="C1596" s="107">
        <f t="shared" si="125"/>
        <v>9</v>
      </c>
      <c r="D1596" s="107">
        <f t="shared" si="126"/>
        <v>34</v>
      </c>
      <c r="E1596" s="15">
        <f t="shared" si="122"/>
        <v>370</v>
      </c>
      <c r="F1596" s="110">
        <f t="shared" si="123"/>
        <v>625</v>
      </c>
    </row>
    <row r="1597" spans="2:6" x14ac:dyDescent="0.25">
      <c r="B1597" s="105">
        <f t="shared" si="124"/>
        <v>1594</v>
      </c>
      <c r="C1597" s="107">
        <f t="shared" si="125"/>
        <v>10</v>
      </c>
      <c r="D1597" s="107">
        <f t="shared" si="126"/>
        <v>34</v>
      </c>
      <c r="E1597" s="15">
        <f t="shared" si="122"/>
        <v>370</v>
      </c>
      <c r="F1597" s="110">
        <f t="shared" si="123"/>
        <v>619</v>
      </c>
    </row>
    <row r="1598" spans="2:6" x14ac:dyDescent="0.25">
      <c r="B1598" s="105">
        <f t="shared" si="124"/>
        <v>1595</v>
      </c>
      <c r="C1598" s="107">
        <f t="shared" si="125"/>
        <v>11</v>
      </c>
      <c r="D1598" s="107">
        <f t="shared" si="126"/>
        <v>34</v>
      </c>
      <c r="E1598" s="15">
        <f t="shared" si="122"/>
        <v>370</v>
      </c>
      <c r="F1598" s="110">
        <f t="shared" si="123"/>
        <v>610</v>
      </c>
    </row>
    <row r="1599" spans="2:6" x14ac:dyDescent="0.25">
      <c r="B1599" s="105">
        <f t="shared" si="124"/>
        <v>1596</v>
      </c>
      <c r="C1599" s="107">
        <f t="shared" si="125"/>
        <v>12</v>
      </c>
      <c r="D1599" s="107">
        <f t="shared" si="126"/>
        <v>34</v>
      </c>
      <c r="E1599" s="15">
        <f t="shared" si="122"/>
        <v>370</v>
      </c>
      <c r="F1599" s="110">
        <f t="shared" si="123"/>
        <v>599</v>
      </c>
    </row>
    <row r="1600" spans="2:6" x14ac:dyDescent="0.25">
      <c r="B1600" s="105">
        <f t="shared" si="124"/>
        <v>1597</v>
      </c>
      <c r="C1600" s="107">
        <f t="shared" si="125"/>
        <v>13</v>
      </c>
      <c r="D1600" s="107">
        <f t="shared" si="126"/>
        <v>34</v>
      </c>
      <c r="E1600" s="15">
        <f t="shared" si="122"/>
        <v>370</v>
      </c>
      <c r="F1600" s="110">
        <f t="shared" si="123"/>
        <v>559</v>
      </c>
    </row>
    <row r="1601" spans="2:6" x14ac:dyDescent="0.25">
      <c r="B1601" s="105">
        <f t="shared" si="124"/>
        <v>1598</v>
      </c>
      <c r="C1601" s="107">
        <f t="shared" si="125"/>
        <v>14</v>
      </c>
      <c r="D1601" s="107">
        <f t="shared" si="126"/>
        <v>34</v>
      </c>
      <c r="E1601" s="15">
        <f t="shared" si="122"/>
        <v>370</v>
      </c>
      <c r="F1601" s="110">
        <f t="shared" si="123"/>
        <v>556</v>
      </c>
    </row>
    <row r="1602" spans="2:6" x14ac:dyDescent="0.25">
      <c r="B1602" s="105">
        <f t="shared" si="124"/>
        <v>1599</v>
      </c>
      <c r="C1602" s="107">
        <f t="shared" si="125"/>
        <v>15</v>
      </c>
      <c r="D1602" s="107">
        <f t="shared" si="126"/>
        <v>34</v>
      </c>
      <c r="E1602" s="15">
        <f t="shared" si="122"/>
        <v>370</v>
      </c>
      <c r="F1602" s="110">
        <f t="shared" si="123"/>
        <v>540</v>
      </c>
    </row>
    <row r="1603" spans="2:6" x14ac:dyDescent="0.25">
      <c r="B1603" s="105">
        <f t="shared" si="124"/>
        <v>1600</v>
      </c>
      <c r="C1603" s="107">
        <f t="shared" si="125"/>
        <v>16</v>
      </c>
      <c r="D1603" s="107">
        <f t="shared" si="126"/>
        <v>34</v>
      </c>
      <c r="E1603" s="15">
        <f t="shared" si="122"/>
        <v>370</v>
      </c>
      <c r="F1603" s="110">
        <f t="shared" si="123"/>
        <v>536</v>
      </c>
    </row>
    <row r="1604" spans="2:6" x14ac:dyDescent="0.25">
      <c r="B1604" s="105">
        <f t="shared" si="124"/>
        <v>1601</v>
      </c>
      <c r="C1604" s="107">
        <f t="shared" si="125"/>
        <v>17</v>
      </c>
      <c r="D1604" s="107">
        <f t="shared" si="126"/>
        <v>34</v>
      </c>
      <c r="E1604" s="15">
        <f t="shared" ref="E1604:E1667" si="127">IFERROR(VLOOKUP(D1604,$H$4:$I$69,2,0),"")</f>
        <v>370</v>
      </c>
      <c r="F1604" s="110">
        <f t="shared" ref="F1604:F1667" si="128">IFERROR(VLOOKUP(C1604,$H$4:$I$69,2,0),"")</f>
        <v>527</v>
      </c>
    </row>
    <row r="1605" spans="2:6" x14ac:dyDescent="0.25">
      <c r="B1605" s="105">
        <f t="shared" ref="B1605:B1668" si="129">ROW()-3</f>
        <v>1602</v>
      </c>
      <c r="C1605" s="107">
        <f t="shared" si="125"/>
        <v>18</v>
      </c>
      <c r="D1605" s="107">
        <f t="shared" si="126"/>
        <v>34</v>
      </c>
      <c r="E1605" s="15">
        <f t="shared" si="127"/>
        <v>370</v>
      </c>
      <c r="F1605" s="110">
        <f t="shared" si="128"/>
        <v>478</v>
      </c>
    </row>
    <row r="1606" spans="2:6" x14ac:dyDescent="0.25">
      <c r="B1606" s="105">
        <f t="shared" si="129"/>
        <v>1603</v>
      </c>
      <c r="C1606" s="107">
        <f t="shared" ref="C1606:C1669" si="130">IF((D1605-C1605)=1,1,C1605+1)</f>
        <v>19</v>
      </c>
      <c r="D1606" s="107">
        <f t="shared" ref="D1606:D1669" si="131">IF((D1605-C1605)=1,D1605-1,D1605)</f>
        <v>34</v>
      </c>
      <c r="E1606" s="15">
        <f t="shared" si="127"/>
        <v>370</v>
      </c>
      <c r="F1606" s="110">
        <f t="shared" si="128"/>
        <v>474</v>
      </c>
    </row>
    <row r="1607" spans="2:6" x14ac:dyDescent="0.25">
      <c r="B1607" s="105">
        <f t="shared" si="129"/>
        <v>1604</v>
      </c>
      <c r="C1607" s="107">
        <f t="shared" si="130"/>
        <v>20</v>
      </c>
      <c r="D1607" s="107">
        <f t="shared" si="131"/>
        <v>34</v>
      </c>
      <c r="E1607" s="15">
        <f t="shared" si="127"/>
        <v>370</v>
      </c>
      <c r="F1607" s="110">
        <f t="shared" si="128"/>
        <v>468</v>
      </c>
    </row>
    <row r="1608" spans="2:6" x14ac:dyDescent="0.25">
      <c r="B1608" s="105">
        <f t="shared" si="129"/>
        <v>1605</v>
      </c>
      <c r="C1608" s="107">
        <f t="shared" si="130"/>
        <v>21</v>
      </c>
      <c r="D1608" s="107">
        <f t="shared" si="131"/>
        <v>34</v>
      </c>
      <c r="E1608" s="15">
        <f t="shared" si="127"/>
        <v>370</v>
      </c>
      <c r="F1608" s="110">
        <f t="shared" si="128"/>
        <v>457</v>
      </c>
    </row>
    <row r="1609" spans="2:6" x14ac:dyDescent="0.25">
      <c r="B1609" s="105">
        <f t="shared" si="129"/>
        <v>1606</v>
      </c>
      <c r="C1609" s="107">
        <f t="shared" si="130"/>
        <v>22</v>
      </c>
      <c r="D1609" s="107">
        <f t="shared" si="131"/>
        <v>34</v>
      </c>
      <c r="E1609" s="15">
        <f t="shared" si="127"/>
        <v>370</v>
      </c>
      <c r="F1609" s="110">
        <f t="shared" si="128"/>
        <v>452</v>
      </c>
    </row>
    <row r="1610" spans="2:6" x14ac:dyDescent="0.25">
      <c r="B1610" s="105">
        <f t="shared" si="129"/>
        <v>1607</v>
      </c>
      <c r="C1610" s="107">
        <f t="shared" si="130"/>
        <v>23</v>
      </c>
      <c r="D1610" s="107">
        <f t="shared" si="131"/>
        <v>34</v>
      </c>
      <c r="E1610" s="15">
        <f t="shared" si="127"/>
        <v>370</v>
      </c>
      <c r="F1610" s="110">
        <f t="shared" si="128"/>
        <v>442</v>
      </c>
    </row>
    <row r="1611" spans="2:6" x14ac:dyDescent="0.25">
      <c r="B1611" s="105">
        <f t="shared" si="129"/>
        <v>1608</v>
      </c>
      <c r="C1611" s="107">
        <f t="shared" si="130"/>
        <v>24</v>
      </c>
      <c r="D1611" s="107">
        <f t="shared" si="131"/>
        <v>34</v>
      </c>
      <c r="E1611" s="15">
        <f t="shared" si="127"/>
        <v>370</v>
      </c>
      <c r="F1611" s="110">
        <f t="shared" si="128"/>
        <v>420</v>
      </c>
    </row>
    <row r="1612" spans="2:6" x14ac:dyDescent="0.25">
      <c r="B1612" s="105">
        <f t="shared" si="129"/>
        <v>1609</v>
      </c>
      <c r="C1612" s="107">
        <f t="shared" si="130"/>
        <v>25</v>
      </c>
      <c r="D1612" s="107">
        <f t="shared" si="131"/>
        <v>34</v>
      </c>
      <c r="E1612" s="15">
        <f t="shared" si="127"/>
        <v>370</v>
      </c>
      <c r="F1612" s="110">
        <f t="shared" si="128"/>
        <v>410</v>
      </c>
    </row>
    <row r="1613" spans="2:6" x14ac:dyDescent="0.25">
      <c r="B1613" s="105">
        <f t="shared" si="129"/>
        <v>1610</v>
      </c>
      <c r="C1613" s="107">
        <f t="shared" si="130"/>
        <v>26</v>
      </c>
      <c r="D1613" s="107">
        <f t="shared" si="131"/>
        <v>34</v>
      </c>
      <c r="E1613" s="15">
        <f t="shared" si="127"/>
        <v>370</v>
      </c>
      <c r="F1613" s="110">
        <f t="shared" si="128"/>
        <v>409</v>
      </c>
    </row>
    <row r="1614" spans="2:6" x14ac:dyDescent="0.25">
      <c r="B1614" s="105">
        <f t="shared" si="129"/>
        <v>1611</v>
      </c>
      <c r="C1614" s="107">
        <f t="shared" si="130"/>
        <v>27</v>
      </c>
      <c r="D1614" s="107">
        <f t="shared" si="131"/>
        <v>34</v>
      </c>
      <c r="E1614" s="15">
        <f t="shared" si="127"/>
        <v>370</v>
      </c>
      <c r="F1614" s="110">
        <f t="shared" si="128"/>
        <v>408</v>
      </c>
    </row>
    <row r="1615" spans="2:6" x14ac:dyDescent="0.25">
      <c r="B1615" s="105">
        <f t="shared" si="129"/>
        <v>1612</v>
      </c>
      <c r="C1615" s="107">
        <f t="shared" si="130"/>
        <v>28</v>
      </c>
      <c r="D1615" s="107">
        <f t="shared" si="131"/>
        <v>34</v>
      </c>
      <c r="E1615" s="15">
        <f t="shared" si="127"/>
        <v>370</v>
      </c>
      <c r="F1615" s="110">
        <f t="shared" si="128"/>
        <v>404</v>
      </c>
    </row>
    <row r="1616" spans="2:6" x14ac:dyDescent="0.25">
      <c r="B1616" s="105">
        <f t="shared" si="129"/>
        <v>1613</v>
      </c>
      <c r="C1616" s="107">
        <f t="shared" si="130"/>
        <v>29</v>
      </c>
      <c r="D1616" s="107">
        <f t="shared" si="131"/>
        <v>34</v>
      </c>
      <c r="E1616" s="15">
        <f t="shared" si="127"/>
        <v>370</v>
      </c>
      <c r="F1616" s="110">
        <f t="shared" si="128"/>
        <v>399</v>
      </c>
    </row>
    <row r="1617" spans="2:6" x14ac:dyDescent="0.25">
      <c r="B1617" s="105">
        <f t="shared" si="129"/>
        <v>1614</v>
      </c>
      <c r="C1617" s="107">
        <f t="shared" si="130"/>
        <v>30</v>
      </c>
      <c r="D1617" s="107">
        <f t="shared" si="131"/>
        <v>34</v>
      </c>
      <c r="E1617" s="15">
        <f t="shared" si="127"/>
        <v>370</v>
      </c>
      <c r="F1617" s="110">
        <f t="shared" si="128"/>
        <v>396</v>
      </c>
    </row>
    <row r="1618" spans="2:6" x14ac:dyDescent="0.25">
      <c r="B1618" s="105">
        <f t="shared" si="129"/>
        <v>1615</v>
      </c>
      <c r="C1618" s="107">
        <f t="shared" si="130"/>
        <v>31</v>
      </c>
      <c r="D1618" s="107">
        <f t="shared" si="131"/>
        <v>34</v>
      </c>
      <c r="E1618" s="15">
        <f t="shared" si="127"/>
        <v>370</v>
      </c>
      <c r="F1618" s="110">
        <f t="shared" si="128"/>
        <v>384</v>
      </c>
    </row>
    <row r="1619" spans="2:6" x14ac:dyDescent="0.25">
      <c r="B1619" s="105">
        <f t="shared" si="129"/>
        <v>1616</v>
      </c>
      <c r="C1619" s="107">
        <f t="shared" si="130"/>
        <v>32</v>
      </c>
      <c r="D1619" s="107">
        <f t="shared" si="131"/>
        <v>34</v>
      </c>
      <c r="E1619" s="15">
        <f t="shared" si="127"/>
        <v>370</v>
      </c>
      <c r="F1619" s="110">
        <f t="shared" si="128"/>
        <v>381</v>
      </c>
    </row>
    <row r="1620" spans="2:6" x14ac:dyDescent="0.25">
      <c r="B1620" s="105">
        <f t="shared" si="129"/>
        <v>1617</v>
      </c>
      <c r="C1620" s="107">
        <f t="shared" si="130"/>
        <v>33</v>
      </c>
      <c r="D1620" s="107">
        <f t="shared" si="131"/>
        <v>34</v>
      </c>
      <c r="E1620" s="15">
        <f t="shared" si="127"/>
        <v>370</v>
      </c>
      <c r="F1620" s="110">
        <f t="shared" si="128"/>
        <v>376</v>
      </c>
    </row>
    <row r="1621" spans="2:6" x14ac:dyDescent="0.25">
      <c r="B1621" s="105">
        <f t="shared" si="129"/>
        <v>1618</v>
      </c>
      <c r="C1621" s="107">
        <f t="shared" si="130"/>
        <v>1</v>
      </c>
      <c r="D1621" s="107">
        <f t="shared" si="131"/>
        <v>33</v>
      </c>
      <c r="E1621" s="15">
        <f t="shared" si="127"/>
        <v>376</v>
      </c>
      <c r="F1621" s="110">
        <f t="shared" si="128"/>
        <v>1048</v>
      </c>
    </row>
    <row r="1622" spans="2:6" x14ac:dyDescent="0.25">
      <c r="B1622" s="105">
        <f t="shared" si="129"/>
        <v>1619</v>
      </c>
      <c r="C1622" s="107">
        <f t="shared" si="130"/>
        <v>2</v>
      </c>
      <c r="D1622" s="107">
        <f t="shared" si="131"/>
        <v>33</v>
      </c>
      <c r="E1622" s="15">
        <f t="shared" si="127"/>
        <v>376</v>
      </c>
      <c r="F1622" s="110">
        <f t="shared" si="128"/>
        <v>1025</v>
      </c>
    </row>
    <row r="1623" spans="2:6" x14ac:dyDescent="0.25">
      <c r="B1623" s="105">
        <f t="shared" si="129"/>
        <v>1620</v>
      </c>
      <c r="C1623" s="107">
        <f t="shared" si="130"/>
        <v>3</v>
      </c>
      <c r="D1623" s="107">
        <f t="shared" si="131"/>
        <v>33</v>
      </c>
      <c r="E1623" s="15">
        <f t="shared" si="127"/>
        <v>376</v>
      </c>
      <c r="F1623" s="110">
        <f t="shared" si="128"/>
        <v>805</v>
      </c>
    </row>
    <row r="1624" spans="2:6" x14ac:dyDescent="0.25">
      <c r="B1624" s="105">
        <f t="shared" si="129"/>
        <v>1621</v>
      </c>
      <c r="C1624" s="107">
        <f t="shared" si="130"/>
        <v>4</v>
      </c>
      <c r="D1624" s="107">
        <f t="shared" si="131"/>
        <v>33</v>
      </c>
      <c r="E1624" s="15">
        <f t="shared" si="127"/>
        <v>376</v>
      </c>
      <c r="F1624" s="110">
        <f t="shared" si="128"/>
        <v>666</v>
      </c>
    </row>
    <row r="1625" spans="2:6" x14ac:dyDescent="0.25">
      <c r="B1625" s="105">
        <f t="shared" si="129"/>
        <v>1622</v>
      </c>
      <c r="C1625" s="107">
        <f t="shared" si="130"/>
        <v>5</v>
      </c>
      <c r="D1625" s="107">
        <f t="shared" si="131"/>
        <v>33</v>
      </c>
      <c r="E1625" s="15">
        <f t="shared" si="127"/>
        <v>376</v>
      </c>
      <c r="F1625" s="110">
        <f t="shared" si="128"/>
        <v>655</v>
      </c>
    </row>
    <row r="1626" spans="2:6" x14ac:dyDescent="0.25">
      <c r="B1626" s="105">
        <f t="shared" si="129"/>
        <v>1623</v>
      </c>
      <c r="C1626" s="107">
        <f t="shared" si="130"/>
        <v>6</v>
      </c>
      <c r="D1626" s="107">
        <f t="shared" si="131"/>
        <v>33</v>
      </c>
      <c r="E1626" s="15">
        <f t="shared" si="127"/>
        <v>376</v>
      </c>
      <c r="F1626" s="110">
        <f t="shared" si="128"/>
        <v>652</v>
      </c>
    </row>
    <row r="1627" spans="2:6" x14ac:dyDescent="0.25">
      <c r="B1627" s="105">
        <f t="shared" si="129"/>
        <v>1624</v>
      </c>
      <c r="C1627" s="107">
        <f t="shared" si="130"/>
        <v>7</v>
      </c>
      <c r="D1627" s="107">
        <f t="shared" si="131"/>
        <v>33</v>
      </c>
      <c r="E1627" s="15">
        <f t="shared" si="127"/>
        <v>376</v>
      </c>
      <c r="F1627" s="110">
        <f t="shared" si="128"/>
        <v>633</v>
      </c>
    </row>
    <row r="1628" spans="2:6" x14ac:dyDescent="0.25">
      <c r="B1628" s="105">
        <f t="shared" si="129"/>
        <v>1625</v>
      </c>
      <c r="C1628" s="107">
        <f t="shared" si="130"/>
        <v>8</v>
      </c>
      <c r="D1628" s="107">
        <f t="shared" si="131"/>
        <v>33</v>
      </c>
      <c r="E1628" s="15">
        <f t="shared" si="127"/>
        <v>376</v>
      </c>
      <c r="F1628" s="110">
        <f t="shared" si="128"/>
        <v>632</v>
      </c>
    </row>
    <row r="1629" spans="2:6" x14ac:dyDescent="0.25">
      <c r="B1629" s="105">
        <f t="shared" si="129"/>
        <v>1626</v>
      </c>
      <c r="C1629" s="107">
        <f t="shared" si="130"/>
        <v>9</v>
      </c>
      <c r="D1629" s="107">
        <f t="shared" si="131"/>
        <v>33</v>
      </c>
      <c r="E1629" s="15">
        <f t="shared" si="127"/>
        <v>376</v>
      </c>
      <c r="F1629" s="110">
        <f t="shared" si="128"/>
        <v>625</v>
      </c>
    </row>
    <row r="1630" spans="2:6" x14ac:dyDescent="0.25">
      <c r="B1630" s="105">
        <f t="shared" si="129"/>
        <v>1627</v>
      </c>
      <c r="C1630" s="107">
        <f t="shared" si="130"/>
        <v>10</v>
      </c>
      <c r="D1630" s="107">
        <f t="shared" si="131"/>
        <v>33</v>
      </c>
      <c r="E1630" s="15">
        <f t="shared" si="127"/>
        <v>376</v>
      </c>
      <c r="F1630" s="110">
        <f t="shared" si="128"/>
        <v>619</v>
      </c>
    </row>
    <row r="1631" spans="2:6" x14ac:dyDescent="0.25">
      <c r="B1631" s="105">
        <f t="shared" si="129"/>
        <v>1628</v>
      </c>
      <c r="C1631" s="107">
        <f t="shared" si="130"/>
        <v>11</v>
      </c>
      <c r="D1631" s="107">
        <f t="shared" si="131"/>
        <v>33</v>
      </c>
      <c r="E1631" s="15">
        <f t="shared" si="127"/>
        <v>376</v>
      </c>
      <c r="F1631" s="110">
        <f t="shared" si="128"/>
        <v>610</v>
      </c>
    </row>
    <row r="1632" spans="2:6" x14ac:dyDescent="0.25">
      <c r="B1632" s="105">
        <f t="shared" si="129"/>
        <v>1629</v>
      </c>
      <c r="C1632" s="107">
        <f t="shared" si="130"/>
        <v>12</v>
      </c>
      <c r="D1632" s="107">
        <f t="shared" si="131"/>
        <v>33</v>
      </c>
      <c r="E1632" s="15">
        <f t="shared" si="127"/>
        <v>376</v>
      </c>
      <c r="F1632" s="110">
        <f t="shared" si="128"/>
        <v>599</v>
      </c>
    </row>
    <row r="1633" spans="2:6" x14ac:dyDescent="0.25">
      <c r="B1633" s="105">
        <f t="shared" si="129"/>
        <v>1630</v>
      </c>
      <c r="C1633" s="107">
        <f t="shared" si="130"/>
        <v>13</v>
      </c>
      <c r="D1633" s="107">
        <f t="shared" si="131"/>
        <v>33</v>
      </c>
      <c r="E1633" s="15">
        <f t="shared" si="127"/>
        <v>376</v>
      </c>
      <c r="F1633" s="110">
        <f t="shared" si="128"/>
        <v>559</v>
      </c>
    </row>
    <row r="1634" spans="2:6" x14ac:dyDescent="0.25">
      <c r="B1634" s="105">
        <f t="shared" si="129"/>
        <v>1631</v>
      </c>
      <c r="C1634" s="107">
        <f t="shared" si="130"/>
        <v>14</v>
      </c>
      <c r="D1634" s="107">
        <f t="shared" si="131"/>
        <v>33</v>
      </c>
      <c r="E1634" s="15">
        <f t="shared" si="127"/>
        <v>376</v>
      </c>
      <c r="F1634" s="110">
        <f t="shared" si="128"/>
        <v>556</v>
      </c>
    </row>
    <row r="1635" spans="2:6" x14ac:dyDescent="0.25">
      <c r="B1635" s="105">
        <f t="shared" si="129"/>
        <v>1632</v>
      </c>
      <c r="C1635" s="107">
        <f t="shared" si="130"/>
        <v>15</v>
      </c>
      <c r="D1635" s="107">
        <f t="shared" si="131"/>
        <v>33</v>
      </c>
      <c r="E1635" s="15">
        <f t="shared" si="127"/>
        <v>376</v>
      </c>
      <c r="F1635" s="110">
        <f t="shared" si="128"/>
        <v>540</v>
      </c>
    </row>
    <row r="1636" spans="2:6" x14ac:dyDescent="0.25">
      <c r="B1636" s="105">
        <f t="shared" si="129"/>
        <v>1633</v>
      </c>
      <c r="C1636" s="107">
        <f t="shared" si="130"/>
        <v>16</v>
      </c>
      <c r="D1636" s="107">
        <f t="shared" si="131"/>
        <v>33</v>
      </c>
      <c r="E1636" s="15">
        <f t="shared" si="127"/>
        <v>376</v>
      </c>
      <c r="F1636" s="110">
        <f t="shared" si="128"/>
        <v>536</v>
      </c>
    </row>
    <row r="1637" spans="2:6" x14ac:dyDescent="0.25">
      <c r="B1637" s="105">
        <f t="shared" si="129"/>
        <v>1634</v>
      </c>
      <c r="C1637" s="107">
        <f t="shared" si="130"/>
        <v>17</v>
      </c>
      <c r="D1637" s="107">
        <f t="shared" si="131"/>
        <v>33</v>
      </c>
      <c r="E1637" s="15">
        <f t="shared" si="127"/>
        <v>376</v>
      </c>
      <c r="F1637" s="110">
        <f t="shared" si="128"/>
        <v>527</v>
      </c>
    </row>
    <row r="1638" spans="2:6" x14ac:dyDescent="0.25">
      <c r="B1638" s="105">
        <f t="shared" si="129"/>
        <v>1635</v>
      </c>
      <c r="C1638" s="107">
        <f t="shared" si="130"/>
        <v>18</v>
      </c>
      <c r="D1638" s="107">
        <f t="shared" si="131"/>
        <v>33</v>
      </c>
      <c r="E1638" s="15">
        <f t="shared" si="127"/>
        <v>376</v>
      </c>
      <c r="F1638" s="110">
        <f t="shared" si="128"/>
        <v>478</v>
      </c>
    </row>
    <row r="1639" spans="2:6" x14ac:dyDescent="0.25">
      <c r="B1639" s="105">
        <f t="shared" si="129"/>
        <v>1636</v>
      </c>
      <c r="C1639" s="107">
        <f t="shared" si="130"/>
        <v>19</v>
      </c>
      <c r="D1639" s="107">
        <f t="shared" si="131"/>
        <v>33</v>
      </c>
      <c r="E1639" s="15">
        <f t="shared" si="127"/>
        <v>376</v>
      </c>
      <c r="F1639" s="110">
        <f t="shared" si="128"/>
        <v>474</v>
      </c>
    </row>
    <row r="1640" spans="2:6" x14ac:dyDescent="0.25">
      <c r="B1640" s="105">
        <f t="shared" si="129"/>
        <v>1637</v>
      </c>
      <c r="C1640" s="107">
        <f t="shared" si="130"/>
        <v>20</v>
      </c>
      <c r="D1640" s="107">
        <f t="shared" si="131"/>
        <v>33</v>
      </c>
      <c r="E1640" s="15">
        <f t="shared" si="127"/>
        <v>376</v>
      </c>
      <c r="F1640" s="110">
        <f t="shared" si="128"/>
        <v>468</v>
      </c>
    </row>
    <row r="1641" spans="2:6" x14ac:dyDescent="0.25">
      <c r="B1641" s="105">
        <f t="shared" si="129"/>
        <v>1638</v>
      </c>
      <c r="C1641" s="107">
        <f t="shared" si="130"/>
        <v>21</v>
      </c>
      <c r="D1641" s="107">
        <f t="shared" si="131"/>
        <v>33</v>
      </c>
      <c r="E1641" s="15">
        <f t="shared" si="127"/>
        <v>376</v>
      </c>
      <c r="F1641" s="110">
        <f t="shared" si="128"/>
        <v>457</v>
      </c>
    </row>
    <row r="1642" spans="2:6" x14ac:dyDescent="0.25">
      <c r="B1642" s="105">
        <f t="shared" si="129"/>
        <v>1639</v>
      </c>
      <c r="C1642" s="107">
        <f t="shared" si="130"/>
        <v>22</v>
      </c>
      <c r="D1642" s="107">
        <f t="shared" si="131"/>
        <v>33</v>
      </c>
      <c r="E1642" s="15">
        <f t="shared" si="127"/>
        <v>376</v>
      </c>
      <c r="F1642" s="110">
        <f t="shared" si="128"/>
        <v>452</v>
      </c>
    </row>
    <row r="1643" spans="2:6" x14ac:dyDescent="0.25">
      <c r="B1643" s="105">
        <f t="shared" si="129"/>
        <v>1640</v>
      </c>
      <c r="C1643" s="107">
        <f t="shared" si="130"/>
        <v>23</v>
      </c>
      <c r="D1643" s="107">
        <f t="shared" si="131"/>
        <v>33</v>
      </c>
      <c r="E1643" s="15">
        <f t="shared" si="127"/>
        <v>376</v>
      </c>
      <c r="F1643" s="110">
        <f t="shared" si="128"/>
        <v>442</v>
      </c>
    </row>
    <row r="1644" spans="2:6" x14ac:dyDescent="0.25">
      <c r="B1644" s="105">
        <f t="shared" si="129"/>
        <v>1641</v>
      </c>
      <c r="C1644" s="107">
        <f t="shared" si="130"/>
        <v>24</v>
      </c>
      <c r="D1644" s="107">
        <f t="shared" si="131"/>
        <v>33</v>
      </c>
      <c r="E1644" s="15">
        <f t="shared" si="127"/>
        <v>376</v>
      </c>
      <c r="F1644" s="110">
        <f t="shared" si="128"/>
        <v>420</v>
      </c>
    </row>
    <row r="1645" spans="2:6" x14ac:dyDescent="0.25">
      <c r="B1645" s="105">
        <f t="shared" si="129"/>
        <v>1642</v>
      </c>
      <c r="C1645" s="107">
        <f t="shared" si="130"/>
        <v>25</v>
      </c>
      <c r="D1645" s="107">
        <f t="shared" si="131"/>
        <v>33</v>
      </c>
      <c r="E1645" s="15">
        <f t="shared" si="127"/>
        <v>376</v>
      </c>
      <c r="F1645" s="110">
        <f t="shared" si="128"/>
        <v>410</v>
      </c>
    </row>
    <row r="1646" spans="2:6" x14ac:dyDescent="0.25">
      <c r="B1646" s="105">
        <f t="shared" si="129"/>
        <v>1643</v>
      </c>
      <c r="C1646" s="107">
        <f t="shared" si="130"/>
        <v>26</v>
      </c>
      <c r="D1646" s="107">
        <f t="shared" si="131"/>
        <v>33</v>
      </c>
      <c r="E1646" s="15">
        <f t="shared" si="127"/>
        <v>376</v>
      </c>
      <c r="F1646" s="110">
        <f t="shared" si="128"/>
        <v>409</v>
      </c>
    </row>
    <row r="1647" spans="2:6" x14ac:dyDescent="0.25">
      <c r="B1647" s="105">
        <f t="shared" si="129"/>
        <v>1644</v>
      </c>
      <c r="C1647" s="107">
        <f t="shared" si="130"/>
        <v>27</v>
      </c>
      <c r="D1647" s="107">
        <f t="shared" si="131"/>
        <v>33</v>
      </c>
      <c r="E1647" s="15">
        <f t="shared" si="127"/>
        <v>376</v>
      </c>
      <c r="F1647" s="110">
        <f t="shared" si="128"/>
        <v>408</v>
      </c>
    </row>
    <row r="1648" spans="2:6" x14ac:dyDescent="0.25">
      <c r="B1648" s="105">
        <f t="shared" si="129"/>
        <v>1645</v>
      </c>
      <c r="C1648" s="107">
        <f t="shared" si="130"/>
        <v>28</v>
      </c>
      <c r="D1648" s="107">
        <f t="shared" si="131"/>
        <v>33</v>
      </c>
      <c r="E1648" s="15">
        <f t="shared" si="127"/>
        <v>376</v>
      </c>
      <c r="F1648" s="110">
        <f t="shared" si="128"/>
        <v>404</v>
      </c>
    </row>
    <row r="1649" spans="2:6" x14ac:dyDescent="0.25">
      <c r="B1649" s="105">
        <f t="shared" si="129"/>
        <v>1646</v>
      </c>
      <c r="C1649" s="107">
        <f t="shared" si="130"/>
        <v>29</v>
      </c>
      <c r="D1649" s="107">
        <f t="shared" si="131"/>
        <v>33</v>
      </c>
      <c r="E1649" s="15">
        <f t="shared" si="127"/>
        <v>376</v>
      </c>
      <c r="F1649" s="110">
        <f t="shared" si="128"/>
        <v>399</v>
      </c>
    </row>
    <row r="1650" spans="2:6" x14ac:dyDescent="0.25">
      <c r="B1650" s="105">
        <f t="shared" si="129"/>
        <v>1647</v>
      </c>
      <c r="C1650" s="107">
        <f t="shared" si="130"/>
        <v>30</v>
      </c>
      <c r="D1650" s="107">
        <f t="shared" si="131"/>
        <v>33</v>
      </c>
      <c r="E1650" s="15">
        <f t="shared" si="127"/>
        <v>376</v>
      </c>
      <c r="F1650" s="110">
        <f t="shared" si="128"/>
        <v>396</v>
      </c>
    </row>
    <row r="1651" spans="2:6" x14ac:dyDescent="0.25">
      <c r="B1651" s="105">
        <f t="shared" si="129"/>
        <v>1648</v>
      </c>
      <c r="C1651" s="107">
        <f t="shared" si="130"/>
        <v>31</v>
      </c>
      <c r="D1651" s="107">
        <f t="shared" si="131"/>
        <v>33</v>
      </c>
      <c r="E1651" s="15">
        <f t="shared" si="127"/>
        <v>376</v>
      </c>
      <c r="F1651" s="110">
        <f t="shared" si="128"/>
        <v>384</v>
      </c>
    </row>
    <row r="1652" spans="2:6" x14ac:dyDescent="0.25">
      <c r="B1652" s="105">
        <f t="shared" si="129"/>
        <v>1649</v>
      </c>
      <c r="C1652" s="107">
        <f t="shared" si="130"/>
        <v>32</v>
      </c>
      <c r="D1652" s="107">
        <f t="shared" si="131"/>
        <v>33</v>
      </c>
      <c r="E1652" s="15">
        <f t="shared" si="127"/>
        <v>376</v>
      </c>
      <c r="F1652" s="110">
        <f t="shared" si="128"/>
        <v>381</v>
      </c>
    </row>
    <row r="1653" spans="2:6" x14ac:dyDescent="0.25">
      <c r="B1653" s="105">
        <f t="shared" si="129"/>
        <v>1650</v>
      </c>
      <c r="C1653" s="107">
        <f t="shared" si="130"/>
        <v>1</v>
      </c>
      <c r="D1653" s="107">
        <f t="shared" si="131"/>
        <v>32</v>
      </c>
      <c r="E1653" s="15">
        <f t="shared" si="127"/>
        <v>381</v>
      </c>
      <c r="F1653" s="110">
        <f t="shared" si="128"/>
        <v>1048</v>
      </c>
    </row>
    <row r="1654" spans="2:6" x14ac:dyDescent="0.25">
      <c r="B1654" s="105">
        <f t="shared" si="129"/>
        <v>1651</v>
      </c>
      <c r="C1654" s="107">
        <f t="shared" si="130"/>
        <v>2</v>
      </c>
      <c r="D1654" s="107">
        <f t="shared" si="131"/>
        <v>32</v>
      </c>
      <c r="E1654" s="15">
        <f t="shared" si="127"/>
        <v>381</v>
      </c>
      <c r="F1654" s="110">
        <f t="shared" si="128"/>
        <v>1025</v>
      </c>
    </row>
    <row r="1655" spans="2:6" x14ac:dyDescent="0.25">
      <c r="B1655" s="105">
        <f t="shared" si="129"/>
        <v>1652</v>
      </c>
      <c r="C1655" s="107">
        <f t="shared" si="130"/>
        <v>3</v>
      </c>
      <c r="D1655" s="107">
        <f t="shared" si="131"/>
        <v>32</v>
      </c>
      <c r="E1655" s="15">
        <f t="shared" si="127"/>
        <v>381</v>
      </c>
      <c r="F1655" s="110">
        <f t="shared" si="128"/>
        <v>805</v>
      </c>
    </row>
    <row r="1656" spans="2:6" x14ac:dyDescent="0.25">
      <c r="B1656" s="105">
        <f t="shared" si="129"/>
        <v>1653</v>
      </c>
      <c r="C1656" s="107">
        <f t="shared" si="130"/>
        <v>4</v>
      </c>
      <c r="D1656" s="107">
        <f t="shared" si="131"/>
        <v>32</v>
      </c>
      <c r="E1656" s="15">
        <f t="shared" si="127"/>
        <v>381</v>
      </c>
      <c r="F1656" s="110">
        <f t="shared" si="128"/>
        <v>666</v>
      </c>
    </row>
    <row r="1657" spans="2:6" x14ac:dyDescent="0.25">
      <c r="B1657" s="105">
        <f t="shared" si="129"/>
        <v>1654</v>
      </c>
      <c r="C1657" s="107">
        <f t="shared" si="130"/>
        <v>5</v>
      </c>
      <c r="D1657" s="107">
        <f t="shared" si="131"/>
        <v>32</v>
      </c>
      <c r="E1657" s="15">
        <f t="shared" si="127"/>
        <v>381</v>
      </c>
      <c r="F1657" s="110">
        <f t="shared" si="128"/>
        <v>655</v>
      </c>
    </row>
    <row r="1658" spans="2:6" x14ac:dyDescent="0.25">
      <c r="B1658" s="105">
        <f t="shared" si="129"/>
        <v>1655</v>
      </c>
      <c r="C1658" s="107">
        <f t="shared" si="130"/>
        <v>6</v>
      </c>
      <c r="D1658" s="107">
        <f t="shared" si="131"/>
        <v>32</v>
      </c>
      <c r="E1658" s="15">
        <f t="shared" si="127"/>
        <v>381</v>
      </c>
      <c r="F1658" s="110">
        <f t="shared" si="128"/>
        <v>652</v>
      </c>
    </row>
    <row r="1659" spans="2:6" x14ac:dyDescent="0.25">
      <c r="B1659" s="105">
        <f t="shared" si="129"/>
        <v>1656</v>
      </c>
      <c r="C1659" s="107">
        <f t="shared" si="130"/>
        <v>7</v>
      </c>
      <c r="D1659" s="107">
        <f t="shared" si="131"/>
        <v>32</v>
      </c>
      <c r="E1659" s="15">
        <f t="shared" si="127"/>
        <v>381</v>
      </c>
      <c r="F1659" s="110">
        <f t="shared" si="128"/>
        <v>633</v>
      </c>
    </row>
    <row r="1660" spans="2:6" x14ac:dyDescent="0.25">
      <c r="B1660" s="105">
        <f t="shared" si="129"/>
        <v>1657</v>
      </c>
      <c r="C1660" s="107">
        <f t="shared" si="130"/>
        <v>8</v>
      </c>
      <c r="D1660" s="107">
        <f t="shared" si="131"/>
        <v>32</v>
      </c>
      <c r="E1660" s="15">
        <f t="shared" si="127"/>
        <v>381</v>
      </c>
      <c r="F1660" s="110">
        <f t="shared" si="128"/>
        <v>632</v>
      </c>
    </row>
    <row r="1661" spans="2:6" x14ac:dyDescent="0.25">
      <c r="B1661" s="105">
        <f t="shared" si="129"/>
        <v>1658</v>
      </c>
      <c r="C1661" s="107">
        <f t="shared" si="130"/>
        <v>9</v>
      </c>
      <c r="D1661" s="107">
        <f t="shared" si="131"/>
        <v>32</v>
      </c>
      <c r="E1661" s="15">
        <f t="shared" si="127"/>
        <v>381</v>
      </c>
      <c r="F1661" s="110">
        <f t="shared" si="128"/>
        <v>625</v>
      </c>
    </row>
    <row r="1662" spans="2:6" x14ac:dyDescent="0.25">
      <c r="B1662" s="105">
        <f t="shared" si="129"/>
        <v>1659</v>
      </c>
      <c r="C1662" s="107">
        <f t="shared" si="130"/>
        <v>10</v>
      </c>
      <c r="D1662" s="107">
        <f t="shared" si="131"/>
        <v>32</v>
      </c>
      <c r="E1662" s="15">
        <f t="shared" si="127"/>
        <v>381</v>
      </c>
      <c r="F1662" s="110">
        <f t="shared" si="128"/>
        <v>619</v>
      </c>
    </row>
    <row r="1663" spans="2:6" x14ac:dyDescent="0.25">
      <c r="B1663" s="105">
        <f t="shared" si="129"/>
        <v>1660</v>
      </c>
      <c r="C1663" s="107">
        <f t="shared" si="130"/>
        <v>11</v>
      </c>
      <c r="D1663" s="107">
        <f t="shared" si="131"/>
        <v>32</v>
      </c>
      <c r="E1663" s="15">
        <f t="shared" si="127"/>
        <v>381</v>
      </c>
      <c r="F1663" s="110">
        <f t="shared" si="128"/>
        <v>610</v>
      </c>
    </row>
    <row r="1664" spans="2:6" x14ac:dyDescent="0.25">
      <c r="B1664" s="105">
        <f t="shared" si="129"/>
        <v>1661</v>
      </c>
      <c r="C1664" s="107">
        <f t="shared" si="130"/>
        <v>12</v>
      </c>
      <c r="D1664" s="107">
        <f t="shared" si="131"/>
        <v>32</v>
      </c>
      <c r="E1664" s="15">
        <f t="shared" si="127"/>
        <v>381</v>
      </c>
      <c r="F1664" s="110">
        <f t="shared" si="128"/>
        <v>599</v>
      </c>
    </row>
    <row r="1665" spans="2:6" x14ac:dyDescent="0.25">
      <c r="B1665" s="105">
        <f t="shared" si="129"/>
        <v>1662</v>
      </c>
      <c r="C1665" s="107">
        <f t="shared" si="130"/>
        <v>13</v>
      </c>
      <c r="D1665" s="107">
        <f t="shared" si="131"/>
        <v>32</v>
      </c>
      <c r="E1665" s="15">
        <f t="shared" si="127"/>
        <v>381</v>
      </c>
      <c r="F1665" s="110">
        <f t="shared" si="128"/>
        <v>559</v>
      </c>
    </row>
    <row r="1666" spans="2:6" x14ac:dyDescent="0.25">
      <c r="B1666" s="105">
        <f t="shared" si="129"/>
        <v>1663</v>
      </c>
      <c r="C1666" s="107">
        <f t="shared" si="130"/>
        <v>14</v>
      </c>
      <c r="D1666" s="107">
        <f t="shared" si="131"/>
        <v>32</v>
      </c>
      <c r="E1666" s="15">
        <f t="shared" si="127"/>
        <v>381</v>
      </c>
      <c r="F1666" s="110">
        <f t="shared" si="128"/>
        <v>556</v>
      </c>
    </row>
    <row r="1667" spans="2:6" x14ac:dyDescent="0.25">
      <c r="B1667" s="105">
        <f t="shared" si="129"/>
        <v>1664</v>
      </c>
      <c r="C1667" s="107">
        <f t="shared" si="130"/>
        <v>15</v>
      </c>
      <c r="D1667" s="107">
        <f t="shared" si="131"/>
        <v>32</v>
      </c>
      <c r="E1667" s="15">
        <f t="shared" si="127"/>
        <v>381</v>
      </c>
      <c r="F1667" s="110">
        <f t="shared" si="128"/>
        <v>540</v>
      </c>
    </row>
    <row r="1668" spans="2:6" x14ac:dyDescent="0.25">
      <c r="B1668" s="105">
        <f t="shared" si="129"/>
        <v>1665</v>
      </c>
      <c r="C1668" s="107">
        <f t="shared" si="130"/>
        <v>16</v>
      </c>
      <c r="D1668" s="107">
        <f t="shared" si="131"/>
        <v>32</v>
      </c>
      <c r="E1668" s="15">
        <f t="shared" ref="E1668:E1731" si="132">IFERROR(VLOOKUP(D1668,$H$4:$I$69,2,0),"")</f>
        <v>381</v>
      </c>
      <c r="F1668" s="110">
        <f t="shared" ref="F1668:F1731" si="133">IFERROR(VLOOKUP(C1668,$H$4:$I$69,2,0),"")</f>
        <v>536</v>
      </c>
    </row>
    <row r="1669" spans="2:6" x14ac:dyDescent="0.25">
      <c r="B1669" s="105">
        <f t="shared" ref="B1669:B1732" si="134">ROW()-3</f>
        <v>1666</v>
      </c>
      <c r="C1669" s="107">
        <f t="shared" si="130"/>
        <v>17</v>
      </c>
      <c r="D1669" s="107">
        <f t="shared" si="131"/>
        <v>32</v>
      </c>
      <c r="E1669" s="15">
        <f t="shared" si="132"/>
        <v>381</v>
      </c>
      <c r="F1669" s="110">
        <f t="shared" si="133"/>
        <v>527</v>
      </c>
    </row>
    <row r="1670" spans="2:6" x14ac:dyDescent="0.25">
      <c r="B1670" s="105">
        <f t="shared" si="134"/>
        <v>1667</v>
      </c>
      <c r="C1670" s="107">
        <f t="shared" ref="C1670:C1733" si="135">IF((D1669-C1669)=1,1,C1669+1)</f>
        <v>18</v>
      </c>
      <c r="D1670" s="107">
        <f t="shared" ref="D1670:D1733" si="136">IF((D1669-C1669)=1,D1669-1,D1669)</f>
        <v>32</v>
      </c>
      <c r="E1670" s="15">
        <f t="shared" si="132"/>
        <v>381</v>
      </c>
      <c r="F1670" s="110">
        <f t="shared" si="133"/>
        <v>478</v>
      </c>
    </row>
    <row r="1671" spans="2:6" x14ac:dyDescent="0.25">
      <c r="B1671" s="105">
        <f t="shared" si="134"/>
        <v>1668</v>
      </c>
      <c r="C1671" s="107">
        <f t="shared" si="135"/>
        <v>19</v>
      </c>
      <c r="D1671" s="107">
        <f t="shared" si="136"/>
        <v>32</v>
      </c>
      <c r="E1671" s="15">
        <f t="shared" si="132"/>
        <v>381</v>
      </c>
      <c r="F1671" s="110">
        <f t="shared" si="133"/>
        <v>474</v>
      </c>
    </row>
    <row r="1672" spans="2:6" x14ac:dyDescent="0.25">
      <c r="B1672" s="105">
        <f t="shared" si="134"/>
        <v>1669</v>
      </c>
      <c r="C1672" s="107">
        <f t="shared" si="135"/>
        <v>20</v>
      </c>
      <c r="D1672" s="107">
        <f t="shared" si="136"/>
        <v>32</v>
      </c>
      <c r="E1672" s="15">
        <f t="shared" si="132"/>
        <v>381</v>
      </c>
      <c r="F1672" s="110">
        <f t="shared" si="133"/>
        <v>468</v>
      </c>
    </row>
    <row r="1673" spans="2:6" x14ac:dyDescent="0.25">
      <c r="B1673" s="105">
        <f t="shared" si="134"/>
        <v>1670</v>
      </c>
      <c r="C1673" s="107">
        <f t="shared" si="135"/>
        <v>21</v>
      </c>
      <c r="D1673" s="107">
        <f t="shared" si="136"/>
        <v>32</v>
      </c>
      <c r="E1673" s="15">
        <f t="shared" si="132"/>
        <v>381</v>
      </c>
      <c r="F1673" s="110">
        <f t="shared" si="133"/>
        <v>457</v>
      </c>
    </row>
    <row r="1674" spans="2:6" x14ac:dyDescent="0.25">
      <c r="B1674" s="105">
        <f t="shared" si="134"/>
        <v>1671</v>
      </c>
      <c r="C1674" s="107">
        <f t="shared" si="135"/>
        <v>22</v>
      </c>
      <c r="D1674" s="107">
        <f t="shared" si="136"/>
        <v>32</v>
      </c>
      <c r="E1674" s="15">
        <f t="shared" si="132"/>
        <v>381</v>
      </c>
      <c r="F1674" s="110">
        <f t="shared" si="133"/>
        <v>452</v>
      </c>
    </row>
    <row r="1675" spans="2:6" x14ac:dyDescent="0.25">
      <c r="B1675" s="105">
        <f t="shared" si="134"/>
        <v>1672</v>
      </c>
      <c r="C1675" s="107">
        <f t="shared" si="135"/>
        <v>23</v>
      </c>
      <c r="D1675" s="107">
        <f t="shared" si="136"/>
        <v>32</v>
      </c>
      <c r="E1675" s="15">
        <f t="shared" si="132"/>
        <v>381</v>
      </c>
      <c r="F1675" s="110">
        <f t="shared" si="133"/>
        <v>442</v>
      </c>
    </row>
    <row r="1676" spans="2:6" x14ac:dyDescent="0.25">
      <c r="B1676" s="105">
        <f t="shared" si="134"/>
        <v>1673</v>
      </c>
      <c r="C1676" s="107">
        <f t="shared" si="135"/>
        <v>24</v>
      </c>
      <c r="D1676" s="107">
        <f t="shared" si="136"/>
        <v>32</v>
      </c>
      <c r="E1676" s="15">
        <f t="shared" si="132"/>
        <v>381</v>
      </c>
      <c r="F1676" s="110">
        <f t="shared" si="133"/>
        <v>420</v>
      </c>
    </row>
    <row r="1677" spans="2:6" x14ac:dyDescent="0.25">
      <c r="B1677" s="105">
        <f t="shared" si="134"/>
        <v>1674</v>
      </c>
      <c r="C1677" s="107">
        <f t="shared" si="135"/>
        <v>25</v>
      </c>
      <c r="D1677" s="107">
        <f t="shared" si="136"/>
        <v>32</v>
      </c>
      <c r="E1677" s="15">
        <f t="shared" si="132"/>
        <v>381</v>
      </c>
      <c r="F1677" s="110">
        <f t="shared" si="133"/>
        <v>410</v>
      </c>
    </row>
    <row r="1678" spans="2:6" x14ac:dyDescent="0.25">
      <c r="B1678" s="105">
        <f t="shared" si="134"/>
        <v>1675</v>
      </c>
      <c r="C1678" s="107">
        <f t="shared" si="135"/>
        <v>26</v>
      </c>
      <c r="D1678" s="107">
        <f t="shared" si="136"/>
        <v>32</v>
      </c>
      <c r="E1678" s="15">
        <f t="shared" si="132"/>
        <v>381</v>
      </c>
      <c r="F1678" s="110">
        <f t="shared" si="133"/>
        <v>409</v>
      </c>
    </row>
    <row r="1679" spans="2:6" x14ac:dyDescent="0.25">
      <c r="B1679" s="105">
        <f t="shared" si="134"/>
        <v>1676</v>
      </c>
      <c r="C1679" s="107">
        <f t="shared" si="135"/>
        <v>27</v>
      </c>
      <c r="D1679" s="107">
        <f t="shared" si="136"/>
        <v>32</v>
      </c>
      <c r="E1679" s="15">
        <f t="shared" si="132"/>
        <v>381</v>
      </c>
      <c r="F1679" s="110">
        <f t="shared" si="133"/>
        <v>408</v>
      </c>
    </row>
    <row r="1680" spans="2:6" x14ac:dyDescent="0.25">
      <c r="B1680" s="105">
        <f t="shared" si="134"/>
        <v>1677</v>
      </c>
      <c r="C1680" s="107">
        <f t="shared" si="135"/>
        <v>28</v>
      </c>
      <c r="D1680" s="107">
        <f t="shared" si="136"/>
        <v>32</v>
      </c>
      <c r="E1680" s="15">
        <f t="shared" si="132"/>
        <v>381</v>
      </c>
      <c r="F1680" s="110">
        <f t="shared" si="133"/>
        <v>404</v>
      </c>
    </row>
    <row r="1681" spans="2:6" x14ac:dyDescent="0.25">
      <c r="B1681" s="105">
        <f t="shared" si="134"/>
        <v>1678</v>
      </c>
      <c r="C1681" s="107">
        <f t="shared" si="135"/>
        <v>29</v>
      </c>
      <c r="D1681" s="107">
        <f t="shared" si="136"/>
        <v>32</v>
      </c>
      <c r="E1681" s="15">
        <f t="shared" si="132"/>
        <v>381</v>
      </c>
      <c r="F1681" s="110">
        <f t="shared" si="133"/>
        <v>399</v>
      </c>
    </row>
    <row r="1682" spans="2:6" x14ac:dyDescent="0.25">
      <c r="B1682" s="105">
        <f t="shared" si="134"/>
        <v>1679</v>
      </c>
      <c r="C1682" s="107">
        <f t="shared" si="135"/>
        <v>30</v>
      </c>
      <c r="D1682" s="107">
        <f t="shared" si="136"/>
        <v>32</v>
      </c>
      <c r="E1682" s="15">
        <f t="shared" si="132"/>
        <v>381</v>
      </c>
      <c r="F1682" s="110">
        <f t="shared" si="133"/>
        <v>396</v>
      </c>
    </row>
    <row r="1683" spans="2:6" x14ac:dyDescent="0.25">
      <c r="B1683" s="105">
        <f t="shared" si="134"/>
        <v>1680</v>
      </c>
      <c r="C1683" s="107">
        <f t="shared" si="135"/>
        <v>31</v>
      </c>
      <c r="D1683" s="107">
        <f t="shared" si="136"/>
        <v>32</v>
      </c>
      <c r="E1683" s="15">
        <f t="shared" si="132"/>
        <v>381</v>
      </c>
      <c r="F1683" s="110">
        <f t="shared" si="133"/>
        <v>384</v>
      </c>
    </row>
    <row r="1684" spans="2:6" x14ac:dyDescent="0.25">
      <c r="B1684" s="105">
        <f t="shared" si="134"/>
        <v>1681</v>
      </c>
      <c r="C1684" s="107">
        <f t="shared" si="135"/>
        <v>1</v>
      </c>
      <c r="D1684" s="107">
        <f t="shared" si="136"/>
        <v>31</v>
      </c>
      <c r="E1684" s="15">
        <f t="shared" si="132"/>
        <v>384</v>
      </c>
      <c r="F1684" s="110">
        <f t="shared" si="133"/>
        <v>1048</v>
      </c>
    </row>
    <row r="1685" spans="2:6" x14ac:dyDescent="0.25">
      <c r="B1685" s="105">
        <f t="shared" si="134"/>
        <v>1682</v>
      </c>
      <c r="C1685" s="107">
        <f t="shared" si="135"/>
        <v>2</v>
      </c>
      <c r="D1685" s="107">
        <f t="shared" si="136"/>
        <v>31</v>
      </c>
      <c r="E1685" s="15">
        <f t="shared" si="132"/>
        <v>384</v>
      </c>
      <c r="F1685" s="110">
        <f t="shared" si="133"/>
        <v>1025</v>
      </c>
    </row>
    <row r="1686" spans="2:6" x14ac:dyDescent="0.25">
      <c r="B1686" s="105">
        <f t="shared" si="134"/>
        <v>1683</v>
      </c>
      <c r="C1686" s="107">
        <f t="shared" si="135"/>
        <v>3</v>
      </c>
      <c r="D1686" s="107">
        <f t="shared" si="136"/>
        <v>31</v>
      </c>
      <c r="E1686" s="15">
        <f t="shared" si="132"/>
        <v>384</v>
      </c>
      <c r="F1686" s="110">
        <f t="shared" si="133"/>
        <v>805</v>
      </c>
    </row>
    <row r="1687" spans="2:6" x14ac:dyDescent="0.25">
      <c r="B1687" s="105">
        <f t="shared" si="134"/>
        <v>1684</v>
      </c>
      <c r="C1687" s="107">
        <f t="shared" si="135"/>
        <v>4</v>
      </c>
      <c r="D1687" s="107">
        <f t="shared" si="136"/>
        <v>31</v>
      </c>
      <c r="E1687" s="15">
        <f t="shared" si="132"/>
        <v>384</v>
      </c>
      <c r="F1687" s="110">
        <f t="shared" si="133"/>
        <v>666</v>
      </c>
    </row>
    <row r="1688" spans="2:6" x14ac:dyDescent="0.25">
      <c r="B1688" s="105">
        <f t="shared" si="134"/>
        <v>1685</v>
      </c>
      <c r="C1688" s="107">
        <f t="shared" si="135"/>
        <v>5</v>
      </c>
      <c r="D1688" s="107">
        <f t="shared" si="136"/>
        <v>31</v>
      </c>
      <c r="E1688" s="15">
        <f t="shared" si="132"/>
        <v>384</v>
      </c>
      <c r="F1688" s="110">
        <f t="shared" si="133"/>
        <v>655</v>
      </c>
    </row>
    <row r="1689" spans="2:6" x14ac:dyDescent="0.25">
      <c r="B1689" s="105">
        <f t="shared" si="134"/>
        <v>1686</v>
      </c>
      <c r="C1689" s="107">
        <f t="shared" si="135"/>
        <v>6</v>
      </c>
      <c r="D1689" s="107">
        <f t="shared" si="136"/>
        <v>31</v>
      </c>
      <c r="E1689" s="15">
        <f t="shared" si="132"/>
        <v>384</v>
      </c>
      <c r="F1689" s="110">
        <f t="shared" si="133"/>
        <v>652</v>
      </c>
    </row>
    <row r="1690" spans="2:6" x14ac:dyDescent="0.25">
      <c r="B1690" s="105">
        <f t="shared" si="134"/>
        <v>1687</v>
      </c>
      <c r="C1690" s="107">
        <f t="shared" si="135"/>
        <v>7</v>
      </c>
      <c r="D1690" s="107">
        <f t="shared" si="136"/>
        <v>31</v>
      </c>
      <c r="E1690" s="15">
        <f t="shared" si="132"/>
        <v>384</v>
      </c>
      <c r="F1690" s="110">
        <f t="shared" si="133"/>
        <v>633</v>
      </c>
    </row>
    <row r="1691" spans="2:6" x14ac:dyDescent="0.25">
      <c r="B1691" s="105">
        <f t="shared" si="134"/>
        <v>1688</v>
      </c>
      <c r="C1691" s="107">
        <f t="shared" si="135"/>
        <v>8</v>
      </c>
      <c r="D1691" s="107">
        <f t="shared" si="136"/>
        <v>31</v>
      </c>
      <c r="E1691" s="15">
        <f t="shared" si="132"/>
        <v>384</v>
      </c>
      <c r="F1691" s="110">
        <f t="shared" si="133"/>
        <v>632</v>
      </c>
    </row>
    <row r="1692" spans="2:6" x14ac:dyDescent="0.25">
      <c r="B1692" s="105">
        <f t="shared" si="134"/>
        <v>1689</v>
      </c>
      <c r="C1692" s="107">
        <f t="shared" si="135"/>
        <v>9</v>
      </c>
      <c r="D1692" s="107">
        <f t="shared" si="136"/>
        <v>31</v>
      </c>
      <c r="E1692" s="15">
        <f t="shared" si="132"/>
        <v>384</v>
      </c>
      <c r="F1692" s="110">
        <f t="shared" si="133"/>
        <v>625</v>
      </c>
    </row>
    <row r="1693" spans="2:6" x14ac:dyDescent="0.25">
      <c r="B1693" s="105">
        <f t="shared" si="134"/>
        <v>1690</v>
      </c>
      <c r="C1693" s="107">
        <f t="shared" si="135"/>
        <v>10</v>
      </c>
      <c r="D1693" s="107">
        <f t="shared" si="136"/>
        <v>31</v>
      </c>
      <c r="E1693" s="15">
        <f t="shared" si="132"/>
        <v>384</v>
      </c>
      <c r="F1693" s="110">
        <f t="shared" si="133"/>
        <v>619</v>
      </c>
    </row>
    <row r="1694" spans="2:6" x14ac:dyDescent="0.25">
      <c r="B1694" s="105">
        <f t="shared" si="134"/>
        <v>1691</v>
      </c>
      <c r="C1694" s="107">
        <f t="shared" si="135"/>
        <v>11</v>
      </c>
      <c r="D1694" s="107">
        <f t="shared" si="136"/>
        <v>31</v>
      </c>
      <c r="E1694" s="15">
        <f t="shared" si="132"/>
        <v>384</v>
      </c>
      <c r="F1694" s="110">
        <f t="shared" si="133"/>
        <v>610</v>
      </c>
    </row>
    <row r="1695" spans="2:6" x14ac:dyDescent="0.25">
      <c r="B1695" s="105">
        <f t="shared" si="134"/>
        <v>1692</v>
      </c>
      <c r="C1695" s="107">
        <f t="shared" si="135"/>
        <v>12</v>
      </c>
      <c r="D1695" s="107">
        <f t="shared" si="136"/>
        <v>31</v>
      </c>
      <c r="E1695" s="15">
        <f t="shared" si="132"/>
        <v>384</v>
      </c>
      <c r="F1695" s="110">
        <f t="shared" si="133"/>
        <v>599</v>
      </c>
    </row>
    <row r="1696" spans="2:6" x14ac:dyDescent="0.25">
      <c r="B1696" s="105">
        <f t="shared" si="134"/>
        <v>1693</v>
      </c>
      <c r="C1696" s="107">
        <f t="shared" si="135"/>
        <v>13</v>
      </c>
      <c r="D1696" s="107">
        <f t="shared" si="136"/>
        <v>31</v>
      </c>
      <c r="E1696" s="15">
        <f t="shared" si="132"/>
        <v>384</v>
      </c>
      <c r="F1696" s="110">
        <f t="shared" si="133"/>
        <v>559</v>
      </c>
    </row>
    <row r="1697" spans="2:6" x14ac:dyDescent="0.25">
      <c r="B1697" s="105">
        <f t="shared" si="134"/>
        <v>1694</v>
      </c>
      <c r="C1697" s="107">
        <f t="shared" si="135"/>
        <v>14</v>
      </c>
      <c r="D1697" s="107">
        <f t="shared" si="136"/>
        <v>31</v>
      </c>
      <c r="E1697" s="15">
        <f t="shared" si="132"/>
        <v>384</v>
      </c>
      <c r="F1697" s="110">
        <f t="shared" si="133"/>
        <v>556</v>
      </c>
    </row>
    <row r="1698" spans="2:6" x14ac:dyDescent="0.25">
      <c r="B1698" s="105">
        <f t="shared" si="134"/>
        <v>1695</v>
      </c>
      <c r="C1698" s="107">
        <f t="shared" si="135"/>
        <v>15</v>
      </c>
      <c r="D1698" s="107">
        <f t="shared" si="136"/>
        <v>31</v>
      </c>
      <c r="E1698" s="15">
        <f t="shared" si="132"/>
        <v>384</v>
      </c>
      <c r="F1698" s="110">
        <f t="shared" si="133"/>
        <v>540</v>
      </c>
    </row>
    <row r="1699" spans="2:6" x14ac:dyDescent="0.25">
      <c r="B1699" s="105">
        <f t="shared" si="134"/>
        <v>1696</v>
      </c>
      <c r="C1699" s="107">
        <f t="shared" si="135"/>
        <v>16</v>
      </c>
      <c r="D1699" s="107">
        <f t="shared" si="136"/>
        <v>31</v>
      </c>
      <c r="E1699" s="15">
        <f t="shared" si="132"/>
        <v>384</v>
      </c>
      <c r="F1699" s="110">
        <f t="shared" si="133"/>
        <v>536</v>
      </c>
    </row>
    <row r="1700" spans="2:6" x14ac:dyDescent="0.25">
      <c r="B1700" s="105">
        <f t="shared" si="134"/>
        <v>1697</v>
      </c>
      <c r="C1700" s="107">
        <f t="shared" si="135"/>
        <v>17</v>
      </c>
      <c r="D1700" s="107">
        <f t="shared" si="136"/>
        <v>31</v>
      </c>
      <c r="E1700" s="15">
        <f t="shared" si="132"/>
        <v>384</v>
      </c>
      <c r="F1700" s="110">
        <f t="shared" si="133"/>
        <v>527</v>
      </c>
    </row>
    <row r="1701" spans="2:6" x14ac:dyDescent="0.25">
      <c r="B1701" s="105">
        <f t="shared" si="134"/>
        <v>1698</v>
      </c>
      <c r="C1701" s="107">
        <f t="shared" si="135"/>
        <v>18</v>
      </c>
      <c r="D1701" s="107">
        <f t="shared" si="136"/>
        <v>31</v>
      </c>
      <c r="E1701" s="15">
        <f t="shared" si="132"/>
        <v>384</v>
      </c>
      <c r="F1701" s="110">
        <f t="shared" si="133"/>
        <v>478</v>
      </c>
    </row>
    <row r="1702" spans="2:6" x14ac:dyDescent="0.25">
      <c r="B1702" s="105">
        <f t="shared" si="134"/>
        <v>1699</v>
      </c>
      <c r="C1702" s="107">
        <f t="shared" si="135"/>
        <v>19</v>
      </c>
      <c r="D1702" s="107">
        <f t="shared" si="136"/>
        <v>31</v>
      </c>
      <c r="E1702" s="15">
        <f t="shared" si="132"/>
        <v>384</v>
      </c>
      <c r="F1702" s="110">
        <f t="shared" si="133"/>
        <v>474</v>
      </c>
    </row>
    <row r="1703" spans="2:6" x14ac:dyDescent="0.25">
      <c r="B1703" s="105">
        <f t="shared" si="134"/>
        <v>1700</v>
      </c>
      <c r="C1703" s="107">
        <f t="shared" si="135"/>
        <v>20</v>
      </c>
      <c r="D1703" s="107">
        <f t="shared" si="136"/>
        <v>31</v>
      </c>
      <c r="E1703" s="15">
        <f t="shared" si="132"/>
        <v>384</v>
      </c>
      <c r="F1703" s="110">
        <f t="shared" si="133"/>
        <v>468</v>
      </c>
    </row>
    <row r="1704" spans="2:6" x14ac:dyDescent="0.25">
      <c r="B1704" s="105">
        <f t="shared" si="134"/>
        <v>1701</v>
      </c>
      <c r="C1704" s="107">
        <f t="shared" si="135"/>
        <v>21</v>
      </c>
      <c r="D1704" s="107">
        <f t="shared" si="136"/>
        <v>31</v>
      </c>
      <c r="E1704" s="15">
        <f t="shared" si="132"/>
        <v>384</v>
      </c>
      <c r="F1704" s="110">
        <f t="shared" si="133"/>
        <v>457</v>
      </c>
    </row>
    <row r="1705" spans="2:6" x14ac:dyDescent="0.25">
      <c r="B1705" s="105">
        <f t="shared" si="134"/>
        <v>1702</v>
      </c>
      <c r="C1705" s="107">
        <f t="shared" si="135"/>
        <v>22</v>
      </c>
      <c r="D1705" s="107">
        <f t="shared" si="136"/>
        <v>31</v>
      </c>
      <c r="E1705" s="15">
        <f t="shared" si="132"/>
        <v>384</v>
      </c>
      <c r="F1705" s="110">
        <f t="shared" si="133"/>
        <v>452</v>
      </c>
    </row>
    <row r="1706" spans="2:6" x14ac:dyDescent="0.25">
      <c r="B1706" s="105">
        <f t="shared" si="134"/>
        <v>1703</v>
      </c>
      <c r="C1706" s="107">
        <f t="shared" si="135"/>
        <v>23</v>
      </c>
      <c r="D1706" s="107">
        <f t="shared" si="136"/>
        <v>31</v>
      </c>
      <c r="E1706" s="15">
        <f t="shared" si="132"/>
        <v>384</v>
      </c>
      <c r="F1706" s="110">
        <f t="shared" si="133"/>
        <v>442</v>
      </c>
    </row>
    <row r="1707" spans="2:6" x14ac:dyDescent="0.25">
      <c r="B1707" s="105">
        <f t="shared" si="134"/>
        <v>1704</v>
      </c>
      <c r="C1707" s="107">
        <f t="shared" si="135"/>
        <v>24</v>
      </c>
      <c r="D1707" s="107">
        <f t="shared" si="136"/>
        <v>31</v>
      </c>
      <c r="E1707" s="15">
        <f t="shared" si="132"/>
        <v>384</v>
      </c>
      <c r="F1707" s="110">
        <f t="shared" si="133"/>
        <v>420</v>
      </c>
    </row>
    <row r="1708" spans="2:6" x14ac:dyDescent="0.25">
      <c r="B1708" s="105">
        <f t="shared" si="134"/>
        <v>1705</v>
      </c>
      <c r="C1708" s="107">
        <f t="shared" si="135"/>
        <v>25</v>
      </c>
      <c r="D1708" s="107">
        <f t="shared" si="136"/>
        <v>31</v>
      </c>
      <c r="E1708" s="15">
        <f t="shared" si="132"/>
        <v>384</v>
      </c>
      <c r="F1708" s="110">
        <f t="shared" si="133"/>
        <v>410</v>
      </c>
    </row>
    <row r="1709" spans="2:6" x14ac:dyDescent="0.25">
      <c r="B1709" s="105">
        <f t="shared" si="134"/>
        <v>1706</v>
      </c>
      <c r="C1709" s="107">
        <f t="shared" si="135"/>
        <v>26</v>
      </c>
      <c r="D1709" s="107">
        <f t="shared" si="136"/>
        <v>31</v>
      </c>
      <c r="E1709" s="15">
        <f t="shared" si="132"/>
        <v>384</v>
      </c>
      <c r="F1709" s="110">
        <f t="shared" si="133"/>
        <v>409</v>
      </c>
    </row>
    <row r="1710" spans="2:6" x14ac:dyDescent="0.25">
      <c r="B1710" s="105">
        <f t="shared" si="134"/>
        <v>1707</v>
      </c>
      <c r="C1710" s="107">
        <f t="shared" si="135"/>
        <v>27</v>
      </c>
      <c r="D1710" s="107">
        <f t="shared" si="136"/>
        <v>31</v>
      </c>
      <c r="E1710" s="15">
        <f t="shared" si="132"/>
        <v>384</v>
      </c>
      <c r="F1710" s="110">
        <f t="shared" si="133"/>
        <v>408</v>
      </c>
    </row>
    <row r="1711" spans="2:6" x14ac:dyDescent="0.25">
      <c r="B1711" s="105">
        <f t="shared" si="134"/>
        <v>1708</v>
      </c>
      <c r="C1711" s="107">
        <f t="shared" si="135"/>
        <v>28</v>
      </c>
      <c r="D1711" s="107">
        <f t="shared" si="136"/>
        <v>31</v>
      </c>
      <c r="E1711" s="15">
        <f t="shared" si="132"/>
        <v>384</v>
      </c>
      <c r="F1711" s="110">
        <f t="shared" si="133"/>
        <v>404</v>
      </c>
    </row>
    <row r="1712" spans="2:6" x14ac:dyDescent="0.25">
      <c r="B1712" s="105">
        <f t="shared" si="134"/>
        <v>1709</v>
      </c>
      <c r="C1712" s="107">
        <f t="shared" si="135"/>
        <v>29</v>
      </c>
      <c r="D1712" s="107">
        <f t="shared" si="136"/>
        <v>31</v>
      </c>
      <c r="E1712" s="15">
        <f t="shared" si="132"/>
        <v>384</v>
      </c>
      <c r="F1712" s="110">
        <f t="shared" si="133"/>
        <v>399</v>
      </c>
    </row>
    <row r="1713" spans="2:6" x14ac:dyDescent="0.25">
      <c r="B1713" s="105">
        <f t="shared" si="134"/>
        <v>1710</v>
      </c>
      <c r="C1713" s="107">
        <f t="shared" si="135"/>
        <v>30</v>
      </c>
      <c r="D1713" s="107">
        <f t="shared" si="136"/>
        <v>31</v>
      </c>
      <c r="E1713" s="15">
        <f t="shared" si="132"/>
        <v>384</v>
      </c>
      <c r="F1713" s="110">
        <f t="shared" si="133"/>
        <v>396</v>
      </c>
    </row>
    <row r="1714" spans="2:6" x14ac:dyDescent="0.25">
      <c r="B1714" s="105">
        <f t="shared" si="134"/>
        <v>1711</v>
      </c>
      <c r="C1714" s="107">
        <f t="shared" si="135"/>
        <v>1</v>
      </c>
      <c r="D1714" s="107">
        <f t="shared" si="136"/>
        <v>30</v>
      </c>
      <c r="E1714" s="15">
        <f t="shared" si="132"/>
        <v>396</v>
      </c>
      <c r="F1714" s="110">
        <f t="shared" si="133"/>
        <v>1048</v>
      </c>
    </row>
    <row r="1715" spans="2:6" x14ac:dyDescent="0.25">
      <c r="B1715" s="105">
        <f t="shared" si="134"/>
        <v>1712</v>
      </c>
      <c r="C1715" s="107">
        <f t="shared" si="135"/>
        <v>2</v>
      </c>
      <c r="D1715" s="107">
        <f t="shared" si="136"/>
        <v>30</v>
      </c>
      <c r="E1715" s="15">
        <f t="shared" si="132"/>
        <v>396</v>
      </c>
      <c r="F1715" s="110">
        <f t="shared" si="133"/>
        <v>1025</v>
      </c>
    </row>
    <row r="1716" spans="2:6" x14ac:dyDescent="0.25">
      <c r="B1716" s="105">
        <f t="shared" si="134"/>
        <v>1713</v>
      </c>
      <c r="C1716" s="107">
        <f t="shared" si="135"/>
        <v>3</v>
      </c>
      <c r="D1716" s="107">
        <f t="shared" si="136"/>
        <v>30</v>
      </c>
      <c r="E1716" s="15">
        <f t="shared" si="132"/>
        <v>396</v>
      </c>
      <c r="F1716" s="110">
        <f t="shared" si="133"/>
        <v>805</v>
      </c>
    </row>
    <row r="1717" spans="2:6" x14ac:dyDescent="0.25">
      <c r="B1717" s="105">
        <f t="shared" si="134"/>
        <v>1714</v>
      </c>
      <c r="C1717" s="107">
        <f t="shared" si="135"/>
        <v>4</v>
      </c>
      <c r="D1717" s="107">
        <f t="shared" si="136"/>
        <v>30</v>
      </c>
      <c r="E1717" s="15">
        <f t="shared" si="132"/>
        <v>396</v>
      </c>
      <c r="F1717" s="110">
        <f t="shared" si="133"/>
        <v>666</v>
      </c>
    </row>
    <row r="1718" spans="2:6" x14ac:dyDescent="0.25">
      <c r="B1718" s="105">
        <f t="shared" si="134"/>
        <v>1715</v>
      </c>
      <c r="C1718" s="107">
        <f t="shared" si="135"/>
        <v>5</v>
      </c>
      <c r="D1718" s="107">
        <f t="shared" si="136"/>
        <v>30</v>
      </c>
      <c r="E1718" s="15">
        <f t="shared" si="132"/>
        <v>396</v>
      </c>
      <c r="F1718" s="110">
        <f t="shared" si="133"/>
        <v>655</v>
      </c>
    </row>
    <row r="1719" spans="2:6" x14ac:dyDescent="0.25">
      <c r="B1719" s="105">
        <f t="shared" si="134"/>
        <v>1716</v>
      </c>
      <c r="C1719" s="107">
        <f t="shared" si="135"/>
        <v>6</v>
      </c>
      <c r="D1719" s="107">
        <f t="shared" si="136"/>
        <v>30</v>
      </c>
      <c r="E1719" s="15">
        <f t="shared" si="132"/>
        <v>396</v>
      </c>
      <c r="F1719" s="110">
        <f t="shared" si="133"/>
        <v>652</v>
      </c>
    </row>
    <row r="1720" spans="2:6" x14ac:dyDescent="0.25">
      <c r="B1720" s="105">
        <f t="shared" si="134"/>
        <v>1717</v>
      </c>
      <c r="C1720" s="107">
        <f t="shared" si="135"/>
        <v>7</v>
      </c>
      <c r="D1720" s="107">
        <f t="shared" si="136"/>
        <v>30</v>
      </c>
      <c r="E1720" s="15">
        <f t="shared" si="132"/>
        <v>396</v>
      </c>
      <c r="F1720" s="110">
        <f t="shared" si="133"/>
        <v>633</v>
      </c>
    </row>
    <row r="1721" spans="2:6" x14ac:dyDescent="0.25">
      <c r="B1721" s="105">
        <f t="shared" si="134"/>
        <v>1718</v>
      </c>
      <c r="C1721" s="107">
        <f t="shared" si="135"/>
        <v>8</v>
      </c>
      <c r="D1721" s="107">
        <f t="shared" si="136"/>
        <v>30</v>
      </c>
      <c r="E1721" s="15">
        <f t="shared" si="132"/>
        <v>396</v>
      </c>
      <c r="F1721" s="110">
        <f t="shared" si="133"/>
        <v>632</v>
      </c>
    </row>
    <row r="1722" spans="2:6" x14ac:dyDescent="0.25">
      <c r="B1722" s="105">
        <f t="shared" si="134"/>
        <v>1719</v>
      </c>
      <c r="C1722" s="107">
        <f t="shared" si="135"/>
        <v>9</v>
      </c>
      <c r="D1722" s="107">
        <f t="shared" si="136"/>
        <v>30</v>
      </c>
      <c r="E1722" s="15">
        <f t="shared" si="132"/>
        <v>396</v>
      </c>
      <c r="F1722" s="110">
        <f t="shared" si="133"/>
        <v>625</v>
      </c>
    </row>
    <row r="1723" spans="2:6" x14ac:dyDescent="0.25">
      <c r="B1723" s="105">
        <f t="shared" si="134"/>
        <v>1720</v>
      </c>
      <c r="C1723" s="107">
        <f t="shared" si="135"/>
        <v>10</v>
      </c>
      <c r="D1723" s="107">
        <f t="shared" si="136"/>
        <v>30</v>
      </c>
      <c r="E1723" s="15">
        <f t="shared" si="132"/>
        <v>396</v>
      </c>
      <c r="F1723" s="110">
        <f t="shared" si="133"/>
        <v>619</v>
      </c>
    </row>
    <row r="1724" spans="2:6" x14ac:dyDescent="0.25">
      <c r="B1724" s="105">
        <f t="shared" si="134"/>
        <v>1721</v>
      </c>
      <c r="C1724" s="107">
        <f t="shared" si="135"/>
        <v>11</v>
      </c>
      <c r="D1724" s="107">
        <f t="shared" si="136"/>
        <v>30</v>
      </c>
      <c r="E1724" s="15">
        <f t="shared" si="132"/>
        <v>396</v>
      </c>
      <c r="F1724" s="110">
        <f t="shared" si="133"/>
        <v>610</v>
      </c>
    </row>
    <row r="1725" spans="2:6" x14ac:dyDescent="0.25">
      <c r="B1725" s="105">
        <f t="shared" si="134"/>
        <v>1722</v>
      </c>
      <c r="C1725" s="107">
        <f t="shared" si="135"/>
        <v>12</v>
      </c>
      <c r="D1725" s="107">
        <f t="shared" si="136"/>
        <v>30</v>
      </c>
      <c r="E1725" s="15">
        <f t="shared" si="132"/>
        <v>396</v>
      </c>
      <c r="F1725" s="110">
        <f t="shared" si="133"/>
        <v>599</v>
      </c>
    </row>
    <row r="1726" spans="2:6" x14ac:dyDescent="0.25">
      <c r="B1726" s="105">
        <f t="shared" si="134"/>
        <v>1723</v>
      </c>
      <c r="C1726" s="107">
        <f t="shared" si="135"/>
        <v>13</v>
      </c>
      <c r="D1726" s="107">
        <f t="shared" si="136"/>
        <v>30</v>
      </c>
      <c r="E1726" s="15">
        <f t="shared" si="132"/>
        <v>396</v>
      </c>
      <c r="F1726" s="110">
        <f t="shared" si="133"/>
        <v>559</v>
      </c>
    </row>
    <row r="1727" spans="2:6" x14ac:dyDescent="0.25">
      <c r="B1727" s="105">
        <f t="shared" si="134"/>
        <v>1724</v>
      </c>
      <c r="C1727" s="107">
        <f t="shared" si="135"/>
        <v>14</v>
      </c>
      <c r="D1727" s="107">
        <f t="shared" si="136"/>
        <v>30</v>
      </c>
      <c r="E1727" s="15">
        <f t="shared" si="132"/>
        <v>396</v>
      </c>
      <c r="F1727" s="110">
        <f t="shared" si="133"/>
        <v>556</v>
      </c>
    </row>
    <row r="1728" spans="2:6" x14ac:dyDescent="0.25">
      <c r="B1728" s="105">
        <f t="shared" si="134"/>
        <v>1725</v>
      </c>
      <c r="C1728" s="107">
        <f t="shared" si="135"/>
        <v>15</v>
      </c>
      <c r="D1728" s="107">
        <f t="shared" si="136"/>
        <v>30</v>
      </c>
      <c r="E1728" s="15">
        <f t="shared" si="132"/>
        <v>396</v>
      </c>
      <c r="F1728" s="110">
        <f t="shared" si="133"/>
        <v>540</v>
      </c>
    </row>
    <row r="1729" spans="2:6" x14ac:dyDescent="0.25">
      <c r="B1729" s="105">
        <f t="shared" si="134"/>
        <v>1726</v>
      </c>
      <c r="C1729" s="107">
        <f t="shared" si="135"/>
        <v>16</v>
      </c>
      <c r="D1729" s="107">
        <f t="shared" si="136"/>
        <v>30</v>
      </c>
      <c r="E1729" s="15">
        <f t="shared" si="132"/>
        <v>396</v>
      </c>
      <c r="F1729" s="110">
        <f t="shared" si="133"/>
        <v>536</v>
      </c>
    </row>
    <row r="1730" spans="2:6" x14ac:dyDescent="0.25">
      <c r="B1730" s="105">
        <f t="shared" si="134"/>
        <v>1727</v>
      </c>
      <c r="C1730" s="107">
        <f t="shared" si="135"/>
        <v>17</v>
      </c>
      <c r="D1730" s="107">
        <f t="shared" si="136"/>
        <v>30</v>
      </c>
      <c r="E1730" s="15">
        <f t="shared" si="132"/>
        <v>396</v>
      </c>
      <c r="F1730" s="110">
        <f t="shared" si="133"/>
        <v>527</v>
      </c>
    </row>
    <row r="1731" spans="2:6" x14ac:dyDescent="0.25">
      <c r="B1731" s="105">
        <f t="shared" si="134"/>
        <v>1728</v>
      </c>
      <c r="C1731" s="107">
        <f t="shared" si="135"/>
        <v>18</v>
      </c>
      <c r="D1731" s="107">
        <f t="shared" si="136"/>
        <v>30</v>
      </c>
      <c r="E1731" s="15">
        <f t="shared" si="132"/>
        <v>396</v>
      </c>
      <c r="F1731" s="110">
        <f t="shared" si="133"/>
        <v>478</v>
      </c>
    </row>
    <row r="1732" spans="2:6" x14ac:dyDescent="0.25">
      <c r="B1732" s="105">
        <f t="shared" si="134"/>
        <v>1729</v>
      </c>
      <c r="C1732" s="107">
        <f t="shared" si="135"/>
        <v>19</v>
      </c>
      <c r="D1732" s="107">
        <f t="shared" si="136"/>
        <v>30</v>
      </c>
      <c r="E1732" s="15">
        <f t="shared" ref="E1732:E1795" si="137">IFERROR(VLOOKUP(D1732,$H$4:$I$69,2,0),"")</f>
        <v>396</v>
      </c>
      <c r="F1732" s="110">
        <f t="shared" ref="F1732:F1795" si="138">IFERROR(VLOOKUP(C1732,$H$4:$I$69,2,0),"")</f>
        <v>474</v>
      </c>
    </row>
    <row r="1733" spans="2:6" x14ac:dyDescent="0.25">
      <c r="B1733" s="105">
        <f t="shared" ref="B1733:B1796" si="139">ROW()-3</f>
        <v>1730</v>
      </c>
      <c r="C1733" s="107">
        <f t="shared" si="135"/>
        <v>20</v>
      </c>
      <c r="D1733" s="107">
        <f t="shared" si="136"/>
        <v>30</v>
      </c>
      <c r="E1733" s="15">
        <f t="shared" si="137"/>
        <v>396</v>
      </c>
      <c r="F1733" s="110">
        <f t="shared" si="138"/>
        <v>468</v>
      </c>
    </row>
    <row r="1734" spans="2:6" x14ac:dyDescent="0.25">
      <c r="B1734" s="105">
        <f t="shared" si="139"/>
        <v>1731</v>
      </c>
      <c r="C1734" s="107">
        <f t="shared" ref="C1734:C1797" si="140">IF((D1733-C1733)=1,1,C1733+1)</f>
        <v>21</v>
      </c>
      <c r="D1734" s="107">
        <f t="shared" ref="D1734:D1797" si="141">IF((D1733-C1733)=1,D1733-1,D1733)</f>
        <v>30</v>
      </c>
      <c r="E1734" s="15">
        <f t="shared" si="137"/>
        <v>396</v>
      </c>
      <c r="F1734" s="110">
        <f t="shared" si="138"/>
        <v>457</v>
      </c>
    </row>
    <row r="1735" spans="2:6" x14ac:dyDescent="0.25">
      <c r="B1735" s="105">
        <f t="shared" si="139"/>
        <v>1732</v>
      </c>
      <c r="C1735" s="107">
        <f t="shared" si="140"/>
        <v>22</v>
      </c>
      <c r="D1735" s="107">
        <f t="shared" si="141"/>
        <v>30</v>
      </c>
      <c r="E1735" s="15">
        <f t="shared" si="137"/>
        <v>396</v>
      </c>
      <c r="F1735" s="110">
        <f t="shared" si="138"/>
        <v>452</v>
      </c>
    </row>
    <row r="1736" spans="2:6" x14ac:dyDescent="0.25">
      <c r="B1736" s="105">
        <f t="shared" si="139"/>
        <v>1733</v>
      </c>
      <c r="C1736" s="107">
        <f t="shared" si="140"/>
        <v>23</v>
      </c>
      <c r="D1736" s="107">
        <f t="shared" si="141"/>
        <v>30</v>
      </c>
      <c r="E1736" s="15">
        <f t="shared" si="137"/>
        <v>396</v>
      </c>
      <c r="F1736" s="110">
        <f t="shared" si="138"/>
        <v>442</v>
      </c>
    </row>
    <row r="1737" spans="2:6" x14ac:dyDescent="0.25">
      <c r="B1737" s="105">
        <f t="shared" si="139"/>
        <v>1734</v>
      </c>
      <c r="C1737" s="107">
        <f t="shared" si="140"/>
        <v>24</v>
      </c>
      <c r="D1737" s="107">
        <f t="shared" si="141"/>
        <v>30</v>
      </c>
      <c r="E1737" s="15">
        <f t="shared" si="137"/>
        <v>396</v>
      </c>
      <c r="F1737" s="110">
        <f t="shared" si="138"/>
        <v>420</v>
      </c>
    </row>
    <row r="1738" spans="2:6" x14ac:dyDescent="0.25">
      <c r="B1738" s="105">
        <f t="shared" si="139"/>
        <v>1735</v>
      </c>
      <c r="C1738" s="107">
        <f t="shared" si="140"/>
        <v>25</v>
      </c>
      <c r="D1738" s="107">
        <f t="shared" si="141"/>
        <v>30</v>
      </c>
      <c r="E1738" s="15">
        <f t="shared" si="137"/>
        <v>396</v>
      </c>
      <c r="F1738" s="110">
        <f t="shared" si="138"/>
        <v>410</v>
      </c>
    </row>
    <row r="1739" spans="2:6" x14ac:dyDescent="0.25">
      <c r="B1739" s="105">
        <f t="shared" si="139"/>
        <v>1736</v>
      </c>
      <c r="C1739" s="107">
        <f t="shared" si="140"/>
        <v>26</v>
      </c>
      <c r="D1739" s="107">
        <f t="shared" si="141"/>
        <v>30</v>
      </c>
      <c r="E1739" s="15">
        <f t="shared" si="137"/>
        <v>396</v>
      </c>
      <c r="F1739" s="110">
        <f t="shared" si="138"/>
        <v>409</v>
      </c>
    </row>
    <row r="1740" spans="2:6" x14ac:dyDescent="0.25">
      <c r="B1740" s="105">
        <f t="shared" si="139"/>
        <v>1737</v>
      </c>
      <c r="C1740" s="107">
        <f t="shared" si="140"/>
        <v>27</v>
      </c>
      <c r="D1740" s="107">
        <f t="shared" si="141"/>
        <v>30</v>
      </c>
      <c r="E1740" s="15">
        <f t="shared" si="137"/>
        <v>396</v>
      </c>
      <c r="F1740" s="110">
        <f t="shared" si="138"/>
        <v>408</v>
      </c>
    </row>
    <row r="1741" spans="2:6" x14ac:dyDescent="0.25">
      <c r="B1741" s="105">
        <f t="shared" si="139"/>
        <v>1738</v>
      </c>
      <c r="C1741" s="107">
        <f t="shared" si="140"/>
        <v>28</v>
      </c>
      <c r="D1741" s="107">
        <f t="shared" si="141"/>
        <v>30</v>
      </c>
      <c r="E1741" s="15">
        <f t="shared" si="137"/>
        <v>396</v>
      </c>
      <c r="F1741" s="110">
        <f t="shared" si="138"/>
        <v>404</v>
      </c>
    </row>
    <row r="1742" spans="2:6" x14ac:dyDescent="0.25">
      <c r="B1742" s="105">
        <f t="shared" si="139"/>
        <v>1739</v>
      </c>
      <c r="C1742" s="107">
        <f t="shared" si="140"/>
        <v>29</v>
      </c>
      <c r="D1742" s="107">
        <f t="shared" si="141"/>
        <v>30</v>
      </c>
      <c r="E1742" s="15">
        <f t="shared" si="137"/>
        <v>396</v>
      </c>
      <c r="F1742" s="110">
        <f t="shared" si="138"/>
        <v>399</v>
      </c>
    </row>
    <row r="1743" spans="2:6" x14ac:dyDescent="0.25">
      <c r="B1743" s="105">
        <f t="shared" si="139"/>
        <v>1740</v>
      </c>
      <c r="C1743" s="107">
        <f t="shared" si="140"/>
        <v>1</v>
      </c>
      <c r="D1743" s="107">
        <f t="shared" si="141"/>
        <v>29</v>
      </c>
      <c r="E1743" s="15">
        <f t="shared" si="137"/>
        <v>399</v>
      </c>
      <c r="F1743" s="110">
        <f t="shared" si="138"/>
        <v>1048</v>
      </c>
    </row>
    <row r="1744" spans="2:6" x14ac:dyDescent="0.25">
      <c r="B1744" s="105">
        <f t="shared" si="139"/>
        <v>1741</v>
      </c>
      <c r="C1744" s="107">
        <f t="shared" si="140"/>
        <v>2</v>
      </c>
      <c r="D1744" s="107">
        <f t="shared" si="141"/>
        <v>29</v>
      </c>
      <c r="E1744" s="15">
        <f t="shared" si="137"/>
        <v>399</v>
      </c>
      <c r="F1744" s="110">
        <f t="shared" si="138"/>
        <v>1025</v>
      </c>
    </row>
    <row r="1745" spans="2:6" x14ac:dyDescent="0.25">
      <c r="B1745" s="105">
        <f t="shared" si="139"/>
        <v>1742</v>
      </c>
      <c r="C1745" s="107">
        <f t="shared" si="140"/>
        <v>3</v>
      </c>
      <c r="D1745" s="107">
        <f t="shared" si="141"/>
        <v>29</v>
      </c>
      <c r="E1745" s="15">
        <f t="shared" si="137"/>
        <v>399</v>
      </c>
      <c r="F1745" s="110">
        <f t="shared" si="138"/>
        <v>805</v>
      </c>
    </row>
    <row r="1746" spans="2:6" x14ac:dyDescent="0.25">
      <c r="B1746" s="105">
        <f t="shared" si="139"/>
        <v>1743</v>
      </c>
      <c r="C1746" s="107">
        <f t="shared" si="140"/>
        <v>4</v>
      </c>
      <c r="D1746" s="107">
        <f t="shared" si="141"/>
        <v>29</v>
      </c>
      <c r="E1746" s="15">
        <f t="shared" si="137"/>
        <v>399</v>
      </c>
      <c r="F1746" s="110">
        <f t="shared" si="138"/>
        <v>666</v>
      </c>
    </row>
    <row r="1747" spans="2:6" x14ac:dyDescent="0.25">
      <c r="B1747" s="105">
        <f t="shared" si="139"/>
        <v>1744</v>
      </c>
      <c r="C1747" s="107">
        <f t="shared" si="140"/>
        <v>5</v>
      </c>
      <c r="D1747" s="107">
        <f t="shared" si="141"/>
        <v>29</v>
      </c>
      <c r="E1747" s="15">
        <f t="shared" si="137"/>
        <v>399</v>
      </c>
      <c r="F1747" s="110">
        <f t="shared" si="138"/>
        <v>655</v>
      </c>
    </row>
    <row r="1748" spans="2:6" x14ac:dyDescent="0.25">
      <c r="B1748" s="105">
        <f t="shared" si="139"/>
        <v>1745</v>
      </c>
      <c r="C1748" s="107">
        <f t="shared" si="140"/>
        <v>6</v>
      </c>
      <c r="D1748" s="107">
        <f t="shared" si="141"/>
        <v>29</v>
      </c>
      <c r="E1748" s="15">
        <f t="shared" si="137"/>
        <v>399</v>
      </c>
      <c r="F1748" s="110">
        <f t="shared" si="138"/>
        <v>652</v>
      </c>
    </row>
    <row r="1749" spans="2:6" x14ac:dyDescent="0.25">
      <c r="B1749" s="105">
        <f t="shared" si="139"/>
        <v>1746</v>
      </c>
      <c r="C1749" s="107">
        <f t="shared" si="140"/>
        <v>7</v>
      </c>
      <c r="D1749" s="107">
        <f t="shared" si="141"/>
        <v>29</v>
      </c>
      <c r="E1749" s="15">
        <f t="shared" si="137"/>
        <v>399</v>
      </c>
      <c r="F1749" s="110">
        <f t="shared" si="138"/>
        <v>633</v>
      </c>
    </row>
    <row r="1750" spans="2:6" x14ac:dyDescent="0.25">
      <c r="B1750" s="105">
        <f t="shared" si="139"/>
        <v>1747</v>
      </c>
      <c r="C1750" s="107">
        <f t="shared" si="140"/>
        <v>8</v>
      </c>
      <c r="D1750" s="107">
        <f t="shared" si="141"/>
        <v>29</v>
      </c>
      <c r="E1750" s="15">
        <f t="shared" si="137"/>
        <v>399</v>
      </c>
      <c r="F1750" s="110">
        <f t="shared" si="138"/>
        <v>632</v>
      </c>
    </row>
    <row r="1751" spans="2:6" x14ac:dyDescent="0.25">
      <c r="B1751" s="105">
        <f t="shared" si="139"/>
        <v>1748</v>
      </c>
      <c r="C1751" s="107">
        <f t="shared" si="140"/>
        <v>9</v>
      </c>
      <c r="D1751" s="107">
        <f t="shared" si="141"/>
        <v>29</v>
      </c>
      <c r="E1751" s="15">
        <f t="shared" si="137"/>
        <v>399</v>
      </c>
      <c r="F1751" s="110">
        <f t="shared" si="138"/>
        <v>625</v>
      </c>
    </row>
    <row r="1752" spans="2:6" x14ac:dyDescent="0.25">
      <c r="B1752" s="105">
        <f t="shared" si="139"/>
        <v>1749</v>
      </c>
      <c r="C1752" s="107">
        <f t="shared" si="140"/>
        <v>10</v>
      </c>
      <c r="D1752" s="107">
        <f t="shared" si="141"/>
        <v>29</v>
      </c>
      <c r="E1752" s="15">
        <f t="shared" si="137"/>
        <v>399</v>
      </c>
      <c r="F1752" s="110">
        <f t="shared" si="138"/>
        <v>619</v>
      </c>
    </row>
    <row r="1753" spans="2:6" x14ac:dyDescent="0.25">
      <c r="B1753" s="105">
        <f t="shared" si="139"/>
        <v>1750</v>
      </c>
      <c r="C1753" s="107">
        <f t="shared" si="140"/>
        <v>11</v>
      </c>
      <c r="D1753" s="107">
        <f t="shared" si="141"/>
        <v>29</v>
      </c>
      <c r="E1753" s="15">
        <f t="shared" si="137"/>
        <v>399</v>
      </c>
      <c r="F1753" s="110">
        <f t="shared" si="138"/>
        <v>610</v>
      </c>
    </row>
    <row r="1754" spans="2:6" x14ac:dyDescent="0.25">
      <c r="B1754" s="105">
        <f t="shared" si="139"/>
        <v>1751</v>
      </c>
      <c r="C1754" s="107">
        <f t="shared" si="140"/>
        <v>12</v>
      </c>
      <c r="D1754" s="107">
        <f t="shared" si="141"/>
        <v>29</v>
      </c>
      <c r="E1754" s="15">
        <f t="shared" si="137"/>
        <v>399</v>
      </c>
      <c r="F1754" s="110">
        <f t="shared" si="138"/>
        <v>599</v>
      </c>
    </row>
    <row r="1755" spans="2:6" x14ac:dyDescent="0.25">
      <c r="B1755" s="105">
        <f t="shared" si="139"/>
        <v>1752</v>
      </c>
      <c r="C1755" s="107">
        <f t="shared" si="140"/>
        <v>13</v>
      </c>
      <c r="D1755" s="107">
        <f t="shared" si="141"/>
        <v>29</v>
      </c>
      <c r="E1755" s="15">
        <f t="shared" si="137"/>
        <v>399</v>
      </c>
      <c r="F1755" s="110">
        <f t="shared" si="138"/>
        <v>559</v>
      </c>
    </row>
    <row r="1756" spans="2:6" x14ac:dyDescent="0.25">
      <c r="B1756" s="105">
        <f t="shared" si="139"/>
        <v>1753</v>
      </c>
      <c r="C1756" s="107">
        <f t="shared" si="140"/>
        <v>14</v>
      </c>
      <c r="D1756" s="107">
        <f t="shared" si="141"/>
        <v>29</v>
      </c>
      <c r="E1756" s="15">
        <f t="shared" si="137"/>
        <v>399</v>
      </c>
      <c r="F1756" s="110">
        <f t="shared" si="138"/>
        <v>556</v>
      </c>
    </row>
    <row r="1757" spans="2:6" x14ac:dyDescent="0.25">
      <c r="B1757" s="105">
        <f t="shared" si="139"/>
        <v>1754</v>
      </c>
      <c r="C1757" s="107">
        <f t="shared" si="140"/>
        <v>15</v>
      </c>
      <c r="D1757" s="107">
        <f t="shared" si="141"/>
        <v>29</v>
      </c>
      <c r="E1757" s="15">
        <f t="shared" si="137"/>
        <v>399</v>
      </c>
      <c r="F1757" s="110">
        <f t="shared" si="138"/>
        <v>540</v>
      </c>
    </row>
    <row r="1758" spans="2:6" x14ac:dyDescent="0.25">
      <c r="B1758" s="105">
        <f t="shared" si="139"/>
        <v>1755</v>
      </c>
      <c r="C1758" s="107">
        <f t="shared" si="140"/>
        <v>16</v>
      </c>
      <c r="D1758" s="107">
        <f t="shared" si="141"/>
        <v>29</v>
      </c>
      <c r="E1758" s="15">
        <f t="shared" si="137"/>
        <v>399</v>
      </c>
      <c r="F1758" s="110">
        <f t="shared" si="138"/>
        <v>536</v>
      </c>
    </row>
    <row r="1759" spans="2:6" x14ac:dyDescent="0.25">
      <c r="B1759" s="105">
        <f t="shared" si="139"/>
        <v>1756</v>
      </c>
      <c r="C1759" s="107">
        <f t="shared" si="140"/>
        <v>17</v>
      </c>
      <c r="D1759" s="107">
        <f t="shared" si="141"/>
        <v>29</v>
      </c>
      <c r="E1759" s="15">
        <f t="shared" si="137"/>
        <v>399</v>
      </c>
      <c r="F1759" s="110">
        <f t="shared" si="138"/>
        <v>527</v>
      </c>
    </row>
    <row r="1760" spans="2:6" x14ac:dyDescent="0.25">
      <c r="B1760" s="105">
        <f t="shared" si="139"/>
        <v>1757</v>
      </c>
      <c r="C1760" s="107">
        <f t="shared" si="140"/>
        <v>18</v>
      </c>
      <c r="D1760" s="107">
        <f t="shared" si="141"/>
        <v>29</v>
      </c>
      <c r="E1760" s="15">
        <f t="shared" si="137"/>
        <v>399</v>
      </c>
      <c r="F1760" s="110">
        <f t="shared" si="138"/>
        <v>478</v>
      </c>
    </row>
    <row r="1761" spans="2:6" x14ac:dyDescent="0.25">
      <c r="B1761" s="105">
        <f t="shared" si="139"/>
        <v>1758</v>
      </c>
      <c r="C1761" s="107">
        <f t="shared" si="140"/>
        <v>19</v>
      </c>
      <c r="D1761" s="107">
        <f t="shared" si="141"/>
        <v>29</v>
      </c>
      <c r="E1761" s="15">
        <f t="shared" si="137"/>
        <v>399</v>
      </c>
      <c r="F1761" s="110">
        <f t="shared" si="138"/>
        <v>474</v>
      </c>
    </row>
    <row r="1762" spans="2:6" x14ac:dyDescent="0.25">
      <c r="B1762" s="105">
        <f t="shared" si="139"/>
        <v>1759</v>
      </c>
      <c r="C1762" s="107">
        <f t="shared" si="140"/>
        <v>20</v>
      </c>
      <c r="D1762" s="107">
        <f t="shared" si="141"/>
        <v>29</v>
      </c>
      <c r="E1762" s="15">
        <f t="shared" si="137"/>
        <v>399</v>
      </c>
      <c r="F1762" s="110">
        <f t="shared" si="138"/>
        <v>468</v>
      </c>
    </row>
    <row r="1763" spans="2:6" x14ac:dyDescent="0.25">
      <c r="B1763" s="105">
        <f t="shared" si="139"/>
        <v>1760</v>
      </c>
      <c r="C1763" s="107">
        <f t="shared" si="140"/>
        <v>21</v>
      </c>
      <c r="D1763" s="107">
        <f t="shared" si="141"/>
        <v>29</v>
      </c>
      <c r="E1763" s="15">
        <f t="shared" si="137"/>
        <v>399</v>
      </c>
      <c r="F1763" s="110">
        <f t="shared" si="138"/>
        <v>457</v>
      </c>
    </row>
    <row r="1764" spans="2:6" x14ac:dyDescent="0.25">
      <c r="B1764" s="105">
        <f t="shared" si="139"/>
        <v>1761</v>
      </c>
      <c r="C1764" s="107">
        <f t="shared" si="140"/>
        <v>22</v>
      </c>
      <c r="D1764" s="107">
        <f t="shared" si="141"/>
        <v>29</v>
      </c>
      <c r="E1764" s="15">
        <f t="shared" si="137"/>
        <v>399</v>
      </c>
      <c r="F1764" s="110">
        <f t="shared" si="138"/>
        <v>452</v>
      </c>
    </row>
    <row r="1765" spans="2:6" x14ac:dyDescent="0.25">
      <c r="B1765" s="105">
        <f t="shared" si="139"/>
        <v>1762</v>
      </c>
      <c r="C1765" s="107">
        <f t="shared" si="140"/>
        <v>23</v>
      </c>
      <c r="D1765" s="107">
        <f t="shared" si="141"/>
        <v>29</v>
      </c>
      <c r="E1765" s="15">
        <f t="shared" si="137"/>
        <v>399</v>
      </c>
      <c r="F1765" s="110">
        <f t="shared" si="138"/>
        <v>442</v>
      </c>
    </row>
    <row r="1766" spans="2:6" x14ac:dyDescent="0.25">
      <c r="B1766" s="105">
        <f t="shared" si="139"/>
        <v>1763</v>
      </c>
      <c r="C1766" s="107">
        <f t="shared" si="140"/>
        <v>24</v>
      </c>
      <c r="D1766" s="107">
        <f t="shared" si="141"/>
        <v>29</v>
      </c>
      <c r="E1766" s="15">
        <f t="shared" si="137"/>
        <v>399</v>
      </c>
      <c r="F1766" s="110">
        <f t="shared" si="138"/>
        <v>420</v>
      </c>
    </row>
    <row r="1767" spans="2:6" x14ac:dyDescent="0.25">
      <c r="B1767" s="105">
        <f t="shared" si="139"/>
        <v>1764</v>
      </c>
      <c r="C1767" s="107">
        <f t="shared" si="140"/>
        <v>25</v>
      </c>
      <c r="D1767" s="107">
        <f t="shared" si="141"/>
        <v>29</v>
      </c>
      <c r="E1767" s="15">
        <f t="shared" si="137"/>
        <v>399</v>
      </c>
      <c r="F1767" s="110">
        <f t="shared" si="138"/>
        <v>410</v>
      </c>
    </row>
    <row r="1768" spans="2:6" x14ac:dyDescent="0.25">
      <c r="B1768" s="105">
        <f t="shared" si="139"/>
        <v>1765</v>
      </c>
      <c r="C1768" s="107">
        <f t="shared" si="140"/>
        <v>26</v>
      </c>
      <c r="D1768" s="107">
        <f t="shared" si="141"/>
        <v>29</v>
      </c>
      <c r="E1768" s="15">
        <f t="shared" si="137"/>
        <v>399</v>
      </c>
      <c r="F1768" s="110">
        <f t="shared" si="138"/>
        <v>409</v>
      </c>
    </row>
    <row r="1769" spans="2:6" x14ac:dyDescent="0.25">
      <c r="B1769" s="105">
        <f t="shared" si="139"/>
        <v>1766</v>
      </c>
      <c r="C1769" s="107">
        <f t="shared" si="140"/>
        <v>27</v>
      </c>
      <c r="D1769" s="107">
        <f t="shared" si="141"/>
        <v>29</v>
      </c>
      <c r="E1769" s="15">
        <f t="shared" si="137"/>
        <v>399</v>
      </c>
      <c r="F1769" s="110">
        <f t="shared" si="138"/>
        <v>408</v>
      </c>
    </row>
    <row r="1770" spans="2:6" x14ac:dyDescent="0.25">
      <c r="B1770" s="105">
        <f t="shared" si="139"/>
        <v>1767</v>
      </c>
      <c r="C1770" s="107">
        <f t="shared" si="140"/>
        <v>28</v>
      </c>
      <c r="D1770" s="107">
        <f t="shared" si="141"/>
        <v>29</v>
      </c>
      <c r="E1770" s="15">
        <f t="shared" si="137"/>
        <v>399</v>
      </c>
      <c r="F1770" s="110">
        <f t="shared" si="138"/>
        <v>404</v>
      </c>
    </row>
    <row r="1771" spans="2:6" x14ac:dyDescent="0.25">
      <c r="B1771" s="105">
        <f t="shared" si="139"/>
        <v>1768</v>
      </c>
      <c r="C1771" s="107">
        <f t="shared" si="140"/>
        <v>1</v>
      </c>
      <c r="D1771" s="107">
        <f t="shared" si="141"/>
        <v>28</v>
      </c>
      <c r="E1771" s="15">
        <f t="shared" si="137"/>
        <v>404</v>
      </c>
      <c r="F1771" s="110">
        <f t="shared" si="138"/>
        <v>1048</v>
      </c>
    </row>
    <row r="1772" spans="2:6" x14ac:dyDescent="0.25">
      <c r="B1772" s="105">
        <f t="shared" si="139"/>
        <v>1769</v>
      </c>
      <c r="C1772" s="107">
        <f t="shared" si="140"/>
        <v>2</v>
      </c>
      <c r="D1772" s="107">
        <f t="shared" si="141"/>
        <v>28</v>
      </c>
      <c r="E1772" s="15">
        <f t="shared" si="137"/>
        <v>404</v>
      </c>
      <c r="F1772" s="110">
        <f t="shared" si="138"/>
        <v>1025</v>
      </c>
    </row>
    <row r="1773" spans="2:6" x14ac:dyDescent="0.25">
      <c r="B1773" s="105">
        <f t="shared" si="139"/>
        <v>1770</v>
      </c>
      <c r="C1773" s="107">
        <f t="shared" si="140"/>
        <v>3</v>
      </c>
      <c r="D1773" s="107">
        <f t="shared" si="141"/>
        <v>28</v>
      </c>
      <c r="E1773" s="15">
        <f t="shared" si="137"/>
        <v>404</v>
      </c>
      <c r="F1773" s="110">
        <f t="shared" si="138"/>
        <v>805</v>
      </c>
    </row>
    <row r="1774" spans="2:6" x14ac:dyDescent="0.25">
      <c r="B1774" s="105">
        <f t="shared" si="139"/>
        <v>1771</v>
      </c>
      <c r="C1774" s="107">
        <f t="shared" si="140"/>
        <v>4</v>
      </c>
      <c r="D1774" s="107">
        <f t="shared" si="141"/>
        <v>28</v>
      </c>
      <c r="E1774" s="15">
        <f t="shared" si="137"/>
        <v>404</v>
      </c>
      <c r="F1774" s="110">
        <f t="shared" si="138"/>
        <v>666</v>
      </c>
    </row>
    <row r="1775" spans="2:6" x14ac:dyDescent="0.25">
      <c r="B1775" s="105">
        <f t="shared" si="139"/>
        <v>1772</v>
      </c>
      <c r="C1775" s="107">
        <f t="shared" si="140"/>
        <v>5</v>
      </c>
      <c r="D1775" s="107">
        <f t="shared" si="141"/>
        <v>28</v>
      </c>
      <c r="E1775" s="15">
        <f t="shared" si="137"/>
        <v>404</v>
      </c>
      <c r="F1775" s="110">
        <f t="shared" si="138"/>
        <v>655</v>
      </c>
    </row>
    <row r="1776" spans="2:6" x14ac:dyDescent="0.25">
      <c r="B1776" s="105">
        <f t="shared" si="139"/>
        <v>1773</v>
      </c>
      <c r="C1776" s="107">
        <f t="shared" si="140"/>
        <v>6</v>
      </c>
      <c r="D1776" s="107">
        <f t="shared" si="141"/>
        <v>28</v>
      </c>
      <c r="E1776" s="15">
        <f t="shared" si="137"/>
        <v>404</v>
      </c>
      <c r="F1776" s="110">
        <f t="shared" si="138"/>
        <v>652</v>
      </c>
    </row>
    <row r="1777" spans="2:6" x14ac:dyDescent="0.25">
      <c r="B1777" s="105">
        <f t="shared" si="139"/>
        <v>1774</v>
      </c>
      <c r="C1777" s="107">
        <f t="shared" si="140"/>
        <v>7</v>
      </c>
      <c r="D1777" s="107">
        <f t="shared" si="141"/>
        <v>28</v>
      </c>
      <c r="E1777" s="15">
        <f t="shared" si="137"/>
        <v>404</v>
      </c>
      <c r="F1777" s="110">
        <f t="shared" si="138"/>
        <v>633</v>
      </c>
    </row>
    <row r="1778" spans="2:6" x14ac:dyDescent="0.25">
      <c r="B1778" s="105">
        <f t="shared" si="139"/>
        <v>1775</v>
      </c>
      <c r="C1778" s="107">
        <f t="shared" si="140"/>
        <v>8</v>
      </c>
      <c r="D1778" s="107">
        <f t="shared" si="141"/>
        <v>28</v>
      </c>
      <c r="E1778" s="15">
        <f t="shared" si="137"/>
        <v>404</v>
      </c>
      <c r="F1778" s="110">
        <f t="shared" si="138"/>
        <v>632</v>
      </c>
    </row>
    <row r="1779" spans="2:6" x14ac:dyDescent="0.25">
      <c r="B1779" s="105">
        <f t="shared" si="139"/>
        <v>1776</v>
      </c>
      <c r="C1779" s="107">
        <f t="shared" si="140"/>
        <v>9</v>
      </c>
      <c r="D1779" s="107">
        <f t="shared" si="141"/>
        <v>28</v>
      </c>
      <c r="E1779" s="15">
        <f t="shared" si="137"/>
        <v>404</v>
      </c>
      <c r="F1779" s="110">
        <f t="shared" si="138"/>
        <v>625</v>
      </c>
    </row>
    <row r="1780" spans="2:6" x14ac:dyDescent="0.25">
      <c r="B1780" s="105">
        <f t="shared" si="139"/>
        <v>1777</v>
      </c>
      <c r="C1780" s="107">
        <f t="shared" si="140"/>
        <v>10</v>
      </c>
      <c r="D1780" s="107">
        <f t="shared" si="141"/>
        <v>28</v>
      </c>
      <c r="E1780" s="15">
        <f t="shared" si="137"/>
        <v>404</v>
      </c>
      <c r="F1780" s="110">
        <f t="shared" si="138"/>
        <v>619</v>
      </c>
    </row>
    <row r="1781" spans="2:6" x14ac:dyDescent="0.25">
      <c r="B1781" s="105">
        <f t="shared" si="139"/>
        <v>1778</v>
      </c>
      <c r="C1781" s="107">
        <f t="shared" si="140"/>
        <v>11</v>
      </c>
      <c r="D1781" s="107">
        <f t="shared" si="141"/>
        <v>28</v>
      </c>
      <c r="E1781" s="15">
        <f t="shared" si="137"/>
        <v>404</v>
      </c>
      <c r="F1781" s="110">
        <f t="shared" si="138"/>
        <v>610</v>
      </c>
    </row>
    <row r="1782" spans="2:6" x14ac:dyDescent="0.25">
      <c r="B1782" s="105">
        <f t="shared" si="139"/>
        <v>1779</v>
      </c>
      <c r="C1782" s="107">
        <f t="shared" si="140"/>
        <v>12</v>
      </c>
      <c r="D1782" s="107">
        <f t="shared" si="141"/>
        <v>28</v>
      </c>
      <c r="E1782" s="15">
        <f t="shared" si="137"/>
        <v>404</v>
      </c>
      <c r="F1782" s="110">
        <f t="shared" si="138"/>
        <v>599</v>
      </c>
    </row>
    <row r="1783" spans="2:6" x14ac:dyDescent="0.25">
      <c r="B1783" s="105">
        <f t="shared" si="139"/>
        <v>1780</v>
      </c>
      <c r="C1783" s="107">
        <f t="shared" si="140"/>
        <v>13</v>
      </c>
      <c r="D1783" s="107">
        <f t="shared" si="141"/>
        <v>28</v>
      </c>
      <c r="E1783" s="15">
        <f t="shared" si="137"/>
        <v>404</v>
      </c>
      <c r="F1783" s="110">
        <f t="shared" si="138"/>
        <v>559</v>
      </c>
    </row>
    <row r="1784" spans="2:6" x14ac:dyDescent="0.25">
      <c r="B1784" s="105">
        <f t="shared" si="139"/>
        <v>1781</v>
      </c>
      <c r="C1784" s="107">
        <f t="shared" si="140"/>
        <v>14</v>
      </c>
      <c r="D1784" s="107">
        <f t="shared" si="141"/>
        <v>28</v>
      </c>
      <c r="E1784" s="15">
        <f t="shared" si="137"/>
        <v>404</v>
      </c>
      <c r="F1784" s="110">
        <f t="shared" si="138"/>
        <v>556</v>
      </c>
    </row>
    <row r="1785" spans="2:6" x14ac:dyDescent="0.25">
      <c r="B1785" s="105">
        <f t="shared" si="139"/>
        <v>1782</v>
      </c>
      <c r="C1785" s="107">
        <f t="shared" si="140"/>
        <v>15</v>
      </c>
      <c r="D1785" s="107">
        <f t="shared" si="141"/>
        <v>28</v>
      </c>
      <c r="E1785" s="15">
        <f t="shared" si="137"/>
        <v>404</v>
      </c>
      <c r="F1785" s="110">
        <f t="shared" si="138"/>
        <v>540</v>
      </c>
    </row>
    <row r="1786" spans="2:6" x14ac:dyDescent="0.25">
      <c r="B1786" s="105">
        <f t="shared" si="139"/>
        <v>1783</v>
      </c>
      <c r="C1786" s="107">
        <f t="shared" si="140"/>
        <v>16</v>
      </c>
      <c r="D1786" s="107">
        <f t="shared" si="141"/>
        <v>28</v>
      </c>
      <c r="E1786" s="15">
        <f t="shared" si="137"/>
        <v>404</v>
      </c>
      <c r="F1786" s="110">
        <f t="shared" si="138"/>
        <v>536</v>
      </c>
    </row>
    <row r="1787" spans="2:6" x14ac:dyDescent="0.25">
      <c r="B1787" s="105">
        <f t="shared" si="139"/>
        <v>1784</v>
      </c>
      <c r="C1787" s="107">
        <f t="shared" si="140"/>
        <v>17</v>
      </c>
      <c r="D1787" s="107">
        <f t="shared" si="141"/>
        <v>28</v>
      </c>
      <c r="E1787" s="15">
        <f t="shared" si="137"/>
        <v>404</v>
      </c>
      <c r="F1787" s="110">
        <f t="shared" si="138"/>
        <v>527</v>
      </c>
    </row>
    <row r="1788" spans="2:6" x14ac:dyDescent="0.25">
      <c r="B1788" s="105">
        <f t="shared" si="139"/>
        <v>1785</v>
      </c>
      <c r="C1788" s="107">
        <f t="shared" si="140"/>
        <v>18</v>
      </c>
      <c r="D1788" s="107">
        <f t="shared" si="141"/>
        <v>28</v>
      </c>
      <c r="E1788" s="15">
        <f t="shared" si="137"/>
        <v>404</v>
      </c>
      <c r="F1788" s="110">
        <f t="shared" si="138"/>
        <v>478</v>
      </c>
    </row>
    <row r="1789" spans="2:6" x14ac:dyDescent="0.25">
      <c r="B1789" s="105">
        <f t="shared" si="139"/>
        <v>1786</v>
      </c>
      <c r="C1789" s="107">
        <f t="shared" si="140"/>
        <v>19</v>
      </c>
      <c r="D1789" s="107">
        <f t="shared" si="141"/>
        <v>28</v>
      </c>
      <c r="E1789" s="15">
        <f t="shared" si="137"/>
        <v>404</v>
      </c>
      <c r="F1789" s="110">
        <f t="shared" si="138"/>
        <v>474</v>
      </c>
    </row>
    <row r="1790" spans="2:6" x14ac:dyDescent="0.25">
      <c r="B1790" s="105">
        <f t="shared" si="139"/>
        <v>1787</v>
      </c>
      <c r="C1790" s="107">
        <f t="shared" si="140"/>
        <v>20</v>
      </c>
      <c r="D1790" s="107">
        <f t="shared" si="141"/>
        <v>28</v>
      </c>
      <c r="E1790" s="15">
        <f t="shared" si="137"/>
        <v>404</v>
      </c>
      <c r="F1790" s="110">
        <f t="shared" si="138"/>
        <v>468</v>
      </c>
    </row>
    <row r="1791" spans="2:6" x14ac:dyDescent="0.25">
      <c r="B1791" s="105">
        <f t="shared" si="139"/>
        <v>1788</v>
      </c>
      <c r="C1791" s="107">
        <f t="shared" si="140"/>
        <v>21</v>
      </c>
      <c r="D1791" s="107">
        <f t="shared" si="141"/>
        <v>28</v>
      </c>
      <c r="E1791" s="15">
        <f t="shared" si="137"/>
        <v>404</v>
      </c>
      <c r="F1791" s="110">
        <f t="shared" si="138"/>
        <v>457</v>
      </c>
    </row>
    <row r="1792" spans="2:6" x14ac:dyDescent="0.25">
      <c r="B1792" s="105">
        <f t="shared" si="139"/>
        <v>1789</v>
      </c>
      <c r="C1792" s="107">
        <f t="shared" si="140"/>
        <v>22</v>
      </c>
      <c r="D1792" s="107">
        <f t="shared" si="141"/>
        <v>28</v>
      </c>
      <c r="E1792" s="15">
        <f t="shared" si="137"/>
        <v>404</v>
      </c>
      <c r="F1792" s="110">
        <f t="shared" si="138"/>
        <v>452</v>
      </c>
    </row>
    <row r="1793" spans="2:6" x14ac:dyDescent="0.25">
      <c r="B1793" s="105">
        <f t="shared" si="139"/>
        <v>1790</v>
      </c>
      <c r="C1793" s="107">
        <f t="shared" si="140"/>
        <v>23</v>
      </c>
      <c r="D1793" s="107">
        <f t="shared" si="141"/>
        <v>28</v>
      </c>
      <c r="E1793" s="15">
        <f t="shared" si="137"/>
        <v>404</v>
      </c>
      <c r="F1793" s="110">
        <f t="shared" si="138"/>
        <v>442</v>
      </c>
    </row>
    <row r="1794" spans="2:6" x14ac:dyDescent="0.25">
      <c r="B1794" s="105">
        <f t="shared" si="139"/>
        <v>1791</v>
      </c>
      <c r="C1794" s="107">
        <f t="shared" si="140"/>
        <v>24</v>
      </c>
      <c r="D1794" s="107">
        <f t="shared" si="141"/>
        <v>28</v>
      </c>
      <c r="E1794" s="15">
        <f t="shared" si="137"/>
        <v>404</v>
      </c>
      <c r="F1794" s="110">
        <f t="shared" si="138"/>
        <v>420</v>
      </c>
    </row>
    <row r="1795" spans="2:6" x14ac:dyDescent="0.25">
      <c r="B1795" s="105">
        <f t="shared" si="139"/>
        <v>1792</v>
      </c>
      <c r="C1795" s="107">
        <f t="shared" si="140"/>
        <v>25</v>
      </c>
      <c r="D1795" s="107">
        <f t="shared" si="141"/>
        <v>28</v>
      </c>
      <c r="E1795" s="15">
        <f t="shared" si="137"/>
        <v>404</v>
      </c>
      <c r="F1795" s="110">
        <f t="shared" si="138"/>
        <v>410</v>
      </c>
    </row>
    <row r="1796" spans="2:6" x14ac:dyDescent="0.25">
      <c r="B1796" s="105">
        <f t="shared" si="139"/>
        <v>1793</v>
      </c>
      <c r="C1796" s="107">
        <f t="shared" si="140"/>
        <v>26</v>
      </c>
      <c r="D1796" s="107">
        <f t="shared" si="141"/>
        <v>28</v>
      </c>
      <c r="E1796" s="15">
        <f t="shared" ref="E1796:E1859" si="142">IFERROR(VLOOKUP(D1796,$H$4:$I$69,2,0),"")</f>
        <v>404</v>
      </c>
      <c r="F1796" s="110">
        <f t="shared" ref="F1796:F1859" si="143">IFERROR(VLOOKUP(C1796,$H$4:$I$69,2,0),"")</f>
        <v>409</v>
      </c>
    </row>
    <row r="1797" spans="2:6" x14ac:dyDescent="0.25">
      <c r="B1797" s="105">
        <f t="shared" ref="B1797:B1860" si="144">ROW()-3</f>
        <v>1794</v>
      </c>
      <c r="C1797" s="107">
        <f t="shared" si="140"/>
        <v>27</v>
      </c>
      <c r="D1797" s="107">
        <f t="shared" si="141"/>
        <v>28</v>
      </c>
      <c r="E1797" s="15">
        <f t="shared" si="142"/>
        <v>404</v>
      </c>
      <c r="F1797" s="110">
        <f t="shared" si="143"/>
        <v>408</v>
      </c>
    </row>
    <row r="1798" spans="2:6" x14ac:dyDescent="0.25">
      <c r="B1798" s="105">
        <f t="shared" si="144"/>
        <v>1795</v>
      </c>
      <c r="C1798" s="107">
        <f t="shared" ref="C1798:C1861" si="145">IF((D1797-C1797)=1,1,C1797+1)</f>
        <v>1</v>
      </c>
      <c r="D1798" s="107">
        <f t="shared" ref="D1798:D1861" si="146">IF((D1797-C1797)=1,D1797-1,D1797)</f>
        <v>27</v>
      </c>
      <c r="E1798" s="15">
        <f t="shared" si="142"/>
        <v>408</v>
      </c>
      <c r="F1798" s="110">
        <f t="shared" si="143"/>
        <v>1048</v>
      </c>
    </row>
    <row r="1799" spans="2:6" x14ac:dyDescent="0.25">
      <c r="B1799" s="105">
        <f t="shared" si="144"/>
        <v>1796</v>
      </c>
      <c r="C1799" s="107">
        <f t="shared" si="145"/>
        <v>2</v>
      </c>
      <c r="D1799" s="107">
        <f t="shared" si="146"/>
        <v>27</v>
      </c>
      <c r="E1799" s="15">
        <f t="shared" si="142"/>
        <v>408</v>
      </c>
      <c r="F1799" s="110">
        <f t="shared" si="143"/>
        <v>1025</v>
      </c>
    </row>
    <row r="1800" spans="2:6" x14ac:dyDescent="0.25">
      <c r="B1800" s="105">
        <f t="shared" si="144"/>
        <v>1797</v>
      </c>
      <c r="C1800" s="107">
        <f t="shared" si="145"/>
        <v>3</v>
      </c>
      <c r="D1800" s="107">
        <f t="shared" si="146"/>
        <v>27</v>
      </c>
      <c r="E1800" s="15">
        <f t="shared" si="142"/>
        <v>408</v>
      </c>
      <c r="F1800" s="110">
        <f t="shared" si="143"/>
        <v>805</v>
      </c>
    </row>
    <row r="1801" spans="2:6" x14ac:dyDescent="0.25">
      <c r="B1801" s="105">
        <f t="shared" si="144"/>
        <v>1798</v>
      </c>
      <c r="C1801" s="107">
        <f t="shared" si="145"/>
        <v>4</v>
      </c>
      <c r="D1801" s="107">
        <f t="shared" si="146"/>
        <v>27</v>
      </c>
      <c r="E1801" s="15">
        <f t="shared" si="142"/>
        <v>408</v>
      </c>
      <c r="F1801" s="110">
        <f t="shared" si="143"/>
        <v>666</v>
      </c>
    </row>
    <row r="1802" spans="2:6" x14ac:dyDescent="0.25">
      <c r="B1802" s="105">
        <f t="shared" si="144"/>
        <v>1799</v>
      </c>
      <c r="C1802" s="107">
        <f t="shared" si="145"/>
        <v>5</v>
      </c>
      <c r="D1802" s="107">
        <f t="shared" si="146"/>
        <v>27</v>
      </c>
      <c r="E1802" s="15">
        <f t="shared" si="142"/>
        <v>408</v>
      </c>
      <c r="F1802" s="110">
        <f t="shared" si="143"/>
        <v>655</v>
      </c>
    </row>
    <row r="1803" spans="2:6" x14ac:dyDescent="0.25">
      <c r="B1803" s="105">
        <f t="shared" si="144"/>
        <v>1800</v>
      </c>
      <c r="C1803" s="107">
        <f t="shared" si="145"/>
        <v>6</v>
      </c>
      <c r="D1803" s="107">
        <f t="shared" si="146"/>
        <v>27</v>
      </c>
      <c r="E1803" s="15">
        <f t="shared" si="142"/>
        <v>408</v>
      </c>
      <c r="F1803" s="110">
        <f t="shared" si="143"/>
        <v>652</v>
      </c>
    </row>
    <row r="1804" spans="2:6" x14ac:dyDescent="0.25">
      <c r="B1804" s="105">
        <f t="shared" si="144"/>
        <v>1801</v>
      </c>
      <c r="C1804" s="107">
        <f t="shared" si="145"/>
        <v>7</v>
      </c>
      <c r="D1804" s="107">
        <f t="shared" si="146"/>
        <v>27</v>
      </c>
      <c r="E1804" s="15">
        <f t="shared" si="142"/>
        <v>408</v>
      </c>
      <c r="F1804" s="110">
        <f t="shared" si="143"/>
        <v>633</v>
      </c>
    </row>
    <row r="1805" spans="2:6" x14ac:dyDescent="0.25">
      <c r="B1805" s="105">
        <f t="shared" si="144"/>
        <v>1802</v>
      </c>
      <c r="C1805" s="107">
        <f t="shared" si="145"/>
        <v>8</v>
      </c>
      <c r="D1805" s="107">
        <f t="shared" si="146"/>
        <v>27</v>
      </c>
      <c r="E1805" s="15">
        <f t="shared" si="142"/>
        <v>408</v>
      </c>
      <c r="F1805" s="110">
        <f t="shared" si="143"/>
        <v>632</v>
      </c>
    </row>
    <row r="1806" spans="2:6" x14ac:dyDescent="0.25">
      <c r="B1806" s="105">
        <f t="shared" si="144"/>
        <v>1803</v>
      </c>
      <c r="C1806" s="107">
        <f t="shared" si="145"/>
        <v>9</v>
      </c>
      <c r="D1806" s="107">
        <f t="shared" si="146"/>
        <v>27</v>
      </c>
      <c r="E1806" s="15">
        <f t="shared" si="142"/>
        <v>408</v>
      </c>
      <c r="F1806" s="110">
        <f t="shared" si="143"/>
        <v>625</v>
      </c>
    </row>
    <row r="1807" spans="2:6" x14ac:dyDescent="0.25">
      <c r="B1807" s="105">
        <f t="shared" si="144"/>
        <v>1804</v>
      </c>
      <c r="C1807" s="107">
        <f t="shared" si="145"/>
        <v>10</v>
      </c>
      <c r="D1807" s="107">
        <f t="shared" si="146"/>
        <v>27</v>
      </c>
      <c r="E1807" s="15">
        <f t="shared" si="142"/>
        <v>408</v>
      </c>
      <c r="F1807" s="110">
        <f t="shared" si="143"/>
        <v>619</v>
      </c>
    </row>
    <row r="1808" spans="2:6" x14ac:dyDescent="0.25">
      <c r="B1808" s="105">
        <f t="shared" si="144"/>
        <v>1805</v>
      </c>
      <c r="C1808" s="107">
        <f t="shared" si="145"/>
        <v>11</v>
      </c>
      <c r="D1808" s="107">
        <f t="shared" si="146"/>
        <v>27</v>
      </c>
      <c r="E1808" s="15">
        <f t="shared" si="142"/>
        <v>408</v>
      </c>
      <c r="F1808" s="110">
        <f t="shared" si="143"/>
        <v>610</v>
      </c>
    </row>
    <row r="1809" spans="2:6" x14ac:dyDescent="0.25">
      <c r="B1809" s="105">
        <f t="shared" si="144"/>
        <v>1806</v>
      </c>
      <c r="C1809" s="107">
        <f t="shared" si="145"/>
        <v>12</v>
      </c>
      <c r="D1809" s="107">
        <f t="shared" si="146"/>
        <v>27</v>
      </c>
      <c r="E1809" s="15">
        <f t="shared" si="142"/>
        <v>408</v>
      </c>
      <c r="F1809" s="110">
        <f t="shared" si="143"/>
        <v>599</v>
      </c>
    </row>
    <row r="1810" spans="2:6" x14ac:dyDescent="0.25">
      <c r="B1810" s="105">
        <f t="shared" si="144"/>
        <v>1807</v>
      </c>
      <c r="C1810" s="107">
        <f t="shared" si="145"/>
        <v>13</v>
      </c>
      <c r="D1810" s="107">
        <f t="shared" si="146"/>
        <v>27</v>
      </c>
      <c r="E1810" s="15">
        <f t="shared" si="142"/>
        <v>408</v>
      </c>
      <c r="F1810" s="110">
        <f t="shared" si="143"/>
        <v>559</v>
      </c>
    </row>
    <row r="1811" spans="2:6" x14ac:dyDescent="0.25">
      <c r="B1811" s="105">
        <f t="shared" si="144"/>
        <v>1808</v>
      </c>
      <c r="C1811" s="107">
        <f t="shared" si="145"/>
        <v>14</v>
      </c>
      <c r="D1811" s="107">
        <f t="shared" si="146"/>
        <v>27</v>
      </c>
      <c r="E1811" s="15">
        <f t="shared" si="142"/>
        <v>408</v>
      </c>
      <c r="F1811" s="110">
        <f t="shared" si="143"/>
        <v>556</v>
      </c>
    </row>
    <row r="1812" spans="2:6" x14ac:dyDescent="0.25">
      <c r="B1812" s="105">
        <f t="shared" si="144"/>
        <v>1809</v>
      </c>
      <c r="C1812" s="107">
        <f t="shared" si="145"/>
        <v>15</v>
      </c>
      <c r="D1812" s="107">
        <f t="shared" si="146"/>
        <v>27</v>
      </c>
      <c r="E1812" s="15">
        <f t="shared" si="142"/>
        <v>408</v>
      </c>
      <c r="F1812" s="110">
        <f t="shared" si="143"/>
        <v>540</v>
      </c>
    </row>
    <row r="1813" spans="2:6" x14ac:dyDescent="0.25">
      <c r="B1813" s="105">
        <f t="shared" si="144"/>
        <v>1810</v>
      </c>
      <c r="C1813" s="107">
        <f t="shared" si="145"/>
        <v>16</v>
      </c>
      <c r="D1813" s="107">
        <f t="shared" si="146"/>
        <v>27</v>
      </c>
      <c r="E1813" s="15">
        <f t="shared" si="142"/>
        <v>408</v>
      </c>
      <c r="F1813" s="110">
        <f t="shared" si="143"/>
        <v>536</v>
      </c>
    </row>
    <row r="1814" spans="2:6" x14ac:dyDescent="0.25">
      <c r="B1814" s="105">
        <f t="shared" si="144"/>
        <v>1811</v>
      </c>
      <c r="C1814" s="107">
        <f t="shared" si="145"/>
        <v>17</v>
      </c>
      <c r="D1814" s="107">
        <f t="shared" si="146"/>
        <v>27</v>
      </c>
      <c r="E1814" s="15">
        <f t="shared" si="142"/>
        <v>408</v>
      </c>
      <c r="F1814" s="110">
        <f t="shared" si="143"/>
        <v>527</v>
      </c>
    </row>
    <row r="1815" spans="2:6" x14ac:dyDescent="0.25">
      <c r="B1815" s="105">
        <f t="shared" si="144"/>
        <v>1812</v>
      </c>
      <c r="C1815" s="107">
        <f t="shared" si="145"/>
        <v>18</v>
      </c>
      <c r="D1815" s="107">
        <f t="shared" si="146"/>
        <v>27</v>
      </c>
      <c r="E1815" s="15">
        <f t="shared" si="142"/>
        <v>408</v>
      </c>
      <c r="F1815" s="110">
        <f t="shared" si="143"/>
        <v>478</v>
      </c>
    </row>
    <row r="1816" spans="2:6" x14ac:dyDescent="0.25">
      <c r="B1816" s="105">
        <f t="shared" si="144"/>
        <v>1813</v>
      </c>
      <c r="C1816" s="107">
        <f t="shared" si="145"/>
        <v>19</v>
      </c>
      <c r="D1816" s="107">
        <f t="shared" si="146"/>
        <v>27</v>
      </c>
      <c r="E1816" s="15">
        <f t="shared" si="142"/>
        <v>408</v>
      </c>
      <c r="F1816" s="110">
        <f t="shared" si="143"/>
        <v>474</v>
      </c>
    </row>
    <row r="1817" spans="2:6" x14ac:dyDescent="0.25">
      <c r="B1817" s="105">
        <f t="shared" si="144"/>
        <v>1814</v>
      </c>
      <c r="C1817" s="107">
        <f t="shared" si="145"/>
        <v>20</v>
      </c>
      <c r="D1817" s="107">
        <f t="shared" si="146"/>
        <v>27</v>
      </c>
      <c r="E1817" s="15">
        <f t="shared" si="142"/>
        <v>408</v>
      </c>
      <c r="F1817" s="110">
        <f t="shared" si="143"/>
        <v>468</v>
      </c>
    </row>
    <row r="1818" spans="2:6" x14ac:dyDescent="0.25">
      <c r="B1818" s="105">
        <f t="shared" si="144"/>
        <v>1815</v>
      </c>
      <c r="C1818" s="107">
        <f t="shared" si="145"/>
        <v>21</v>
      </c>
      <c r="D1818" s="107">
        <f t="shared" si="146"/>
        <v>27</v>
      </c>
      <c r="E1818" s="15">
        <f t="shared" si="142"/>
        <v>408</v>
      </c>
      <c r="F1818" s="110">
        <f t="shared" si="143"/>
        <v>457</v>
      </c>
    </row>
    <row r="1819" spans="2:6" x14ac:dyDescent="0.25">
      <c r="B1819" s="105">
        <f t="shared" si="144"/>
        <v>1816</v>
      </c>
      <c r="C1819" s="107">
        <f t="shared" si="145"/>
        <v>22</v>
      </c>
      <c r="D1819" s="107">
        <f t="shared" si="146"/>
        <v>27</v>
      </c>
      <c r="E1819" s="15">
        <f t="shared" si="142"/>
        <v>408</v>
      </c>
      <c r="F1819" s="110">
        <f t="shared" si="143"/>
        <v>452</v>
      </c>
    </row>
    <row r="1820" spans="2:6" x14ac:dyDescent="0.25">
      <c r="B1820" s="105">
        <f t="shared" si="144"/>
        <v>1817</v>
      </c>
      <c r="C1820" s="107">
        <f t="shared" si="145"/>
        <v>23</v>
      </c>
      <c r="D1820" s="107">
        <f t="shared" si="146"/>
        <v>27</v>
      </c>
      <c r="E1820" s="15">
        <f t="shared" si="142"/>
        <v>408</v>
      </c>
      <c r="F1820" s="110">
        <f t="shared" si="143"/>
        <v>442</v>
      </c>
    </row>
    <row r="1821" spans="2:6" x14ac:dyDescent="0.25">
      <c r="B1821" s="105">
        <f t="shared" si="144"/>
        <v>1818</v>
      </c>
      <c r="C1821" s="107">
        <f t="shared" si="145"/>
        <v>24</v>
      </c>
      <c r="D1821" s="107">
        <f t="shared" si="146"/>
        <v>27</v>
      </c>
      <c r="E1821" s="15">
        <f t="shared" si="142"/>
        <v>408</v>
      </c>
      <c r="F1821" s="110">
        <f t="shared" si="143"/>
        <v>420</v>
      </c>
    </row>
    <row r="1822" spans="2:6" x14ac:dyDescent="0.25">
      <c r="B1822" s="105">
        <f t="shared" si="144"/>
        <v>1819</v>
      </c>
      <c r="C1822" s="107">
        <f t="shared" si="145"/>
        <v>25</v>
      </c>
      <c r="D1822" s="107">
        <f t="shared" si="146"/>
        <v>27</v>
      </c>
      <c r="E1822" s="15">
        <f t="shared" si="142"/>
        <v>408</v>
      </c>
      <c r="F1822" s="110">
        <f t="shared" si="143"/>
        <v>410</v>
      </c>
    </row>
    <row r="1823" spans="2:6" x14ac:dyDescent="0.25">
      <c r="B1823" s="105">
        <f t="shared" si="144"/>
        <v>1820</v>
      </c>
      <c r="C1823" s="107">
        <f t="shared" si="145"/>
        <v>26</v>
      </c>
      <c r="D1823" s="107">
        <f t="shared" si="146"/>
        <v>27</v>
      </c>
      <c r="E1823" s="15">
        <f t="shared" si="142"/>
        <v>408</v>
      </c>
      <c r="F1823" s="110">
        <f t="shared" si="143"/>
        <v>409</v>
      </c>
    </row>
    <row r="1824" spans="2:6" x14ac:dyDescent="0.25">
      <c r="B1824" s="105">
        <f t="shared" si="144"/>
        <v>1821</v>
      </c>
      <c r="C1824" s="107">
        <f t="shared" si="145"/>
        <v>1</v>
      </c>
      <c r="D1824" s="107">
        <f t="shared" si="146"/>
        <v>26</v>
      </c>
      <c r="E1824" s="15">
        <f t="shared" si="142"/>
        <v>409</v>
      </c>
      <c r="F1824" s="110">
        <f t="shared" si="143"/>
        <v>1048</v>
      </c>
    </row>
    <row r="1825" spans="2:6" x14ac:dyDescent="0.25">
      <c r="B1825" s="105">
        <f t="shared" si="144"/>
        <v>1822</v>
      </c>
      <c r="C1825" s="107">
        <f t="shared" si="145"/>
        <v>2</v>
      </c>
      <c r="D1825" s="107">
        <f t="shared" si="146"/>
        <v>26</v>
      </c>
      <c r="E1825" s="15">
        <f t="shared" si="142"/>
        <v>409</v>
      </c>
      <c r="F1825" s="110">
        <f t="shared" si="143"/>
        <v>1025</v>
      </c>
    </row>
    <row r="1826" spans="2:6" x14ac:dyDescent="0.25">
      <c r="B1826" s="105">
        <f t="shared" si="144"/>
        <v>1823</v>
      </c>
      <c r="C1826" s="107">
        <f t="shared" si="145"/>
        <v>3</v>
      </c>
      <c r="D1826" s="107">
        <f t="shared" si="146"/>
        <v>26</v>
      </c>
      <c r="E1826" s="15">
        <f t="shared" si="142"/>
        <v>409</v>
      </c>
      <c r="F1826" s="110">
        <f t="shared" si="143"/>
        <v>805</v>
      </c>
    </row>
    <row r="1827" spans="2:6" x14ac:dyDescent="0.25">
      <c r="B1827" s="105">
        <f t="shared" si="144"/>
        <v>1824</v>
      </c>
      <c r="C1827" s="107">
        <f t="shared" si="145"/>
        <v>4</v>
      </c>
      <c r="D1827" s="107">
        <f t="shared" si="146"/>
        <v>26</v>
      </c>
      <c r="E1827" s="15">
        <f t="shared" si="142"/>
        <v>409</v>
      </c>
      <c r="F1827" s="110">
        <f t="shared" si="143"/>
        <v>666</v>
      </c>
    </row>
    <row r="1828" spans="2:6" x14ac:dyDescent="0.25">
      <c r="B1828" s="105">
        <f t="shared" si="144"/>
        <v>1825</v>
      </c>
      <c r="C1828" s="107">
        <f t="shared" si="145"/>
        <v>5</v>
      </c>
      <c r="D1828" s="107">
        <f t="shared" si="146"/>
        <v>26</v>
      </c>
      <c r="E1828" s="15">
        <f t="shared" si="142"/>
        <v>409</v>
      </c>
      <c r="F1828" s="110">
        <f t="shared" si="143"/>
        <v>655</v>
      </c>
    </row>
    <row r="1829" spans="2:6" x14ac:dyDescent="0.25">
      <c r="B1829" s="105">
        <f t="shared" si="144"/>
        <v>1826</v>
      </c>
      <c r="C1829" s="107">
        <f t="shared" si="145"/>
        <v>6</v>
      </c>
      <c r="D1829" s="107">
        <f t="shared" si="146"/>
        <v>26</v>
      </c>
      <c r="E1829" s="15">
        <f t="shared" si="142"/>
        <v>409</v>
      </c>
      <c r="F1829" s="110">
        <f t="shared" si="143"/>
        <v>652</v>
      </c>
    </row>
    <row r="1830" spans="2:6" x14ac:dyDescent="0.25">
      <c r="B1830" s="105">
        <f t="shared" si="144"/>
        <v>1827</v>
      </c>
      <c r="C1830" s="107">
        <f t="shared" si="145"/>
        <v>7</v>
      </c>
      <c r="D1830" s="107">
        <f t="shared" si="146"/>
        <v>26</v>
      </c>
      <c r="E1830" s="15">
        <f t="shared" si="142"/>
        <v>409</v>
      </c>
      <c r="F1830" s="110">
        <f t="shared" si="143"/>
        <v>633</v>
      </c>
    </row>
    <row r="1831" spans="2:6" x14ac:dyDescent="0.25">
      <c r="B1831" s="105">
        <f t="shared" si="144"/>
        <v>1828</v>
      </c>
      <c r="C1831" s="107">
        <f t="shared" si="145"/>
        <v>8</v>
      </c>
      <c r="D1831" s="107">
        <f t="shared" si="146"/>
        <v>26</v>
      </c>
      <c r="E1831" s="15">
        <f t="shared" si="142"/>
        <v>409</v>
      </c>
      <c r="F1831" s="110">
        <f t="shared" si="143"/>
        <v>632</v>
      </c>
    </row>
    <row r="1832" spans="2:6" x14ac:dyDescent="0.25">
      <c r="B1832" s="105">
        <f t="shared" si="144"/>
        <v>1829</v>
      </c>
      <c r="C1832" s="107">
        <f t="shared" si="145"/>
        <v>9</v>
      </c>
      <c r="D1832" s="107">
        <f t="shared" si="146"/>
        <v>26</v>
      </c>
      <c r="E1832" s="15">
        <f t="shared" si="142"/>
        <v>409</v>
      </c>
      <c r="F1832" s="110">
        <f t="shared" si="143"/>
        <v>625</v>
      </c>
    </row>
    <row r="1833" spans="2:6" x14ac:dyDescent="0.25">
      <c r="B1833" s="105">
        <f t="shared" si="144"/>
        <v>1830</v>
      </c>
      <c r="C1833" s="107">
        <f t="shared" si="145"/>
        <v>10</v>
      </c>
      <c r="D1833" s="107">
        <f t="shared" si="146"/>
        <v>26</v>
      </c>
      <c r="E1833" s="15">
        <f t="shared" si="142"/>
        <v>409</v>
      </c>
      <c r="F1833" s="110">
        <f t="shared" si="143"/>
        <v>619</v>
      </c>
    </row>
    <row r="1834" spans="2:6" x14ac:dyDescent="0.25">
      <c r="B1834" s="105">
        <f t="shared" si="144"/>
        <v>1831</v>
      </c>
      <c r="C1834" s="107">
        <f t="shared" si="145"/>
        <v>11</v>
      </c>
      <c r="D1834" s="107">
        <f t="shared" si="146"/>
        <v>26</v>
      </c>
      <c r="E1834" s="15">
        <f t="shared" si="142"/>
        <v>409</v>
      </c>
      <c r="F1834" s="110">
        <f t="shared" si="143"/>
        <v>610</v>
      </c>
    </row>
    <row r="1835" spans="2:6" x14ac:dyDescent="0.25">
      <c r="B1835" s="105">
        <f t="shared" si="144"/>
        <v>1832</v>
      </c>
      <c r="C1835" s="107">
        <f t="shared" si="145"/>
        <v>12</v>
      </c>
      <c r="D1835" s="107">
        <f t="shared" si="146"/>
        <v>26</v>
      </c>
      <c r="E1835" s="15">
        <f t="shared" si="142"/>
        <v>409</v>
      </c>
      <c r="F1835" s="110">
        <f t="shared" si="143"/>
        <v>599</v>
      </c>
    </row>
    <row r="1836" spans="2:6" x14ac:dyDescent="0.25">
      <c r="B1836" s="105">
        <f t="shared" si="144"/>
        <v>1833</v>
      </c>
      <c r="C1836" s="107">
        <f t="shared" si="145"/>
        <v>13</v>
      </c>
      <c r="D1836" s="107">
        <f t="shared" si="146"/>
        <v>26</v>
      </c>
      <c r="E1836" s="15">
        <f t="shared" si="142"/>
        <v>409</v>
      </c>
      <c r="F1836" s="110">
        <f t="shared" si="143"/>
        <v>559</v>
      </c>
    </row>
    <row r="1837" spans="2:6" x14ac:dyDescent="0.25">
      <c r="B1837" s="105">
        <f t="shared" si="144"/>
        <v>1834</v>
      </c>
      <c r="C1837" s="107">
        <f t="shared" si="145"/>
        <v>14</v>
      </c>
      <c r="D1837" s="107">
        <f t="shared" si="146"/>
        <v>26</v>
      </c>
      <c r="E1837" s="15">
        <f t="shared" si="142"/>
        <v>409</v>
      </c>
      <c r="F1837" s="110">
        <f t="shared" si="143"/>
        <v>556</v>
      </c>
    </row>
    <row r="1838" spans="2:6" x14ac:dyDescent="0.25">
      <c r="B1838" s="105">
        <f t="shared" si="144"/>
        <v>1835</v>
      </c>
      <c r="C1838" s="107">
        <f t="shared" si="145"/>
        <v>15</v>
      </c>
      <c r="D1838" s="107">
        <f t="shared" si="146"/>
        <v>26</v>
      </c>
      <c r="E1838" s="15">
        <f t="shared" si="142"/>
        <v>409</v>
      </c>
      <c r="F1838" s="110">
        <f t="shared" si="143"/>
        <v>540</v>
      </c>
    </row>
    <row r="1839" spans="2:6" x14ac:dyDescent="0.25">
      <c r="B1839" s="105">
        <f t="shared" si="144"/>
        <v>1836</v>
      </c>
      <c r="C1839" s="107">
        <f t="shared" si="145"/>
        <v>16</v>
      </c>
      <c r="D1839" s="107">
        <f t="shared" si="146"/>
        <v>26</v>
      </c>
      <c r="E1839" s="15">
        <f t="shared" si="142"/>
        <v>409</v>
      </c>
      <c r="F1839" s="110">
        <f t="shared" si="143"/>
        <v>536</v>
      </c>
    </row>
    <row r="1840" spans="2:6" x14ac:dyDescent="0.25">
      <c r="B1840" s="105">
        <f t="shared" si="144"/>
        <v>1837</v>
      </c>
      <c r="C1840" s="107">
        <f t="shared" si="145"/>
        <v>17</v>
      </c>
      <c r="D1840" s="107">
        <f t="shared" si="146"/>
        <v>26</v>
      </c>
      <c r="E1840" s="15">
        <f t="shared" si="142"/>
        <v>409</v>
      </c>
      <c r="F1840" s="110">
        <f t="shared" si="143"/>
        <v>527</v>
      </c>
    </row>
    <row r="1841" spans="2:6" x14ac:dyDescent="0.25">
      <c r="B1841" s="105">
        <f t="shared" si="144"/>
        <v>1838</v>
      </c>
      <c r="C1841" s="107">
        <f t="shared" si="145"/>
        <v>18</v>
      </c>
      <c r="D1841" s="107">
        <f t="shared" si="146"/>
        <v>26</v>
      </c>
      <c r="E1841" s="15">
        <f t="shared" si="142"/>
        <v>409</v>
      </c>
      <c r="F1841" s="110">
        <f t="shared" si="143"/>
        <v>478</v>
      </c>
    </row>
    <row r="1842" spans="2:6" x14ac:dyDescent="0.25">
      <c r="B1842" s="105">
        <f t="shared" si="144"/>
        <v>1839</v>
      </c>
      <c r="C1842" s="107">
        <f t="shared" si="145"/>
        <v>19</v>
      </c>
      <c r="D1842" s="107">
        <f t="shared" si="146"/>
        <v>26</v>
      </c>
      <c r="E1842" s="15">
        <f t="shared" si="142"/>
        <v>409</v>
      </c>
      <c r="F1842" s="110">
        <f t="shared" si="143"/>
        <v>474</v>
      </c>
    </row>
    <row r="1843" spans="2:6" x14ac:dyDescent="0.25">
      <c r="B1843" s="105">
        <f t="shared" si="144"/>
        <v>1840</v>
      </c>
      <c r="C1843" s="107">
        <f t="shared" si="145"/>
        <v>20</v>
      </c>
      <c r="D1843" s="107">
        <f t="shared" si="146"/>
        <v>26</v>
      </c>
      <c r="E1843" s="15">
        <f t="shared" si="142"/>
        <v>409</v>
      </c>
      <c r="F1843" s="110">
        <f t="shared" si="143"/>
        <v>468</v>
      </c>
    </row>
    <row r="1844" spans="2:6" x14ac:dyDescent="0.25">
      <c r="B1844" s="105">
        <f t="shared" si="144"/>
        <v>1841</v>
      </c>
      <c r="C1844" s="107">
        <f t="shared" si="145"/>
        <v>21</v>
      </c>
      <c r="D1844" s="107">
        <f t="shared" si="146"/>
        <v>26</v>
      </c>
      <c r="E1844" s="15">
        <f t="shared" si="142"/>
        <v>409</v>
      </c>
      <c r="F1844" s="110">
        <f t="shared" si="143"/>
        <v>457</v>
      </c>
    </row>
    <row r="1845" spans="2:6" x14ac:dyDescent="0.25">
      <c r="B1845" s="105">
        <f t="shared" si="144"/>
        <v>1842</v>
      </c>
      <c r="C1845" s="107">
        <f t="shared" si="145"/>
        <v>22</v>
      </c>
      <c r="D1845" s="107">
        <f t="shared" si="146"/>
        <v>26</v>
      </c>
      <c r="E1845" s="15">
        <f t="shared" si="142"/>
        <v>409</v>
      </c>
      <c r="F1845" s="110">
        <f t="shared" si="143"/>
        <v>452</v>
      </c>
    </row>
    <row r="1846" spans="2:6" x14ac:dyDescent="0.25">
      <c r="B1846" s="105">
        <f t="shared" si="144"/>
        <v>1843</v>
      </c>
      <c r="C1846" s="107">
        <f t="shared" si="145"/>
        <v>23</v>
      </c>
      <c r="D1846" s="107">
        <f t="shared" si="146"/>
        <v>26</v>
      </c>
      <c r="E1846" s="15">
        <f t="shared" si="142"/>
        <v>409</v>
      </c>
      <c r="F1846" s="110">
        <f t="shared" si="143"/>
        <v>442</v>
      </c>
    </row>
    <row r="1847" spans="2:6" x14ac:dyDescent="0.25">
      <c r="B1847" s="105">
        <f t="shared" si="144"/>
        <v>1844</v>
      </c>
      <c r="C1847" s="107">
        <f t="shared" si="145"/>
        <v>24</v>
      </c>
      <c r="D1847" s="107">
        <f t="shared" si="146"/>
        <v>26</v>
      </c>
      <c r="E1847" s="15">
        <f t="shared" si="142"/>
        <v>409</v>
      </c>
      <c r="F1847" s="110">
        <f t="shared" si="143"/>
        <v>420</v>
      </c>
    </row>
    <row r="1848" spans="2:6" x14ac:dyDescent="0.25">
      <c r="B1848" s="105">
        <f t="shared" si="144"/>
        <v>1845</v>
      </c>
      <c r="C1848" s="107">
        <f t="shared" si="145"/>
        <v>25</v>
      </c>
      <c r="D1848" s="107">
        <f t="shared" si="146"/>
        <v>26</v>
      </c>
      <c r="E1848" s="15">
        <f t="shared" si="142"/>
        <v>409</v>
      </c>
      <c r="F1848" s="110">
        <f t="shared" si="143"/>
        <v>410</v>
      </c>
    </row>
    <row r="1849" spans="2:6" x14ac:dyDescent="0.25">
      <c r="B1849" s="105">
        <f t="shared" si="144"/>
        <v>1846</v>
      </c>
      <c r="C1849" s="107">
        <f t="shared" si="145"/>
        <v>1</v>
      </c>
      <c r="D1849" s="107">
        <f t="shared" si="146"/>
        <v>25</v>
      </c>
      <c r="E1849" s="15">
        <f t="shared" si="142"/>
        <v>410</v>
      </c>
      <c r="F1849" s="110">
        <f t="shared" si="143"/>
        <v>1048</v>
      </c>
    </row>
    <row r="1850" spans="2:6" x14ac:dyDescent="0.25">
      <c r="B1850" s="105">
        <f t="shared" si="144"/>
        <v>1847</v>
      </c>
      <c r="C1850" s="107">
        <f t="shared" si="145"/>
        <v>2</v>
      </c>
      <c r="D1850" s="107">
        <f t="shared" si="146"/>
        <v>25</v>
      </c>
      <c r="E1850" s="15">
        <f t="shared" si="142"/>
        <v>410</v>
      </c>
      <c r="F1850" s="110">
        <f t="shared" si="143"/>
        <v>1025</v>
      </c>
    </row>
    <row r="1851" spans="2:6" x14ac:dyDescent="0.25">
      <c r="B1851" s="105">
        <f t="shared" si="144"/>
        <v>1848</v>
      </c>
      <c r="C1851" s="107">
        <f t="shared" si="145"/>
        <v>3</v>
      </c>
      <c r="D1851" s="107">
        <f t="shared" si="146"/>
        <v>25</v>
      </c>
      <c r="E1851" s="15">
        <f t="shared" si="142"/>
        <v>410</v>
      </c>
      <c r="F1851" s="110">
        <f t="shared" si="143"/>
        <v>805</v>
      </c>
    </row>
    <row r="1852" spans="2:6" x14ac:dyDescent="0.25">
      <c r="B1852" s="105">
        <f t="shared" si="144"/>
        <v>1849</v>
      </c>
      <c r="C1852" s="107">
        <f t="shared" si="145"/>
        <v>4</v>
      </c>
      <c r="D1852" s="107">
        <f t="shared" si="146"/>
        <v>25</v>
      </c>
      <c r="E1852" s="15">
        <f t="shared" si="142"/>
        <v>410</v>
      </c>
      <c r="F1852" s="110">
        <f t="shared" si="143"/>
        <v>666</v>
      </c>
    </row>
    <row r="1853" spans="2:6" x14ac:dyDescent="0.25">
      <c r="B1853" s="105">
        <f t="shared" si="144"/>
        <v>1850</v>
      </c>
      <c r="C1853" s="107">
        <f t="shared" si="145"/>
        <v>5</v>
      </c>
      <c r="D1853" s="107">
        <f t="shared" si="146"/>
        <v>25</v>
      </c>
      <c r="E1853" s="15">
        <f t="shared" si="142"/>
        <v>410</v>
      </c>
      <c r="F1853" s="110">
        <f t="shared" si="143"/>
        <v>655</v>
      </c>
    </row>
    <row r="1854" spans="2:6" x14ac:dyDescent="0.25">
      <c r="B1854" s="105">
        <f t="shared" si="144"/>
        <v>1851</v>
      </c>
      <c r="C1854" s="107">
        <f t="shared" si="145"/>
        <v>6</v>
      </c>
      <c r="D1854" s="107">
        <f t="shared" si="146"/>
        <v>25</v>
      </c>
      <c r="E1854" s="15">
        <f t="shared" si="142"/>
        <v>410</v>
      </c>
      <c r="F1854" s="110">
        <f t="shared" si="143"/>
        <v>652</v>
      </c>
    </row>
    <row r="1855" spans="2:6" x14ac:dyDescent="0.25">
      <c r="B1855" s="105">
        <f t="shared" si="144"/>
        <v>1852</v>
      </c>
      <c r="C1855" s="107">
        <f t="shared" si="145"/>
        <v>7</v>
      </c>
      <c r="D1855" s="107">
        <f t="shared" si="146"/>
        <v>25</v>
      </c>
      <c r="E1855" s="15">
        <f t="shared" si="142"/>
        <v>410</v>
      </c>
      <c r="F1855" s="110">
        <f t="shared" si="143"/>
        <v>633</v>
      </c>
    </row>
    <row r="1856" spans="2:6" x14ac:dyDescent="0.25">
      <c r="B1856" s="105">
        <f t="shared" si="144"/>
        <v>1853</v>
      </c>
      <c r="C1856" s="107">
        <f t="shared" si="145"/>
        <v>8</v>
      </c>
      <c r="D1856" s="107">
        <f t="shared" si="146"/>
        <v>25</v>
      </c>
      <c r="E1856" s="15">
        <f t="shared" si="142"/>
        <v>410</v>
      </c>
      <c r="F1856" s="110">
        <f t="shared" si="143"/>
        <v>632</v>
      </c>
    </row>
    <row r="1857" spans="2:6" x14ac:dyDescent="0.25">
      <c r="B1857" s="105">
        <f t="shared" si="144"/>
        <v>1854</v>
      </c>
      <c r="C1857" s="107">
        <f t="shared" si="145"/>
        <v>9</v>
      </c>
      <c r="D1857" s="107">
        <f t="shared" si="146"/>
        <v>25</v>
      </c>
      <c r="E1857" s="15">
        <f t="shared" si="142"/>
        <v>410</v>
      </c>
      <c r="F1857" s="110">
        <f t="shared" si="143"/>
        <v>625</v>
      </c>
    </row>
    <row r="1858" spans="2:6" x14ac:dyDescent="0.25">
      <c r="B1858" s="105">
        <f t="shared" si="144"/>
        <v>1855</v>
      </c>
      <c r="C1858" s="107">
        <f t="shared" si="145"/>
        <v>10</v>
      </c>
      <c r="D1858" s="107">
        <f t="shared" si="146"/>
        <v>25</v>
      </c>
      <c r="E1858" s="15">
        <f t="shared" si="142"/>
        <v>410</v>
      </c>
      <c r="F1858" s="110">
        <f t="shared" si="143"/>
        <v>619</v>
      </c>
    </row>
    <row r="1859" spans="2:6" x14ac:dyDescent="0.25">
      <c r="B1859" s="105">
        <f t="shared" si="144"/>
        <v>1856</v>
      </c>
      <c r="C1859" s="107">
        <f t="shared" si="145"/>
        <v>11</v>
      </c>
      <c r="D1859" s="107">
        <f t="shared" si="146"/>
        <v>25</v>
      </c>
      <c r="E1859" s="15">
        <f t="shared" si="142"/>
        <v>410</v>
      </c>
      <c r="F1859" s="110">
        <f t="shared" si="143"/>
        <v>610</v>
      </c>
    </row>
    <row r="1860" spans="2:6" x14ac:dyDescent="0.25">
      <c r="B1860" s="105">
        <f t="shared" si="144"/>
        <v>1857</v>
      </c>
      <c r="C1860" s="107">
        <f t="shared" si="145"/>
        <v>12</v>
      </c>
      <c r="D1860" s="107">
        <f t="shared" si="146"/>
        <v>25</v>
      </c>
      <c r="E1860" s="15">
        <f t="shared" ref="E1860:E1923" si="147">IFERROR(VLOOKUP(D1860,$H$4:$I$69,2,0),"")</f>
        <v>410</v>
      </c>
      <c r="F1860" s="110">
        <f t="shared" ref="F1860:F1923" si="148">IFERROR(VLOOKUP(C1860,$H$4:$I$69,2,0),"")</f>
        <v>599</v>
      </c>
    </row>
    <row r="1861" spans="2:6" x14ac:dyDescent="0.25">
      <c r="B1861" s="105">
        <f t="shared" ref="B1861:B1894" si="149">ROW()-3</f>
        <v>1858</v>
      </c>
      <c r="C1861" s="107">
        <f t="shared" si="145"/>
        <v>13</v>
      </c>
      <c r="D1861" s="107">
        <f t="shared" si="146"/>
        <v>25</v>
      </c>
      <c r="E1861" s="15">
        <f t="shared" si="147"/>
        <v>410</v>
      </c>
      <c r="F1861" s="110">
        <f t="shared" si="148"/>
        <v>559</v>
      </c>
    </row>
    <row r="1862" spans="2:6" x14ac:dyDescent="0.25">
      <c r="B1862" s="105">
        <f t="shared" si="149"/>
        <v>1859</v>
      </c>
      <c r="C1862" s="107">
        <f t="shared" ref="C1862:C1891" si="150">IF((D1861-C1861)=1,1,C1861+1)</f>
        <v>14</v>
      </c>
      <c r="D1862" s="107">
        <f t="shared" ref="D1862:D1891" si="151">IF((D1861-C1861)=1,D1861-1,D1861)</f>
        <v>25</v>
      </c>
      <c r="E1862" s="15">
        <f t="shared" si="147"/>
        <v>410</v>
      </c>
      <c r="F1862" s="110">
        <f t="shared" si="148"/>
        <v>556</v>
      </c>
    </row>
    <row r="1863" spans="2:6" x14ac:dyDescent="0.25">
      <c r="B1863" s="105">
        <f t="shared" si="149"/>
        <v>1860</v>
      </c>
      <c r="C1863" s="107">
        <f t="shared" si="150"/>
        <v>15</v>
      </c>
      <c r="D1863" s="107">
        <f t="shared" si="151"/>
        <v>25</v>
      </c>
      <c r="E1863" s="15">
        <f t="shared" si="147"/>
        <v>410</v>
      </c>
      <c r="F1863" s="110">
        <f t="shared" si="148"/>
        <v>540</v>
      </c>
    </row>
    <row r="1864" spans="2:6" x14ac:dyDescent="0.25">
      <c r="B1864" s="105">
        <f t="shared" si="149"/>
        <v>1861</v>
      </c>
      <c r="C1864" s="107">
        <f t="shared" si="150"/>
        <v>16</v>
      </c>
      <c r="D1864" s="107">
        <f t="shared" si="151"/>
        <v>25</v>
      </c>
      <c r="E1864" s="15">
        <f t="shared" si="147"/>
        <v>410</v>
      </c>
      <c r="F1864" s="110">
        <f t="shared" si="148"/>
        <v>536</v>
      </c>
    </row>
    <row r="1865" spans="2:6" x14ac:dyDescent="0.25">
      <c r="B1865" s="105">
        <f t="shared" si="149"/>
        <v>1862</v>
      </c>
      <c r="C1865" s="107">
        <f t="shared" si="150"/>
        <v>17</v>
      </c>
      <c r="D1865" s="107">
        <f t="shared" si="151"/>
        <v>25</v>
      </c>
      <c r="E1865" s="15">
        <f t="shared" si="147"/>
        <v>410</v>
      </c>
      <c r="F1865" s="110">
        <f t="shared" si="148"/>
        <v>527</v>
      </c>
    </row>
    <row r="1866" spans="2:6" x14ac:dyDescent="0.25">
      <c r="B1866" s="105">
        <f t="shared" si="149"/>
        <v>1863</v>
      </c>
      <c r="C1866" s="107">
        <f t="shared" si="150"/>
        <v>18</v>
      </c>
      <c r="D1866" s="107">
        <f t="shared" si="151"/>
        <v>25</v>
      </c>
      <c r="E1866" s="15">
        <f t="shared" si="147"/>
        <v>410</v>
      </c>
      <c r="F1866" s="110">
        <f t="shared" si="148"/>
        <v>478</v>
      </c>
    </row>
    <row r="1867" spans="2:6" x14ac:dyDescent="0.25">
      <c r="B1867" s="105">
        <f t="shared" si="149"/>
        <v>1864</v>
      </c>
      <c r="C1867" s="107">
        <f t="shared" si="150"/>
        <v>19</v>
      </c>
      <c r="D1867" s="107">
        <f t="shared" si="151"/>
        <v>25</v>
      </c>
      <c r="E1867" s="15">
        <f t="shared" si="147"/>
        <v>410</v>
      </c>
      <c r="F1867" s="110">
        <f t="shared" si="148"/>
        <v>474</v>
      </c>
    </row>
    <row r="1868" spans="2:6" x14ac:dyDescent="0.25">
      <c r="B1868" s="105">
        <f t="shared" si="149"/>
        <v>1865</v>
      </c>
      <c r="C1868" s="107">
        <f t="shared" si="150"/>
        <v>20</v>
      </c>
      <c r="D1868" s="107">
        <f t="shared" si="151"/>
        <v>25</v>
      </c>
      <c r="E1868" s="15">
        <f t="shared" si="147"/>
        <v>410</v>
      </c>
      <c r="F1868" s="110">
        <f t="shared" si="148"/>
        <v>468</v>
      </c>
    </row>
    <row r="1869" spans="2:6" x14ac:dyDescent="0.25">
      <c r="B1869" s="105">
        <f t="shared" si="149"/>
        <v>1866</v>
      </c>
      <c r="C1869" s="107">
        <f t="shared" si="150"/>
        <v>21</v>
      </c>
      <c r="D1869" s="107">
        <f t="shared" si="151"/>
        <v>25</v>
      </c>
      <c r="E1869" s="15">
        <f t="shared" si="147"/>
        <v>410</v>
      </c>
      <c r="F1869" s="110">
        <f t="shared" si="148"/>
        <v>457</v>
      </c>
    </row>
    <row r="1870" spans="2:6" x14ac:dyDescent="0.25">
      <c r="B1870" s="105">
        <f t="shared" si="149"/>
        <v>1867</v>
      </c>
      <c r="C1870" s="107">
        <f t="shared" si="150"/>
        <v>22</v>
      </c>
      <c r="D1870" s="107">
        <f t="shared" si="151"/>
        <v>25</v>
      </c>
      <c r="E1870" s="15">
        <f t="shared" si="147"/>
        <v>410</v>
      </c>
      <c r="F1870" s="110">
        <f t="shared" si="148"/>
        <v>452</v>
      </c>
    </row>
    <row r="1871" spans="2:6" x14ac:dyDescent="0.25">
      <c r="B1871" s="105">
        <f t="shared" si="149"/>
        <v>1868</v>
      </c>
      <c r="C1871" s="107">
        <f t="shared" si="150"/>
        <v>23</v>
      </c>
      <c r="D1871" s="107">
        <f t="shared" si="151"/>
        <v>25</v>
      </c>
      <c r="E1871" s="15">
        <f t="shared" si="147"/>
        <v>410</v>
      </c>
      <c r="F1871" s="110">
        <f t="shared" si="148"/>
        <v>442</v>
      </c>
    </row>
    <row r="1872" spans="2:6" x14ac:dyDescent="0.25">
      <c r="B1872" s="105">
        <f t="shared" si="149"/>
        <v>1869</v>
      </c>
      <c r="C1872" s="107">
        <f t="shared" si="150"/>
        <v>24</v>
      </c>
      <c r="D1872" s="107">
        <f t="shared" si="151"/>
        <v>25</v>
      </c>
      <c r="E1872" s="15">
        <f t="shared" si="147"/>
        <v>410</v>
      </c>
      <c r="F1872" s="110">
        <f t="shared" si="148"/>
        <v>420</v>
      </c>
    </row>
    <row r="1873" spans="2:6" x14ac:dyDescent="0.25">
      <c r="B1873" s="105">
        <f t="shared" si="149"/>
        <v>1870</v>
      </c>
      <c r="C1873" s="107">
        <f t="shared" si="150"/>
        <v>1</v>
      </c>
      <c r="D1873" s="107">
        <f t="shared" si="151"/>
        <v>24</v>
      </c>
      <c r="E1873" s="15">
        <f t="shared" si="147"/>
        <v>420</v>
      </c>
      <c r="F1873" s="110">
        <f t="shared" si="148"/>
        <v>1048</v>
      </c>
    </row>
    <row r="1874" spans="2:6" x14ac:dyDescent="0.25">
      <c r="B1874" s="105">
        <f t="shared" si="149"/>
        <v>1871</v>
      </c>
      <c r="C1874" s="107">
        <f t="shared" si="150"/>
        <v>2</v>
      </c>
      <c r="D1874" s="107">
        <f t="shared" si="151"/>
        <v>24</v>
      </c>
      <c r="E1874" s="15">
        <f t="shared" si="147"/>
        <v>420</v>
      </c>
      <c r="F1874" s="110">
        <f t="shared" si="148"/>
        <v>1025</v>
      </c>
    </row>
    <row r="1875" spans="2:6" x14ac:dyDescent="0.25">
      <c r="B1875" s="105">
        <f t="shared" si="149"/>
        <v>1872</v>
      </c>
      <c r="C1875" s="107">
        <f t="shared" si="150"/>
        <v>3</v>
      </c>
      <c r="D1875" s="107">
        <f t="shared" si="151"/>
        <v>24</v>
      </c>
      <c r="E1875" s="15">
        <f t="shared" si="147"/>
        <v>420</v>
      </c>
      <c r="F1875" s="110">
        <f t="shared" si="148"/>
        <v>805</v>
      </c>
    </row>
    <row r="1876" spans="2:6" x14ac:dyDescent="0.25">
      <c r="B1876" s="105">
        <f t="shared" si="149"/>
        <v>1873</v>
      </c>
      <c r="C1876" s="107">
        <f t="shared" si="150"/>
        <v>4</v>
      </c>
      <c r="D1876" s="107">
        <f t="shared" si="151"/>
        <v>24</v>
      </c>
      <c r="E1876" s="15">
        <f t="shared" si="147"/>
        <v>420</v>
      </c>
      <c r="F1876" s="110">
        <f t="shared" si="148"/>
        <v>666</v>
      </c>
    </row>
    <row r="1877" spans="2:6" x14ac:dyDescent="0.25">
      <c r="B1877" s="105">
        <f t="shared" si="149"/>
        <v>1874</v>
      </c>
      <c r="C1877" s="107">
        <f t="shared" si="150"/>
        <v>5</v>
      </c>
      <c r="D1877" s="107">
        <f t="shared" si="151"/>
        <v>24</v>
      </c>
      <c r="E1877" s="15">
        <f t="shared" si="147"/>
        <v>420</v>
      </c>
      <c r="F1877" s="110">
        <f t="shared" si="148"/>
        <v>655</v>
      </c>
    </row>
    <row r="1878" spans="2:6" x14ac:dyDescent="0.25">
      <c r="B1878" s="105">
        <f t="shared" si="149"/>
        <v>1875</v>
      </c>
      <c r="C1878" s="107">
        <f t="shared" si="150"/>
        <v>6</v>
      </c>
      <c r="D1878" s="107">
        <f t="shared" si="151"/>
        <v>24</v>
      </c>
      <c r="E1878" s="15">
        <f t="shared" si="147"/>
        <v>420</v>
      </c>
      <c r="F1878" s="110">
        <f t="shared" si="148"/>
        <v>652</v>
      </c>
    </row>
    <row r="1879" spans="2:6" x14ac:dyDescent="0.25">
      <c r="B1879" s="105">
        <f t="shared" si="149"/>
        <v>1876</v>
      </c>
      <c r="C1879" s="107">
        <f t="shared" si="150"/>
        <v>7</v>
      </c>
      <c r="D1879" s="107">
        <f t="shared" si="151"/>
        <v>24</v>
      </c>
      <c r="E1879" s="15">
        <f t="shared" si="147"/>
        <v>420</v>
      </c>
      <c r="F1879" s="110">
        <f t="shared" si="148"/>
        <v>633</v>
      </c>
    </row>
    <row r="1880" spans="2:6" x14ac:dyDescent="0.25">
      <c r="B1880" s="105">
        <f t="shared" si="149"/>
        <v>1877</v>
      </c>
      <c r="C1880" s="107">
        <f t="shared" si="150"/>
        <v>8</v>
      </c>
      <c r="D1880" s="107">
        <f t="shared" si="151"/>
        <v>24</v>
      </c>
      <c r="E1880" s="15">
        <f t="shared" si="147"/>
        <v>420</v>
      </c>
      <c r="F1880" s="110">
        <f t="shared" si="148"/>
        <v>632</v>
      </c>
    </row>
    <row r="1881" spans="2:6" x14ac:dyDescent="0.25">
      <c r="B1881" s="105">
        <f t="shared" si="149"/>
        <v>1878</v>
      </c>
      <c r="C1881" s="107">
        <f t="shared" si="150"/>
        <v>9</v>
      </c>
      <c r="D1881" s="107">
        <f t="shared" si="151"/>
        <v>24</v>
      </c>
      <c r="E1881" s="15">
        <f t="shared" si="147"/>
        <v>420</v>
      </c>
      <c r="F1881" s="110">
        <f t="shared" si="148"/>
        <v>625</v>
      </c>
    </row>
    <row r="1882" spans="2:6" x14ac:dyDescent="0.25">
      <c r="B1882" s="105">
        <f t="shared" si="149"/>
        <v>1879</v>
      </c>
      <c r="C1882" s="107">
        <f t="shared" si="150"/>
        <v>10</v>
      </c>
      <c r="D1882" s="107">
        <f t="shared" si="151"/>
        <v>24</v>
      </c>
      <c r="E1882" s="15">
        <f t="shared" si="147"/>
        <v>420</v>
      </c>
      <c r="F1882" s="110">
        <f t="shared" si="148"/>
        <v>619</v>
      </c>
    </row>
    <row r="1883" spans="2:6" x14ac:dyDescent="0.25">
      <c r="B1883" s="105">
        <f t="shared" si="149"/>
        <v>1880</v>
      </c>
      <c r="C1883" s="107">
        <f t="shared" si="150"/>
        <v>11</v>
      </c>
      <c r="D1883" s="107">
        <f t="shared" si="151"/>
        <v>24</v>
      </c>
      <c r="E1883" s="15">
        <f t="shared" si="147"/>
        <v>420</v>
      </c>
      <c r="F1883" s="110">
        <f t="shared" si="148"/>
        <v>610</v>
      </c>
    </row>
    <row r="1884" spans="2:6" x14ac:dyDescent="0.25">
      <c r="B1884" s="105">
        <f t="shared" si="149"/>
        <v>1881</v>
      </c>
      <c r="C1884" s="107">
        <f t="shared" si="150"/>
        <v>12</v>
      </c>
      <c r="D1884" s="107">
        <f t="shared" si="151"/>
        <v>24</v>
      </c>
      <c r="E1884" s="15">
        <f t="shared" si="147"/>
        <v>420</v>
      </c>
      <c r="F1884" s="110">
        <f t="shared" si="148"/>
        <v>599</v>
      </c>
    </row>
    <row r="1885" spans="2:6" x14ac:dyDescent="0.25">
      <c r="B1885" s="105">
        <f t="shared" si="149"/>
        <v>1882</v>
      </c>
      <c r="C1885" s="107">
        <f t="shared" si="150"/>
        <v>13</v>
      </c>
      <c r="D1885" s="107">
        <f t="shared" si="151"/>
        <v>24</v>
      </c>
      <c r="E1885" s="15">
        <f t="shared" si="147"/>
        <v>420</v>
      </c>
      <c r="F1885" s="110">
        <f t="shared" si="148"/>
        <v>559</v>
      </c>
    </row>
    <row r="1886" spans="2:6" x14ac:dyDescent="0.25">
      <c r="B1886" s="105">
        <f t="shared" si="149"/>
        <v>1883</v>
      </c>
      <c r="C1886" s="107">
        <f t="shared" si="150"/>
        <v>14</v>
      </c>
      <c r="D1886" s="107">
        <f t="shared" si="151"/>
        <v>24</v>
      </c>
      <c r="E1886" s="15">
        <f t="shared" si="147"/>
        <v>420</v>
      </c>
      <c r="F1886" s="110">
        <f t="shared" si="148"/>
        <v>556</v>
      </c>
    </row>
    <row r="1887" spans="2:6" x14ac:dyDescent="0.25">
      <c r="B1887" s="105">
        <f t="shared" si="149"/>
        <v>1884</v>
      </c>
      <c r="C1887" s="107">
        <f t="shared" si="150"/>
        <v>15</v>
      </c>
      <c r="D1887" s="107">
        <f t="shared" si="151"/>
        <v>24</v>
      </c>
      <c r="E1887" s="15">
        <f t="shared" si="147"/>
        <v>420</v>
      </c>
      <c r="F1887" s="110">
        <f t="shared" si="148"/>
        <v>540</v>
      </c>
    </row>
    <row r="1888" spans="2:6" x14ac:dyDescent="0.25">
      <c r="B1888" s="105">
        <f t="shared" si="149"/>
        <v>1885</v>
      </c>
      <c r="C1888" s="107">
        <f t="shared" si="150"/>
        <v>16</v>
      </c>
      <c r="D1888" s="107">
        <f t="shared" si="151"/>
        <v>24</v>
      </c>
      <c r="E1888" s="15">
        <f t="shared" si="147"/>
        <v>420</v>
      </c>
      <c r="F1888" s="110">
        <f t="shared" si="148"/>
        <v>536</v>
      </c>
    </row>
    <row r="1889" spans="2:6" x14ac:dyDescent="0.25">
      <c r="B1889" s="105">
        <f t="shared" si="149"/>
        <v>1886</v>
      </c>
      <c r="C1889" s="107">
        <f t="shared" si="150"/>
        <v>17</v>
      </c>
      <c r="D1889" s="107">
        <f t="shared" si="151"/>
        <v>24</v>
      </c>
      <c r="E1889" s="15">
        <f t="shared" si="147"/>
        <v>420</v>
      </c>
      <c r="F1889" s="110">
        <f t="shared" si="148"/>
        <v>527</v>
      </c>
    </row>
    <row r="1890" spans="2:6" x14ac:dyDescent="0.25">
      <c r="B1890" s="105">
        <f t="shared" si="149"/>
        <v>1887</v>
      </c>
      <c r="C1890" s="107">
        <f t="shared" si="150"/>
        <v>18</v>
      </c>
      <c r="D1890" s="107">
        <f t="shared" si="151"/>
        <v>24</v>
      </c>
      <c r="E1890" s="15">
        <f t="shared" si="147"/>
        <v>420</v>
      </c>
      <c r="F1890" s="110">
        <f t="shared" si="148"/>
        <v>478</v>
      </c>
    </row>
    <row r="1891" spans="2:6" x14ac:dyDescent="0.25">
      <c r="B1891" s="105">
        <f t="shared" si="149"/>
        <v>1888</v>
      </c>
      <c r="C1891" s="107">
        <f t="shared" si="150"/>
        <v>19</v>
      </c>
      <c r="D1891" s="107">
        <f t="shared" si="151"/>
        <v>24</v>
      </c>
      <c r="E1891" s="15">
        <f t="shared" si="147"/>
        <v>420</v>
      </c>
      <c r="F1891" s="110">
        <f t="shared" si="148"/>
        <v>474</v>
      </c>
    </row>
    <row r="1892" spans="2:6" x14ac:dyDescent="0.25">
      <c r="B1892" s="105">
        <f t="shared" si="149"/>
        <v>1889</v>
      </c>
      <c r="C1892" s="107">
        <f t="shared" ref="C1892:C1894" si="152">IF((D1891-C1891)=1,1,C1891+1)</f>
        <v>20</v>
      </c>
      <c r="D1892" s="107">
        <f t="shared" ref="D1892:D1894" si="153">IF((D1891-C1891)=1,D1891-1,D1891)</f>
        <v>24</v>
      </c>
      <c r="E1892" s="15">
        <f t="shared" si="147"/>
        <v>420</v>
      </c>
      <c r="F1892" s="110">
        <f t="shared" si="148"/>
        <v>468</v>
      </c>
    </row>
    <row r="1893" spans="2:6" x14ac:dyDescent="0.25">
      <c r="B1893" s="105">
        <f t="shared" si="149"/>
        <v>1890</v>
      </c>
      <c r="C1893" s="107">
        <f t="shared" si="152"/>
        <v>21</v>
      </c>
      <c r="D1893" s="107">
        <f t="shared" si="153"/>
        <v>24</v>
      </c>
      <c r="E1893" s="15">
        <f t="shared" si="147"/>
        <v>420</v>
      </c>
      <c r="F1893" s="110">
        <f t="shared" si="148"/>
        <v>457</v>
      </c>
    </row>
    <row r="1894" spans="2:6" x14ac:dyDescent="0.25">
      <c r="B1894" s="105">
        <f t="shared" si="149"/>
        <v>1891</v>
      </c>
      <c r="C1894" s="107">
        <f t="shared" si="152"/>
        <v>22</v>
      </c>
      <c r="D1894" s="107">
        <f t="shared" si="153"/>
        <v>24</v>
      </c>
      <c r="E1894" s="15">
        <f t="shared" si="147"/>
        <v>420</v>
      </c>
      <c r="F1894" s="110">
        <f t="shared" si="148"/>
        <v>452</v>
      </c>
    </row>
    <row r="1895" spans="2:6" x14ac:dyDescent="0.25">
      <c r="B1895" s="105">
        <f t="shared" ref="B1895:B1958" si="154">ROW()-3</f>
        <v>1892</v>
      </c>
      <c r="C1895" s="107">
        <f t="shared" ref="C1895:C1958" si="155">IF((D1894-C1894)=1,1,C1894+1)</f>
        <v>23</v>
      </c>
      <c r="D1895" s="107">
        <f t="shared" ref="D1895:D1958" si="156">IF((D1894-C1894)=1,D1894-1,D1894)</f>
        <v>24</v>
      </c>
      <c r="E1895" s="107">
        <f t="shared" si="147"/>
        <v>420</v>
      </c>
      <c r="F1895" s="138">
        <f t="shared" si="148"/>
        <v>442</v>
      </c>
    </row>
    <row r="1896" spans="2:6" x14ac:dyDescent="0.25">
      <c r="B1896" s="105">
        <f t="shared" si="154"/>
        <v>1893</v>
      </c>
      <c r="C1896" s="107">
        <f t="shared" si="155"/>
        <v>1</v>
      </c>
      <c r="D1896" s="107">
        <f t="shared" si="156"/>
        <v>23</v>
      </c>
      <c r="E1896" s="107">
        <f t="shared" si="147"/>
        <v>442</v>
      </c>
      <c r="F1896" s="138">
        <f t="shared" si="148"/>
        <v>1048</v>
      </c>
    </row>
    <row r="1897" spans="2:6" x14ac:dyDescent="0.25">
      <c r="B1897" s="105">
        <f t="shared" si="154"/>
        <v>1894</v>
      </c>
      <c r="C1897" s="107">
        <f t="shared" si="155"/>
        <v>2</v>
      </c>
      <c r="D1897" s="107">
        <f t="shared" si="156"/>
        <v>23</v>
      </c>
      <c r="E1897" s="107">
        <f t="shared" si="147"/>
        <v>442</v>
      </c>
      <c r="F1897" s="138">
        <f t="shared" si="148"/>
        <v>1025</v>
      </c>
    </row>
    <row r="1898" spans="2:6" x14ac:dyDescent="0.25">
      <c r="B1898" s="105">
        <f t="shared" si="154"/>
        <v>1895</v>
      </c>
      <c r="C1898" s="107">
        <f t="shared" si="155"/>
        <v>3</v>
      </c>
      <c r="D1898" s="107">
        <f t="shared" si="156"/>
        <v>23</v>
      </c>
      <c r="E1898" s="107">
        <f t="shared" si="147"/>
        <v>442</v>
      </c>
      <c r="F1898" s="138">
        <f t="shared" si="148"/>
        <v>805</v>
      </c>
    </row>
    <row r="1899" spans="2:6" x14ac:dyDescent="0.25">
      <c r="B1899" s="105">
        <f t="shared" si="154"/>
        <v>1896</v>
      </c>
      <c r="C1899" s="107">
        <f t="shared" si="155"/>
        <v>4</v>
      </c>
      <c r="D1899" s="107">
        <f t="shared" si="156"/>
        <v>23</v>
      </c>
      <c r="E1899" s="107">
        <f t="shared" si="147"/>
        <v>442</v>
      </c>
      <c r="F1899" s="138">
        <f t="shared" si="148"/>
        <v>666</v>
      </c>
    </row>
    <row r="1900" spans="2:6" x14ac:dyDescent="0.25">
      <c r="B1900" s="105">
        <f t="shared" si="154"/>
        <v>1897</v>
      </c>
      <c r="C1900" s="107">
        <f t="shared" si="155"/>
        <v>5</v>
      </c>
      <c r="D1900" s="107">
        <f t="shared" si="156"/>
        <v>23</v>
      </c>
      <c r="E1900" s="107">
        <f t="shared" si="147"/>
        <v>442</v>
      </c>
      <c r="F1900" s="138">
        <f t="shared" si="148"/>
        <v>655</v>
      </c>
    </row>
    <row r="1901" spans="2:6" x14ac:dyDescent="0.25">
      <c r="B1901" s="105">
        <f t="shared" si="154"/>
        <v>1898</v>
      </c>
      <c r="C1901" s="107">
        <f t="shared" si="155"/>
        <v>6</v>
      </c>
      <c r="D1901" s="107">
        <f t="shared" si="156"/>
        <v>23</v>
      </c>
      <c r="E1901" s="107">
        <f t="shared" si="147"/>
        <v>442</v>
      </c>
      <c r="F1901" s="138">
        <f t="shared" si="148"/>
        <v>652</v>
      </c>
    </row>
    <row r="1902" spans="2:6" x14ac:dyDescent="0.25">
      <c r="B1902" s="105">
        <f t="shared" si="154"/>
        <v>1899</v>
      </c>
      <c r="C1902" s="107">
        <f t="shared" si="155"/>
        <v>7</v>
      </c>
      <c r="D1902" s="107">
        <f t="shared" si="156"/>
        <v>23</v>
      </c>
      <c r="E1902" s="107">
        <f t="shared" si="147"/>
        <v>442</v>
      </c>
      <c r="F1902" s="138">
        <f t="shared" si="148"/>
        <v>633</v>
      </c>
    </row>
    <row r="1903" spans="2:6" x14ac:dyDescent="0.25">
      <c r="B1903" s="105">
        <f t="shared" si="154"/>
        <v>1900</v>
      </c>
      <c r="C1903" s="107">
        <f t="shared" si="155"/>
        <v>8</v>
      </c>
      <c r="D1903" s="107">
        <f t="shared" si="156"/>
        <v>23</v>
      </c>
      <c r="E1903" s="107">
        <f t="shared" si="147"/>
        <v>442</v>
      </c>
      <c r="F1903" s="138">
        <f t="shared" si="148"/>
        <v>632</v>
      </c>
    </row>
    <row r="1904" spans="2:6" x14ac:dyDescent="0.25">
      <c r="B1904" s="105">
        <f t="shared" si="154"/>
        <v>1901</v>
      </c>
      <c r="C1904" s="107">
        <f t="shared" si="155"/>
        <v>9</v>
      </c>
      <c r="D1904" s="107">
        <f t="shared" si="156"/>
        <v>23</v>
      </c>
      <c r="E1904" s="107">
        <f t="shared" si="147"/>
        <v>442</v>
      </c>
      <c r="F1904" s="138">
        <f t="shared" si="148"/>
        <v>625</v>
      </c>
    </row>
    <row r="1905" spans="2:6" x14ac:dyDescent="0.25">
      <c r="B1905" s="105">
        <f t="shared" si="154"/>
        <v>1902</v>
      </c>
      <c r="C1905" s="107">
        <f t="shared" si="155"/>
        <v>10</v>
      </c>
      <c r="D1905" s="107">
        <f t="shared" si="156"/>
        <v>23</v>
      </c>
      <c r="E1905" s="107">
        <f t="shared" si="147"/>
        <v>442</v>
      </c>
      <c r="F1905" s="138">
        <f t="shared" si="148"/>
        <v>619</v>
      </c>
    </row>
    <row r="1906" spans="2:6" x14ac:dyDescent="0.25">
      <c r="B1906" s="105">
        <f t="shared" si="154"/>
        <v>1903</v>
      </c>
      <c r="C1906" s="107">
        <f t="shared" si="155"/>
        <v>11</v>
      </c>
      <c r="D1906" s="107">
        <f t="shared" si="156"/>
        <v>23</v>
      </c>
      <c r="E1906" s="107">
        <f t="shared" si="147"/>
        <v>442</v>
      </c>
      <c r="F1906" s="138">
        <f t="shared" si="148"/>
        <v>610</v>
      </c>
    </row>
    <row r="1907" spans="2:6" x14ac:dyDescent="0.25">
      <c r="B1907" s="105">
        <f t="shared" si="154"/>
        <v>1904</v>
      </c>
      <c r="C1907" s="107">
        <f t="shared" si="155"/>
        <v>12</v>
      </c>
      <c r="D1907" s="107">
        <f t="shared" si="156"/>
        <v>23</v>
      </c>
      <c r="E1907" s="107">
        <f t="shared" si="147"/>
        <v>442</v>
      </c>
      <c r="F1907" s="138">
        <f t="shared" si="148"/>
        <v>599</v>
      </c>
    </row>
    <row r="1908" spans="2:6" x14ac:dyDescent="0.25">
      <c r="B1908" s="105">
        <f t="shared" si="154"/>
        <v>1905</v>
      </c>
      <c r="C1908" s="107">
        <f t="shared" si="155"/>
        <v>13</v>
      </c>
      <c r="D1908" s="107">
        <f t="shared" si="156"/>
        <v>23</v>
      </c>
      <c r="E1908" s="107">
        <f t="shared" si="147"/>
        <v>442</v>
      </c>
      <c r="F1908" s="138">
        <f t="shared" si="148"/>
        <v>559</v>
      </c>
    </row>
    <row r="1909" spans="2:6" x14ac:dyDescent="0.25">
      <c r="B1909" s="105">
        <f t="shared" si="154"/>
        <v>1906</v>
      </c>
      <c r="C1909" s="107">
        <f t="shared" si="155"/>
        <v>14</v>
      </c>
      <c r="D1909" s="107">
        <f t="shared" si="156"/>
        <v>23</v>
      </c>
      <c r="E1909" s="107">
        <f t="shared" si="147"/>
        <v>442</v>
      </c>
      <c r="F1909" s="138">
        <f t="shared" si="148"/>
        <v>556</v>
      </c>
    </row>
    <row r="1910" spans="2:6" x14ac:dyDescent="0.25">
      <c r="B1910" s="105">
        <f t="shared" si="154"/>
        <v>1907</v>
      </c>
      <c r="C1910" s="107">
        <f t="shared" si="155"/>
        <v>15</v>
      </c>
      <c r="D1910" s="107">
        <f t="shared" si="156"/>
        <v>23</v>
      </c>
      <c r="E1910" s="107">
        <f t="shared" si="147"/>
        <v>442</v>
      </c>
      <c r="F1910" s="138">
        <f t="shared" si="148"/>
        <v>540</v>
      </c>
    </row>
    <row r="1911" spans="2:6" x14ac:dyDescent="0.25">
      <c r="B1911" s="105">
        <f t="shared" si="154"/>
        <v>1908</v>
      </c>
      <c r="C1911" s="107">
        <f t="shared" si="155"/>
        <v>16</v>
      </c>
      <c r="D1911" s="107">
        <f t="shared" si="156"/>
        <v>23</v>
      </c>
      <c r="E1911" s="107">
        <f t="shared" si="147"/>
        <v>442</v>
      </c>
      <c r="F1911" s="138">
        <f t="shared" si="148"/>
        <v>536</v>
      </c>
    </row>
    <row r="1912" spans="2:6" x14ac:dyDescent="0.25">
      <c r="B1912" s="105">
        <f t="shared" si="154"/>
        <v>1909</v>
      </c>
      <c r="C1912" s="107">
        <f t="shared" si="155"/>
        <v>17</v>
      </c>
      <c r="D1912" s="107">
        <f t="shared" si="156"/>
        <v>23</v>
      </c>
      <c r="E1912" s="107">
        <f t="shared" si="147"/>
        <v>442</v>
      </c>
      <c r="F1912" s="138">
        <f t="shared" si="148"/>
        <v>527</v>
      </c>
    </row>
    <row r="1913" spans="2:6" x14ac:dyDescent="0.25">
      <c r="B1913" s="105">
        <f t="shared" si="154"/>
        <v>1910</v>
      </c>
      <c r="C1913" s="107">
        <f t="shared" si="155"/>
        <v>18</v>
      </c>
      <c r="D1913" s="107">
        <f t="shared" si="156"/>
        <v>23</v>
      </c>
      <c r="E1913" s="107">
        <f t="shared" si="147"/>
        <v>442</v>
      </c>
      <c r="F1913" s="138">
        <f t="shared" si="148"/>
        <v>478</v>
      </c>
    </row>
    <row r="1914" spans="2:6" x14ac:dyDescent="0.25">
      <c r="B1914" s="105">
        <f t="shared" si="154"/>
        <v>1911</v>
      </c>
      <c r="C1914" s="107">
        <f t="shared" si="155"/>
        <v>19</v>
      </c>
      <c r="D1914" s="107">
        <f t="shared" si="156"/>
        <v>23</v>
      </c>
      <c r="E1914" s="107">
        <f t="shared" si="147"/>
        <v>442</v>
      </c>
      <c r="F1914" s="138">
        <f t="shared" si="148"/>
        <v>474</v>
      </c>
    </row>
    <row r="1915" spans="2:6" x14ac:dyDescent="0.25">
      <c r="B1915" s="105">
        <f t="shared" si="154"/>
        <v>1912</v>
      </c>
      <c r="C1915" s="107">
        <f t="shared" si="155"/>
        <v>20</v>
      </c>
      <c r="D1915" s="107">
        <f t="shared" si="156"/>
        <v>23</v>
      </c>
      <c r="E1915" s="107">
        <f t="shared" si="147"/>
        <v>442</v>
      </c>
      <c r="F1915" s="138">
        <f t="shared" si="148"/>
        <v>468</v>
      </c>
    </row>
    <row r="1916" spans="2:6" x14ac:dyDescent="0.25">
      <c r="B1916" s="105">
        <f t="shared" si="154"/>
        <v>1913</v>
      </c>
      <c r="C1916" s="107">
        <f t="shared" si="155"/>
        <v>21</v>
      </c>
      <c r="D1916" s="107">
        <f t="shared" si="156"/>
        <v>23</v>
      </c>
      <c r="E1916" s="107">
        <f t="shared" si="147"/>
        <v>442</v>
      </c>
      <c r="F1916" s="138">
        <f t="shared" si="148"/>
        <v>457</v>
      </c>
    </row>
    <row r="1917" spans="2:6" x14ac:dyDescent="0.25">
      <c r="B1917" s="105">
        <f t="shared" si="154"/>
        <v>1914</v>
      </c>
      <c r="C1917" s="107">
        <f t="shared" si="155"/>
        <v>22</v>
      </c>
      <c r="D1917" s="107">
        <f t="shared" si="156"/>
        <v>23</v>
      </c>
      <c r="E1917" s="107">
        <f t="shared" si="147"/>
        <v>442</v>
      </c>
      <c r="F1917" s="138">
        <f t="shared" si="148"/>
        <v>452</v>
      </c>
    </row>
    <row r="1918" spans="2:6" x14ac:dyDescent="0.25">
      <c r="B1918" s="105">
        <f t="shared" si="154"/>
        <v>1915</v>
      </c>
      <c r="C1918" s="107">
        <f t="shared" si="155"/>
        <v>1</v>
      </c>
      <c r="D1918" s="107">
        <f t="shared" si="156"/>
        <v>22</v>
      </c>
      <c r="E1918" s="107">
        <f t="shared" si="147"/>
        <v>452</v>
      </c>
      <c r="F1918" s="138">
        <f t="shared" si="148"/>
        <v>1048</v>
      </c>
    </row>
    <row r="1919" spans="2:6" x14ac:dyDescent="0.25">
      <c r="B1919" s="105">
        <f t="shared" si="154"/>
        <v>1916</v>
      </c>
      <c r="C1919" s="107">
        <f t="shared" si="155"/>
        <v>2</v>
      </c>
      <c r="D1919" s="107">
        <f t="shared" si="156"/>
        <v>22</v>
      </c>
      <c r="E1919" s="107">
        <f t="shared" si="147"/>
        <v>452</v>
      </c>
      <c r="F1919" s="138">
        <f t="shared" si="148"/>
        <v>1025</v>
      </c>
    </row>
    <row r="1920" spans="2:6" x14ac:dyDescent="0.25">
      <c r="B1920" s="105">
        <f t="shared" si="154"/>
        <v>1917</v>
      </c>
      <c r="C1920" s="107">
        <f t="shared" si="155"/>
        <v>3</v>
      </c>
      <c r="D1920" s="107">
        <f t="shared" si="156"/>
        <v>22</v>
      </c>
      <c r="E1920" s="107">
        <f t="shared" si="147"/>
        <v>452</v>
      </c>
      <c r="F1920" s="138">
        <f t="shared" si="148"/>
        <v>805</v>
      </c>
    </row>
    <row r="1921" spans="2:6" x14ac:dyDescent="0.25">
      <c r="B1921" s="105">
        <f t="shared" si="154"/>
        <v>1918</v>
      </c>
      <c r="C1921" s="107">
        <f t="shared" si="155"/>
        <v>4</v>
      </c>
      <c r="D1921" s="107">
        <f t="shared" si="156"/>
        <v>22</v>
      </c>
      <c r="E1921" s="107">
        <f t="shared" si="147"/>
        <v>452</v>
      </c>
      <c r="F1921" s="138">
        <f t="shared" si="148"/>
        <v>666</v>
      </c>
    </row>
    <row r="1922" spans="2:6" x14ac:dyDescent="0.25">
      <c r="B1922" s="105">
        <f t="shared" si="154"/>
        <v>1919</v>
      </c>
      <c r="C1922" s="107">
        <f t="shared" si="155"/>
        <v>5</v>
      </c>
      <c r="D1922" s="107">
        <f t="shared" si="156"/>
        <v>22</v>
      </c>
      <c r="E1922" s="107">
        <f t="shared" si="147"/>
        <v>452</v>
      </c>
      <c r="F1922" s="138">
        <f t="shared" si="148"/>
        <v>655</v>
      </c>
    </row>
    <row r="1923" spans="2:6" x14ac:dyDescent="0.25">
      <c r="B1923" s="105">
        <f t="shared" si="154"/>
        <v>1920</v>
      </c>
      <c r="C1923" s="107">
        <f t="shared" si="155"/>
        <v>6</v>
      </c>
      <c r="D1923" s="107">
        <f t="shared" si="156"/>
        <v>22</v>
      </c>
      <c r="E1923" s="107">
        <f t="shared" si="147"/>
        <v>452</v>
      </c>
      <c r="F1923" s="138">
        <f t="shared" si="148"/>
        <v>652</v>
      </c>
    </row>
    <row r="1924" spans="2:6" x14ac:dyDescent="0.25">
      <c r="B1924" s="105">
        <f t="shared" si="154"/>
        <v>1921</v>
      </c>
      <c r="C1924" s="107">
        <f t="shared" si="155"/>
        <v>7</v>
      </c>
      <c r="D1924" s="107">
        <f t="shared" si="156"/>
        <v>22</v>
      </c>
      <c r="E1924" s="107">
        <f t="shared" ref="E1924:E1987" si="157">IFERROR(VLOOKUP(D1924,$H$4:$I$69,2,0),"")</f>
        <v>452</v>
      </c>
      <c r="F1924" s="138">
        <f t="shared" ref="F1924:F1987" si="158">IFERROR(VLOOKUP(C1924,$H$4:$I$69,2,0),"")</f>
        <v>633</v>
      </c>
    </row>
    <row r="1925" spans="2:6" x14ac:dyDescent="0.25">
      <c r="B1925" s="105">
        <f t="shared" si="154"/>
        <v>1922</v>
      </c>
      <c r="C1925" s="107">
        <f t="shared" si="155"/>
        <v>8</v>
      </c>
      <c r="D1925" s="107">
        <f t="shared" si="156"/>
        <v>22</v>
      </c>
      <c r="E1925" s="107">
        <f t="shared" si="157"/>
        <v>452</v>
      </c>
      <c r="F1925" s="138">
        <f t="shared" si="158"/>
        <v>632</v>
      </c>
    </row>
    <row r="1926" spans="2:6" x14ac:dyDescent="0.25">
      <c r="B1926" s="105">
        <f t="shared" si="154"/>
        <v>1923</v>
      </c>
      <c r="C1926" s="107">
        <f t="shared" si="155"/>
        <v>9</v>
      </c>
      <c r="D1926" s="107">
        <f t="shared" si="156"/>
        <v>22</v>
      </c>
      <c r="E1926" s="107">
        <f t="shared" si="157"/>
        <v>452</v>
      </c>
      <c r="F1926" s="138">
        <f t="shared" si="158"/>
        <v>625</v>
      </c>
    </row>
    <row r="1927" spans="2:6" x14ac:dyDescent="0.25">
      <c r="B1927" s="105">
        <f t="shared" si="154"/>
        <v>1924</v>
      </c>
      <c r="C1927" s="107">
        <f t="shared" si="155"/>
        <v>10</v>
      </c>
      <c r="D1927" s="107">
        <f t="shared" si="156"/>
        <v>22</v>
      </c>
      <c r="E1927" s="107">
        <f t="shared" si="157"/>
        <v>452</v>
      </c>
      <c r="F1927" s="138">
        <f t="shared" si="158"/>
        <v>619</v>
      </c>
    </row>
    <row r="1928" spans="2:6" x14ac:dyDescent="0.25">
      <c r="B1928" s="105">
        <f t="shared" si="154"/>
        <v>1925</v>
      </c>
      <c r="C1928" s="107">
        <f t="shared" si="155"/>
        <v>11</v>
      </c>
      <c r="D1928" s="107">
        <f t="shared" si="156"/>
        <v>22</v>
      </c>
      <c r="E1928" s="107">
        <f t="shared" si="157"/>
        <v>452</v>
      </c>
      <c r="F1928" s="138">
        <f t="shared" si="158"/>
        <v>610</v>
      </c>
    </row>
    <row r="1929" spans="2:6" x14ac:dyDescent="0.25">
      <c r="B1929" s="105">
        <f t="shared" si="154"/>
        <v>1926</v>
      </c>
      <c r="C1929" s="107">
        <f t="shared" si="155"/>
        <v>12</v>
      </c>
      <c r="D1929" s="107">
        <f t="shared" si="156"/>
        <v>22</v>
      </c>
      <c r="E1929" s="107">
        <f t="shared" si="157"/>
        <v>452</v>
      </c>
      <c r="F1929" s="138">
        <f t="shared" si="158"/>
        <v>599</v>
      </c>
    </row>
    <row r="1930" spans="2:6" x14ac:dyDescent="0.25">
      <c r="B1930" s="105">
        <f t="shared" si="154"/>
        <v>1927</v>
      </c>
      <c r="C1930" s="107">
        <f t="shared" si="155"/>
        <v>13</v>
      </c>
      <c r="D1930" s="107">
        <f t="shared" si="156"/>
        <v>22</v>
      </c>
      <c r="E1930" s="107">
        <f t="shared" si="157"/>
        <v>452</v>
      </c>
      <c r="F1930" s="138">
        <f t="shared" si="158"/>
        <v>559</v>
      </c>
    </row>
    <row r="1931" spans="2:6" x14ac:dyDescent="0.25">
      <c r="B1931" s="105">
        <f t="shared" si="154"/>
        <v>1928</v>
      </c>
      <c r="C1931" s="107">
        <f t="shared" si="155"/>
        <v>14</v>
      </c>
      <c r="D1931" s="107">
        <f t="shared" si="156"/>
        <v>22</v>
      </c>
      <c r="E1931" s="107">
        <f t="shared" si="157"/>
        <v>452</v>
      </c>
      <c r="F1931" s="138">
        <f t="shared" si="158"/>
        <v>556</v>
      </c>
    </row>
    <row r="1932" spans="2:6" x14ac:dyDescent="0.25">
      <c r="B1932" s="105">
        <f t="shared" si="154"/>
        <v>1929</v>
      </c>
      <c r="C1932" s="107">
        <f t="shared" si="155"/>
        <v>15</v>
      </c>
      <c r="D1932" s="107">
        <f t="shared" si="156"/>
        <v>22</v>
      </c>
      <c r="E1932" s="107">
        <f t="shared" si="157"/>
        <v>452</v>
      </c>
      <c r="F1932" s="138">
        <f t="shared" si="158"/>
        <v>540</v>
      </c>
    </row>
    <row r="1933" spans="2:6" x14ac:dyDescent="0.25">
      <c r="B1933" s="105">
        <f t="shared" si="154"/>
        <v>1930</v>
      </c>
      <c r="C1933" s="107">
        <f t="shared" si="155"/>
        <v>16</v>
      </c>
      <c r="D1933" s="107">
        <f t="shared" si="156"/>
        <v>22</v>
      </c>
      <c r="E1933" s="107">
        <f t="shared" si="157"/>
        <v>452</v>
      </c>
      <c r="F1933" s="138">
        <f t="shared" si="158"/>
        <v>536</v>
      </c>
    </row>
    <row r="1934" spans="2:6" x14ac:dyDescent="0.25">
      <c r="B1934" s="105">
        <f t="shared" si="154"/>
        <v>1931</v>
      </c>
      <c r="C1934" s="107">
        <f t="shared" si="155"/>
        <v>17</v>
      </c>
      <c r="D1934" s="107">
        <f t="shared" si="156"/>
        <v>22</v>
      </c>
      <c r="E1934" s="107">
        <f t="shared" si="157"/>
        <v>452</v>
      </c>
      <c r="F1934" s="138">
        <f t="shared" si="158"/>
        <v>527</v>
      </c>
    </row>
    <row r="1935" spans="2:6" x14ac:dyDescent="0.25">
      <c r="B1935" s="105">
        <f t="shared" si="154"/>
        <v>1932</v>
      </c>
      <c r="C1935" s="107">
        <f t="shared" si="155"/>
        <v>18</v>
      </c>
      <c r="D1935" s="107">
        <f t="shared" si="156"/>
        <v>22</v>
      </c>
      <c r="E1935" s="107">
        <f t="shared" si="157"/>
        <v>452</v>
      </c>
      <c r="F1935" s="138">
        <f t="shared" si="158"/>
        <v>478</v>
      </c>
    </row>
    <row r="1936" spans="2:6" x14ac:dyDescent="0.25">
      <c r="B1936" s="105">
        <f t="shared" si="154"/>
        <v>1933</v>
      </c>
      <c r="C1936" s="107">
        <f t="shared" si="155"/>
        <v>19</v>
      </c>
      <c r="D1936" s="107">
        <f t="shared" si="156"/>
        <v>22</v>
      </c>
      <c r="E1936" s="107">
        <f t="shared" si="157"/>
        <v>452</v>
      </c>
      <c r="F1936" s="138">
        <f t="shared" si="158"/>
        <v>474</v>
      </c>
    </row>
    <row r="1937" spans="2:6" x14ac:dyDescent="0.25">
      <c r="B1937" s="105">
        <f t="shared" si="154"/>
        <v>1934</v>
      </c>
      <c r="C1937" s="107">
        <f t="shared" si="155"/>
        <v>20</v>
      </c>
      <c r="D1937" s="107">
        <f t="shared" si="156"/>
        <v>22</v>
      </c>
      <c r="E1937" s="107">
        <f t="shared" si="157"/>
        <v>452</v>
      </c>
      <c r="F1937" s="138">
        <f t="shared" si="158"/>
        <v>468</v>
      </c>
    </row>
    <row r="1938" spans="2:6" x14ac:dyDescent="0.25">
      <c r="B1938" s="105">
        <f t="shared" si="154"/>
        <v>1935</v>
      </c>
      <c r="C1938" s="107">
        <f t="shared" si="155"/>
        <v>21</v>
      </c>
      <c r="D1938" s="107">
        <f t="shared" si="156"/>
        <v>22</v>
      </c>
      <c r="E1938" s="107">
        <f t="shared" si="157"/>
        <v>452</v>
      </c>
      <c r="F1938" s="138">
        <f t="shared" si="158"/>
        <v>457</v>
      </c>
    </row>
    <row r="1939" spans="2:6" x14ac:dyDescent="0.25">
      <c r="B1939" s="105">
        <f t="shared" si="154"/>
        <v>1936</v>
      </c>
      <c r="C1939" s="107">
        <f t="shared" si="155"/>
        <v>1</v>
      </c>
      <c r="D1939" s="107">
        <f t="shared" si="156"/>
        <v>21</v>
      </c>
      <c r="E1939" s="107">
        <f t="shared" si="157"/>
        <v>457</v>
      </c>
      <c r="F1939" s="138">
        <f t="shared" si="158"/>
        <v>1048</v>
      </c>
    </row>
    <row r="1940" spans="2:6" x14ac:dyDescent="0.25">
      <c r="B1940" s="105">
        <f t="shared" si="154"/>
        <v>1937</v>
      </c>
      <c r="C1940" s="107">
        <f t="shared" si="155"/>
        <v>2</v>
      </c>
      <c r="D1940" s="107">
        <f t="shared" si="156"/>
        <v>21</v>
      </c>
      <c r="E1940" s="107">
        <f t="shared" si="157"/>
        <v>457</v>
      </c>
      <c r="F1940" s="138">
        <f t="shared" si="158"/>
        <v>1025</v>
      </c>
    </row>
    <row r="1941" spans="2:6" x14ac:dyDescent="0.25">
      <c r="B1941" s="105">
        <f t="shared" si="154"/>
        <v>1938</v>
      </c>
      <c r="C1941" s="107">
        <f t="shared" si="155"/>
        <v>3</v>
      </c>
      <c r="D1941" s="107">
        <f t="shared" si="156"/>
        <v>21</v>
      </c>
      <c r="E1941" s="107">
        <f t="shared" si="157"/>
        <v>457</v>
      </c>
      <c r="F1941" s="138">
        <f t="shared" si="158"/>
        <v>805</v>
      </c>
    </row>
    <row r="1942" spans="2:6" x14ac:dyDescent="0.25">
      <c r="B1942" s="105">
        <f t="shared" si="154"/>
        <v>1939</v>
      </c>
      <c r="C1942" s="107">
        <f t="shared" si="155"/>
        <v>4</v>
      </c>
      <c r="D1942" s="107">
        <f t="shared" si="156"/>
        <v>21</v>
      </c>
      <c r="E1942" s="107">
        <f t="shared" si="157"/>
        <v>457</v>
      </c>
      <c r="F1942" s="138">
        <f t="shared" si="158"/>
        <v>666</v>
      </c>
    </row>
    <row r="1943" spans="2:6" x14ac:dyDescent="0.25">
      <c r="B1943" s="105">
        <f t="shared" si="154"/>
        <v>1940</v>
      </c>
      <c r="C1943" s="107">
        <f t="shared" si="155"/>
        <v>5</v>
      </c>
      <c r="D1943" s="107">
        <f t="shared" si="156"/>
        <v>21</v>
      </c>
      <c r="E1943" s="107">
        <f t="shared" si="157"/>
        <v>457</v>
      </c>
      <c r="F1943" s="138">
        <f t="shared" si="158"/>
        <v>655</v>
      </c>
    </row>
    <row r="1944" spans="2:6" x14ac:dyDescent="0.25">
      <c r="B1944" s="105">
        <f t="shared" si="154"/>
        <v>1941</v>
      </c>
      <c r="C1944" s="107">
        <f t="shared" si="155"/>
        <v>6</v>
      </c>
      <c r="D1944" s="107">
        <f t="shared" si="156"/>
        <v>21</v>
      </c>
      <c r="E1944" s="107">
        <f t="shared" si="157"/>
        <v>457</v>
      </c>
      <c r="F1944" s="138">
        <f t="shared" si="158"/>
        <v>652</v>
      </c>
    </row>
    <row r="1945" spans="2:6" x14ac:dyDescent="0.25">
      <c r="B1945" s="105">
        <f t="shared" si="154"/>
        <v>1942</v>
      </c>
      <c r="C1945" s="107">
        <f t="shared" si="155"/>
        <v>7</v>
      </c>
      <c r="D1945" s="107">
        <f t="shared" si="156"/>
        <v>21</v>
      </c>
      <c r="E1945" s="107">
        <f t="shared" si="157"/>
        <v>457</v>
      </c>
      <c r="F1945" s="138">
        <f t="shared" si="158"/>
        <v>633</v>
      </c>
    </row>
    <row r="1946" spans="2:6" x14ac:dyDescent="0.25">
      <c r="B1946" s="105">
        <f t="shared" si="154"/>
        <v>1943</v>
      </c>
      <c r="C1946" s="107">
        <f t="shared" si="155"/>
        <v>8</v>
      </c>
      <c r="D1946" s="107">
        <f t="shared" si="156"/>
        <v>21</v>
      </c>
      <c r="E1946" s="107">
        <f t="shared" si="157"/>
        <v>457</v>
      </c>
      <c r="F1946" s="138">
        <f t="shared" si="158"/>
        <v>632</v>
      </c>
    </row>
    <row r="1947" spans="2:6" x14ac:dyDescent="0.25">
      <c r="B1947" s="105">
        <f t="shared" si="154"/>
        <v>1944</v>
      </c>
      <c r="C1947" s="107">
        <f t="shared" si="155"/>
        <v>9</v>
      </c>
      <c r="D1947" s="107">
        <f t="shared" si="156"/>
        <v>21</v>
      </c>
      <c r="E1947" s="107">
        <f t="shared" si="157"/>
        <v>457</v>
      </c>
      <c r="F1947" s="138">
        <f t="shared" si="158"/>
        <v>625</v>
      </c>
    </row>
    <row r="1948" spans="2:6" x14ac:dyDescent="0.25">
      <c r="B1948" s="105">
        <f t="shared" si="154"/>
        <v>1945</v>
      </c>
      <c r="C1948" s="107">
        <f t="shared" si="155"/>
        <v>10</v>
      </c>
      <c r="D1948" s="107">
        <f t="shared" si="156"/>
        <v>21</v>
      </c>
      <c r="E1948" s="107">
        <f t="shared" si="157"/>
        <v>457</v>
      </c>
      <c r="F1948" s="138">
        <f t="shared" si="158"/>
        <v>619</v>
      </c>
    </row>
    <row r="1949" spans="2:6" x14ac:dyDescent="0.25">
      <c r="B1949" s="105">
        <f t="shared" si="154"/>
        <v>1946</v>
      </c>
      <c r="C1949" s="107">
        <f t="shared" si="155"/>
        <v>11</v>
      </c>
      <c r="D1949" s="107">
        <f t="shared" si="156"/>
        <v>21</v>
      </c>
      <c r="E1949" s="107">
        <f t="shared" si="157"/>
        <v>457</v>
      </c>
      <c r="F1949" s="138">
        <f t="shared" si="158"/>
        <v>610</v>
      </c>
    </row>
    <row r="1950" spans="2:6" x14ac:dyDescent="0.25">
      <c r="B1950" s="105">
        <f t="shared" si="154"/>
        <v>1947</v>
      </c>
      <c r="C1950" s="107">
        <f t="shared" si="155"/>
        <v>12</v>
      </c>
      <c r="D1950" s="107">
        <f t="shared" si="156"/>
        <v>21</v>
      </c>
      <c r="E1950" s="107">
        <f t="shared" si="157"/>
        <v>457</v>
      </c>
      <c r="F1950" s="138">
        <f t="shared" si="158"/>
        <v>599</v>
      </c>
    </row>
    <row r="1951" spans="2:6" x14ac:dyDescent="0.25">
      <c r="B1951" s="105">
        <f t="shared" si="154"/>
        <v>1948</v>
      </c>
      <c r="C1951" s="107">
        <f t="shared" si="155"/>
        <v>13</v>
      </c>
      <c r="D1951" s="107">
        <f t="shared" si="156"/>
        <v>21</v>
      </c>
      <c r="E1951" s="107">
        <f t="shared" si="157"/>
        <v>457</v>
      </c>
      <c r="F1951" s="138">
        <f t="shared" si="158"/>
        <v>559</v>
      </c>
    </row>
    <row r="1952" spans="2:6" x14ac:dyDescent="0.25">
      <c r="B1952" s="105">
        <f t="shared" si="154"/>
        <v>1949</v>
      </c>
      <c r="C1952" s="107">
        <f t="shared" si="155"/>
        <v>14</v>
      </c>
      <c r="D1952" s="107">
        <f t="shared" si="156"/>
        <v>21</v>
      </c>
      <c r="E1952" s="107">
        <f t="shared" si="157"/>
        <v>457</v>
      </c>
      <c r="F1952" s="138">
        <f t="shared" si="158"/>
        <v>556</v>
      </c>
    </row>
    <row r="1953" spans="2:6" x14ac:dyDescent="0.25">
      <c r="B1953" s="105">
        <f t="shared" si="154"/>
        <v>1950</v>
      </c>
      <c r="C1953" s="107">
        <f t="shared" si="155"/>
        <v>15</v>
      </c>
      <c r="D1953" s="107">
        <f t="shared" si="156"/>
        <v>21</v>
      </c>
      <c r="E1953" s="107">
        <f t="shared" si="157"/>
        <v>457</v>
      </c>
      <c r="F1953" s="138">
        <f t="shared" si="158"/>
        <v>540</v>
      </c>
    </row>
    <row r="1954" spans="2:6" x14ac:dyDescent="0.25">
      <c r="B1954" s="105">
        <f t="shared" si="154"/>
        <v>1951</v>
      </c>
      <c r="C1954" s="107">
        <f t="shared" si="155"/>
        <v>16</v>
      </c>
      <c r="D1954" s="107">
        <f t="shared" si="156"/>
        <v>21</v>
      </c>
      <c r="E1954" s="107">
        <f t="shared" si="157"/>
        <v>457</v>
      </c>
      <c r="F1954" s="138">
        <f t="shared" si="158"/>
        <v>536</v>
      </c>
    </row>
    <row r="1955" spans="2:6" x14ac:dyDescent="0.25">
      <c r="B1955" s="105">
        <f t="shared" si="154"/>
        <v>1952</v>
      </c>
      <c r="C1955" s="107">
        <f t="shared" si="155"/>
        <v>17</v>
      </c>
      <c r="D1955" s="107">
        <f t="shared" si="156"/>
        <v>21</v>
      </c>
      <c r="E1955" s="107">
        <f t="shared" si="157"/>
        <v>457</v>
      </c>
      <c r="F1955" s="138">
        <f t="shared" si="158"/>
        <v>527</v>
      </c>
    </row>
    <row r="1956" spans="2:6" x14ac:dyDescent="0.25">
      <c r="B1956" s="105">
        <f t="shared" si="154"/>
        <v>1953</v>
      </c>
      <c r="C1956" s="107">
        <f t="shared" si="155"/>
        <v>18</v>
      </c>
      <c r="D1956" s="107">
        <f t="shared" si="156"/>
        <v>21</v>
      </c>
      <c r="E1956" s="107">
        <f t="shared" si="157"/>
        <v>457</v>
      </c>
      <c r="F1956" s="138">
        <f t="shared" si="158"/>
        <v>478</v>
      </c>
    </row>
    <row r="1957" spans="2:6" x14ac:dyDescent="0.25">
      <c r="B1957" s="105">
        <f t="shared" si="154"/>
        <v>1954</v>
      </c>
      <c r="C1957" s="107">
        <f t="shared" si="155"/>
        <v>19</v>
      </c>
      <c r="D1957" s="107">
        <f t="shared" si="156"/>
        <v>21</v>
      </c>
      <c r="E1957" s="107">
        <f t="shared" si="157"/>
        <v>457</v>
      </c>
      <c r="F1957" s="138">
        <f t="shared" si="158"/>
        <v>474</v>
      </c>
    </row>
    <row r="1958" spans="2:6" x14ac:dyDescent="0.25">
      <c r="B1958" s="105">
        <f t="shared" si="154"/>
        <v>1955</v>
      </c>
      <c r="C1958" s="107">
        <f t="shared" si="155"/>
        <v>20</v>
      </c>
      <c r="D1958" s="107">
        <f t="shared" si="156"/>
        <v>21</v>
      </c>
      <c r="E1958" s="107">
        <f t="shared" si="157"/>
        <v>457</v>
      </c>
      <c r="F1958" s="138">
        <f t="shared" si="158"/>
        <v>468</v>
      </c>
    </row>
    <row r="1959" spans="2:6" x14ac:dyDescent="0.25">
      <c r="B1959" s="105">
        <f t="shared" ref="B1959:B2022" si="159">ROW()-3</f>
        <v>1956</v>
      </c>
      <c r="C1959" s="107">
        <f t="shared" ref="C1959:C2022" si="160">IF((D1958-C1958)=1,1,C1958+1)</f>
        <v>1</v>
      </c>
      <c r="D1959" s="107">
        <f t="shared" ref="D1959:D2022" si="161">IF((D1958-C1958)=1,D1958-1,D1958)</f>
        <v>20</v>
      </c>
      <c r="E1959" s="107">
        <f t="shared" si="157"/>
        <v>468</v>
      </c>
      <c r="F1959" s="138">
        <f t="shared" si="158"/>
        <v>1048</v>
      </c>
    </row>
    <row r="1960" spans="2:6" x14ac:dyDescent="0.25">
      <c r="B1960" s="105">
        <f t="shared" si="159"/>
        <v>1957</v>
      </c>
      <c r="C1960" s="107">
        <f t="shared" si="160"/>
        <v>2</v>
      </c>
      <c r="D1960" s="107">
        <f t="shared" si="161"/>
        <v>20</v>
      </c>
      <c r="E1960" s="107">
        <f t="shared" si="157"/>
        <v>468</v>
      </c>
      <c r="F1960" s="138">
        <f t="shared" si="158"/>
        <v>1025</v>
      </c>
    </row>
    <row r="1961" spans="2:6" x14ac:dyDescent="0.25">
      <c r="B1961" s="105">
        <f t="shared" si="159"/>
        <v>1958</v>
      </c>
      <c r="C1961" s="107">
        <f t="shared" si="160"/>
        <v>3</v>
      </c>
      <c r="D1961" s="107">
        <f t="shared" si="161"/>
        <v>20</v>
      </c>
      <c r="E1961" s="107">
        <f t="shared" si="157"/>
        <v>468</v>
      </c>
      <c r="F1961" s="138">
        <f t="shared" si="158"/>
        <v>805</v>
      </c>
    </row>
    <row r="1962" spans="2:6" x14ac:dyDescent="0.25">
      <c r="B1962" s="105">
        <f t="shared" si="159"/>
        <v>1959</v>
      </c>
      <c r="C1962" s="107">
        <f t="shared" si="160"/>
        <v>4</v>
      </c>
      <c r="D1962" s="107">
        <f t="shared" si="161"/>
        <v>20</v>
      </c>
      <c r="E1962" s="107">
        <f t="shared" si="157"/>
        <v>468</v>
      </c>
      <c r="F1962" s="138">
        <f t="shared" si="158"/>
        <v>666</v>
      </c>
    </row>
    <row r="1963" spans="2:6" x14ac:dyDescent="0.25">
      <c r="B1963" s="105">
        <f t="shared" si="159"/>
        <v>1960</v>
      </c>
      <c r="C1963" s="107">
        <f t="shared" si="160"/>
        <v>5</v>
      </c>
      <c r="D1963" s="107">
        <f t="shared" si="161"/>
        <v>20</v>
      </c>
      <c r="E1963" s="107">
        <f t="shared" si="157"/>
        <v>468</v>
      </c>
      <c r="F1963" s="138">
        <f t="shared" si="158"/>
        <v>655</v>
      </c>
    </row>
    <row r="1964" spans="2:6" x14ac:dyDescent="0.25">
      <c r="B1964" s="105">
        <f t="shared" si="159"/>
        <v>1961</v>
      </c>
      <c r="C1964" s="107">
        <f t="shared" si="160"/>
        <v>6</v>
      </c>
      <c r="D1964" s="107">
        <f t="shared" si="161"/>
        <v>20</v>
      </c>
      <c r="E1964" s="107">
        <f t="shared" si="157"/>
        <v>468</v>
      </c>
      <c r="F1964" s="138">
        <f t="shared" si="158"/>
        <v>652</v>
      </c>
    </row>
    <row r="1965" spans="2:6" x14ac:dyDescent="0.25">
      <c r="B1965" s="105">
        <f t="shared" si="159"/>
        <v>1962</v>
      </c>
      <c r="C1965" s="107">
        <f t="shared" si="160"/>
        <v>7</v>
      </c>
      <c r="D1965" s="107">
        <f t="shared" si="161"/>
        <v>20</v>
      </c>
      <c r="E1965" s="107">
        <f t="shared" si="157"/>
        <v>468</v>
      </c>
      <c r="F1965" s="138">
        <f t="shared" si="158"/>
        <v>633</v>
      </c>
    </row>
    <row r="1966" spans="2:6" x14ac:dyDescent="0.25">
      <c r="B1966" s="105">
        <f t="shared" si="159"/>
        <v>1963</v>
      </c>
      <c r="C1966" s="107">
        <f t="shared" si="160"/>
        <v>8</v>
      </c>
      <c r="D1966" s="107">
        <f t="shared" si="161"/>
        <v>20</v>
      </c>
      <c r="E1966" s="107">
        <f t="shared" si="157"/>
        <v>468</v>
      </c>
      <c r="F1966" s="138">
        <f t="shared" si="158"/>
        <v>632</v>
      </c>
    </row>
    <row r="1967" spans="2:6" x14ac:dyDescent="0.25">
      <c r="B1967" s="105">
        <f t="shared" si="159"/>
        <v>1964</v>
      </c>
      <c r="C1967" s="107">
        <f t="shared" si="160"/>
        <v>9</v>
      </c>
      <c r="D1967" s="107">
        <f t="shared" si="161"/>
        <v>20</v>
      </c>
      <c r="E1967" s="107">
        <f t="shared" si="157"/>
        <v>468</v>
      </c>
      <c r="F1967" s="138">
        <f t="shared" si="158"/>
        <v>625</v>
      </c>
    </row>
    <row r="1968" spans="2:6" x14ac:dyDescent="0.25">
      <c r="B1968" s="105">
        <f t="shared" si="159"/>
        <v>1965</v>
      </c>
      <c r="C1968" s="107">
        <f t="shared" si="160"/>
        <v>10</v>
      </c>
      <c r="D1968" s="107">
        <f t="shared" si="161"/>
        <v>20</v>
      </c>
      <c r="E1968" s="107">
        <f t="shared" si="157"/>
        <v>468</v>
      </c>
      <c r="F1968" s="138">
        <f t="shared" si="158"/>
        <v>619</v>
      </c>
    </row>
    <row r="1969" spans="2:6" x14ac:dyDescent="0.25">
      <c r="B1969" s="105">
        <f t="shared" si="159"/>
        <v>1966</v>
      </c>
      <c r="C1969" s="107">
        <f t="shared" si="160"/>
        <v>11</v>
      </c>
      <c r="D1969" s="107">
        <f t="shared" si="161"/>
        <v>20</v>
      </c>
      <c r="E1969" s="107">
        <f t="shared" si="157"/>
        <v>468</v>
      </c>
      <c r="F1969" s="138">
        <f t="shared" si="158"/>
        <v>610</v>
      </c>
    </row>
    <row r="1970" spans="2:6" x14ac:dyDescent="0.25">
      <c r="B1970" s="105">
        <f t="shared" si="159"/>
        <v>1967</v>
      </c>
      <c r="C1970" s="107">
        <f t="shared" si="160"/>
        <v>12</v>
      </c>
      <c r="D1970" s="107">
        <f t="shared" si="161"/>
        <v>20</v>
      </c>
      <c r="E1970" s="107">
        <f t="shared" si="157"/>
        <v>468</v>
      </c>
      <c r="F1970" s="138">
        <f t="shared" si="158"/>
        <v>599</v>
      </c>
    </row>
    <row r="1971" spans="2:6" x14ac:dyDescent="0.25">
      <c r="B1971" s="105">
        <f t="shared" si="159"/>
        <v>1968</v>
      </c>
      <c r="C1971" s="107">
        <f t="shared" si="160"/>
        <v>13</v>
      </c>
      <c r="D1971" s="107">
        <f t="shared" si="161"/>
        <v>20</v>
      </c>
      <c r="E1971" s="107">
        <f t="shared" si="157"/>
        <v>468</v>
      </c>
      <c r="F1971" s="138">
        <f t="shared" si="158"/>
        <v>559</v>
      </c>
    </row>
    <row r="1972" spans="2:6" x14ac:dyDescent="0.25">
      <c r="B1972" s="105">
        <f t="shared" si="159"/>
        <v>1969</v>
      </c>
      <c r="C1972" s="107">
        <f t="shared" si="160"/>
        <v>14</v>
      </c>
      <c r="D1972" s="107">
        <f t="shared" si="161"/>
        <v>20</v>
      </c>
      <c r="E1972" s="107">
        <f t="shared" si="157"/>
        <v>468</v>
      </c>
      <c r="F1972" s="138">
        <f t="shared" si="158"/>
        <v>556</v>
      </c>
    </row>
    <row r="1973" spans="2:6" x14ac:dyDescent="0.25">
      <c r="B1973" s="105">
        <f t="shared" si="159"/>
        <v>1970</v>
      </c>
      <c r="C1973" s="107">
        <f t="shared" si="160"/>
        <v>15</v>
      </c>
      <c r="D1973" s="107">
        <f t="shared" si="161"/>
        <v>20</v>
      </c>
      <c r="E1973" s="107">
        <f t="shared" si="157"/>
        <v>468</v>
      </c>
      <c r="F1973" s="138">
        <f t="shared" si="158"/>
        <v>540</v>
      </c>
    </row>
    <row r="1974" spans="2:6" x14ac:dyDescent="0.25">
      <c r="B1974" s="105">
        <f t="shared" si="159"/>
        <v>1971</v>
      </c>
      <c r="C1974" s="107">
        <f t="shared" si="160"/>
        <v>16</v>
      </c>
      <c r="D1974" s="107">
        <f t="shared" si="161"/>
        <v>20</v>
      </c>
      <c r="E1974" s="107">
        <f t="shared" si="157"/>
        <v>468</v>
      </c>
      <c r="F1974" s="138">
        <f t="shared" si="158"/>
        <v>536</v>
      </c>
    </row>
    <row r="1975" spans="2:6" x14ac:dyDescent="0.25">
      <c r="B1975" s="105">
        <f t="shared" si="159"/>
        <v>1972</v>
      </c>
      <c r="C1975" s="107">
        <f t="shared" si="160"/>
        <v>17</v>
      </c>
      <c r="D1975" s="107">
        <f t="shared" si="161"/>
        <v>20</v>
      </c>
      <c r="E1975" s="107">
        <f t="shared" si="157"/>
        <v>468</v>
      </c>
      <c r="F1975" s="138">
        <f t="shared" si="158"/>
        <v>527</v>
      </c>
    </row>
    <row r="1976" spans="2:6" x14ac:dyDescent="0.25">
      <c r="B1976" s="105">
        <f t="shared" si="159"/>
        <v>1973</v>
      </c>
      <c r="C1976" s="107">
        <f t="shared" si="160"/>
        <v>18</v>
      </c>
      <c r="D1976" s="107">
        <f t="shared" si="161"/>
        <v>20</v>
      </c>
      <c r="E1976" s="107">
        <f t="shared" si="157"/>
        <v>468</v>
      </c>
      <c r="F1976" s="138">
        <f t="shared" si="158"/>
        <v>478</v>
      </c>
    </row>
    <row r="1977" spans="2:6" x14ac:dyDescent="0.25">
      <c r="B1977" s="105">
        <f t="shared" si="159"/>
        <v>1974</v>
      </c>
      <c r="C1977" s="107">
        <f t="shared" si="160"/>
        <v>19</v>
      </c>
      <c r="D1977" s="107">
        <f t="shared" si="161"/>
        <v>20</v>
      </c>
      <c r="E1977" s="107">
        <f t="shared" si="157"/>
        <v>468</v>
      </c>
      <c r="F1977" s="138">
        <f t="shared" si="158"/>
        <v>474</v>
      </c>
    </row>
    <row r="1978" spans="2:6" x14ac:dyDescent="0.25">
      <c r="B1978" s="105">
        <f t="shared" si="159"/>
        <v>1975</v>
      </c>
      <c r="C1978" s="107">
        <f t="shared" si="160"/>
        <v>1</v>
      </c>
      <c r="D1978" s="107">
        <f t="shared" si="161"/>
        <v>19</v>
      </c>
      <c r="E1978" s="107">
        <f t="shared" si="157"/>
        <v>474</v>
      </c>
      <c r="F1978" s="138">
        <f t="shared" si="158"/>
        <v>1048</v>
      </c>
    </row>
    <row r="1979" spans="2:6" x14ac:dyDescent="0.25">
      <c r="B1979" s="105">
        <f t="shared" si="159"/>
        <v>1976</v>
      </c>
      <c r="C1979" s="107">
        <f t="shared" si="160"/>
        <v>2</v>
      </c>
      <c r="D1979" s="107">
        <f t="shared" si="161"/>
        <v>19</v>
      </c>
      <c r="E1979" s="107">
        <f t="shared" si="157"/>
        <v>474</v>
      </c>
      <c r="F1979" s="138">
        <f t="shared" si="158"/>
        <v>1025</v>
      </c>
    </row>
    <row r="1980" spans="2:6" x14ac:dyDescent="0.25">
      <c r="B1980" s="105">
        <f t="shared" si="159"/>
        <v>1977</v>
      </c>
      <c r="C1980" s="107">
        <f t="shared" si="160"/>
        <v>3</v>
      </c>
      <c r="D1980" s="107">
        <f t="shared" si="161"/>
        <v>19</v>
      </c>
      <c r="E1980" s="107">
        <f t="shared" si="157"/>
        <v>474</v>
      </c>
      <c r="F1980" s="138">
        <f t="shared" si="158"/>
        <v>805</v>
      </c>
    </row>
    <row r="1981" spans="2:6" x14ac:dyDescent="0.25">
      <c r="B1981" s="105">
        <f t="shared" si="159"/>
        <v>1978</v>
      </c>
      <c r="C1981" s="107">
        <f t="shared" si="160"/>
        <v>4</v>
      </c>
      <c r="D1981" s="107">
        <f t="shared" si="161"/>
        <v>19</v>
      </c>
      <c r="E1981" s="107">
        <f t="shared" si="157"/>
        <v>474</v>
      </c>
      <c r="F1981" s="138">
        <f t="shared" si="158"/>
        <v>666</v>
      </c>
    </row>
    <row r="1982" spans="2:6" x14ac:dyDescent="0.25">
      <c r="B1982" s="105">
        <f t="shared" si="159"/>
        <v>1979</v>
      </c>
      <c r="C1982" s="107">
        <f t="shared" si="160"/>
        <v>5</v>
      </c>
      <c r="D1982" s="107">
        <f t="shared" si="161"/>
        <v>19</v>
      </c>
      <c r="E1982" s="107">
        <f t="shared" si="157"/>
        <v>474</v>
      </c>
      <c r="F1982" s="138">
        <f t="shared" si="158"/>
        <v>655</v>
      </c>
    </row>
    <row r="1983" spans="2:6" x14ac:dyDescent="0.25">
      <c r="B1983" s="105">
        <f t="shared" si="159"/>
        <v>1980</v>
      </c>
      <c r="C1983" s="107">
        <f t="shared" si="160"/>
        <v>6</v>
      </c>
      <c r="D1983" s="107">
        <f t="shared" si="161"/>
        <v>19</v>
      </c>
      <c r="E1983" s="107">
        <f t="shared" si="157"/>
        <v>474</v>
      </c>
      <c r="F1983" s="138">
        <f t="shared" si="158"/>
        <v>652</v>
      </c>
    </row>
    <row r="1984" spans="2:6" x14ac:dyDescent="0.25">
      <c r="B1984" s="105">
        <f t="shared" si="159"/>
        <v>1981</v>
      </c>
      <c r="C1984" s="107">
        <f t="shared" si="160"/>
        <v>7</v>
      </c>
      <c r="D1984" s="107">
        <f t="shared" si="161"/>
        <v>19</v>
      </c>
      <c r="E1984" s="107">
        <f t="shared" si="157"/>
        <v>474</v>
      </c>
      <c r="F1984" s="138">
        <f t="shared" si="158"/>
        <v>633</v>
      </c>
    </row>
    <row r="1985" spans="2:6" x14ac:dyDescent="0.25">
      <c r="B1985" s="105">
        <f t="shared" si="159"/>
        <v>1982</v>
      </c>
      <c r="C1985" s="107">
        <f t="shared" si="160"/>
        <v>8</v>
      </c>
      <c r="D1985" s="107">
        <f t="shared" si="161"/>
        <v>19</v>
      </c>
      <c r="E1985" s="107">
        <f t="shared" si="157"/>
        <v>474</v>
      </c>
      <c r="F1985" s="138">
        <f t="shared" si="158"/>
        <v>632</v>
      </c>
    </row>
    <row r="1986" spans="2:6" x14ac:dyDescent="0.25">
      <c r="B1986" s="105">
        <f t="shared" si="159"/>
        <v>1983</v>
      </c>
      <c r="C1986" s="107">
        <f t="shared" si="160"/>
        <v>9</v>
      </c>
      <c r="D1986" s="107">
        <f t="shared" si="161"/>
        <v>19</v>
      </c>
      <c r="E1986" s="107">
        <f t="shared" si="157"/>
        <v>474</v>
      </c>
      <c r="F1986" s="138">
        <f t="shared" si="158"/>
        <v>625</v>
      </c>
    </row>
    <row r="1987" spans="2:6" x14ac:dyDescent="0.25">
      <c r="B1987" s="105">
        <f t="shared" si="159"/>
        <v>1984</v>
      </c>
      <c r="C1987" s="107">
        <f t="shared" si="160"/>
        <v>10</v>
      </c>
      <c r="D1987" s="107">
        <f t="shared" si="161"/>
        <v>19</v>
      </c>
      <c r="E1987" s="107">
        <f t="shared" si="157"/>
        <v>474</v>
      </c>
      <c r="F1987" s="138">
        <f t="shared" si="158"/>
        <v>619</v>
      </c>
    </row>
    <row r="1988" spans="2:6" x14ac:dyDescent="0.25">
      <c r="B1988" s="105">
        <f t="shared" si="159"/>
        <v>1985</v>
      </c>
      <c r="C1988" s="107">
        <f t="shared" si="160"/>
        <v>11</v>
      </c>
      <c r="D1988" s="107">
        <f t="shared" si="161"/>
        <v>19</v>
      </c>
      <c r="E1988" s="107">
        <f t="shared" ref="E1988:E2051" si="162">IFERROR(VLOOKUP(D1988,$H$4:$I$69,2,0),"")</f>
        <v>474</v>
      </c>
      <c r="F1988" s="138">
        <f t="shared" ref="F1988:F2051" si="163">IFERROR(VLOOKUP(C1988,$H$4:$I$69,2,0),"")</f>
        <v>610</v>
      </c>
    </row>
    <row r="1989" spans="2:6" x14ac:dyDescent="0.25">
      <c r="B1989" s="105">
        <f t="shared" si="159"/>
        <v>1986</v>
      </c>
      <c r="C1989" s="107">
        <f t="shared" si="160"/>
        <v>12</v>
      </c>
      <c r="D1989" s="107">
        <f t="shared" si="161"/>
        <v>19</v>
      </c>
      <c r="E1989" s="107">
        <f t="shared" si="162"/>
        <v>474</v>
      </c>
      <c r="F1989" s="138">
        <f t="shared" si="163"/>
        <v>599</v>
      </c>
    </row>
    <row r="1990" spans="2:6" x14ac:dyDescent="0.25">
      <c r="B1990" s="105">
        <f t="shared" si="159"/>
        <v>1987</v>
      </c>
      <c r="C1990" s="107">
        <f t="shared" si="160"/>
        <v>13</v>
      </c>
      <c r="D1990" s="107">
        <f t="shared" si="161"/>
        <v>19</v>
      </c>
      <c r="E1990" s="107">
        <f t="shared" si="162"/>
        <v>474</v>
      </c>
      <c r="F1990" s="138">
        <f t="shared" si="163"/>
        <v>559</v>
      </c>
    </row>
    <row r="1991" spans="2:6" x14ac:dyDescent="0.25">
      <c r="B1991" s="105">
        <f t="shared" si="159"/>
        <v>1988</v>
      </c>
      <c r="C1991" s="107">
        <f t="shared" si="160"/>
        <v>14</v>
      </c>
      <c r="D1991" s="107">
        <f t="shared" si="161"/>
        <v>19</v>
      </c>
      <c r="E1991" s="107">
        <f t="shared" si="162"/>
        <v>474</v>
      </c>
      <c r="F1991" s="138">
        <f t="shared" si="163"/>
        <v>556</v>
      </c>
    </row>
    <row r="1992" spans="2:6" x14ac:dyDescent="0.25">
      <c r="B1992" s="105">
        <f t="shared" si="159"/>
        <v>1989</v>
      </c>
      <c r="C1992" s="107">
        <f t="shared" si="160"/>
        <v>15</v>
      </c>
      <c r="D1992" s="107">
        <f t="shared" si="161"/>
        <v>19</v>
      </c>
      <c r="E1992" s="107">
        <f t="shared" si="162"/>
        <v>474</v>
      </c>
      <c r="F1992" s="138">
        <f t="shared" si="163"/>
        <v>540</v>
      </c>
    </row>
    <row r="1993" spans="2:6" x14ac:dyDescent="0.25">
      <c r="B1993" s="105">
        <f t="shared" si="159"/>
        <v>1990</v>
      </c>
      <c r="C1993" s="107">
        <f t="shared" si="160"/>
        <v>16</v>
      </c>
      <c r="D1993" s="107">
        <f t="shared" si="161"/>
        <v>19</v>
      </c>
      <c r="E1993" s="107">
        <f t="shared" si="162"/>
        <v>474</v>
      </c>
      <c r="F1993" s="138">
        <f t="shared" si="163"/>
        <v>536</v>
      </c>
    </row>
    <row r="1994" spans="2:6" x14ac:dyDescent="0.25">
      <c r="B1994" s="105">
        <f t="shared" si="159"/>
        <v>1991</v>
      </c>
      <c r="C1994" s="107">
        <f t="shared" si="160"/>
        <v>17</v>
      </c>
      <c r="D1994" s="107">
        <f t="shared" si="161"/>
        <v>19</v>
      </c>
      <c r="E1994" s="107">
        <f t="shared" si="162"/>
        <v>474</v>
      </c>
      <c r="F1994" s="138">
        <f t="shared" si="163"/>
        <v>527</v>
      </c>
    </row>
    <row r="1995" spans="2:6" x14ac:dyDescent="0.25">
      <c r="B1995" s="105">
        <f t="shared" si="159"/>
        <v>1992</v>
      </c>
      <c r="C1995" s="107">
        <f t="shared" si="160"/>
        <v>18</v>
      </c>
      <c r="D1995" s="107">
        <f t="shared" si="161"/>
        <v>19</v>
      </c>
      <c r="E1995" s="107">
        <f t="shared" si="162"/>
        <v>474</v>
      </c>
      <c r="F1995" s="138">
        <f t="shared" si="163"/>
        <v>478</v>
      </c>
    </row>
    <row r="1996" spans="2:6" x14ac:dyDescent="0.25">
      <c r="B1996" s="105">
        <f t="shared" si="159"/>
        <v>1993</v>
      </c>
      <c r="C1996" s="107">
        <f t="shared" si="160"/>
        <v>1</v>
      </c>
      <c r="D1996" s="107">
        <f t="shared" si="161"/>
        <v>18</v>
      </c>
      <c r="E1996" s="107">
        <f t="shared" si="162"/>
        <v>478</v>
      </c>
      <c r="F1996" s="138">
        <f t="shared" si="163"/>
        <v>1048</v>
      </c>
    </row>
    <row r="1997" spans="2:6" x14ac:dyDescent="0.25">
      <c r="B1997" s="105">
        <f t="shared" si="159"/>
        <v>1994</v>
      </c>
      <c r="C1997" s="107">
        <f t="shared" si="160"/>
        <v>2</v>
      </c>
      <c r="D1997" s="107">
        <f t="shared" si="161"/>
        <v>18</v>
      </c>
      <c r="E1997" s="107">
        <f t="shared" si="162"/>
        <v>478</v>
      </c>
      <c r="F1997" s="138">
        <f t="shared" si="163"/>
        <v>1025</v>
      </c>
    </row>
    <row r="1998" spans="2:6" x14ac:dyDescent="0.25">
      <c r="B1998" s="105">
        <f t="shared" si="159"/>
        <v>1995</v>
      </c>
      <c r="C1998" s="107">
        <f t="shared" si="160"/>
        <v>3</v>
      </c>
      <c r="D1998" s="107">
        <f t="shared" si="161"/>
        <v>18</v>
      </c>
      <c r="E1998" s="107">
        <f t="shared" si="162"/>
        <v>478</v>
      </c>
      <c r="F1998" s="138">
        <f t="shared" si="163"/>
        <v>805</v>
      </c>
    </row>
    <row r="1999" spans="2:6" x14ac:dyDescent="0.25">
      <c r="B1999" s="105">
        <f t="shared" si="159"/>
        <v>1996</v>
      </c>
      <c r="C1999" s="107">
        <f t="shared" si="160"/>
        <v>4</v>
      </c>
      <c r="D1999" s="107">
        <f t="shared" si="161"/>
        <v>18</v>
      </c>
      <c r="E1999" s="107">
        <f t="shared" si="162"/>
        <v>478</v>
      </c>
      <c r="F1999" s="138">
        <f t="shared" si="163"/>
        <v>666</v>
      </c>
    </row>
    <row r="2000" spans="2:6" x14ac:dyDescent="0.25">
      <c r="B2000" s="105">
        <f t="shared" si="159"/>
        <v>1997</v>
      </c>
      <c r="C2000" s="107">
        <f t="shared" si="160"/>
        <v>5</v>
      </c>
      <c r="D2000" s="107">
        <f t="shared" si="161"/>
        <v>18</v>
      </c>
      <c r="E2000" s="107">
        <f t="shared" si="162"/>
        <v>478</v>
      </c>
      <c r="F2000" s="138">
        <f t="shared" si="163"/>
        <v>655</v>
      </c>
    </row>
    <row r="2001" spans="2:6" x14ac:dyDescent="0.25">
      <c r="B2001" s="105">
        <f t="shared" si="159"/>
        <v>1998</v>
      </c>
      <c r="C2001" s="107">
        <f t="shared" si="160"/>
        <v>6</v>
      </c>
      <c r="D2001" s="107">
        <f t="shared" si="161"/>
        <v>18</v>
      </c>
      <c r="E2001" s="107">
        <f t="shared" si="162"/>
        <v>478</v>
      </c>
      <c r="F2001" s="138">
        <f t="shared" si="163"/>
        <v>652</v>
      </c>
    </row>
    <row r="2002" spans="2:6" x14ac:dyDescent="0.25">
      <c r="B2002" s="105">
        <f t="shared" si="159"/>
        <v>1999</v>
      </c>
      <c r="C2002" s="107">
        <f t="shared" si="160"/>
        <v>7</v>
      </c>
      <c r="D2002" s="107">
        <f t="shared" si="161"/>
        <v>18</v>
      </c>
      <c r="E2002" s="107">
        <f t="shared" si="162"/>
        <v>478</v>
      </c>
      <c r="F2002" s="138">
        <f t="shared" si="163"/>
        <v>633</v>
      </c>
    </row>
    <row r="2003" spans="2:6" x14ac:dyDescent="0.25">
      <c r="B2003" s="105">
        <f t="shared" si="159"/>
        <v>2000</v>
      </c>
      <c r="C2003" s="107">
        <f t="shared" si="160"/>
        <v>8</v>
      </c>
      <c r="D2003" s="107">
        <f t="shared" si="161"/>
        <v>18</v>
      </c>
      <c r="E2003" s="107">
        <f t="shared" si="162"/>
        <v>478</v>
      </c>
      <c r="F2003" s="138">
        <f t="shared" si="163"/>
        <v>632</v>
      </c>
    </row>
    <row r="2004" spans="2:6" x14ac:dyDescent="0.25">
      <c r="B2004" s="105">
        <f t="shared" si="159"/>
        <v>2001</v>
      </c>
      <c r="C2004" s="107">
        <f t="shared" si="160"/>
        <v>9</v>
      </c>
      <c r="D2004" s="107">
        <f t="shared" si="161"/>
        <v>18</v>
      </c>
      <c r="E2004" s="107">
        <f t="shared" si="162"/>
        <v>478</v>
      </c>
      <c r="F2004" s="138">
        <f t="shared" si="163"/>
        <v>625</v>
      </c>
    </row>
    <row r="2005" spans="2:6" x14ac:dyDescent="0.25">
      <c r="B2005" s="105">
        <f t="shared" si="159"/>
        <v>2002</v>
      </c>
      <c r="C2005" s="107">
        <f t="shared" si="160"/>
        <v>10</v>
      </c>
      <c r="D2005" s="107">
        <f t="shared" si="161"/>
        <v>18</v>
      </c>
      <c r="E2005" s="107">
        <f t="shared" si="162"/>
        <v>478</v>
      </c>
      <c r="F2005" s="138">
        <f t="shared" si="163"/>
        <v>619</v>
      </c>
    </row>
    <row r="2006" spans="2:6" x14ac:dyDescent="0.25">
      <c r="B2006" s="105">
        <f t="shared" si="159"/>
        <v>2003</v>
      </c>
      <c r="C2006" s="107">
        <f t="shared" si="160"/>
        <v>11</v>
      </c>
      <c r="D2006" s="107">
        <f t="shared" si="161"/>
        <v>18</v>
      </c>
      <c r="E2006" s="107">
        <f t="shared" si="162"/>
        <v>478</v>
      </c>
      <c r="F2006" s="138">
        <f t="shared" si="163"/>
        <v>610</v>
      </c>
    </row>
    <row r="2007" spans="2:6" x14ac:dyDescent="0.25">
      <c r="B2007" s="105">
        <f t="shared" si="159"/>
        <v>2004</v>
      </c>
      <c r="C2007" s="107">
        <f t="shared" si="160"/>
        <v>12</v>
      </c>
      <c r="D2007" s="107">
        <f t="shared" si="161"/>
        <v>18</v>
      </c>
      <c r="E2007" s="107">
        <f t="shared" si="162"/>
        <v>478</v>
      </c>
      <c r="F2007" s="138">
        <f t="shared" si="163"/>
        <v>599</v>
      </c>
    </row>
    <row r="2008" spans="2:6" x14ac:dyDescent="0.25">
      <c r="B2008" s="105">
        <f t="shared" si="159"/>
        <v>2005</v>
      </c>
      <c r="C2008" s="107">
        <f t="shared" si="160"/>
        <v>13</v>
      </c>
      <c r="D2008" s="107">
        <f t="shared" si="161"/>
        <v>18</v>
      </c>
      <c r="E2008" s="107">
        <f t="shared" si="162"/>
        <v>478</v>
      </c>
      <c r="F2008" s="138">
        <f t="shared" si="163"/>
        <v>559</v>
      </c>
    </row>
    <row r="2009" spans="2:6" x14ac:dyDescent="0.25">
      <c r="B2009" s="105">
        <f t="shared" si="159"/>
        <v>2006</v>
      </c>
      <c r="C2009" s="107">
        <f t="shared" si="160"/>
        <v>14</v>
      </c>
      <c r="D2009" s="107">
        <f t="shared" si="161"/>
        <v>18</v>
      </c>
      <c r="E2009" s="107">
        <f t="shared" si="162"/>
        <v>478</v>
      </c>
      <c r="F2009" s="138">
        <f t="shared" si="163"/>
        <v>556</v>
      </c>
    </row>
    <row r="2010" spans="2:6" x14ac:dyDescent="0.25">
      <c r="B2010" s="105">
        <f t="shared" si="159"/>
        <v>2007</v>
      </c>
      <c r="C2010" s="107">
        <f t="shared" si="160"/>
        <v>15</v>
      </c>
      <c r="D2010" s="107">
        <f t="shared" si="161"/>
        <v>18</v>
      </c>
      <c r="E2010" s="107">
        <f t="shared" si="162"/>
        <v>478</v>
      </c>
      <c r="F2010" s="138">
        <f t="shared" si="163"/>
        <v>540</v>
      </c>
    </row>
    <row r="2011" spans="2:6" x14ac:dyDescent="0.25">
      <c r="B2011" s="105">
        <f t="shared" si="159"/>
        <v>2008</v>
      </c>
      <c r="C2011" s="107">
        <f t="shared" si="160"/>
        <v>16</v>
      </c>
      <c r="D2011" s="107">
        <f t="shared" si="161"/>
        <v>18</v>
      </c>
      <c r="E2011" s="107">
        <f t="shared" si="162"/>
        <v>478</v>
      </c>
      <c r="F2011" s="138">
        <f t="shared" si="163"/>
        <v>536</v>
      </c>
    </row>
    <row r="2012" spans="2:6" x14ac:dyDescent="0.25">
      <c r="B2012" s="105">
        <f t="shared" si="159"/>
        <v>2009</v>
      </c>
      <c r="C2012" s="107">
        <f t="shared" si="160"/>
        <v>17</v>
      </c>
      <c r="D2012" s="107">
        <f t="shared" si="161"/>
        <v>18</v>
      </c>
      <c r="E2012" s="107">
        <f t="shared" si="162"/>
        <v>478</v>
      </c>
      <c r="F2012" s="138">
        <f t="shared" si="163"/>
        <v>527</v>
      </c>
    </row>
    <row r="2013" spans="2:6" x14ac:dyDescent="0.25">
      <c r="B2013" s="105">
        <f t="shared" si="159"/>
        <v>2010</v>
      </c>
      <c r="C2013" s="107">
        <f t="shared" si="160"/>
        <v>1</v>
      </c>
      <c r="D2013" s="107">
        <f t="shared" si="161"/>
        <v>17</v>
      </c>
      <c r="E2013" s="107">
        <f t="shared" si="162"/>
        <v>527</v>
      </c>
      <c r="F2013" s="138">
        <f t="shared" si="163"/>
        <v>1048</v>
      </c>
    </row>
    <row r="2014" spans="2:6" x14ac:dyDescent="0.25">
      <c r="B2014" s="105">
        <f t="shared" si="159"/>
        <v>2011</v>
      </c>
      <c r="C2014" s="107">
        <f t="shared" si="160"/>
        <v>2</v>
      </c>
      <c r="D2014" s="107">
        <f t="shared" si="161"/>
        <v>17</v>
      </c>
      <c r="E2014" s="107">
        <f t="shared" si="162"/>
        <v>527</v>
      </c>
      <c r="F2014" s="138">
        <f t="shared" si="163"/>
        <v>1025</v>
      </c>
    </row>
    <row r="2015" spans="2:6" x14ac:dyDescent="0.25">
      <c r="B2015" s="105">
        <f t="shared" si="159"/>
        <v>2012</v>
      </c>
      <c r="C2015" s="107">
        <f t="shared" si="160"/>
        <v>3</v>
      </c>
      <c r="D2015" s="107">
        <f t="shared" si="161"/>
        <v>17</v>
      </c>
      <c r="E2015" s="107">
        <f t="shared" si="162"/>
        <v>527</v>
      </c>
      <c r="F2015" s="138">
        <f t="shared" si="163"/>
        <v>805</v>
      </c>
    </row>
    <row r="2016" spans="2:6" x14ac:dyDescent="0.25">
      <c r="B2016" s="105">
        <f t="shared" si="159"/>
        <v>2013</v>
      </c>
      <c r="C2016" s="107">
        <f t="shared" si="160"/>
        <v>4</v>
      </c>
      <c r="D2016" s="107">
        <f t="shared" si="161"/>
        <v>17</v>
      </c>
      <c r="E2016" s="107">
        <f t="shared" si="162"/>
        <v>527</v>
      </c>
      <c r="F2016" s="138">
        <f t="shared" si="163"/>
        <v>666</v>
      </c>
    </row>
    <row r="2017" spans="2:6" x14ac:dyDescent="0.25">
      <c r="B2017" s="105">
        <f t="shared" si="159"/>
        <v>2014</v>
      </c>
      <c r="C2017" s="107">
        <f t="shared" si="160"/>
        <v>5</v>
      </c>
      <c r="D2017" s="107">
        <f t="shared" si="161"/>
        <v>17</v>
      </c>
      <c r="E2017" s="107">
        <f t="shared" si="162"/>
        <v>527</v>
      </c>
      <c r="F2017" s="138">
        <f t="shared" si="163"/>
        <v>655</v>
      </c>
    </row>
    <row r="2018" spans="2:6" x14ac:dyDescent="0.25">
      <c r="B2018" s="105">
        <f t="shared" si="159"/>
        <v>2015</v>
      </c>
      <c r="C2018" s="107">
        <f t="shared" si="160"/>
        <v>6</v>
      </c>
      <c r="D2018" s="107">
        <f t="shared" si="161"/>
        <v>17</v>
      </c>
      <c r="E2018" s="107">
        <f t="shared" si="162"/>
        <v>527</v>
      </c>
      <c r="F2018" s="138">
        <f t="shared" si="163"/>
        <v>652</v>
      </c>
    </row>
    <row r="2019" spans="2:6" x14ac:dyDescent="0.25">
      <c r="B2019" s="105">
        <f t="shared" si="159"/>
        <v>2016</v>
      </c>
      <c r="C2019" s="107">
        <f t="shared" si="160"/>
        <v>7</v>
      </c>
      <c r="D2019" s="107">
        <f t="shared" si="161"/>
        <v>17</v>
      </c>
      <c r="E2019" s="107">
        <f t="shared" si="162"/>
        <v>527</v>
      </c>
      <c r="F2019" s="138">
        <f t="shared" si="163"/>
        <v>633</v>
      </c>
    </row>
    <row r="2020" spans="2:6" x14ac:dyDescent="0.25">
      <c r="B2020" s="105">
        <f t="shared" si="159"/>
        <v>2017</v>
      </c>
      <c r="C2020" s="107">
        <f t="shared" si="160"/>
        <v>8</v>
      </c>
      <c r="D2020" s="107">
        <f t="shared" si="161"/>
        <v>17</v>
      </c>
      <c r="E2020" s="107">
        <f t="shared" si="162"/>
        <v>527</v>
      </c>
      <c r="F2020" s="138">
        <f t="shared" si="163"/>
        <v>632</v>
      </c>
    </row>
    <row r="2021" spans="2:6" x14ac:dyDescent="0.25">
      <c r="B2021" s="105">
        <f t="shared" si="159"/>
        <v>2018</v>
      </c>
      <c r="C2021" s="107">
        <f t="shared" si="160"/>
        <v>9</v>
      </c>
      <c r="D2021" s="107">
        <f t="shared" si="161"/>
        <v>17</v>
      </c>
      <c r="E2021" s="107">
        <f t="shared" si="162"/>
        <v>527</v>
      </c>
      <c r="F2021" s="138">
        <f t="shared" si="163"/>
        <v>625</v>
      </c>
    </row>
    <row r="2022" spans="2:6" x14ac:dyDescent="0.25">
      <c r="B2022" s="105">
        <f t="shared" si="159"/>
        <v>2019</v>
      </c>
      <c r="C2022" s="107">
        <f t="shared" si="160"/>
        <v>10</v>
      </c>
      <c r="D2022" s="107">
        <f t="shared" si="161"/>
        <v>17</v>
      </c>
      <c r="E2022" s="107">
        <f t="shared" si="162"/>
        <v>527</v>
      </c>
      <c r="F2022" s="138">
        <f t="shared" si="163"/>
        <v>619</v>
      </c>
    </row>
    <row r="2023" spans="2:6" x14ac:dyDescent="0.25">
      <c r="B2023" s="105">
        <f t="shared" ref="B2023:B2086" si="164">ROW()-3</f>
        <v>2020</v>
      </c>
      <c r="C2023" s="107">
        <f t="shared" ref="C2023:C2086" si="165">IF((D2022-C2022)=1,1,C2022+1)</f>
        <v>11</v>
      </c>
      <c r="D2023" s="107">
        <f t="shared" ref="D2023:D2086" si="166">IF((D2022-C2022)=1,D2022-1,D2022)</f>
        <v>17</v>
      </c>
      <c r="E2023" s="107">
        <f t="shared" si="162"/>
        <v>527</v>
      </c>
      <c r="F2023" s="138">
        <f t="shared" si="163"/>
        <v>610</v>
      </c>
    </row>
    <row r="2024" spans="2:6" x14ac:dyDescent="0.25">
      <c r="B2024" s="105">
        <f t="shared" si="164"/>
        <v>2021</v>
      </c>
      <c r="C2024" s="107">
        <f t="shared" si="165"/>
        <v>12</v>
      </c>
      <c r="D2024" s="107">
        <f t="shared" si="166"/>
        <v>17</v>
      </c>
      <c r="E2024" s="107">
        <f t="shared" si="162"/>
        <v>527</v>
      </c>
      <c r="F2024" s="138">
        <f t="shared" si="163"/>
        <v>599</v>
      </c>
    </row>
    <row r="2025" spans="2:6" x14ac:dyDescent="0.25">
      <c r="B2025" s="105">
        <f t="shared" si="164"/>
        <v>2022</v>
      </c>
      <c r="C2025" s="107">
        <f t="shared" si="165"/>
        <v>13</v>
      </c>
      <c r="D2025" s="107">
        <f t="shared" si="166"/>
        <v>17</v>
      </c>
      <c r="E2025" s="107">
        <f t="shared" si="162"/>
        <v>527</v>
      </c>
      <c r="F2025" s="138">
        <f t="shared" si="163"/>
        <v>559</v>
      </c>
    </row>
    <row r="2026" spans="2:6" x14ac:dyDescent="0.25">
      <c r="B2026" s="105">
        <f t="shared" si="164"/>
        <v>2023</v>
      </c>
      <c r="C2026" s="107">
        <f t="shared" si="165"/>
        <v>14</v>
      </c>
      <c r="D2026" s="107">
        <f t="shared" si="166"/>
        <v>17</v>
      </c>
      <c r="E2026" s="107">
        <f t="shared" si="162"/>
        <v>527</v>
      </c>
      <c r="F2026" s="138">
        <f t="shared" si="163"/>
        <v>556</v>
      </c>
    </row>
    <row r="2027" spans="2:6" x14ac:dyDescent="0.25">
      <c r="B2027" s="105">
        <f t="shared" si="164"/>
        <v>2024</v>
      </c>
      <c r="C2027" s="107">
        <f t="shared" si="165"/>
        <v>15</v>
      </c>
      <c r="D2027" s="107">
        <f t="shared" si="166"/>
        <v>17</v>
      </c>
      <c r="E2027" s="107">
        <f t="shared" si="162"/>
        <v>527</v>
      </c>
      <c r="F2027" s="138">
        <f t="shared" si="163"/>
        <v>540</v>
      </c>
    </row>
    <row r="2028" spans="2:6" x14ac:dyDescent="0.25">
      <c r="B2028" s="105">
        <f t="shared" si="164"/>
        <v>2025</v>
      </c>
      <c r="C2028" s="107">
        <f t="shared" si="165"/>
        <v>16</v>
      </c>
      <c r="D2028" s="107">
        <f t="shared" si="166"/>
        <v>17</v>
      </c>
      <c r="E2028" s="107">
        <f t="shared" si="162"/>
        <v>527</v>
      </c>
      <c r="F2028" s="138">
        <f t="shared" si="163"/>
        <v>536</v>
      </c>
    </row>
    <row r="2029" spans="2:6" x14ac:dyDescent="0.25">
      <c r="B2029" s="105">
        <f t="shared" si="164"/>
        <v>2026</v>
      </c>
      <c r="C2029" s="107">
        <f t="shared" si="165"/>
        <v>1</v>
      </c>
      <c r="D2029" s="107">
        <f t="shared" si="166"/>
        <v>16</v>
      </c>
      <c r="E2029" s="107">
        <f t="shared" si="162"/>
        <v>536</v>
      </c>
      <c r="F2029" s="138">
        <f t="shared" si="163"/>
        <v>1048</v>
      </c>
    </row>
    <row r="2030" spans="2:6" x14ac:dyDescent="0.25">
      <c r="B2030" s="105">
        <f t="shared" si="164"/>
        <v>2027</v>
      </c>
      <c r="C2030" s="107">
        <f t="shared" si="165"/>
        <v>2</v>
      </c>
      <c r="D2030" s="107">
        <f t="shared" si="166"/>
        <v>16</v>
      </c>
      <c r="E2030" s="107">
        <f t="shared" si="162"/>
        <v>536</v>
      </c>
      <c r="F2030" s="138">
        <f t="shared" si="163"/>
        <v>1025</v>
      </c>
    </row>
    <row r="2031" spans="2:6" x14ac:dyDescent="0.25">
      <c r="B2031" s="105">
        <f t="shared" si="164"/>
        <v>2028</v>
      </c>
      <c r="C2031" s="107">
        <f t="shared" si="165"/>
        <v>3</v>
      </c>
      <c r="D2031" s="107">
        <f t="shared" si="166"/>
        <v>16</v>
      </c>
      <c r="E2031" s="107">
        <f t="shared" si="162"/>
        <v>536</v>
      </c>
      <c r="F2031" s="138">
        <f t="shared" si="163"/>
        <v>805</v>
      </c>
    </row>
    <row r="2032" spans="2:6" x14ac:dyDescent="0.25">
      <c r="B2032" s="105">
        <f t="shared" si="164"/>
        <v>2029</v>
      </c>
      <c r="C2032" s="107">
        <f t="shared" si="165"/>
        <v>4</v>
      </c>
      <c r="D2032" s="107">
        <f t="shared" si="166"/>
        <v>16</v>
      </c>
      <c r="E2032" s="107">
        <f t="shared" si="162"/>
        <v>536</v>
      </c>
      <c r="F2032" s="138">
        <f t="shared" si="163"/>
        <v>666</v>
      </c>
    </row>
    <row r="2033" spans="2:6" x14ac:dyDescent="0.25">
      <c r="B2033" s="105">
        <f t="shared" si="164"/>
        <v>2030</v>
      </c>
      <c r="C2033" s="107">
        <f t="shared" si="165"/>
        <v>5</v>
      </c>
      <c r="D2033" s="107">
        <f t="shared" si="166"/>
        <v>16</v>
      </c>
      <c r="E2033" s="107">
        <f t="shared" si="162"/>
        <v>536</v>
      </c>
      <c r="F2033" s="138">
        <f t="shared" si="163"/>
        <v>655</v>
      </c>
    </row>
    <row r="2034" spans="2:6" x14ac:dyDescent="0.25">
      <c r="B2034" s="105">
        <f t="shared" si="164"/>
        <v>2031</v>
      </c>
      <c r="C2034" s="107">
        <f t="shared" si="165"/>
        <v>6</v>
      </c>
      <c r="D2034" s="107">
        <f t="shared" si="166"/>
        <v>16</v>
      </c>
      <c r="E2034" s="107">
        <f t="shared" si="162"/>
        <v>536</v>
      </c>
      <c r="F2034" s="138">
        <f t="shared" si="163"/>
        <v>652</v>
      </c>
    </row>
    <row r="2035" spans="2:6" x14ac:dyDescent="0.25">
      <c r="B2035" s="105">
        <f t="shared" si="164"/>
        <v>2032</v>
      </c>
      <c r="C2035" s="107">
        <f t="shared" si="165"/>
        <v>7</v>
      </c>
      <c r="D2035" s="107">
        <f t="shared" si="166"/>
        <v>16</v>
      </c>
      <c r="E2035" s="107">
        <f t="shared" si="162"/>
        <v>536</v>
      </c>
      <c r="F2035" s="138">
        <f t="shared" si="163"/>
        <v>633</v>
      </c>
    </row>
    <row r="2036" spans="2:6" x14ac:dyDescent="0.25">
      <c r="B2036" s="105">
        <f t="shared" si="164"/>
        <v>2033</v>
      </c>
      <c r="C2036" s="107">
        <f t="shared" si="165"/>
        <v>8</v>
      </c>
      <c r="D2036" s="107">
        <f t="shared" si="166"/>
        <v>16</v>
      </c>
      <c r="E2036" s="107">
        <f t="shared" si="162"/>
        <v>536</v>
      </c>
      <c r="F2036" s="138">
        <f t="shared" si="163"/>
        <v>632</v>
      </c>
    </row>
    <row r="2037" spans="2:6" x14ac:dyDescent="0.25">
      <c r="B2037" s="105">
        <f t="shared" si="164"/>
        <v>2034</v>
      </c>
      <c r="C2037" s="107">
        <f t="shared" si="165"/>
        <v>9</v>
      </c>
      <c r="D2037" s="107">
        <f t="shared" si="166"/>
        <v>16</v>
      </c>
      <c r="E2037" s="107">
        <f t="shared" si="162"/>
        <v>536</v>
      </c>
      <c r="F2037" s="138">
        <f t="shared" si="163"/>
        <v>625</v>
      </c>
    </row>
    <row r="2038" spans="2:6" x14ac:dyDescent="0.25">
      <c r="B2038" s="105">
        <f t="shared" si="164"/>
        <v>2035</v>
      </c>
      <c r="C2038" s="107">
        <f t="shared" si="165"/>
        <v>10</v>
      </c>
      <c r="D2038" s="107">
        <f t="shared" si="166"/>
        <v>16</v>
      </c>
      <c r="E2038" s="107">
        <f t="shared" si="162"/>
        <v>536</v>
      </c>
      <c r="F2038" s="138">
        <f t="shared" si="163"/>
        <v>619</v>
      </c>
    </row>
    <row r="2039" spans="2:6" x14ac:dyDescent="0.25">
      <c r="B2039" s="105">
        <f t="shared" si="164"/>
        <v>2036</v>
      </c>
      <c r="C2039" s="107">
        <f t="shared" si="165"/>
        <v>11</v>
      </c>
      <c r="D2039" s="107">
        <f t="shared" si="166"/>
        <v>16</v>
      </c>
      <c r="E2039" s="107">
        <f t="shared" si="162"/>
        <v>536</v>
      </c>
      <c r="F2039" s="138">
        <f t="shared" si="163"/>
        <v>610</v>
      </c>
    </row>
    <row r="2040" spans="2:6" x14ac:dyDescent="0.25">
      <c r="B2040" s="105">
        <f t="shared" si="164"/>
        <v>2037</v>
      </c>
      <c r="C2040" s="107">
        <f t="shared" si="165"/>
        <v>12</v>
      </c>
      <c r="D2040" s="107">
        <f t="shared" si="166"/>
        <v>16</v>
      </c>
      <c r="E2040" s="107">
        <f t="shared" si="162"/>
        <v>536</v>
      </c>
      <c r="F2040" s="138">
        <f t="shared" si="163"/>
        <v>599</v>
      </c>
    </row>
    <row r="2041" spans="2:6" x14ac:dyDescent="0.25">
      <c r="B2041" s="105">
        <f t="shared" si="164"/>
        <v>2038</v>
      </c>
      <c r="C2041" s="107">
        <f t="shared" si="165"/>
        <v>13</v>
      </c>
      <c r="D2041" s="107">
        <f t="shared" si="166"/>
        <v>16</v>
      </c>
      <c r="E2041" s="107">
        <f t="shared" si="162"/>
        <v>536</v>
      </c>
      <c r="F2041" s="138">
        <f t="shared" si="163"/>
        <v>559</v>
      </c>
    </row>
    <row r="2042" spans="2:6" x14ac:dyDescent="0.25">
      <c r="B2042" s="105">
        <f t="shared" si="164"/>
        <v>2039</v>
      </c>
      <c r="C2042" s="107">
        <f t="shared" si="165"/>
        <v>14</v>
      </c>
      <c r="D2042" s="107">
        <f t="shared" si="166"/>
        <v>16</v>
      </c>
      <c r="E2042" s="107">
        <f t="shared" si="162"/>
        <v>536</v>
      </c>
      <c r="F2042" s="138">
        <f t="shared" si="163"/>
        <v>556</v>
      </c>
    </row>
    <row r="2043" spans="2:6" x14ac:dyDescent="0.25">
      <c r="B2043" s="105">
        <f t="shared" si="164"/>
        <v>2040</v>
      </c>
      <c r="C2043" s="107">
        <f t="shared" si="165"/>
        <v>15</v>
      </c>
      <c r="D2043" s="107">
        <f t="shared" si="166"/>
        <v>16</v>
      </c>
      <c r="E2043" s="107">
        <f t="shared" si="162"/>
        <v>536</v>
      </c>
      <c r="F2043" s="138">
        <f t="shared" si="163"/>
        <v>540</v>
      </c>
    </row>
    <row r="2044" spans="2:6" x14ac:dyDescent="0.25">
      <c r="B2044" s="105">
        <f t="shared" si="164"/>
        <v>2041</v>
      </c>
      <c r="C2044" s="107">
        <f t="shared" si="165"/>
        <v>1</v>
      </c>
      <c r="D2044" s="107">
        <f t="shared" si="166"/>
        <v>15</v>
      </c>
      <c r="E2044" s="107">
        <f t="shared" si="162"/>
        <v>540</v>
      </c>
      <c r="F2044" s="138">
        <f t="shared" si="163"/>
        <v>1048</v>
      </c>
    </row>
    <row r="2045" spans="2:6" x14ac:dyDescent="0.25">
      <c r="B2045" s="105">
        <f t="shared" si="164"/>
        <v>2042</v>
      </c>
      <c r="C2045" s="107">
        <f t="shared" si="165"/>
        <v>2</v>
      </c>
      <c r="D2045" s="107">
        <f t="shared" si="166"/>
        <v>15</v>
      </c>
      <c r="E2045" s="107">
        <f t="shared" si="162"/>
        <v>540</v>
      </c>
      <c r="F2045" s="138">
        <f t="shared" si="163"/>
        <v>1025</v>
      </c>
    </row>
    <row r="2046" spans="2:6" x14ac:dyDescent="0.25">
      <c r="B2046" s="105">
        <f t="shared" si="164"/>
        <v>2043</v>
      </c>
      <c r="C2046" s="107">
        <f t="shared" si="165"/>
        <v>3</v>
      </c>
      <c r="D2046" s="107">
        <f t="shared" si="166"/>
        <v>15</v>
      </c>
      <c r="E2046" s="107">
        <f t="shared" si="162"/>
        <v>540</v>
      </c>
      <c r="F2046" s="138">
        <f t="shared" si="163"/>
        <v>805</v>
      </c>
    </row>
    <row r="2047" spans="2:6" x14ac:dyDescent="0.25">
      <c r="B2047" s="105">
        <f t="shared" si="164"/>
        <v>2044</v>
      </c>
      <c r="C2047" s="107">
        <f t="shared" si="165"/>
        <v>4</v>
      </c>
      <c r="D2047" s="107">
        <f t="shared" si="166"/>
        <v>15</v>
      </c>
      <c r="E2047" s="107">
        <f t="shared" si="162"/>
        <v>540</v>
      </c>
      <c r="F2047" s="138">
        <f t="shared" si="163"/>
        <v>666</v>
      </c>
    </row>
    <row r="2048" spans="2:6" x14ac:dyDescent="0.25">
      <c r="B2048" s="105">
        <f t="shared" si="164"/>
        <v>2045</v>
      </c>
      <c r="C2048" s="107">
        <f t="shared" si="165"/>
        <v>5</v>
      </c>
      <c r="D2048" s="107">
        <f t="shared" si="166"/>
        <v>15</v>
      </c>
      <c r="E2048" s="107">
        <f t="shared" si="162"/>
        <v>540</v>
      </c>
      <c r="F2048" s="138">
        <f t="shared" si="163"/>
        <v>655</v>
      </c>
    </row>
    <row r="2049" spans="2:6" x14ac:dyDescent="0.25">
      <c r="B2049" s="105">
        <f t="shared" si="164"/>
        <v>2046</v>
      </c>
      <c r="C2049" s="107">
        <f t="shared" si="165"/>
        <v>6</v>
      </c>
      <c r="D2049" s="107">
        <f t="shared" si="166"/>
        <v>15</v>
      </c>
      <c r="E2049" s="107">
        <f t="shared" si="162"/>
        <v>540</v>
      </c>
      <c r="F2049" s="138">
        <f t="shared" si="163"/>
        <v>652</v>
      </c>
    </row>
    <row r="2050" spans="2:6" x14ac:dyDescent="0.25">
      <c r="B2050" s="105">
        <f t="shared" si="164"/>
        <v>2047</v>
      </c>
      <c r="C2050" s="107">
        <f t="shared" si="165"/>
        <v>7</v>
      </c>
      <c r="D2050" s="107">
        <f t="shared" si="166"/>
        <v>15</v>
      </c>
      <c r="E2050" s="107">
        <f t="shared" si="162"/>
        <v>540</v>
      </c>
      <c r="F2050" s="138">
        <f t="shared" si="163"/>
        <v>633</v>
      </c>
    </row>
    <row r="2051" spans="2:6" x14ac:dyDescent="0.25">
      <c r="B2051" s="105">
        <f t="shared" si="164"/>
        <v>2048</v>
      </c>
      <c r="C2051" s="107">
        <f t="shared" si="165"/>
        <v>8</v>
      </c>
      <c r="D2051" s="107">
        <f t="shared" si="166"/>
        <v>15</v>
      </c>
      <c r="E2051" s="107">
        <f t="shared" si="162"/>
        <v>540</v>
      </c>
      <c r="F2051" s="138">
        <f t="shared" si="163"/>
        <v>632</v>
      </c>
    </row>
    <row r="2052" spans="2:6" x14ac:dyDescent="0.25">
      <c r="B2052" s="105">
        <f t="shared" si="164"/>
        <v>2049</v>
      </c>
      <c r="C2052" s="107">
        <f t="shared" si="165"/>
        <v>9</v>
      </c>
      <c r="D2052" s="107">
        <f t="shared" si="166"/>
        <v>15</v>
      </c>
      <c r="E2052" s="107">
        <f t="shared" ref="E2052:E2115" si="167">IFERROR(VLOOKUP(D2052,$H$4:$I$69,2,0),"")</f>
        <v>540</v>
      </c>
      <c r="F2052" s="138">
        <f t="shared" ref="F2052:F2115" si="168">IFERROR(VLOOKUP(C2052,$H$4:$I$69,2,0),"")</f>
        <v>625</v>
      </c>
    </row>
    <row r="2053" spans="2:6" x14ac:dyDescent="0.25">
      <c r="B2053" s="105">
        <f t="shared" si="164"/>
        <v>2050</v>
      </c>
      <c r="C2053" s="107">
        <f t="shared" si="165"/>
        <v>10</v>
      </c>
      <c r="D2053" s="107">
        <f t="shared" si="166"/>
        <v>15</v>
      </c>
      <c r="E2053" s="107">
        <f t="shared" si="167"/>
        <v>540</v>
      </c>
      <c r="F2053" s="138">
        <f t="shared" si="168"/>
        <v>619</v>
      </c>
    </row>
    <row r="2054" spans="2:6" x14ac:dyDescent="0.25">
      <c r="B2054" s="105">
        <f t="shared" si="164"/>
        <v>2051</v>
      </c>
      <c r="C2054" s="107">
        <f t="shared" si="165"/>
        <v>11</v>
      </c>
      <c r="D2054" s="107">
        <f t="shared" si="166"/>
        <v>15</v>
      </c>
      <c r="E2054" s="107">
        <f t="shared" si="167"/>
        <v>540</v>
      </c>
      <c r="F2054" s="138">
        <f t="shared" si="168"/>
        <v>610</v>
      </c>
    </row>
    <row r="2055" spans="2:6" x14ac:dyDescent="0.25">
      <c r="B2055" s="105">
        <f t="shared" si="164"/>
        <v>2052</v>
      </c>
      <c r="C2055" s="107">
        <f t="shared" si="165"/>
        <v>12</v>
      </c>
      <c r="D2055" s="107">
        <f t="shared" si="166"/>
        <v>15</v>
      </c>
      <c r="E2055" s="107">
        <f t="shared" si="167"/>
        <v>540</v>
      </c>
      <c r="F2055" s="138">
        <f t="shared" si="168"/>
        <v>599</v>
      </c>
    </row>
    <row r="2056" spans="2:6" x14ac:dyDescent="0.25">
      <c r="B2056" s="105">
        <f t="shared" si="164"/>
        <v>2053</v>
      </c>
      <c r="C2056" s="107">
        <f t="shared" si="165"/>
        <v>13</v>
      </c>
      <c r="D2056" s="107">
        <f t="shared" si="166"/>
        <v>15</v>
      </c>
      <c r="E2056" s="107">
        <f t="shared" si="167"/>
        <v>540</v>
      </c>
      <c r="F2056" s="138">
        <f t="shared" si="168"/>
        <v>559</v>
      </c>
    </row>
    <row r="2057" spans="2:6" x14ac:dyDescent="0.25">
      <c r="B2057" s="105">
        <f t="shared" si="164"/>
        <v>2054</v>
      </c>
      <c r="C2057" s="107">
        <f t="shared" si="165"/>
        <v>14</v>
      </c>
      <c r="D2057" s="107">
        <f t="shared" si="166"/>
        <v>15</v>
      </c>
      <c r="E2057" s="107">
        <f t="shared" si="167"/>
        <v>540</v>
      </c>
      <c r="F2057" s="138">
        <f t="shared" si="168"/>
        <v>556</v>
      </c>
    </row>
    <row r="2058" spans="2:6" x14ac:dyDescent="0.25">
      <c r="B2058" s="105">
        <f t="shared" si="164"/>
        <v>2055</v>
      </c>
      <c r="C2058" s="107">
        <f t="shared" si="165"/>
        <v>1</v>
      </c>
      <c r="D2058" s="107">
        <f t="shared" si="166"/>
        <v>14</v>
      </c>
      <c r="E2058" s="107">
        <f t="shared" si="167"/>
        <v>556</v>
      </c>
      <c r="F2058" s="138">
        <f t="shared" si="168"/>
        <v>1048</v>
      </c>
    </row>
    <row r="2059" spans="2:6" x14ac:dyDescent="0.25">
      <c r="B2059" s="105">
        <f t="shared" si="164"/>
        <v>2056</v>
      </c>
      <c r="C2059" s="107">
        <f t="shared" si="165"/>
        <v>2</v>
      </c>
      <c r="D2059" s="107">
        <f t="shared" si="166"/>
        <v>14</v>
      </c>
      <c r="E2059" s="107">
        <f t="shared" si="167"/>
        <v>556</v>
      </c>
      <c r="F2059" s="138">
        <f t="shared" si="168"/>
        <v>1025</v>
      </c>
    </row>
    <row r="2060" spans="2:6" x14ac:dyDescent="0.25">
      <c r="B2060" s="105">
        <f t="shared" si="164"/>
        <v>2057</v>
      </c>
      <c r="C2060" s="107">
        <f t="shared" si="165"/>
        <v>3</v>
      </c>
      <c r="D2060" s="107">
        <f t="shared" si="166"/>
        <v>14</v>
      </c>
      <c r="E2060" s="107">
        <f t="shared" si="167"/>
        <v>556</v>
      </c>
      <c r="F2060" s="138">
        <f t="shared" si="168"/>
        <v>805</v>
      </c>
    </row>
    <row r="2061" spans="2:6" x14ac:dyDescent="0.25">
      <c r="B2061" s="105">
        <f t="shared" si="164"/>
        <v>2058</v>
      </c>
      <c r="C2061" s="107">
        <f t="shared" si="165"/>
        <v>4</v>
      </c>
      <c r="D2061" s="107">
        <f t="shared" si="166"/>
        <v>14</v>
      </c>
      <c r="E2061" s="107">
        <f t="shared" si="167"/>
        <v>556</v>
      </c>
      <c r="F2061" s="138">
        <f t="shared" si="168"/>
        <v>666</v>
      </c>
    </row>
    <row r="2062" spans="2:6" x14ac:dyDescent="0.25">
      <c r="B2062" s="105">
        <f t="shared" si="164"/>
        <v>2059</v>
      </c>
      <c r="C2062" s="107">
        <f t="shared" si="165"/>
        <v>5</v>
      </c>
      <c r="D2062" s="107">
        <f t="shared" si="166"/>
        <v>14</v>
      </c>
      <c r="E2062" s="107">
        <f t="shared" si="167"/>
        <v>556</v>
      </c>
      <c r="F2062" s="138">
        <f t="shared" si="168"/>
        <v>655</v>
      </c>
    </row>
    <row r="2063" spans="2:6" x14ac:dyDescent="0.25">
      <c r="B2063" s="105">
        <f t="shared" si="164"/>
        <v>2060</v>
      </c>
      <c r="C2063" s="107">
        <f t="shared" si="165"/>
        <v>6</v>
      </c>
      <c r="D2063" s="107">
        <f t="shared" si="166"/>
        <v>14</v>
      </c>
      <c r="E2063" s="107">
        <f t="shared" si="167"/>
        <v>556</v>
      </c>
      <c r="F2063" s="138">
        <f t="shared" si="168"/>
        <v>652</v>
      </c>
    </row>
    <row r="2064" spans="2:6" x14ac:dyDescent="0.25">
      <c r="B2064" s="105">
        <f t="shared" si="164"/>
        <v>2061</v>
      </c>
      <c r="C2064" s="107">
        <f t="shared" si="165"/>
        <v>7</v>
      </c>
      <c r="D2064" s="107">
        <f t="shared" si="166"/>
        <v>14</v>
      </c>
      <c r="E2064" s="107">
        <f t="shared" si="167"/>
        <v>556</v>
      </c>
      <c r="F2064" s="138">
        <f t="shared" si="168"/>
        <v>633</v>
      </c>
    </row>
    <row r="2065" spans="2:6" x14ac:dyDescent="0.25">
      <c r="B2065" s="105">
        <f t="shared" si="164"/>
        <v>2062</v>
      </c>
      <c r="C2065" s="107">
        <f t="shared" si="165"/>
        <v>8</v>
      </c>
      <c r="D2065" s="107">
        <f t="shared" si="166"/>
        <v>14</v>
      </c>
      <c r="E2065" s="107">
        <f t="shared" si="167"/>
        <v>556</v>
      </c>
      <c r="F2065" s="138">
        <f t="shared" si="168"/>
        <v>632</v>
      </c>
    </row>
    <row r="2066" spans="2:6" x14ac:dyDescent="0.25">
      <c r="B2066" s="105">
        <f t="shared" si="164"/>
        <v>2063</v>
      </c>
      <c r="C2066" s="107">
        <f t="shared" si="165"/>
        <v>9</v>
      </c>
      <c r="D2066" s="107">
        <f t="shared" si="166"/>
        <v>14</v>
      </c>
      <c r="E2066" s="107">
        <f t="shared" si="167"/>
        <v>556</v>
      </c>
      <c r="F2066" s="138">
        <f t="shared" si="168"/>
        <v>625</v>
      </c>
    </row>
    <row r="2067" spans="2:6" x14ac:dyDescent="0.25">
      <c r="B2067" s="105">
        <f t="shared" si="164"/>
        <v>2064</v>
      </c>
      <c r="C2067" s="107">
        <f t="shared" si="165"/>
        <v>10</v>
      </c>
      <c r="D2067" s="107">
        <f t="shared" si="166"/>
        <v>14</v>
      </c>
      <c r="E2067" s="107">
        <f t="shared" si="167"/>
        <v>556</v>
      </c>
      <c r="F2067" s="138">
        <f t="shared" si="168"/>
        <v>619</v>
      </c>
    </row>
    <row r="2068" spans="2:6" x14ac:dyDescent="0.25">
      <c r="B2068" s="105">
        <f t="shared" si="164"/>
        <v>2065</v>
      </c>
      <c r="C2068" s="107">
        <f t="shared" si="165"/>
        <v>11</v>
      </c>
      <c r="D2068" s="107">
        <f t="shared" si="166"/>
        <v>14</v>
      </c>
      <c r="E2068" s="107">
        <f t="shared" si="167"/>
        <v>556</v>
      </c>
      <c r="F2068" s="138">
        <f t="shared" si="168"/>
        <v>610</v>
      </c>
    </row>
    <row r="2069" spans="2:6" x14ac:dyDescent="0.25">
      <c r="B2069" s="105">
        <f t="shared" si="164"/>
        <v>2066</v>
      </c>
      <c r="C2069" s="107">
        <f t="shared" si="165"/>
        <v>12</v>
      </c>
      <c r="D2069" s="107">
        <f t="shared" si="166"/>
        <v>14</v>
      </c>
      <c r="E2069" s="107">
        <f t="shared" si="167"/>
        <v>556</v>
      </c>
      <c r="F2069" s="138">
        <f t="shared" si="168"/>
        <v>599</v>
      </c>
    </row>
    <row r="2070" spans="2:6" x14ac:dyDescent="0.25">
      <c r="B2070" s="105">
        <f t="shared" si="164"/>
        <v>2067</v>
      </c>
      <c r="C2070" s="107">
        <f t="shared" si="165"/>
        <v>13</v>
      </c>
      <c r="D2070" s="107">
        <f t="shared" si="166"/>
        <v>14</v>
      </c>
      <c r="E2070" s="107">
        <f t="shared" si="167"/>
        <v>556</v>
      </c>
      <c r="F2070" s="138">
        <f t="shared" si="168"/>
        <v>559</v>
      </c>
    </row>
    <row r="2071" spans="2:6" x14ac:dyDescent="0.25">
      <c r="B2071" s="105">
        <f t="shared" si="164"/>
        <v>2068</v>
      </c>
      <c r="C2071" s="107">
        <f t="shared" si="165"/>
        <v>1</v>
      </c>
      <c r="D2071" s="107">
        <f t="shared" si="166"/>
        <v>13</v>
      </c>
      <c r="E2071" s="107">
        <f t="shared" si="167"/>
        <v>559</v>
      </c>
      <c r="F2071" s="138">
        <f t="shared" si="168"/>
        <v>1048</v>
      </c>
    </row>
    <row r="2072" spans="2:6" x14ac:dyDescent="0.25">
      <c r="B2072" s="105">
        <f t="shared" si="164"/>
        <v>2069</v>
      </c>
      <c r="C2072" s="107">
        <f t="shared" si="165"/>
        <v>2</v>
      </c>
      <c r="D2072" s="107">
        <f t="shared" si="166"/>
        <v>13</v>
      </c>
      <c r="E2072" s="107">
        <f t="shared" si="167"/>
        <v>559</v>
      </c>
      <c r="F2072" s="138">
        <f t="shared" si="168"/>
        <v>1025</v>
      </c>
    </row>
    <row r="2073" spans="2:6" x14ac:dyDescent="0.25">
      <c r="B2073" s="105">
        <f t="shared" si="164"/>
        <v>2070</v>
      </c>
      <c r="C2073" s="107">
        <f t="shared" si="165"/>
        <v>3</v>
      </c>
      <c r="D2073" s="107">
        <f t="shared" si="166"/>
        <v>13</v>
      </c>
      <c r="E2073" s="107">
        <f t="shared" si="167"/>
        <v>559</v>
      </c>
      <c r="F2073" s="138">
        <f t="shared" si="168"/>
        <v>805</v>
      </c>
    </row>
    <row r="2074" spans="2:6" x14ac:dyDescent="0.25">
      <c r="B2074" s="105">
        <f t="shared" si="164"/>
        <v>2071</v>
      </c>
      <c r="C2074" s="107">
        <f t="shared" si="165"/>
        <v>4</v>
      </c>
      <c r="D2074" s="107">
        <f t="shared" si="166"/>
        <v>13</v>
      </c>
      <c r="E2074" s="107">
        <f t="shared" si="167"/>
        <v>559</v>
      </c>
      <c r="F2074" s="138">
        <f t="shared" si="168"/>
        <v>666</v>
      </c>
    </row>
    <row r="2075" spans="2:6" x14ac:dyDescent="0.25">
      <c r="B2075" s="105">
        <f t="shared" si="164"/>
        <v>2072</v>
      </c>
      <c r="C2075" s="107">
        <f t="shared" si="165"/>
        <v>5</v>
      </c>
      <c r="D2075" s="107">
        <f t="shared" si="166"/>
        <v>13</v>
      </c>
      <c r="E2075" s="107">
        <f t="shared" si="167"/>
        <v>559</v>
      </c>
      <c r="F2075" s="138">
        <f t="shared" si="168"/>
        <v>655</v>
      </c>
    </row>
    <row r="2076" spans="2:6" x14ac:dyDescent="0.25">
      <c r="B2076" s="105">
        <f t="shared" si="164"/>
        <v>2073</v>
      </c>
      <c r="C2076" s="107">
        <f t="shared" si="165"/>
        <v>6</v>
      </c>
      <c r="D2076" s="107">
        <f t="shared" si="166"/>
        <v>13</v>
      </c>
      <c r="E2076" s="107">
        <f t="shared" si="167"/>
        <v>559</v>
      </c>
      <c r="F2076" s="138">
        <f t="shared" si="168"/>
        <v>652</v>
      </c>
    </row>
    <row r="2077" spans="2:6" x14ac:dyDescent="0.25">
      <c r="B2077" s="105">
        <f t="shared" si="164"/>
        <v>2074</v>
      </c>
      <c r="C2077" s="107">
        <f t="shared" si="165"/>
        <v>7</v>
      </c>
      <c r="D2077" s="107">
        <f t="shared" si="166"/>
        <v>13</v>
      </c>
      <c r="E2077" s="107">
        <f t="shared" si="167"/>
        <v>559</v>
      </c>
      <c r="F2077" s="138">
        <f t="shared" si="168"/>
        <v>633</v>
      </c>
    </row>
    <row r="2078" spans="2:6" x14ac:dyDescent="0.25">
      <c r="B2078" s="105">
        <f t="shared" si="164"/>
        <v>2075</v>
      </c>
      <c r="C2078" s="107">
        <f t="shared" si="165"/>
        <v>8</v>
      </c>
      <c r="D2078" s="107">
        <f t="shared" si="166"/>
        <v>13</v>
      </c>
      <c r="E2078" s="107">
        <f t="shared" si="167"/>
        <v>559</v>
      </c>
      <c r="F2078" s="138">
        <f t="shared" si="168"/>
        <v>632</v>
      </c>
    </row>
    <row r="2079" spans="2:6" x14ac:dyDescent="0.25">
      <c r="B2079" s="105">
        <f t="shared" si="164"/>
        <v>2076</v>
      </c>
      <c r="C2079" s="107">
        <f t="shared" si="165"/>
        <v>9</v>
      </c>
      <c r="D2079" s="107">
        <f t="shared" si="166"/>
        <v>13</v>
      </c>
      <c r="E2079" s="107">
        <f t="shared" si="167"/>
        <v>559</v>
      </c>
      <c r="F2079" s="138">
        <f t="shared" si="168"/>
        <v>625</v>
      </c>
    </row>
    <row r="2080" spans="2:6" x14ac:dyDescent="0.25">
      <c r="B2080" s="105">
        <f t="shared" si="164"/>
        <v>2077</v>
      </c>
      <c r="C2080" s="107">
        <f t="shared" si="165"/>
        <v>10</v>
      </c>
      <c r="D2080" s="107">
        <f t="shared" si="166"/>
        <v>13</v>
      </c>
      <c r="E2080" s="107">
        <f t="shared" si="167"/>
        <v>559</v>
      </c>
      <c r="F2080" s="138">
        <f t="shared" si="168"/>
        <v>619</v>
      </c>
    </row>
    <row r="2081" spans="2:6" x14ac:dyDescent="0.25">
      <c r="B2081" s="105">
        <f t="shared" si="164"/>
        <v>2078</v>
      </c>
      <c r="C2081" s="107">
        <f t="shared" si="165"/>
        <v>11</v>
      </c>
      <c r="D2081" s="107">
        <f t="shared" si="166"/>
        <v>13</v>
      </c>
      <c r="E2081" s="107">
        <f t="shared" si="167"/>
        <v>559</v>
      </c>
      <c r="F2081" s="138">
        <f t="shared" si="168"/>
        <v>610</v>
      </c>
    </row>
    <row r="2082" spans="2:6" x14ac:dyDescent="0.25">
      <c r="B2082" s="105">
        <f t="shared" si="164"/>
        <v>2079</v>
      </c>
      <c r="C2082" s="107">
        <f t="shared" si="165"/>
        <v>12</v>
      </c>
      <c r="D2082" s="107">
        <f t="shared" si="166"/>
        <v>13</v>
      </c>
      <c r="E2082" s="107">
        <f t="shared" si="167"/>
        <v>559</v>
      </c>
      <c r="F2082" s="138">
        <f t="shared" si="168"/>
        <v>599</v>
      </c>
    </row>
    <row r="2083" spans="2:6" x14ac:dyDescent="0.25">
      <c r="B2083" s="105">
        <f t="shared" si="164"/>
        <v>2080</v>
      </c>
      <c r="C2083" s="107">
        <f t="shared" si="165"/>
        <v>1</v>
      </c>
      <c r="D2083" s="107">
        <f t="shared" si="166"/>
        <v>12</v>
      </c>
      <c r="E2083" s="107">
        <f t="shared" si="167"/>
        <v>599</v>
      </c>
      <c r="F2083" s="138">
        <f t="shared" si="168"/>
        <v>1048</v>
      </c>
    </row>
    <row r="2084" spans="2:6" x14ac:dyDescent="0.25">
      <c r="B2084" s="105">
        <f t="shared" si="164"/>
        <v>2081</v>
      </c>
      <c r="C2084" s="107">
        <f t="shared" si="165"/>
        <v>2</v>
      </c>
      <c r="D2084" s="107">
        <f t="shared" si="166"/>
        <v>12</v>
      </c>
      <c r="E2084" s="107">
        <f t="shared" si="167"/>
        <v>599</v>
      </c>
      <c r="F2084" s="138">
        <f t="shared" si="168"/>
        <v>1025</v>
      </c>
    </row>
    <row r="2085" spans="2:6" x14ac:dyDescent="0.25">
      <c r="B2085" s="105">
        <f t="shared" si="164"/>
        <v>2082</v>
      </c>
      <c r="C2085" s="107">
        <f t="shared" si="165"/>
        <v>3</v>
      </c>
      <c r="D2085" s="107">
        <f t="shared" si="166"/>
        <v>12</v>
      </c>
      <c r="E2085" s="107">
        <f t="shared" si="167"/>
        <v>599</v>
      </c>
      <c r="F2085" s="138">
        <f t="shared" si="168"/>
        <v>805</v>
      </c>
    </row>
    <row r="2086" spans="2:6" x14ac:dyDescent="0.25">
      <c r="B2086" s="105">
        <f t="shared" si="164"/>
        <v>2083</v>
      </c>
      <c r="C2086" s="107">
        <f t="shared" si="165"/>
        <v>4</v>
      </c>
      <c r="D2086" s="107">
        <f t="shared" si="166"/>
        <v>12</v>
      </c>
      <c r="E2086" s="107">
        <f t="shared" si="167"/>
        <v>599</v>
      </c>
      <c r="F2086" s="138">
        <f t="shared" si="168"/>
        <v>666</v>
      </c>
    </row>
    <row r="2087" spans="2:6" x14ac:dyDescent="0.25">
      <c r="B2087" s="105">
        <f t="shared" ref="B2087:B2148" si="169">ROW()-3</f>
        <v>2084</v>
      </c>
      <c r="C2087" s="107">
        <f t="shared" ref="C2087:C2148" si="170">IF((D2086-C2086)=1,1,C2086+1)</f>
        <v>5</v>
      </c>
      <c r="D2087" s="107">
        <f t="shared" ref="D2087:D2148" si="171">IF((D2086-C2086)=1,D2086-1,D2086)</f>
        <v>12</v>
      </c>
      <c r="E2087" s="107">
        <f t="shared" si="167"/>
        <v>599</v>
      </c>
      <c r="F2087" s="138">
        <f t="shared" si="168"/>
        <v>655</v>
      </c>
    </row>
    <row r="2088" spans="2:6" x14ac:dyDescent="0.25">
      <c r="B2088" s="105">
        <f t="shared" si="169"/>
        <v>2085</v>
      </c>
      <c r="C2088" s="107">
        <f t="shared" si="170"/>
        <v>6</v>
      </c>
      <c r="D2088" s="107">
        <f t="shared" si="171"/>
        <v>12</v>
      </c>
      <c r="E2088" s="107">
        <f t="shared" si="167"/>
        <v>599</v>
      </c>
      <c r="F2088" s="138">
        <f t="shared" si="168"/>
        <v>652</v>
      </c>
    </row>
    <row r="2089" spans="2:6" x14ac:dyDescent="0.25">
      <c r="B2089" s="105">
        <f t="shared" si="169"/>
        <v>2086</v>
      </c>
      <c r="C2089" s="107">
        <f t="shared" si="170"/>
        <v>7</v>
      </c>
      <c r="D2089" s="107">
        <f t="shared" si="171"/>
        <v>12</v>
      </c>
      <c r="E2089" s="107">
        <f t="shared" si="167"/>
        <v>599</v>
      </c>
      <c r="F2089" s="138">
        <f t="shared" si="168"/>
        <v>633</v>
      </c>
    </row>
    <row r="2090" spans="2:6" x14ac:dyDescent="0.25">
      <c r="B2090" s="105">
        <f t="shared" si="169"/>
        <v>2087</v>
      </c>
      <c r="C2090" s="107">
        <f t="shared" si="170"/>
        <v>8</v>
      </c>
      <c r="D2090" s="107">
        <f t="shared" si="171"/>
        <v>12</v>
      </c>
      <c r="E2090" s="107">
        <f t="shared" si="167"/>
        <v>599</v>
      </c>
      <c r="F2090" s="138">
        <f t="shared" si="168"/>
        <v>632</v>
      </c>
    </row>
    <row r="2091" spans="2:6" x14ac:dyDescent="0.25">
      <c r="B2091" s="105">
        <f t="shared" si="169"/>
        <v>2088</v>
      </c>
      <c r="C2091" s="107">
        <f t="shared" si="170"/>
        <v>9</v>
      </c>
      <c r="D2091" s="107">
        <f t="shared" si="171"/>
        <v>12</v>
      </c>
      <c r="E2091" s="107">
        <f t="shared" si="167"/>
        <v>599</v>
      </c>
      <c r="F2091" s="138">
        <f t="shared" si="168"/>
        <v>625</v>
      </c>
    </row>
    <row r="2092" spans="2:6" x14ac:dyDescent="0.25">
      <c r="B2092" s="105">
        <f t="shared" si="169"/>
        <v>2089</v>
      </c>
      <c r="C2092" s="107">
        <f t="shared" si="170"/>
        <v>10</v>
      </c>
      <c r="D2092" s="107">
        <f t="shared" si="171"/>
        <v>12</v>
      </c>
      <c r="E2092" s="107">
        <f t="shared" si="167"/>
        <v>599</v>
      </c>
      <c r="F2092" s="138">
        <f t="shared" si="168"/>
        <v>619</v>
      </c>
    </row>
    <row r="2093" spans="2:6" x14ac:dyDescent="0.25">
      <c r="B2093" s="105">
        <f t="shared" si="169"/>
        <v>2090</v>
      </c>
      <c r="C2093" s="107">
        <f t="shared" si="170"/>
        <v>11</v>
      </c>
      <c r="D2093" s="107">
        <f t="shared" si="171"/>
        <v>12</v>
      </c>
      <c r="E2093" s="107">
        <f t="shared" si="167"/>
        <v>599</v>
      </c>
      <c r="F2093" s="138">
        <f t="shared" si="168"/>
        <v>610</v>
      </c>
    </row>
    <row r="2094" spans="2:6" x14ac:dyDescent="0.25">
      <c r="B2094" s="105">
        <f t="shared" si="169"/>
        <v>2091</v>
      </c>
      <c r="C2094" s="107">
        <f t="shared" si="170"/>
        <v>1</v>
      </c>
      <c r="D2094" s="107">
        <f t="shared" si="171"/>
        <v>11</v>
      </c>
      <c r="E2094" s="107">
        <f t="shared" si="167"/>
        <v>610</v>
      </c>
      <c r="F2094" s="138">
        <f t="shared" si="168"/>
        <v>1048</v>
      </c>
    </row>
    <row r="2095" spans="2:6" x14ac:dyDescent="0.25">
      <c r="B2095" s="105">
        <f t="shared" si="169"/>
        <v>2092</v>
      </c>
      <c r="C2095" s="107">
        <f t="shared" si="170"/>
        <v>2</v>
      </c>
      <c r="D2095" s="107">
        <f t="shared" si="171"/>
        <v>11</v>
      </c>
      <c r="E2095" s="107">
        <f t="shared" si="167"/>
        <v>610</v>
      </c>
      <c r="F2095" s="138">
        <f t="shared" si="168"/>
        <v>1025</v>
      </c>
    </row>
    <row r="2096" spans="2:6" x14ac:dyDescent="0.25">
      <c r="B2096" s="105">
        <f t="shared" si="169"/>
        <v>2093</v>
      </c>
      <c r="C2096" s="107">
        <f t="shared" si="170"/>
        <v>3</v>
      </c>
      <c r="D2096" s="107">
        <f t="shared" si="171"/>
        <v>11</v>
      </c>
      <c r="E2096" s="107">
        <f t="shared" si="167"/>
        <v>610</v>
      </c>
      <c r="F2096" s="138">
        <f t="shared" si="168"/>
        <v>805</v>
      </c>
    </row>
    <row r="2097" spans="2:6" x14ac:dyDescent="0.25">
      <c r="B2097" s="105">
        <f t="shared" si="169"/>
        <v>2094</v>
      </c>
      <c r="C2097" s="107">
        <f t="shared" si="170"/>
        <v>4</v>
      </c>
      <c r="D2097" s="107">
        <f t="shared" si="171"/>
        <v>11</v>
      </c>
      <c r="E2097" s="107">
        <f t="shared" si="167"/>
        <v>610</v>
      </c>
      <c r="F2097" s="138">
        <f t="shared" si="168"/>
        <v>666</v>
      </c>
    </row>
    <row r="2098" spans="2:6" x14ac:dyDescent="0.25">
      <c r="B2098" s="105">
        <f t="shared" si="169"/>
        <v>2095</v>
      </c>
      <c r="C2098" s="107">
        <f t="shared" si="170"/>
        <v>5</v>
      </c>
      <c r="D2098" s="107">
        <f t="shared" si="171"/>
        <v>11</v>
      </c>
      <c r="E2098" s="107">
        <f t="shared" si="167"/>
        <v>610</v>
      </c>
      <c r="F2098" s="138">
        <f t="shared" si="168"/>
        <v>655</v>
      </c>
    </row>
    <row r="2099" spans="2:6" x14ac:dyDescent="0.25">
      <c r="B2099" s="105">
        <f t="shared" si="169"/>
        <v>2096</v>
      </c>
      <c r="C2099" s="107">
        <f t="shared" si="170"/>
        <v>6</v>
      </c>
      <c r="D2099" s="107">
        <f t="shared" si="171"/>
        <v>11</v>
      </c>
      <c r="E2099" s="107">
        <f t="shared" si="167"/>
        <v>610</v>
      </c>
      <c r="F2099" s="138">
        <f t="shared" si="168"/>
        <v>652</v>
      </c>
    </row>
    <row r="2100" spans="2:6" x14ac:dyDescent="0.25">
      <c r="B2100" s="105">
        <f t="shared" si="169"/>
        <v>2097</v>
      </c>
      <c r="C2100" s="107">
        <f t="shared" si="170"/>
        <v>7</v>
      </c>
      <c r="D2100" s="107">
        <f t="shared" si="171"/>
        <v>11</v>
      </c>
      <c r="E2100" s="107">
        <f t="shared" si="167"/>
        <v>610</v>
      </c>
      <c r="F2100" s="138">
        <f t="shared" si="168"/>
        <v>633</v>
      </c>
    </row>
    <row r="2101" spans="2:6" x14ac:dyDescent="0.25">
      <c r="B2101" s="105">
        <f t="shared" si="169"/>
        <v>2098</v>
      </c>
      <c r="C2101" s="107">
        <f t="shared" si="170"/>
        <v>8</v>
      </c>
      <c r="D2101" s="107">
        <f t="shared" si="171"/>
        <v>11</v>
      </c>
      <c r="E2101" s="107">
        <f t="shared" si="167"/>
        <v>610</v>
      </c>
      <c r="F2101" s="138">
        <f t="shared" si="168"/>
        <v>632</v>
      </c>
    </row>
    <row r="2102" spans="2:6" x14ac:dyDescent="0.25">
      <c r="B2102" s="105">
        <f t="shared" si="169"/>
        <v>2099</v>
      </c>
      <c r="C2102" s="107">
        <f t="shared" si="170"/>
        <v>9</v>
      </c>
      <c r="D2102" s="107">
        <f t="shared" si="171"/>
        <v>11</v>
      </c>
      <c r="E2102" s="107">
        <f t="shared" si="167"/>
        <v>610</v>
      </c>
      <c r="F2102" s="138">
        <f t="shared" si="168"/>
        <v>625</v>
      </c>
    </row>
    <row r="2103" spans="2:6" x14ac:dyDescent="0.25">
      <c r="B2103" s="105">
        <f t="shared" si="169"/>
        <v>2100</v>
      </c>
      <c r="C2103" s="107">
        <f t="shared" si="170"/>
        <v>10</v>
      </c>
      <c r="D2103" s="107">
        <f t="shared" si="171"/>
        <v>11</v>
      </c>
      <c r="E2103" s="107">
        <f t="shared" si="167"/>
        <v>610</v>
      </c>
      <c r="F2103" s="138">
        <f t="shared" si="168"/>
        <v>619</v>
      </c>
    </row>
    <row r="2104" spans="2:6" x14ac:dyDescent="0.25">
      <c r="B2104" s="105">
        <f t="shared" si="169"/>
        <v>2101</v>
      </c>
      <c r="C2104" s="107">
        <f t="shared" si="170"/>
        <v>1</v>
      </c>
      <c r="D2104" s="107">
        <f t="shared" si="171"/>
        <v>10</v>
      </c>
      <c r="E2104" s="107">
        <f t="shared" si="167"/>
        <v>619</v>
      </c>
      <c r="F2104" s="138">
        <f t="shared" si="168"/>
        <v>1048</v>
      </c>
    </row>
    <row r="2105" spans="2:6" x14ac:dyDescent="0.25">
      <c r="B2105" s="105">
        <f t="shared" si="169"/>
        <v>2102</v>
      </c>
      <c r="C2105" s="107">
        <f t="shared" si="170"/>
        <v>2</v>
      </c>
      <c r="D2105" s="107">
        <f t="shared" si="171"/>
        <v>10</v>
      </c>
      <c r="E2105" s="107">
        <f t="shared" si="167"/>
        <v>619</v>
      </c>
      <c r="F2105" s="138">
        <f t="shared" si="168"/>
        <v>1025</v>
      </c>
    </row>
    <row r="2106" spans="2:6" x14ac:dyDescent="0.25">
      <c r="B2106" s="105">
        <f t="shared" si="169"/>
        <v>2103</v>
      </c>
      <c r="C2106" s="107">
        <f t="shared" si="170"/>
        <v>3</v>
      </c>
      <c r="D2106" s="107">
        <f t="shared" si="171"/>
        <v>10</v>
      </c>
      <c r="E2106" s="107">
        <f t="shared" si="167"/>
        <v>619</v>
      </c>
      <c r="F2106" s="138">
        <f t="shared" si="168"/>
        <v>805</v>
      </c>
    </row>
    <row r="2107" spans="2:6" x14ac:dyDescent="0.25">
      <c r="B2107" s="105">
        <f t="shared" si="169"/>
        <v>2104</v>
      </c>
      <c r="C2107" s="107">
        <f t="shared" si="170"/>
        <v>4</v>
      </c>
      <c r="D2107" s="107">
        <f t="shared" si="171"/>
        <v>10</v>
      </c>
      <c r="E2107" s="107">
        <f t="shared" si="167"/>
        <v>619</v>
      </c>
      <c r="F2107" s="138">
        <f t="shared" si="168"/>
        <v>666</v>
      </c>
    </row>
    <row r="2108" spans="2:6" x14ac:dyDescent="0.25">
      <c r="B2108" s="105">
        <f t="shared" si="169"/>
        <v>2105</v>
      </c>
      <c r="C2108" s="107">
        <f t="shared" si="170"/>
        <v>5</v>
      </c>
      <c r="D2108" s="107">
        <f t="shared" si="171"/>
        <v>10</v>
      </c>
      <c r="E2108" s="107">
        <f t="shared" si="167"/>
        <v>619</v>
      </c>
      <c r="F2108" s="138">
        <f t="shared" si="168"/>
        <v>655</v>
      </c>
    </row>
    <row r="2109" spans="2:6" x14ac:dyDescent="0.25">
      <c r="B2109" s="105">
        <f t="shared" si="169"/>
        <v>2106</v>
      </c>
      <c r="C2109" s="107">
        <f t="shared" si="170"/>
        <v>6</v>
      </c>
      <c r="D2109" s="107">
        <f t="shared" si="171"/>
        <v>10</v>
      </c>
      <c r="E2109" s="107">
        <f t="shared" si="167"/>
        <v>619</v>
      </c>
      <c r="F2109" s="138">
        <f t="shared" si="168"/>
        <v>652</v>
      </c>
    </row>
    <row r="2110" spans="2:6" x14ac:dyDescent="0.25">
      <c r="B2110" s="105">
        <f t="shared" si="169"/>
        <v>2107</v>
      </c>
      <c r="C2110" s="107">
        <f t="shared" si="170"/>
        <v>7</v>
      </c>
      <c r="D2110" s="107">
        <f t="shared" si="171"/>
        <v>10</v>
      </c>
      <c r="E2110" s="107">
        <f t="shared" si="167"/>
        <v>619</v>
      </c>
      <c r="F2110" s="138">
        <f t="shared" si="168"/>
        <v>633</v>
      </c>
    </row>
    <row r="2111" spans="2:6" x14ac:dyDescent="0.25">
      <c r="B2111" s="105">
        <f t="shared" si="169"/>
        <v>2108</v>
      </c>
      <c r="C2111" s="107">
        <f t="shared" si="170"/>
        <v>8</v>
      </c>
      <c r="D2111" s="107">
        <f t="shared" si="171"/>
        <v>10</v>
      </c>
      <c r="E2111" s="107">
        <f t="shared" si="167"/>
        <v>619</v>
      </c>
      <c r="F2111" s="138">
        <f t="shared" si="168"/>
        <v>632</v>
      </c>
    </row>
    <row r="2112" spans="2:6" x14ac:dyDescent="0.25">
      <c r="B2112" s="105">
        <f t="shared" si="169"/>
        <v>2109</v>
      </c>
      <c r="C2112" s="107">
        <f t="shared" si="170"/>
        <v>9</v>
      </c>
      <c r="D2112" s="107">
        <f t="shared" si="171"/>
        <v>10</v>
      </c>
      <c r="E2112" s="107">
        <f t="shared" si="167"/>
        <v>619</v>
      </c>
      <c r="F2112" s="138">
        <f t="shared" si="168"/>
        <v>625</v>
      </c>
    </row>
    <row r="2113" spans="2:6" x14ac:dyDescent="0.25">
      <c r="B2113" s="105">
        <f t="shared" si="169"/>
        <v>2110</v>
      </c>
      <c r="C2113" s="107">
        <f t="shared" si="170"/>
        <v>1</v>
      </c>
      <c r="D2113" s="107">
        <f t="shared" si="171"/>
        <v>9</v>
      </c>
      <c r="E2113" s="107">
        <f t="shared" si="167"/>
        <v>625</v>
      </c>
      <c r="F2113" s="138">
        <f t="shared" si="168"/>
        <v>1048</v>
      </c>
    </row>
    <row r="2114" spans="2:6" x14ac:dyDescent="0.25">
      <c r="B2114" s="105">
        <f t="shared" si="169"/>
        <v>2111</v>
      </c>
      <c r="C2114" s="107">
        <f t="shared" si="170"/>
        <v>2</v>
      </c>
      <c r="D2114" s="107">
        <f t="shared" si="171"/>
        <v>9</v>
      </c>
      <c r="E2114" s="107">
        <f t="shared" si="167"/>
        <v>625</v>
      </c>
      <c r="F2114" s="138">
        <f t="shared" si="168"/>
        <v>1025</v>
      </c>
    </row>
    <row r="2115" spans="2:6" x14ac:dyDescent="0.25">
      <c r="B2115" s="105">
        <f t="shared" si="169"/>
        <v>2112</v>
      </c>
      <c r="C2115" s="107">
        <f t="shared" si="170"/>
        <v>3</v>
      </c>
      <c r="D2115" s="107">
        <f t="shared" si="171"/>
        <v>9</v>
      </c>
      <c r="E2115" s="107">
        <f t="shared" si="167"/>
        <v>625</v>
      </c>
      <c r="F2115" s="138">
        <f t="shared" si="168"/>
        <v>805</v>
      </c>
    </row>
    <row r="2116" spans="2:6" x14ac:dyDescent="0.25">
      <c r="B2116" s="105">
        <f t="shared" si="169"/>
        <v>2113</v>
      </c>
      <c r="C2116" s="107">
        <f t="shared" si="170"/>
        <v>4</v>
      </c>
      <c r="D2116" s="107">
        <f t="shared" si="171"/>
        <v>9</v>
      </c>
      <c r="E2116" s="107">
        <f t="shared" ref="E2116:E2148" si="172">IFERROR(VLOOKUP(D2116,$H$4:$I$69,2,0),"")</f>
        <v>625</v>
      </c>
      <c r="F2116" s="138">
        <f t="shared" ref="F2116:F2148" si="173">IFERROR(VLOOKUP(C2116,$H$4:$I$69,2,0),"")</f>
        <v>666</v>
      </c>
    </row>
    <row r="2117" spans="2:6" x14ac:dyDescent="0.25">
      <c r="B2117" s="105">
        <f t="shared" si="169"/>
        <v>2114</v>
      </c>
      <c r="C2117" s="107">
        <f t="shared" si="170"/>
        <v>5</v>
      </c>
      <c r="D2117" s="107">
        <f t="shared" si="171"/>
        <v>9</v>
      </c>
      <c r="E2117" s="107">
        <f t="shared" si="172"/>
        <v>625</v>
      </c>
      <c r="F2117" s="138">
        <f t="shared" si="173"/>
        <v>655</v>
      </c>
    </row>
    <row r="2118" spans="2:6" x14ac:dyDescent="0.25">
      <c r="B2118" s="105">
        <f t="shared" si="169"/>
        <v>2115</v>
      </c>
      <c r="C2118" s="107">
        <f t="shared" si="170"/>
        <v>6</v>
      </c>
      <c r="D2118" s="107">
        <f t="shared" si="171"/>
        <v>9</v>
      </c>
      <c r="E2118" s="107">
        <f t="shared" si="172"/>
        <v>625</v>
      </c>
      <c r="F2118" s="138">
        <f t="shared" si="173"/>
        <v>652</v>
      </c>
    </row>
    <row r="2119" spans="2:6" x14ac:dyDescent="0.25">
      <c r="B2119" s="105">
        <f t="shared" si="169"/>
        <v>2116</v>
      </c>
      <c r="C2119" s="107">
        <f t="shared" si="170"/>
        <v>7</v>
      </c>
      <c r="D2119" s="107">
        <f t="shared" si="171"/>
        <v>9</v>
      </c>
      <c r="E2119" s="107">
        <f t="shared" si="172"/>
        <v>625</v>
      </c>
      <c r="F2119" s="138">
        <f t="shared" si="173"/>
        <v>633</v>
      </c>
    </row>
    <row r="2120" spans="2:6" x14ac:dyDescent="0.25">
      <c r="B2120" s="105">
        <f t="shared" si="169"/>
        <v>2117</v>
      </c>
      <c r="C2120" s="107">
        <f t="shared" si="170"/>
        <v>8</v>
      </c>
      <c r="D2120" s="107">
        <f t="shared" si="171"/>
        <v>9</v>
      </c>
      <c r="E2120" s="107">
        <f t="shared" si="172"/>
        <v>625</v>
      </c>
      <c r="F2120" s="138">
        <f t="shared" si="173"/>
        <v>632</v>
      </c>
    </row>
    <row r="2121" spans="2:6" x14ac:dyDescent="0.25">
      <c r="B2121" s="105">
        <f t="shared" si="169"/>
        <v>2118</v>
      </c>
      <c r="C2121" s="107">
        <f t="shared" si="170"/>
        <v>1</v>
      </c>
      <c r="D2121" s="107">
        <f t="shared" si="171"/>
        <v>8</v>
      </c>
      <c r="E2121" s="107">
        <f t="shared" si="172"/>
        <v>632</v>
      </c>
      <c r="F2121" s="138">
        <f t="shared" si="173"/>
        <v>1048</v>
      </c>
    </row>
    <row r="2122" spans="2:6" x14ac:dyDescent="0.25">
      <c r="B2122" s="105">
        <f t="shared" si="169"/>
        <v>2119</v>
      </c>
      <c r="C2122" s="107">
        <f t="shared" si="170"/>
        <v>2</v>
      </c>
      <c r="D2122" s="107">
        <f t="shared" si="171"/>
        <v>8</v>
      </c>
      <c r="E2122" s="107">
        <f t="shared" si="172"/>
        <v>632</v>
      </c>
      <c r="F2122" s="138">
        <f t="shared" si="173"/>
        <v>1025</v>
      </c>
    </row>
    <row r="2123" spans="2:6" x14ac:dyDescent="0.25">
      <c r="B2123" s="105">
        <f t="shared" si="169"/>
        <v>2120</v>
      </c>
      <c r="C2123" s="107">
        <f t="shared" si="170"/>
        <v>3</v>
      </c>
      <c r="D2123" s="107">
        <f t="shared" si="171"/>
        <v>8</v>
      </c>
      <c r="E2123" s="107">
        <f t="shared" si="172"/>
        <v>632</v>
      </c>
      <c r="F2123" s="138">
        <f t="shared" si="173"/>
        <v>805</v>
      </c>
    </row>
    <row r="2124" spans="2:6" x14ac:dyDescent="0.25">
      <c r="B2124" s="105">
        <f t="shared" si="169"/>
        <v>2121</v>
      </c>
      <c r="C2124" s="107">
        <f t="shared" si="170"/>
        <v>4</v>
      </c>
      <c r="D2124" s="107">
        <f t="shared" si="171"/>
        <v>8</v>
      </c>
      <c r="E2124" s="107">
        <f t="shared" si="172"/>
        <v>632</v>
      </c>
      <c r="F2124" s="138">
        <f t="shared" si="173"/>
        <v>666</v>
      </c>
    </row>
    <row r="2125" spans="2:6" x14ac:dyDescent="0.25">
      <c r="B2125" s="105">
        <f t="shared" si="169"/>
        <v>2122</v>
      </c>
      <c r="C2125" s="107">
        <f t="shared" si="170"/>
        <v>5</v>
      </c>
      <c r="D2125" s="107">
        <f t="shared" si="171"/>
        <v>8</v>
      </c>
      <c r="E2125" s="107">
        <f t="shared" si="172"/>
        <v>632</v>
      </c>
      <c r="F2125" s="138">
        <f t="shared" si="173"/>
        <v>655</v>
      </c>
    </row>
    <row r="2126" spans="2:6" x14ac:dyDescent="0.25">
      <c r="B2126" s="105">
        <f t="shared" si="169"/>
        <v>2123</v>
      </c>
      <c r="C2126" s="107">
        <f t="shared" si="170"/>
        <v>6</v>
      </c>
      <c r="D2126" s="107">
        <f t="shared" si="171"/>
        <v>8</v>
      </c>
      <c r="E2126" s="107">
        <f t="shared" si="172"/>
        <v>632</v>
      </c>
      <c r="F2126" s="138">
        <f t="shared" si="173"/>
        <v>652</v>
      </c>
    </row>
    <row r="2127" spans="2:6" x14ac:dyDescent="0.25">
      <c r="B2127" s="105">
        <f t="shared" si="169"/>
        <v>2124</v>
      </c>
      <c r="C2127" s="107">
        <f t="shared" si="170"/>
        <v>7</v>
      </c>
      <c r="D2127" s="107">
        <f t="shared" si="171"/>
        <v>8</v>
      </c>
      <c r="E2127" s="107">
        <f t="shared" si="172"/>
        <v>632</v>
      </c>
      <c r="F2127" s="138">
        <f t="shared" si="173"/>
        <v>633</v>
      </c>
    </row>
    <row r="2128" spans="2:6" x14ac:dyDescent="0.25">
      <c r="B2128" s="105">
        <f t="shared" si="169"/>
        <v>2125</v>
      </c>
      <c r="C2128" s="107">
        <f t="shared" si="170"/>
        <v>1</v>
      </c>
      <c r="D2128" s="107">
        <f t="shared" si="171"/>
        <v>7</v>
      </c>
      <c r="E2128" s="107">
        <f t="shared" si="172"/>
        <v>633</v>
      </c>
      <c r="F2128" s="138">
        <f t="shared" si="173"/>
        <v>1048</v>
      </c>
    </row>
    <row r="2129" spans="2:6" x14ac:dyDescent="0.25">
      <c r="B2129" s="105">
        <f t="shared" si="169"/>
        <v>2126</v>
      </c>
      <c r="C2129" s="107">
        <f t="shared" si="170"/>
        <v>2</v>
      </c>
      <c r="D2129" s="107">
        <f t="shared" si="171"/>
        <v>7</v>
      </c>
      <c r="E2129" s="107">
        <f t="shared" si="172"/>
        <v>633</v>
      </c>
      <c r="F2129" s="138">
        <f t="shared" si="173"/>
        <v>1025</v>
      </c>
    </row>
    <row r="2130" spans="2:6" x14ac:dyDescent="0.25">
      <c r="B2130" s="105">
        <f t="shared" si="169"/>
        <v>2127</v>
      </c>
      <c r="C2130" s="107">
        <f t="shared" si="170"/>
        <v>3</v>
      </c>
      <c r="D2130" s="107">
        <f t="shared" si="171"/>
        <v>7</v>
      </c>
      <c r="E2130" s="107">
        <f t="shared" si="172"/>
        <v>633</v>
      </c>
      <c r="F2130" s="138">
        <f t="shared" si="173"/>
        <v>805</v>
      </c>
    </row>
    <row r="2131" spans="2:6" x14ac:dyDescent="0.25">
      <c r="B2131" s="105">
        <f t="shared" si="169"/>
        <v>2128</v>
      </c>
      <c r="C2131" s="107">
        <f t="shared" si="170"/>
        <v>4</v>
      </c>
      <c r="D2131" s="107">
        <f t="shared" si="171"/>
        <v>7</v>
      </c>
      <c r="E2131" s="107">
        <f t="shared" si="172"/>
        <v>633</v>
      </c>
      <c r="F2131" s="138">
        <f t="shared" si="173"/>
        <v>666</v>
      </c>
    </row>
    <row r="2132" spans="2:6" x14ac:dyDescent="0.25">
      <c r="B2132" s="105">
        <f t="shared" si="169"/>
        <v>2129</v>
      </c>
      <c r="C2132" s="107">
        <f t="shared" si="170"/>
        <v>5</v>
      </c>
      <c r="D2132" s="107">
        <f t="shared" si="171"/>
        <v>7</v>
      </c>
      <c r="E2132" s="107">
        <f t="shared" si="172"/>
        <v>633</v>
      </c>
      <c r="F2132" s="138">
        <f t="shared" si="173"/>
        <v>655</v>
      </c>
    </row>
    <row r="2133" spans="2:6" x14ac:dyDescent="0.25">
      <c r="B2133" s="105">
        <f t="shared" si="169"/>
        <v>2130</v>
      </c>
      <c r="C2133" s="107">
        <f t="shared" si="170"/>
        <v>6</v>
      </c>
      <c r="D2133" s="107">
        <f t="shared" si="171"/>
        <v>7</v>
      </c>
      <c r="E2133" s="107">
        <f t="shared" si="172"/>
        <v>633</v>
      </c>
      <c r="F2133" s="138">
        <f t="shared" si="173"/>
        <v>652</v>
      </c>
    </row>
    <row r="2134" spans="2:6" x14ac:dyDescent="0.25">
      <c r="B2134" s="105">
        <f t="shared" si="169"/>
        <v>2131</v>
      </c>
      <c r="C2134" s="107">
        <f t="shared" si="170"/>
        <v>1</v>
      </c>
      <c r="D2134" s="107">
        <f t="shared" si="171"/>
        <v>6</v>
      </c>
      <c r="E2134" s="107">
        <f t="shared" si="172"/>
        <v>652</v>
      </c>
      <c r="F2134" s="138">
        <f t="shared" si="173"/>
        <v>1048</v>
      </c>
    </row>
    <row r="2135" spans="2:6" x14ac:dyDescent="0.25">
      <c r="B2135" s="105">
        <f t="shared" si="169"/>
        <v>2132</v>
      </c>
      <c r="C2135" s="107">
        <f t="shared" si="170"/>
        <v>2</v>
      </c>
      <c r="D2135" s="107">
        <f t="shared" si="171"/>
        <v>6</v>
      </c>
      <c r="E2135" s="107">
        <f t="shared" si="172"/>
        <v>652</v>
      </c>
      <c r="F2135" s="138">
        <f t="shared" si="173"/>
        <v>1025</v>
      </c>
    </row>
    <row r="2136" spans="2:6" x14ac:dyDescent="0.25">
      <c r="B2136" s="105">
        <f t="shared" si="169"/>
        <v>2133</v>
      </c>
      <c r="C2136" s="107">
        <f t="shared" si="170"/>
        <v>3</v>
      </c>
      <c r="D2136" s="107">
        <f t="shared" si="171"/>
        <v>6</v>
      </c>
      <c r="E2136" s="107">
        <f t="shared" si="172"/>
        <v>652</v>
      </c>
      <c r="F2136" s="138">
        <f t="shared" si="173"/>
        <v>805</v>
      </c>
    </row>
    <row r="2137" spans="2:6" x14ac:dyDescent="0.25">
      <c r="B2137" s="105">
        <f t="shared" si="169"/>
        <v>2134</v>
      </c>
      <c r="C2137" s="107">
        <f t="shared" si="170"/>
        <v>4</v>
      </c>
      <c r="D2137" s="107">
        <f t="shared" si="171"/>
        <v>6</v>
      </c>
      <c r="E2137" s="107">
        <f t="shared" si="172"/>
        <v>652</v>
      </c>
      <c r="F2137" s="138">
        <f t="shared" si="173"/>
        <v>666</v>
      </c>
    </row>
    <row r="2138" spans="2:6" x14ac:dyDescent="0.25">
      <c r="B2138" s="105">
        <f t="shared" si="169"/>
        <v>2135</v>
      </c>
      <c r="C2138" s="107">
        <f t="shared" si="170"/>
        <v>5</v>
      </c>
      <c r="D2138" s="107">
        <f t="shared" si="171"/>
        <v>6</v>
      </c>
      <c r="E2138" s="107">
        <f t="shared" si="172"/>
        <v>652</v>
      </c>
      <c r="F2138" s="138">
        <f t="shared" si="173"/>
        <v>655</v>
      </c>
    </row>
    <row r="2139" spans="2:6" x14ac:dyDescent="0.25">
      <c r="B2139" s="105">
        <f t="shared" si="169"/>
        <v>2136</v>
      </c>
      <c r="C2139" s="107">
        <f t="shared" si="170"/>
        <v>1</v>
      </c>
      <c r="D2139" s="107">
        <f t="shared" si="171"/>
        <v>5</v>
      </c>
      <c r="E2139" s="107">
        <f t="shared" si="172"/>
        <v>655</v>
      </c>
      <c r="F2139" s="138">
        <f t="shared" si="173"/>
        <v>1048</v>
      </c>
    </row>
    <row r="2140" spans="2:6" x14ac:dyDescent="0.25">
      <c r="B2140" s="105">
        <f t="shared" si="169"/>
        <v>2137</v>
      </c>
      <c r="C2140" s="107">
        <f t="shared" si="170"/>
        <v>2</v>
      </c>
      <c r="D2140" s="107">
        <f t="shared" si="171"/>
        <v>5</v>
      </c>
      <c r="E2140" s="107">
        <f t="shared" si="172"/>
        <v>655</v>
      </c>
      <c r="F2140" s="138">
        <f t="shared" si="173"/>
        <v>1025</v>
      </c>
    </row>
    <row r="2141" spans="2:6" x14ac:dyDescent="0.25">
      <c r="B2141" s="105">
        <f t="shared" si="169"/>
        <v>2138</v>
      </c>
      <c r="C2141" s="107">
        <f t="shared" si="170"/>
        <v>3</v>
      </c>
      <c r="D2141" s="107">
        <f t="shared" si="171"/>
        <v>5</v>
      </c>
      <c r="E2141" s="107">
        <f t="shared" si="172"/>
        <v>655</v>
      </c>
      <c r="F2141" s="138">
        <f t="shared" si="173"/>
        <v>805</v>
      </c>
    </row>
    <row r="2142" spans="2:6" x14ac:dyDescent="0.25">
      <c r="B2142" s="105">
        <f t="shared" si="169"/>
        <v>2139</v>
      </c>
      <c r="C2142" s="107">
        <f t="shared" si="170"/>
        <v>4</v>
      </c>
      <c r="D2142" s="107">
        <f t="shared" si="171"/>
        <v>5</v>
      </c>
      <c r="E2142" s="107">
        <f t="shared" si="172"/>
        <v>655</v>
      </c>
      <c r="F2142" s="138">
        <f t="shared" si="173"/>
        <v>666</v>
      </c>
    </row>
    <row r="2143" spans="2:6" x14ac:dyDescent="0.25">
      <c r="B2143" s="105">
        <f t="shared" si="169"/>
        <v>2140</v>
      </c>
      <c r="C2143" s="107">
        <f t="shared" si="170"/>
        <v>1</v>
      </c>
      <c r="D2143" s="107">
        <f t="shared" si="171"/>
        <v>4</v>
      </c>
      <c r="E2143" s="107">
        <f t="shared" si="172"/>
        <v>666</v>
      </c>
      <c r="F2143" s="138">
        <f t="shared" si="173"/>
        <v>1048</v>
      </c>
    </row>
    <row r="2144" spans="2:6" x14ac:dyDescent="0.25">
      <c r="B2144" s="105">
        <f t="shared" si="169"/>
        <v>2141</v>
      </c>
      <c r="C2144" s="107">
        <f t="shared" si="170"/>
        <v>2</v>
      </c>
      <c r="D2144" s="107">
        <f t="shared" si="171"/>
        <v>4</v>
      </c>
      <c r="E2144" s="107">
        <f t="shared" si="172"/>
        <v>666</v>
      </c>
      <c r="F2144" s="138">
        <f t="shared" si="173"/>
        <v>1025</v>
      </c>
    </row>
    <row r="2145" spans="1:6" x14ac:dyDescent="0.25">
      <c r="B2145" s="105">
        <f t="shared" si="169"/>
        <v>2142</v>
      </c>
      <c r="C2145" s="107">
        <f t="shared" si="170"/>
        <v>3</v>
      </c>
      <c r="D2145" s="107">
        <f t="shared" si="171"/>
        <v>4</v>
      </c>
      <c r="E2145" s="107">
        <f t="shared" si="172"/>
        <v>666</v>
      </c>
      <c r="F2145" s="138">
        <f t="shared" si="173"/>
        <v>805</v>
      </c>
    </row>
    <row r="2146" spans="1:6" x14ac:dyDescent="0.25">
      <c r="B2146" s="105">
        <f t="shared" si="169"/>
        <v>2143</v>
      </c>
      <c r="C2146" s="107">
        <f t="shared" si="170"/>
        <v>1</v>
      </c>
      <c r="D2146" s="107">
        <f t="shared" si="171"/>
        <v>3</v>
      </c>
      <c r="E2146" s="107">
        <f t="shared" si="172"/>
        <v>805</v>
      </c>
      <c r="F2146" s="138">
        <f t="shared" si="173"/>
        <v>1048</v>
      </c>
    </row>
    <row r="2147" spans="1:6" x14ac:dyDescent="0.25">
      <c r="B2147" s="105">
        <f t="shared" si="169"/>
        <v>2144</v>
      </c>
      <c r="C2147" s="107">
        <f t="shared" si="170"/>
        <v>2</v>
      </c>
      <c r="D2147" s="107">
        <f t="shared" si="171"/>
        <v>3</v>
      </c>
      <c r="E2147" s="107">
        <f t="shared" si="172"/>
        <v>805</v>
      </c>
      <c r="F2147" s="138">
        <f t="shared" si="173"/>
        <v>1025</v>
      </c>
    </row>
    <row r="2148" spans="1:6" x14ac:dyDescent="0.25">
      <c r="A2148" s="5" t="s">
        <v>247</v>
      </c>
      <c r="B2148" s="105">
        <f t="shared" si="169"/>
        <v>2145</v>
      </c>
      <c r="C2148" s="107">
        <f t="shared" si="170"/>
        <v>1</v>
      </c>
      <c r="D2148" s="107">
        <f t="shared" si="171"/>
        <v>2</v>
      </c>
      <c r="E2148" s="107">
        <f t="shared" si="172"/>
        <v>1025</v>
      </c>
      <c r="F2148" s="138">
        <f t="shared" si="173"/>
        <v>1048</v>
      </c>
    </row>
  </sheetData>
  <conditionalFormatting sqref="K4">
    <cfRule type="expression" dxfId="202" priority="2">
      <formula>AND(#REF!=#REF!,#REF!&lt;&gt;"")</formula>
    </cfRule>
  </conditionalFormatting>
  <conditionalFormatting sqref="K4:K85">
    <cfRule type="expression" dxfId="201" priority="1">
      <formula>AND(#REF!=#REF!,#REF!&lt;&gt;"")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2:CB145"/>
  <sheetViews>
    <sheetView showGridLines="0" tabSelected="1" topLeftCell="X109" zoomScale="80" zoomScaleNormal="80" workbookViewId="0">
      <selection activeCell="AP144" sqref="AP144"/>
    </sheetView>
  </sheetViews>
  <sheetFormatPr baseColWidth="10" defaultColWidth="11" defaultRowHeight="13.8" x14ac:dyDescent="0.25"/>
  <cols>
    <col min="1" max="1" width="1.59765625" style="5" customWidth="1"/>
    <col min="2" max="2" width="9.09765625" style="5" customWidth="1"/>
    <col min="3" max="14" width="12.59765625" style="5" customWidth="1"/>
    <col min="15" max="15" width="37.09765625" style="5" bestFit="1" customWidth="1"/>
    <col min="16" max="26" width="12.59765625" style="5" customWidth="1"/>
    <col min="27" max="75" width="12.59765625" style="11" customWidth="1"/>
    <col min="76" max="77" width="12.59765625" style="5" customWidth="1"/>
    <col min="78" max="79" width="11" style="5"/>
    <col min="80" max="80" width="12.19921875" style="5" customWidth="1"/>
    <col min="81" max="16384" width="11" style="5"/>
  </cols>
  <sheetData>
    <row r="2" spans="2:80" x14ac:dyDescent="0.25">
      <c r="B2" s="143" t="s">
        <v>10</v>
      </c>
      <c r="C2" s="143"/>
      <c r="D2" s="143"/>
      <c r="E2" s="144"/>
      <c r="F2" s="81" t="s">
        <v>11</v>
      </c>
      <c r="G2" s="81" t="s">
        <v>12</v>
      </c>
      <c r="I2" s="81" t="s">
        <v>13</v>
      </c>
      <c r="J2" s="81" t="s">
        <v>14</v>
      </c>
      <c r="L2" s="81" t="s">
        <v>15</v>
      </c>
      <c r="M2" s="81" t="s">
        <v>16</v>
      </c>
      <c r="P2" s="5" t="s">
        <v>17</v>
      </c>
    </row>
    <row r="3" spans="2:80" x14ac:dyDescent="0.25">
      <c r="B3" s="143"/>
      <c r="C3" s="143"/>
      <c r="D3" s="143"/>
      <c r="E3" s="144"/>
      <c r="F3" s="77">
        <f>DatosHoy[[#Totals],[G Q1]]/DatosHoy[[#Totals],[CT Q1]]</f>
        <v>0.91450331343485969</v>
      </c>
      <c r="G3" s="77">
        <f>DatosHoy[[#Totals],[G+V Q1]]/DatosHoy[[#Totals],[CT Q1]]</f>
        <v>0.96537089064539161</v>
      </c>
      <c r="I3" s="77">
        <f>DatosHoy[[#Totals],[G Md]]/DatosHoy[[#Totals],[CT Md]]</f>
        <v>0.9318020392230576</v>
      </c>
      <c r="J3" s="77">
        <f>DatosHoy[[#Totals],[G+V Md]]/DatosHoy[[#Totals],[CT Md]]</f>
        <v>0.97242341047236658</v>
      </c>
      <c r="L3" s="77">
        <f>DatosHoy[[#Totals],[G Q3]]/DatosHoy[[#Totals],[CT Q3]]</f>
        <v>0.93456957062107626</v>
      </c>
      <c r="M3" s="77">
        <f>DatosHoy[[#Totals],[G+V Q3]]/DatosHoy[[#Totals],[CT Q3]]</f>
        <v>0.96612773754139036</v>
      </c>
    </row>
    <row r="4" spans="2:80" x14ac:dyDescent="0.25">
      <c r="B4" s="5" t="s">
        <v>18</v>
      </c>
      <c r="C4" s="5" t="s">
        <v>18</v>
      </c>
      <c r="D4" s="5" t="s">
        <v>18</v>
      </c>
      <c r="E4" s="5" t="s">
        <v>18</v>
      </c>
      <c r="F4" s="5" t="s">
        <v>19</v>
      </c>
      <c r="G4" s="5" t="s">
        <v>19</v>
      </c>
      <c r="H4" s="5" t="s">
        <v>19</v>
      </c>
      <c r="I4" s="5" t="s">
        <v>19</v>
      </c>
      <c r="J4" s="5" t="s">
        <v>19</v>
      </c>
      <c r="K4" s="5" t="s">
        <v>19</v>
      </c>
      <c r="L4" s="5" t="s">
        <v>19</v>
      </c>
      <c r="M4" s="5" t="s">
        <v>19</v>
      </c>
      <c r="N4" s="5" t="s">
        <v>19</v>
      </c>
      <c r="O4" s="5" t="s">
        <v>20</v>
      </c>
      <c r="P4" s="5" t="s">
        <v>21</v>
      </c>
      <c r="AS4" s="142" t="s">
        <v>22</v>
      </c>
      <c r="AT4" s="142"/>
      <c r="AU4" s="142"/>
      <c r="AV4" s="142"/>
      <c r="AW4" s="142"/>
      <c r="AX4" s="142" t="s">
        <v>23</v>
      </c>
      <c r="AY4" s="142"/>
      <c r="AZ4" s="142"/>
      <c r="BA4" s="142"/>
      <c r="BB4" s="142"/>
      <c r="BC4" s="142" t="s">
        <v>24</v>
      </c>
      <c r="BD4" s="142"/>
      <c r="BE4" s="142"/>
      <c r="BF4" s="142"/>
      <c r="BG4" s="142"/>
      <c r="BH4" s="142" t="s">
        <v>25</v>
      </c>
      <c r="BI4" s="142"/>
      <c r="BJ4" s="142"/>
      <c r="BK4" s="142" t="s">
        <v>26</v>
      </c>
      <c r="BL4" s="142"/>
      <c r="BM4" s="142"/>
      <c r="BN4" s="82" t="s">
        <v>21</v>
      </c>
    </row>
    <row r="5" spans="2:80" ht="41.4" x14ac:dyDescent="0.25">
      <c r="B5" s="55" t="s">
        <v>27</v>
      </c>
      <c r="C5" s="56" t="s">
        <v>28</v>
      </c>
      <c r="D5" s="56" t="s">
        <v>29</v>
      </c>
      <c r="E5" s="56" t="s">
        <v>30</v>
      </c>
      <c r="F5" s="57" t="s">
        <v>31</v>
      </c>
      <c r="G5" s="57" t="s">
        <v>32</v>
      </c>
      <c r="H5" s="57" t="s">
        <v>33</v>
      </c>
      <c r="I5" s="58" t="s">
        <v>34</v>
      </c>
      <c r="J5" s="58" t="s">
        <v>35</v>
      </c>
      <c r="K5" s="58" t="s">
        <v>36</v>
      </c>
      <c r="L5" s="59" t="s">
        <v>37</v>
      </c>
      <c r="M5" s="59" t="s">
        <v>38</v>
      </c>
      <c r="N5" s="59" t="s">
        <v>39</v>
      </c>
      <c r="O5" s="56" t="s">
        <v>40</v>
      </c>
      <c r="P5" s="56" t="s">
        <v>41</v>
      </c>
      <c r="Q5" s="60" t="s">
        <v>42</v>
      </c>
      <c r="R5" s="57" t="s">
        <v>43</v>
      </c>
      <c r="S5" s="57" t="s">
        <v>44</v>
      </c>
      <c r="T5" s="57" t="s">
        <v>45</v>
      </c>
      <c r="U5" s="60" t="s">
        <v>46</v>
      </c>
      <c r="V5" s="60" t="s">
        <v>47</v>
      </c>
      <c r="W5" s="60" t="s">
        <v>48</v>
      </c>
      <c r="X5" s="59" t="s">
        <v>49</v>
      </c>
      <c r="Y5" s="59" t="s">
        <v>50</v>
      </c>
      <c r="Z5" s="59" t="s">
        <v>51</v>
      </c>
      <c r="AA5" s="61" t="s">
        <v>52</v>
      </c>
      <c r="AB5" s="61" t="s">
        <v>53</v>
      </c>
      <c r="AC5" s="61" t="s">
        <v>54</v>
      </c>
      <c r="AD5" s="62" t="s">
        <v>55</v>
      </c>
      <c r="AE5" s="62" t="s">
        <v>56</v>
      </c>
      <c r="AF5" s="62" t="s">
        <v>57</v>
      </c>
      <c r="AG5" s="63" t="s">
        <v>58</v>
      </c>
      <c r="AH5" s="63" t="s">
        <v>59</v>
      </c>
      <c r="AI5" s="63" t="s">
        <v>60</v>
      </c>
      <c r="AJ5" s="61" t="s">
        <v>61</v>
      </c>
      <c r="AK5" s="61" t="s">
        <v>62</v>
      </c>
      <c r="AL5" s="61" t="s">
        <v>63</v>
      </c>
      <c r="AM5" s="64" t="s">
        <v>64</v>
      </c>
      <c r="AN5" s="64" t="s">
        <v>65</v>
      </c>
      <c r="AO5" s="64" t="s">
        <v>66</v>
      </c>
      <c r="AP5" s="63" t="s">
        <v>67</v>
      </c>
      <c r="AQ5" s="63" t="s">
        <v>68</v>
      </c>
      <c r="AR5" s="63" t="s">
        <v>69</v>
      </c>
      <c r="AS5" s="65" t="s">
        <v>70</v>
      </c>
      <c r="AT5" s="65" t="s">
        <v>71</v>
      </c>
      <c r="AU5" s="65" t="s">
        <v>72</v>
      </c>
      <c r="AV5" s="65" t="s">
        <v>73</v>
      </c>
      <c r="AW5" s="65" t="s">
        <v>74</v>
      </c>
      <c r="AX5" s="66" t="s">
        <v>75</v>
      </c>
      <c r="AY5" s="66" t="s">
        <v>76</v>
      </c>
      <c r="AZ5" s="66" t="s">
        <v>77</v>
      </c>
      <c r="BA5" s="66" t="s">
        <v>78</v>
      </c>
      <c r="BB5" s="66" t="s">
        <v>79</v>
      </c>
      <c r="BC5" s="67" t="s">
        <v>80</v>
      </c>
      <c r="BD5" s="67" t="s">
        <v>81</v>
      </c>
      <c r="BE5" s="67" t="s">
        <v>82</v>
      </c>
      <c r="BF5" s="67" t="s">
        <v>83</v>
      </c>
      <c r="BG5" s="67" t="s">
        <v>84</v>
      </c>
      <c r="BH5" s="68" t="s">
        <v>85</v>
      </c>
      <c r="BI5" s="68" t="s">
        <v>86</v>
      </c>
      <c r="BJ5" s="68" t="s">
        <v>87</v>
      </c>
      <c r="BK5" s="69" t="s">
        <v>88</v>
      </c>
      <c r="BL5" s="69" t="s">
        <v>89</v>
      </c>
      <c r="BM5" s="69" t="s">
        <v>90</v>
      </c>
      <c r="BN5" s="70" t="s">
        <v>91</v>
      </c>
      <c r="BO5" s="61" t="s">
        <v>92</v>
      </c>
      <c r="BP5" s="61" t="s">
        <v>93</v>
      </c>
      <c r="BQ5" s="61" t="s">
        <v>94</v>
      </c>
      <c r="BR5" s="62" t="s">
        <v>95</v>
      </c>
      <c r="BS5" s="62" t="s">
        <v>96</v>
      </c>
      <c r="BT5" s="62" t="s">
        <v>97</v>
      </c>
      <c r="BU5" s="63" t="s">
        <v>98</v>
      </c>
      <c r="BV5" s="63" t="s">
        <v>99</v>
      </c>
      <c r="BW5" s="63" t="s">
        <v>100</v>
      </c>
      <c r="BX5" s="71" t="s">
        <v>101</v>
      </c>
      <c r="BY5" s="72" t="s">
        <v>102</v>
      </c>
      <c r="BZ5" s="71" t="s">
        <v>103</v>
      </c>
      <c r="CA5" s="71" t="s">
        <v>104</v>
      </c>
      <c r="CB5" s="141" t="s">
        <v>254</v>
      </c>
    </row>
    <row r="6" spans="2:80" x14ac:dyDescent="0.25">
      <c r="B6" s="73">
        <f t="shared" ref="B6:B37" si="0">+ROW()-5</f>
        <v>1</v>
      </c>
      <c r="C6" s="74">
        <f t="shared" ref="C6" si="1">1423500*1.176666666</f>
        <v>1674984.999051</v>
      </c>
      <c r="D6" s="74">
        <f t="shared" ref="D6" si="2">1423500*1.176666666</f>
        <v>1674984.999051</v>
      </c>
      <c r="E6" s="74">
        <f t="shared" ref="E6" si="3">1423500*1.176666666</f>
        <v>1674984.999051</v>
      </c>
      <c r="F6" s="94">
        <f>VLOOKUP(DatosHoy[[#This Row],[Cargo Valorado]],Estadísticos[],3,0)</f>
        <v>1674984.9905099999</v>
      </c>
      <c r="G6" s="94">
        <f>VLOOKUP(DatosHoy[[#This Row],[Cargo Valorado]],Estadísticos[],4,0)</f>
        <v>1674984.9905099999</v>
      </c>
      <c r="H6" s="94">
        <f>VLOOKUP(DatosHoy[[#This Row],[Cargo Valorado]],Estadísticos[],5,0)</f>
        <v>1674984.9905099999</v>
      </c>
      <c r="I6" s="94">
        <f>VLOOKUP(DatosHoy[[#This Row],[Cargo Valorado]],Estadísticos[],6,0)</f>
        <v>2009981.9886119999</v>
      </c>
      <c r="J6" s="94">
        <f>VLOOKUP(DatosHoy[[#This Row],[Cargo Valorado]],Estadísticos[],7,0)</f>
        <v>2009981.9886119999</v>
      </c>
      <c r="K6" s="94">
        <f>VLOOKUP(DatosHoy[[#This Row],[Cargo Valorado]],Estadísticos[],8,0)</f>
        <v>2009981.9886119999</v>
      </c>
      <c r="L6" s="94">
        <f>VLOOKUP(DatosHoy[[#This Row],[Cargo Valorado]],Estadísticos[],9,0)</f>
        <v>2411978.3863343997</v>
      </c>
      <c r="M6" s="94">
        <f>VLOOKUP(DatosHoy[[#This Row],[Cargo Valorado]],Estadísticos[],10,0)</f>
        <v>2411978.3863343997</v>
      </c>
      <c r="N6" s="94">
        <f>VLOOKUP(DatosHoy[[#This Row],[Cargo Valorado]],Estadísticos[],11,0)</f>
        <v>2411978.3863343997</v>
      </c>
      <c r="O6" s="75" t="s">
        <v>246</v>
      </c>
      <c r="P6" s="75">
        <v>94</v>
      </c>
      <c r="Q6" s="95" t="str">
        <f t="shared" ref="Q6:Q22" si="4">"$"&amp;"P"&amp;"$"&amp;ROW()</f>
        <v>$P$6</v>
      </c>
      <c r="R6" s="95" t="str">
        <f t="shared" ref="R6:R22" si="5">"$"&amp;"F"&amp;"$"&amp;ROW()</f>
        <v>$F$6</v>
      </c>
      <c r="S6" s="95" t="str">
        <f t="shared" ref="S6:S22" si="6">"$"&amp;"G"&amp;"$"&amp;ROW()</f>
        <v>$G$6</v>
      </c>
      <c r="T6" s="95" t="str">
        <f t="shared" ref="T6:T22" si="7">"$"&amp;"H"&amp;"$"&amp;ROW()</f>
        <v>$H$6</v>
      </c>
      <c r="U6" s="95" t="str">
        <f t="shared" ref="U6:U22" si="8">"$"&amp;"I"&amp;"$"&amp;ROW()</f>
        <v>$I$6</v>
      </c>
      <c r="V6" s="95" t="str">
        <f t="shared" ref="V6:V22" si="9">"$"&amp;"J"&amp;"$"&amp;ROW()</f>
        <v>$J$6</v>
      </c>
      <c r="W6" s="95" t="str">
        <f t="shared" ref="W6:W22" si="10">"$"&amp;"K"&amp;"$"&amp;ROW()</f>
        <v>$K$6</v>
      </c>
      <c r="X6" s="95" t="str">
        <f t="shared" ref="X6:X22" si="11">"$"&amp;"L"&amp;"$"&amp;ROW()</f>
        <v>$L$6</v>
      </c>
      <c r="Y6" s="95" t="str">
        <f t="shared" ref="Y6:Y22" si="12">"$"&amp;"M"&amp;"$"&amp;ROW()</f>
        <v>$M$6</v>
      </c>
      <c r="Z6" s="95" t="str">
        <f t="shared" ref="Z6:Z22" si="13">"$"&amp;"N"&amp;"$"&amp;ROW()</f>
        <v>$N$6</v>
      </c>
      <c r="AA6" s="94">
        <f ca="1">VLOOKUP($P6,'Regresion Q1'!$E$6:$I$10,4,1)*$P6+VLOOKUP($P6,'Regresion Q1'!$E$6:$I$10,5,1)</f>
        <v>1141831.0285360038</v>
      </c>
      <c r="AB6" s="94">
        <f ca="1">VLOOKUP($P6,'Regresion Q1'!$J$6:$N$10,4,1)*$P6+VLOOKUP($P6,'Regresion Q1'!$J$6:$N$10,5,1)</f>
        <v>1154196.3139321224</v>
      </c>
      <c r="AC6" s="94">
        <f ca="1">VLOOKUP($P6,'Regresion Q1'!$O$6:$S$10,4,1)*$P6+VLOOKUP($P6,'Regresion Q1'!$O$6:$S$10,5,1)</f>
        <v>1269805.4351266311</v>
      </c>
      <c r="AD6" s="94">
        <f ca="1">VLOOKUP($P6,'Regresion Md'!$E$6:$I$10,4,1)*$P6+VLOOKUP($P6,'Regresion Md'!$E$6:$I$10,5,1)</f>
        <v>1452900.3181597467</v>
      </c>
      <c r="AE6" s="94">
        <f ca="1">VLOOKUP($P6,'Regresion Md'!$J$6:$N$10,4,1)*$P6+VLOOKUP($P6,'Regresion Md'!$J$6:$N$10,5,1)</f>
        <v>1454074.7704355372</v>
      </c>
      <c r="AF6" s="94">
        <f ca="1">VLOOKUP($P6,'Regresion Md'!$O$6:$S$10,4,1)*$P6+VLOOKUP($P6,'Regresion Md'!$O$6:$S$10,5,1)</f>
        <v>1357279.6953227536</v>
      </c>
      <c r="AG6" s="94">
        <f ca="1">VLOOKUP($P6,'Regresion Q3'!$E$6:$I$10,4,1)*$P6+VLOOKUP($P6,'Regresion Q3'!$E$6:$I$10,5,1)</f>
        <v>824068.64883449022</v>
      </c>
      <c r="AH6" s="94">
        <f ca="1">VLOOKUP($P6,'Regresion Q3'!$J$6:$N$10,4,1)*$P6+VLOOKUP($P6,'Regresion Q3'!$J$6:$N$10,5,1)</f>
        <v>849590.81091064634</v>
      </c>
      <c r="AI6" s="94">
        <f ca="1">VLOOKUP($P6,'Regresion Q3'!$O$6:$S$10,4,1)*$P6+VLOOKUP($P6,'Regresion Q3'!$O$6:$S$10,5,1)</f>
        <v>1058675.7914625038</v>
      </c>
      <c r="AJ6" s="94">
        <f ca="1">VLOOKUP($P6,'Regresion Q1'!$T$6:$V$10,2,1)*$P6+VLOOKUP($P6,'Regresion Q1'!$T$6:$V$10,3,1)</f>
        <v>1531219.9657886913</v>
      </c>
      <c r="AK6" s="94">
        <f ca="1">VLOOKUP($P6,'Regresion Q1'!$W$6:$Y$10,2,1)*$P6+VLOOKUP($P6,'Regresion Q1'!$W$6:$Y$10,3,1)</f>
        <v>1616391.2808531632</v>
      </c>
      <c r="AL6" s="94">
        <f ca="1">VLOOKUP($P6,'Regresion Q1'!$Z$6:$AB$10,2,1)*$P6+VLOOKUP($P6,'Regresion Q1'!$Z$6:$AB$10,3,1)</f>
        <v>1674373.3382850785</v>
      </c>
      <c r="AM6" s="94">
        <f ca="1">VLOOKUP($P6,'Regresion Md'!$T$6:$V$10,2,1)*$P6+VLOOKUP($P6,'Regresion Md'!$T$6:$V$10,3,1)</f>
        <v>1683344.6369270028</v>
      </c>
      <c r="AN6" s="94">
        <f ca="1">VLOOKUP($P6,'Regresion Md'!$W$6:$Y$10,2,1)*$P6+VLOOKUP($P6,'Regresion Md'!$W$6:$Y$10,3,1)</f>
        <v>1756729.0732759084</v>
      </c>
      <c r="AO6" s="94">
        <f ca="1">VLOOKUP($P6,'Regresion Md'!$Z$6:$AB$10,2,1)*$P6+VLOOKUP($P6,'Regresion Md'!$Z$6:$AB$10,3,1)</f>
        <v>1806547.4919228405</v>
      </c>
      <c r="AP6" s="94">
        <f ca="1">VLOOKUP($P6,'Regresion Q3'!$T$6:$V$10,2,1)*$P6+VLOOKUP($P6,'Regresion Q3'!$T$6:$V$10,3,1)</f>
        <v>2208353.7777883206</v>
      </c>
      <c r="AQ6" s="94">
        <f ca="1">VLOOKUP($P6,'Regresion Q3'!$W$6:$Y$10,2,1)*$P6+VLOOKUP($P6,'Regresion Q3'!$W$6:$Y$10,3,1)</f>
        <v>2282924.5741520803</v>
      </c>
      <c r="AR6" s="94">
        <f ca="1">VLOOKUP($P6,'Regresion Q3'!$Z$6:$AB$10,2,1)*$P6+VLOOKUP($P6,'Regresion Q3'!$Z$6:$AB$10,3,1)</f>
        <v>2362963.4937939825</v>
      </c>
      <c r="AS6" s="94">
        <f ca="1">IF($BN6=$BN7,-1,DatosHoy[[#This Row],[G ajus PM Q1]]-BO7)</f>
        <v>-490167.48349213949</v>
      </c>
      <c r="AT6" s="94">
        <f ca="1">IF($BN6=$BN7,-1,DatosHoy[[#This Row],[G+V ajus PM Q1]]-BP7)</f>
        <v>-495386.47760990285</v>
      </c>
      <c r="AU6" s="94">
        <f ca="1">IF($BN6=$BN7,-1,DatosHoy[[#This Row],[CT ajus PM Q1]]-BQ7)</f>
        <v>-517675.74547806173</v>
      </c>
      <c r="AV6" s="94">
        <f ca="1">IF(DatosHoy[[#This Row],[G ajus PM Q1]]=DatosHoy[[#This Row],[G+V ajus PM Q1]],-1,DatosHoy[[#This Row],[G ajus PM Q1]]-DatosHoy[[#This Row],[G+V ajus PM Q1]])</f>
        <v>-85171.315064471914</v>
      </c>
      <c r="AW6" s="94">
        <f ca="1">IF(DatosHoy[[#This Row],[G+V ajus PM Q1]]=DatosHoy[[#This Row],[CT ajus PM Q1]],-1,DatosHoy[[#This Row],[G+V ajus PM Q1]]-DatosHoy[[#This Row],[CT ajus PM Q1]])</f>
        <v>-57982.057431915309</v>
      </c>
      <c r="AX6" s="94">
        <f ca="1">IF($BN6=$BN7,-1,DatosHoy[[#This Row],[G ajus PMd]]-BR7)</f>
        <v>-486569.09080533241</v>
      </c>
      <c r="AY6" s="94">
        <f ca="1">IF($BN6=$BN7,-1,DatosHoy[[#This Row],[G+V ajus PM Md]]-BS7)</f>
        <v>-464514.45520866197</v>
      </c>
      <c r="AZ6" s="94">
        <f ca="1">IF($BN6=$BN7,-1,DatosHoy[[#This Row],[CT ajus PM Md]]-BT7)</f>
        <v>-521755.16435241187</v>
      </c>
      <c r="BA6" s="94">
        <f ca="1">IF(DatosHoy[[#This Row],[G ajus PMd]]=DatosHoy[[#This Row],[G+V ajus PM Md]],-1,DatosHoy[[#This Row],[G ajus PMd]]-DatosHoy[[#This Row],[G+V ajus PM Md]])</f>
        <v>-73384.436348905554</v>
      </c>
      <c r="BB6" s="94">
        <f ca="1">IF(DatosHoy[[#This Row],[G+V ajus PM Md]]=DatosHoy[[#This Row],[CT ajus PM Md]],-1,DatosHoy[[#This Row],[G+V ajus PM Md]]-DatosHoy[[#This Row],[CT ajus PM Md]])</f>
        <v>-49818.418646932114</v>
      </c>
      <c r="BC6" s="94">
        <f ca="1">IF($BN6=$BN7,-1,DatosHoy[[#This Row],[G ajus PM Q3]]-BU7)</f>
        <v>-904558.53738846071</v>
      </c>
      <c r="BD6" s="94">
        <f ca="1">IF($BN6=$BN7,-1,DatosHoy[[#This Row],[G+V ajus PM Q3]]-BV7)</f>
        <v>-925861.3936820454</v>
      </c>
      <c r="BE6" s="94">
        <f ca="1">IF($BN6=$BN7,-1,DatosHoy[[#This Row],[CT ajus PM Q3]]-BW7)</f>
        <v>-943285.49245581962</v>
      </c>
      <c r="BF6" s="94">
        <f ca="1">IF(DatosHoy[[#This Row],[G ajus PM Q3]]=DatosHoy[[#This Row],[G+V ajus PM Q3]],-1,DatosHoy[[#This Row],[G ajus PM Q3]]-DatosHoy[[#This Row],[G+V ajus PM Q3]])</f>
        <v>-74570.796363759786</v>
      </c>
      <c r="BG6" s="94">
        <f ca="1">IF(DatosHoy[[#This Row],[G+V ajus PM Q3]]=DatosHoy[[#This Row],[CT ajus PM Q3]],-1,DatosHoy[[#This Row],[G+V ajus PM Q3]]-DatosHoy[[#This Row],[CT ajus PM Q3]])</f>
        <v>-80038.919641902205</v>
      </c>
      <c r="BH6" s="94">
        <f ca="1">IF(DatosHoy[[#This Row],[G ajus PM Q1]]=DatosHoy[[#This Row],[G ajus PMd]],-1,DatosHoy[[#This Row],[G ajus PM Q1]]-DatosHoy[[#This Row],[G ajus PMd]])</f>
        <v>-152124.6711383115</v>
      </c>
      <c r="BI6" s="94">
        <f ca="1">IF(DatosHoy[[#This Row],[G+V ajus PM Q1]]=DatosHoy[[#This Row],[G+V ajus PM Md]],-1,DatosHoy[[#This Row],[G+V ajus PM Q1]]-DatosHoy[[#This Row],[G+V ajus PM Md]])</f>
        <v>-140337.79242274514</v>
      </c>
      <c r="BJ6" s="94">
        <f ca="1">IF(DatosHoy[[#This Row],[CT ajus PM Q1]]=DatosHoy[[#This Row],[CT ajus PM Md]],-1,DatosHoy[[#This Row],[CT ajus PM Q1]]-DatosHoy[[#This Row],[CT ajus PM Md]])</f>
        <v>-132174.15363776195</v>
      </c>
      <c r="BK6" s="94">
        <f ca="1">IF(DatosHoy[[#This Row],[G ajus PMd]]=DatosHoy[[#This Row],[G ajus PM Q3]],-1,DatosHoy[[#This Row],[G ajus PMd]]-DatosHoy[[#This Row],[G ajus PM Q3]])</f>
        <v>-525009.14086131775</v>
      </c>
      <c r="BL6" s="94">
        <f ca="1">IF(DatosHoy[[#This Row],[G+V ajus PM Md]]=DatosHoy[[#This Row],[G+V ajus PM Q3]],-1,DatosHoy[[#This Row],[G+V ajus PM Md]]-DatosHoy[[#This Row],[G+V ajus PM Q3]])</f>
        <v>-526195.50087617198</v>
      </c>
      <c r="BM6" s="94">
        <f ca="1">IF(DatosHoy[[#This Row],[CT ajus PM Md]]=DatosHoy[[#This Row],[CT ajus PM Q3]],-1,DatosHoy[[#This Row],[CT ajus PM Md]]-DatosHoy[[#This Row],[CT ajus PM Q3]])</f>
        <v>-556416.00187114207</v>
      </c>
      <c r="BN6" s="74">
        <v>94</v>
      </c>
      <c r="BO6" s="94">
        <f ca="1">IFERROR(VLOOKUP($BN6,'Regresion Q1'!$T$6:$V$10,2,1)*$BN6+VLOOKUP($BN6,'Regresion Q1'!$T$6:$V$10,3,1),VLOOKUP(MIN(DatosHoy[Puntos]),'Regresion Q1'!$T$6:$V$10,2,1)*$BN6+VLOOKUP(MIN(DatosHoy[Puntos]),'Regresion Q1'!$T$6:$V$10,3,1))</f>
        <v>1531219.9657886913</v>
      </c>
      <c r="BP6" s="94">
        <f ca="1">IFERROR(VLOOKUP($BN6,'Regresion Q1'!$W$6:$Y$10,2,1)*$BN6+VLOOKUP($BN6,'Regresion Q1'!$W$6:$Y$10,3,1),VLOOKUP(MIN(DatosHoy[Puntos]),'Regresion Q1'!$W$6:$Y$10,2,1)*$BN6+VLOOKUP(MIN(DatosHoy[Puntos]),'Regresion Q1'!$W$6:$Y$10,3,1))</f>
        <v>1616391.2808531632</v>
      </c>
      <c r="BQ6" s="94">
        <f ca="1">IFERROR(VLOOKUP($BN6,'Regresion Q1'!$Z$6:$AB$10,2,1)*$BN6+VLOOKUP($BN6,'Regresion Q1'!$Z$6:$AB$10,3,1),VLOOKUP(MIN(DatosHoy[Puntos]),'Regresion Q1'!$Z$6:$AB$10,2,1)*$BN6+VLOOKUP(MIN(DatosHoy[Puntos]),'Regresion Q1'!$Z$6:$AB$10,3,1))</f>
        <v>1674373.3382850785</v>
      </c>
      <c r="BR6" s="94">
        <f ca="1">IFERROR(VLOOKUP($BN6,'Regresion Md'!$T$6:$V$10,2,1)*$BN6+VLOOKUP($BN6,'Regresion Md'!$T$6:$V$10,3,1),VLOOKUP(MIN(DatosHoy[Puntos]),'Regresion Md'!$T$6:$V$10,2,1)*$BN6+VLOOKUP(MIN(DatosHoy[Puntos]),'Regresion Md'!$T$6:$V$10,3,1))</f>
        <v>1683344.6369270028</v>
      </c>
      <c r="BS6" s="94">
        <f ca="1">IFERROR(VLOOKUP($BN6,'Regresion Md'!$W$6:$Y$10,2,1)*$BN6+VLOOKUP($BN6,'Regresion Md'!$W$6:$Y$10,3,1),VLOOKUP(MIN(DatosHoy[Puntos]),'Regresion Md'!$W$6:$Y$10,2,1)*$BN6+VLOOKUP(MIN(DatosHoy[Puntos]),'Regresion Md'!$W$6:$Y$10,3,1))</f>
        <v>1756729.0732759084</v>
      </c>
      <c r="BT6" s="94">
        <f ca="1">IFERROR(VLOOKUP($BN6,'Regresion Md'!$Z$6:$AB$10,2,1)*$BN6+VLOOKUP($BN6,'Regresion Md'!$Z$6:$AB$10,3,1),VLOOKUP(MIN(DatosHoy[Puntos]),'Regresion Md'!$Z$6:$AB$10,2,1)*$BN6+VLOOKUP(MIN(DatosHoy[Puntos]),'Regresion Md'!$Z$6:$AB$10,3,1))</f>
        <v>1806547.4919228405</v>
      </c>
      <c r="BU6" s="94">
        <f ca="1">IFERROR(VLOOKUP($BN6,'Regresion Q3'!$T$6:$V$10,2,1)*$BN6+VLOOKUP($BN6,'Regresion Q3'!$T$6:$V$10,3,1),VLOOKUP(MIN(DatosHoy[Puntos]),'Regresion Q3'!$T$6:$V$10,2,1)*$BN6+VLOOKUP(MIN(DatosHoy[Puntos]),'Regresion Q3'!$T$6:$V$10,3,1))</f>
        <v>2208353.7777883206</v>
      </c>
      <c r="BV6" s="94">
        <f ca="1">IFERROR(VLOOKUP($BN6,'Regresion Q3'!$W$6:$Y$10,2,1)*$BN6+VLOOKUP($BN6,'Regresion Q3'!$W$6:$Y$10,3,1),VLOOKUP(MIN(DatosHoy[Puntos]),'Regresion Q3'!$W$6:$Y$10,2,1)*$BN6+VLOOKUP(MIN(DatosHoy[Puntos]),'Regresion Q3'!$W$6:$Y$10,3,1))</f>
        <v>2282924.5741520803</v>
      </c>
      <c r="BW6" s="94">
        <f ca="1">IFERROR(VLOOKUP($BN6,'Regresion Q3'!$Z$6:$AB$10,2,1)*$BN6+VLOOKUP($BN6,'Regresion Q3'!$Z$6:$AB$10,3,1),VLOOKUP(MIN(DatosHoy[Puntos]),'Regresion Q3'!$Z$6:$AB$10,2,1)*$BN6+VLOOKUP(MIN(DatosHoy[Puntos]),'Regresion Q3'!$Z$6:$AB$10,3,1))</f>
        <v>2362963.4937939825</v>
      </c>
      <c r="BX6" s="96">
        <f ca="1">DatosHoy[[#This Row],[CT Actual]]/DatosHoy[[#This Row],[CT ajus PM Md]]</f>
        <v>0.927174628145641</v>
      </c>
      <c r="BY6" s="125" t="str">
        <f>VLOOKUP(DatosHoy[[#This Row],[Cargo Valorado]],Estadísticos[[Cargo]:[Nivel]],2,FALSE)</f>
        <v>Operativo</v>
      </c>
      <c r="BZ6" s="127">
        <f>(DatosHoy[[#This Row],[G+V Actual]]-DatosHoy[[#This Row],[G Actual]])/DatosHoy[[#This Row],[CT Actual]]</f>
        <v>0</v>
      </c>
      <c r="CA6" s="127">
        <f>(DatosHoy[[#This Row],[CT Actual]]-DatosHoy[[#This Row],[G+V Actual]])/DatosHoy[[#This Row],[CT Actual]]</f>
        <v>0</v>
      </c>
      <c r="CB6" s="139" t="s">
        <v>255</v>
      </c>
    </row>
    <row r="7" spans="2:80" x14ac:dyDescent="0.25">
      <c r="B7" s="73">
        <f t="shared" si="0"/>
        <v>2</v>
      </c>
      <c r="C7" s="74">
        <v>2295683.1700000004</v>
      </c>
      <c r="D7" s="74">
        <v>2295683.1700000004</v>
      </c>
      <c r="E7" s="74">
        <v>2295683.1700000004</v>
      </c>
      <c r="F7" s="94">
        <f>VLOOKUP(DatosHoy[[#This Row],[Cargo Valorado]],Estadísticos[],3,0)</f>
        <v>3037807.1940716701</v>
      </c>
      <c r="G7" s="94">
        <f>VLOOKUP(DatosHoy[[#This Row],[Cargo Valorado]],Estadísticos[],4,0)</f>
        <v>3037807.1940716701</v>
      </c>
      <c r="H7" s="94">
        <f>VLOOKUP(DatosHoy[[#This Row],[Cargo Valorado]],Estadísticos[],5,0)</f>
        <v>3486046.860738337</v>
      </c>
      <c r="I7" s="94">
        <f>VLOOKUP(DatosHoy[[#This Row],[Cargo Valorado]],Estadísticos[],6,0)</f>
        <v>3125168.1638867408</v>
      </c>
      <c r="J7" s="94">
        <f>VLOOKUP(DatosHoy[[#This Row],[Cargo Valorado]],Estadísticos[],7,0)</f>
        <v>3125168.1638867408</v>
      </c>
      <c r="K7" s="94">
        <f>VLOOKUP(DatosHoy[[#This Row],[Cargo Valorado]],Estadísticos[],8,0)</f>
        <v>3573407.8305534073</v>
      </c>
      <c r="L7" s="94">
        <f>VLOOKUP(DatosHoy[[#This Row],[Cargo Valorado]],Estadísticos[],9,0)</f>
        <v>3161730.4761106502</v>
      </c>
      <c r="M7" s="94">
        <f>VLOOKUP(DatosHoy[[#This Row],[Cargo Valorado]],Estadísticos[],10,0)</f>
        <v>3161730.4761106502</v>
      </c>
      <c r="N7" s="94">
        <f>VLOOKUP(DatosHoy[[#This Row],[Cargo Valorado]],Estadísticos[],11,0)</f>
        <v>3609970.1427773172</v>
      </c>
      <c r="O7" s="75" t="s">
        <v>244</v>
      </c>
      <c r="P7" s="75">
        <v>138</v>
      </c>
      <c r="Q7" s="95" t="str">
        <f t="shared" si="4"/>
        <v>$P$7</v>
      </c>
      <c r="R7" s="95" t="str">
        <f t="shared" si="5"/>
        <v>$F$7</v>
      </c>
      <c r="S7" s="95" t="str">
        <f t="shared" si="6"/>
        <v>$G$7</v>
      </c>
      <c r="T7" s="95" t="str">
        <f t="shared" si="7"/>
        <v>$H$7</v>
      </c>
      <c r="U7" s="95" t="str">
        <f t="shared" si="8"/>
        <v>$I$7</v>
      </c>
      <c r="V7" s="95" t="str">
        <f t="shared" si="9"/>
        <v>$J$7</v>
      </c>
      <c r="W7" s="95" t="str">
        <f t="shared" si="10"/>
        <v>$K$7</v>
      </c>
      <c r="X7" s="95" t="str">
        <f t="shared" si="11"/>
        <v>$L$7</v>
      </c>
      <c r="Y7" s="95" t="str">
        <f t="shared" si="12"/>
        <v>$M$7</v>
      </c>
      <c r="Z7" s="95" t="str">
        <f t="shared" si="13"/>
        <v>$N$7</v>
      </c>
      <c r="AA7" s="94">
        <f ca="1">VLOOKUP($P7,'Regresion Q1'!$E$6:$I$10,4,1)*$P7+VLOOKUP($P7,'Regresion Q1'!$E$6:$I$10,5,1)</f>
        <v>1733730.9683314213</v>
      </c>
      <c r="AB7" s="94">
        <f ca="1">VLOOKUP($P7,'Regresion Q1'!$J$6:$N$10,4,1)*$P7+VLOOKUP($P7,'Regresion Q1'!$J$6:$N$10,5,1)</f>
        <v>1763081.5311114721</v>
      </c>
      <c r="AC7" s="94">
        <f ca="1">VLOOKUP($P7,'Regresion Q1'!$O$6:$S$10,4,1)*$P7+VLOOKUP($P7,'Regresion Q1'!$O$6:$S$10,5,1)</f>
        <v>1898130.0089325767</v>
      </c>
      <c r="AD7" s="94">
        <f ca="1">VLOOKUP($P7,'Regresion Md'!$E$6:$I$10,4,1)*$P7+VLOOKUP($P7,'Regresion Md'!$E$6:$I$10,5,1)</f>
        <v>2055952.4957401247</v>
      </c>
      <c r="AE7" s="94">
        <f ca="1">VLOOKUP($P7,'Regresion Md'!$J$6:$N$10,4,1)*$P7+VLOOKUP($P7,'Regresion Md'!$J$6:$N$10,5,1)</f>
        <v>2097949.8549409965</v>
      </c>
      <c r="AF7" s="94">
        <f ca="1">VLOOKUP($P7,'Regresion Md'!$O$6:$S$10,4,1)*$P7+VLOOKUP($P7,'Regresion Md'!$O$6:$S$10,5,1)</f>
        <v>2123460.5637522331</v>
      </c>
      <c r="AG7" s="94">
        <f ca="1">VLOOKUP($P7,'Regresion Q3'!$E$6:$I$10,4,1)*$P7+VLOOKUP($P7,'Regresion Q3'!$E$6:$I$10,5,1)</f>
        <v>1919351.3142064451</v>
      </c>
      <c r="AH7" s="94">
        <f ca="1">VLOOKUP($P7,'Regresion Q3'!$J$6:$N$10,4,1)*$P7+VLOOKUP($P7,'Regresion Q3'!$J$6:$N$10,5,1)</f>
        <v>1958692.2910385155</v>
      </c>
      <c r="AI7" s="94">
        <f ca="1">VLOOKUP($P7,'Regresion Q3'!$O$6:$S$10,4,1)*$P7+VLOOKUP($P7,'Regresion Q3'!$O$6:$S$10,5,1)</f>
        <v>2161215.0504945563</v>
      </c>
      <c r="AJ7" s="94">
        <f ca="1">VLOOKUP($P7,'Regresion Q1'!$T$6:$V$10,2,1)*$P7+VLOOKUP($P7,'Regresion Q1'!$T$6:$V$10,3,1)</f>
        <v>1971370.3591285716</v>
      </c>
      <c r="AK7" s="94">
        <f ca="1">VLOOKUP($P7,'Regresion Q1'!$W$6:$Y$10,2,1)*$P7+VLOOKUP($P7,'Regresion Q1'!$W$6:$Y$10,3,1)</f>
        <v>2061228.1178906271</v>
      </c>
      <c r="AL7" s="94">
        <f ca="1">VLOOKUP($P7,'Regresion Q1'!$Z$6:$AB$10,2,1)*$P7+VLOOKUP($P7,'Regresion Q1'!$Z$6:$AB$10,3,1)</f>
        <v>2139225.0281021129</v>
      </c>
      <c r="AM7" s="94">
        <f ca="1">VLOOKUP($P7,'Regresion Md'!$T$6:$V$10,2,1)*$P7+VLOOKUP($P7,'Regresion Md'!$T$6:$V$10,3,1)</f>
        <v>2120263.8205073015</v>
      </c>
      <c r="AN7" s="94">
        <f ca="1">VLOOKUP($P7,'Regresion Md'!$W$6:$Y$10,2,1)*$P7+VLOOKUP($P7,'Regresion Md'!$W$6:$Y$10,3,1)</f>
        <v>2173844.094279605</v>
      </c>
      <c r="AO7" s="94">
        <f ca="1">VLOOKUP($P7,'Regresion Md'!$Z$6:$AB$10,2,1)*$P7+VLOOKUP($P7,'Regresion Md'!$Z$6:$AB$10,3,1)</f>
        <v>2275062.3333821492</v>
      </c>
      <c r="AP7" s="94">
        <f ca="1">VLOOKUP($P7,'Regresion Q3'!$T$6:$V$10,2,1)*$P7+VLOOKUP($P7,'Regresion Q3'!$T$6:$V$10,3,1)</f>
        <v>3020610.4236065303</v>
      </c>
      <c r="AQ7" s="94">
        <f ca="1">VLOOKUP($P7,'Regresion Q3'!$W$6:$Y$10,2,1)*$P7+VLOOKUP($P7,'Regresion Q3'!$W$6:$Y$10,3,1)</f>
        <v>3114310.3154175906</v>
      </c>
      <c r="AR7" s="94">
        <f ca="1">VLOOKUP($P7,'Regresion Q3'!$Z$6:$AB$10,2,1)*$P7+VLOOKUP($P7,'Regresion Q3'!$Z$6:$AB$10,3,1)</f>
        <v>3209995.3645706368</v>
      </c>
      <c r="AS7" s="94">
        <f>IF($BN7=$BN8,-1,DatosHoy[[#This Row],[G ajus PM Q1]]-BO8)</f>
        <v>-1</v>
      </c>
      <c r="AT7" s="94">
        <f>IF($BN7=$BN8,-1,DatosHoy[[#This Row],[G+V ajus PM Q1]]-BP8)</f>
        <v>-1</v>
      </c>
      <c r="AU7" s="94">
        <f>IF($BN7=$BN8,-1,DatosHoy[[#This Row],[CT ajus PM Q1]]-BQ8)</f>
        <v>-1</v>
      </c>
      <c r="AV7" s="94">
        <f ca="1">IF(DatosHoy[[#This Row],[G ajus PM Q1]]=DatosHoy[[#This Row],[G+V ajus PM Q1]],-1,DatosHoy[[#This Row],[G ajus PM Q1]]-DatosHoy[[#This Row],[G+V ajus PM Q1]])</f>
        <v>-90390.309182235273</v>
      </c>
      <c r="AW7" s="94">
        <f ca="1">IF(DatosHoy[[#This Row],[G+V ajus PM Q1]]=DatosHoy[[#This Row],[CT ajus PM Q1]],-1,DatosHoy[[#This Row],[G+V ajus PM Q1]]-DatosHoy[[#This Row],[CT ajus PM Q1]])</f>
        <v>-80271.325300074182</v>
      </c>
      <c r="AX7" s="94">
        <f>IF($BN7=$BN8,-1,DatosHoy[[#This Row],[G ajus PMd]]-BR8)</f>
        <v>-1</v>
      </c>
      <c r="AY7" s="94">
        <f>IF($BN7=$BN8,-1,DatosHoy[[#This Row],[G+V ajus PM Md]]-BS8)</f>
        <v>-1</v>
      </c>
      <c r="AZ7" s="94">
        <f>IF($BN7=$BN8,-1,DatosHoy[[#This Row],[CT ajus PM Md]]-BT8)</f>
        <v>-1</v>
      </c>
      <c r="BA7" s="94">
        <f ca="1">IF(DatosHoy[[#This Row],[G ajus PMd]]=DatosHoy[[#This Row],[G+V ajus PM Md]],-1,DatosHoy[[#This Row],[G ajus PMd]]-DatosHoy[[#This Row],[G+V ajus PM Md]])</f>
        <v>-51329.800752235111</v>
      </c>
      <c r="BB7" s="94">
        <f ca="1">IF(DatosHoy[[#This Row],[G+V ajus PM Md]]=DatosHoy[[#This Row],[CT ajus PM Md]],-1,DatosHoy[[#This Row],[G+V ajus PM Md]]-DatosHoy[[#This Row],[CT ajus PM Md]])</f>
        <v>-107059.12779068202</v>
      </c>
      <c r="BC7" s="94">
        <f>IF($BN7=$BN8,-1,DatosHoy[[#This Row],[G ajus PM Q3]]-BU8)</f>
        <v>-1</v>
      </c>
      <c r="BD7" s="94">
        <f>IF($BN7=$BN8,-1,DatosHoy[[#This Row],[G+V ajus PM Q3]]-BV8)</f>
        <v>-1</v>
      </c>
      <c r="BE7" s="94">
        <f>IF($BN7=$BN8,-1,DatosHoy[[#This Row],[CT ajus PM Q3]]-BW8)</f>
        <v>-1</v>
      </c>
      <c r="BF7" s="94">
        <f ca="1">IF(DatosHoy[[#This Row],[G ajus PM Q3]]=DatosHoy[[#This Row],[G+V ajus PM Q3]],-1,DatosHoy[[#This Row],[G ajus PM Q3]]-DatosHoy[[#This Row],[G+V ajus PM Q3]])</f>
        <v>-95873.652657344472</v>
      </c>
      <c r="BG7" s="94">
        <f ca="1">IF(DatosHoy[[#This Row],[G+V ajus PM Q3]]=DatosHoy[[#This Row],[CT ajus PM Q3]],-1,DatosHoy[[#This Row],[G+V ajus PM Q3]]-DatosHoy[[#This Row],[CT ajus PM Q3]])</f>
        <v>-97463.01841567643</v>
      </c>
      <c r="BH7" s="94">
        <f ca="1">IF(DatosHoy[[#This Row],[G ajus PM Q1]]=DatosHoy[[#This Row],[G ajus PMd]],-1,DatosHoy[[#This Row],[G ajus PM Q1]]-DatosHoy[[#This Row],[G ajus PMd]])</f>
        <v>-148526.27845150442</v>
      </c>
      <c r="BI7" s="94">
        <f ca="1">IF(DatosHoy[[#This Row],[G+V ajus PM Q1]]=DatosHoy[[#This Row],[G+V ajus PM Md]],-1,DatosHoy[[#This Row],[G+V ajus PM Q1]]-DatosHoy[[#This Row],[G+V ajus PM Md]])</f>
        <v>-109465.77002150426</v>
      </c>
      <c r="BJ7" s="94">
        <f ca="1">IF(DatosHoy[[#This Row],[CT ajus PM Q1]]=DatosHoy[[#This Row],[CT ajus PM Md]],-1,DatosHoy[[#This Row],[CT ajus PM Q1]]-DatosHoy[[#This Row],[CT ajus PM Md]])</f>
        <v>-136253.57251211209</v>
      </c>
      <c r="BK7" s="94">
        <f ca="1">IF(DatosHoy[[#This Row],[G ajus PMd]]=DatosHoy[[#This Row],[G ajus PM Q3]],-1,DatosHoy[[#This Row],[G ajus PMd]]-DatosHoy[[#This Row],[G ajus PM Q3]])</f>
        <v>-942998.58744444605</v>
      </c>
      <c r="BL7" s="94">
        <f ca="1">IF(DatosHoy[[#This Row],[G+V ajus PM Md]]=DatosHoy[[#This Row],[G+V ajus PM Q3]],-1,DatosHoy[[#This Row],[G+V ajus PM Md]]-DatosHoy[[#This Row],[G+V ajus PM Q3]])</f>
        <v>-987542.43934955541</v>
      </c>
      <c r="BM7" s="94">
        <f ca="1">IF(DatosHoy[[#This Row],[CT ajus PM Md]]=DatosHoy[[#This Row],[CT ajus PM Q3]],-1,DatosHoy[[#This Row],[CT ajus PM Md]]-DatosHoy[[#This Row],[CT ajus PM Q3]])</f>
        <v>-977946.32997454982</v>
      </c>
      <c r="BN7" s="74">
        <v>143</v>
      </c>
      <c r="BO7" s="94">
        <f ca="1">IFERROR(VLOOKUP($BN7,'Regresion Q1'!$T$6:$V$10,2,1)*$BN7+VLOOKUP($BN7,'Regresion Q1'!$T$6:$V$10,3,1),VLOOKUP(MIN(DatosHoy[Puntos]),'Regresion Q1'!$T$6:$V$10,2,1)*$BN7+VLOOKUP(MIN(DatosHoy[Puntos]),'Regresion Q1'!$T$6:$V$10,3,1))</f>
        <v>2021387.4492808308</v>
      </c>
      <c r="BP7" s="94">
        <f ca="1">IFERROR(VLOOKUP($BN7,'Regresion Q1'!$W$6:$Y$10,2,1)*$BN7+VLOOKUP($BN7,'Regresion Q1'!$W$6:$Y$10,3,1),VLOOKUP(MIN(DatosHoy[Puntos]),'Regresion Q1'!$W$6:$Y$10,2,1)*$BN7+VLOOKUP(MIN(DatosHoy[Puntos]),'Regresion Q1'!$W$6:$Y$10,3,1))</f>
        <v>2111777.7584630661</v>
      </c>
      <c r="BQ7" s="94">
        <f ca="1">IFERROR(VLOOKUP($BN7,'Regresion Q1'!$Z$6:$AB$10,2,1)*$BN7+VLOOKUP($BN7,'Regresion Q1'!$Z$6:$AB$10,3,1),VLOOKUP(MIN(DatosHoy[Puntos]),'Regresion Q1'!$Z$6:$AB$10,2,1)*$BN7+VLOOKUP(MIN(DatosHoy[Puntos]),'Regresion Q1'!$Z$6:$AB$10,3,1))</f>
        <v>2192049.0837631403</v>
      </c>
      <c r="BR7" s="94">
        <f ca="1">IFERROR(VLOOKUP($BN7,'Regresion Md'!$T$6:$V$10,2,1)*$BN7+VLOOKUP($BN7,'Regresion Md'!$T$6:$V$10,3,1),VLOOKUP(MIN(DatosHoy[Puntos]),'Regresion Md'!$T$6:$V$10,2,1)*$BN7+VLOOKUP(MIN(DatosHoy[Puntos]),'Regresion Md'!$T$6:$V$10,3,1))</f>
        <v>2169913.7277323352</v>
      </c>
      <c r="BS7" s="94">
        <f ca="1">IFERROR(VLOOKUP($BN7,'Regresion Md'!$W$6:$Y$10,2,1)*$BN7+VLOOKUP($BN7,'Regresion Md'!$W$6:$Y$10,3,1),VLOOKUP(MIN(DatosHoy[Puntos]),'Regresion Md'!$W$6:$Y$10,2,1)*$BN7+VLOOKUP(MIN(DatosHoy[Puntos]),'Regresion Md'!$W$6:$Y$10,3,1))</f>
        <v>2221243.5284845703</v>
      </c>
      <c r="BT7" s="94">
        <f ca="1">IFERROR(VLOOKUP($BN7,'Regresion Md'!$Z$6:$AB$10,2,1)*$BN7+VLOOKUP($BN7,'Regresion Md'!$Z$6:$AB$10,3,1),VLOOKUP(MIN(DatosHoy[Puntos]),'Regresion Md'!$Z$6:$AB$10,2,1)*$BN7+VLOOKUP(MIN(DatosHoy[Puntos]),'Regresion Md'!$Z$6:$AB$10,3,1))</f>
        <v>2328302.6562752523</v>
      </c>
      <c r="BU7" s="94">
        <f ca="1">IFERROR(VLOOKUP($BN7,'Regresion Q3'!$T$6:$V$10,2,1)*$BN7+VLOOKUP($BN7,'Regresion Q3'!$T$6:$V$10,3,1),VLOOKUP(MIN(DatosHoy[Puntos]),'Regresion Q3'!$T$6:$V$10,2,1)*$BN7+VLOOKUP(MIN(DatosHoy[Puntos]),'Regresion Q3'!$T$6:$V$10,3,1))</f>
        <v>3112912.3151767813</v>
      </c>
      <c r="BV7" s="94">
        <f ca="1">IFERROR(VLOOKUP($BN7,'Regresion Q3'!$W$6:$Y$10,2,1)*$BN7+VLOOKUP($BN7,'Regresion Q3'!$W$6:$Y$10,3,1),VLOOKUP(MIN(DatosHoy[Puntos]),'Regresion Q3'!$W$6:$Y$10,2,1)*$BN7+VLOOKUP(MIN(DatosHoy[Puntos]),'Regresion Q3'!$W$6:$Y$10,3,1))</f>
        <v>3208785.9678341257</v>
      </c>
      <c r="BW7" s="94">
        <f ca="1">IFERROR(VLOOKUP($BN7,'Regresion Q3'!$Z$6:$AB$10,2,1)*$BN7+VLOOKUP($BN7,'Regresion Q3'!$Z$6:$AB$10,3,1),VLOOKUP(MIN(DatosHoy[Puntos]),'Regresion Q3'!$Z$6:$AB$10,2,1)*$BN7+VLOOKUP(MIN(DatosHoy[Puntos]),'Regresion Q3'!$Z$6:$AB$10,3,1))</f>
        <v>3306248.9862498022</v>
      </c>
      <c r="BX7" s="96">
        <f ca="1">DatosHoy[[#This Row],[CT Actual]]/DatosHoy[[#This Row],[CT ajus PM Md]]</f>
        <v>0.9859900145767837</v>
      </c>
      <c r="BY7" s="125" t="str">
        <f>VLOOKUP(DatosHoy[[#This Row],[Cargo Valorado]],Estadísticos[[Cargo]:[Nivel]],2,FALSE)</f>
        <v>Operativo</v>
      </c>
      <c r="BZ7" s="96">
        <f>(DatosHoy[[#This Row],[G+V Actual]]-DatosHoy[[#This Row],[G Actual]])/DatosHoy[[#This Row],[CT Actual]]</f>
        <v>0</v>
      </c>
      <c r="CA7" s="96">
        <f>(DatosHoy[[#This Row],[CT Actual]]-DatosHoy[[#This Row],[G+V Actual]])/DatosHoy[[#This Row],[CT Actual]]</f>
        <v>0</v>
      </c>
      <c r="CB7" s="139" t="s">
        <v>255</v>
      </c>
    </row>
    <row r="8" spans="2:80" x14ac:dyDescent="0.25">
      <c r="B8" s="73">
        <f t="shared" si="0"/>
        <v>3</v>
      </c>
      <c r="C8" s="74">
        <v>2295683.1700000004</v>
      </c>
      <c r="D8" s="74">
        <v>2295683.1700000004</v>
      </c>
      <c r="E8" s="74">
        <v>2295683.1700000004</v>
      </c>
      <c r="F8" s="94">
        <f>VLOOKUP(DatosHoy[[#This Row],[Cargo Valorado]],Estadísticos[],3,0)</f>
        <v>2347597.6473008865</v>
      </c>
      <c r="G8" s="94">
        <f>VLOOKUP(DatosHoy[[#This Row],[Cargo Valorado]],Estadísticos[],4,0)</f>
        <v>2347597.6473008865</v>
      </c>
      <c r="H8" s="94">
        <f>VLOOKUP(DatosHoy[[#This Row],[Cargo Valorado]],Estadísticos[],5,0)</f>
        <v>2389603.8773794952</v>
      </c>
      <c r="I8" s="94">
        <f>VLOOKUP(DatosHoy[[#This Row],[Cargo Valorado]],Estadísticos[],6,0)</f>
        <v>2666611.168049898</v>
      </c>
      <c r="J8" s="94">
        <f>VLOOKUP(DatosHoy[[#This Row],[Cargo Valorado]],Estadísticos[],7,0)</f>
        <v>2666611.168049898</v>
      </c>
      <c r="K8" s="94">
        <f>VLOOKUP(DatosHoy[[#This Row],[Cargo Valorado]],Estadísticos[],8,0)</f>
        <v>2837797.7431476107</v>
      </c>
      <c r="L8" s="94">
        <f>VLOOKUP(DatosHoy[[#This Row],[Cargo Valorado]],Estadísticos[],9,0)</f>
        <v>2989654.3122690506</v>
      </c>
      <c r="M8" s="94">
        <f>VLOOKUP(DatosHoy[[#This Row],[Cargo Valorado]],Estadísticos[],10,0)</f>
        <v>2989654.3122690506</v>
      </c>
      <c r="N8" s="94">
        <f>VLOOKUP(DatosHoy[[#This Row],[Cargo Valorado]],Estadísticos[],11,0)</f>
        <v>3612751.0159480553</v>
      </c>
      <c r="O8" s="75" t="s">
        <v>196</v>
      </c>
      <c r="P8" s="75">
        <v>142</v>
      </c>
      <c r="Q8" s="95" t="str">
        <f t="shared" si="4"/>
        <v>$P$8</v>
      </c>
      <c r="R8" s="95" t="str">
        <f t="shared" si="5"/>
        <v>$F$8</v>
      </c>
      <c r="S8" s="95" t="str">
        <f t="shared" si="6"/>
        <v>$G$8</v>
      </c>
      <c r="T8" s="95" t="str">
        <f t="shared" si="7"/>
        <v>$H$8</v>
      </c>
      <c r="U8" s="95" t="str">
        <f t="shared" si="8"/>
        <v>$I$8</v>
      </c>
      <c r="V8" s="95" t="str">
        <f t="shared" si="9"/>
        <v>$J$8</v>
      </c>
      <c r="W8" s="95" t="str">
        <f t="shared" si="10"/>
        <v>$K$8</v>
      </c>
      <c r="X8" s="95" t="str">
        <f t="shared" si="11"/>
        <v>$L$8</v>
      </c>
      <c r="Y8" s="95" t="str">
        <f t="shared" si="12"/>
        <v>$M$8</v>
      </c>
      <c r="Z8" s="95" t="str">
        <f t="shared" si="13"/>
        <v>$N$8</v>
      </c>
      <c r="AA8" s="94">
        <f ca="1">VLOOKUP($P8,'Regresion Q1'!$E$6:$I$10,4,1)*$P8+VLOOKUP($P8,'Regresion Q1'!$E$6:$I$10,5,1)</f>
        <v>1787540.0537673684</v>
      </c>
      <c r="AB8" s="94">
        <f ca="1">VLOOKUP($P8,'Regresion Q1'!$J$6:$N$10,4,1)*$P8+VLOOKUP($P8,'Regresion Q1'!$J$6:$N$10,5,1)</f>
        <v>1818434.7326732313</v>
      </c>
      <c r="AC8" s="94">
        <f ca="1">VLOOKUP($P8,'Regresion Q1'!$O$6:$S$10,4,1)*$P8+VLOOKUP($P8,'Regresion Q1'!$O$6:$S$10,5,1)</f>
        <v>1955250.4247331172</v>
      </c>
      <c r="AD8" s="94">
        <f ca="1">VLOOKUP($P8,'Regresion Md'!$E$6:$I$10,4,1)*$P8+VLOOKUP($P8,'Regresion Md'!$E$6:$I$10,5,1)</f>
        <v>2110775.4209747044</v>
      </c>
      <c r="AE8" s="94">
        <f ca="1">VLOOKUP($P8,'Regresion Md'!$J$6:$N$10,4,1)*$P8+VLOOKUP($P8,'Regresion Md'!$J$6:$N$10,5,1)</f>
        <v>2156483.9535324015</v>
      </c>
      <c r="AF8" s="94">
        <f ca="1">VLOOKUP($P8,'Regresion Md'!$O$6:$S$10,4,1)*$P8+VLOOKUP($P8,'Regresion Md'!$O$6:$S$10,5,1)</f>
        <v>2193113.3699730951</v>
      </c>
      <c r="AG8" s="94">
        <f ca="1">VLOOKUP($P8,'Regresion Q3'!$E$6:$I$10,4,1)*$P8+VLOOKUP($P8,'Regresion Q3'!$E$6:$I$10,5,1)</f>
        <v>2018922.4656038955</v>
      </c>
      <c r="AH8" s="94">
        <f ca="1">VLOOKUP($P8,'Regresion Q3'!$J$6:$N$10,4,1)*$P8+VLOOKUP($P8,'Regresion Q3'!$J$6:$N$10,5,1)</f>
        <v>2059519.698322867</v>
      </c>
      <c r="AI8" s="94">
        <f ca="1">VLOOKUP($P8,'Regresion Q3'!$O$6:$S$10,4,1)*$P8+VLOOKUP($P8,'Regresion Q3'!$O$6:$S$10,5,1)</f>
        <v>2261445.892224743</v>
      </c>
      <c r="AJ8" s="94">
        <f ca="1">VLOOKUP($P8,'Regresion Q1'!$T$6:$V$10,2,1)*$P8+VLOOKUP($P8,'Regresion Q1'!$T$6:$V$10,3,1)</f>
        <v>2011384.0312503788</v>
      </c>
      <c r="AK8" s="94">
        <f ca="1">VLOOKUP($P8,'Regresion Q1'!$W$6:$Y$10,2,1)*$P8+VLOOKUP($P8,'Regresion Q1'!$W$6:$Y$10,3,1)</f>
        <v>2101667.8303485783</v>
      </c>
      <c r="AL8" s="94">
        <f ca="1">VLOOKUP($P8,'Regresion Q1'!$Z$6:$AB$10,2,1)*$P8+VLOOKUP($P8,'Regresion Q1'!$Z$6:$AB$10,3,1)</f>
        <v>2181484.2726309346</v>
      </c>
      <c r="AM8" s="94">
        <f ca="1">VLOOKUP($P8,'Regresion Md'!$T$6:$V$10,2,1)*$P8+VLOOKUP($P8,'Regresion Md'!$T$6:$V$10,3,1)</f>
        <v>2159983.7462873287</v>
      </c>
      <c r="AN8" s="94">
        <f ca="1">VLOOKUP($P8,'Regresion Md'!$W$6:$Y$10,2,1)*$P8+VLOOKUP($P8,'Regresion Md'!$W$6:$Y$10,3,1)</f>
        <v>2211763.6416435773</v>
      </c>
      <c r="AO8" s="94">
        <f ca="1">VLOOKUP($P8,'Regresion Md'!$Z$6:$AB$10,2,1)*$P8+VLOOKUP($P8,'Regresion Md'!$Z$6:$AB$10,3,1)</f>
        <v>2317654.5916966316</v>
      </c>
      <c r="AP8" s="94">
        <f ca="1">VLOOKUP($P8,'Regresion Q3'!$T$6:$V$10,2,1)*$P8+VLOOKUP($P8,'Regresion Q3'!$T$6:$V$10,3,1)</f>
        <v>3094451.9368627309</v>
      </c>
      <c r="AQ8" s="94">
        <f ca="1">VLOOKUP($P8,'Regresion Q3'!$W$6:$Y$10,2,1)*$P8+VLOOKUP($P8,'Regresion Q3'!$W$6:$Y$10,3,1)</f>
        <v>3189890.8373508188</v>
      </c>
      <c r="AR8" s="94">
        <f ca="1">VLOOKUP($P8,'Regresion Q3'!$Z$6:$AB$10,2,1)*$P8+VLOOKUP($P8,'Regresion Q3'!$Z$6:$AB$10,3,1)</f>
        <v>3286998.2619139692</v>
      </c>
      <c r="AS8" s="94">
        <f ca="1">IF($BN8=$BN9,-1,DatosHoy[[#This Row],[G ajus PM Q1]]-BO9)</f>
        <v>-210071.77863948816</v>
      </c>
      <c r="AT8" s="94">
        <f ca="1">IF($BN8=$BN9,-1,DatosHoy[[#This Row],[G+V ajus PM Q1]]-BP9)</f>
        <v>-212308.49040424451</v>
      </c>
      <c r="AU8" s="94">
        <f ca="1">IF($BN8=$BN9,-1,DatosHoy[[#This Row],[CT ajus PM Q1]]-BQ9)</f>
        <v>-221861.03377631167</v>
      </c>
      <c r="AV8" s="94">
        <f ca="1">IF(DatosHoy[[#This Row],[G ajus PM Q1]]=DatosHoy[[#This Row],[G+V ajus PM Q1]],-1,DatosHoy[[#This Row],[G ajus PM Q1]]-DatosHoy[[#This Row],[G+V ajus PM Q1]])</f>
        <v>-90390.309182235273</v>
      </c>
      <c r="AW8" s="94">
        <f ca="1">IF(DatosHoy[[#This Row],[G+V ajus PM Q1]]=DatosHoy[[#This Row],[CT ajus PM Q1]],-1,DatosHoy[[#This Row],[G+V ajus PM Q1]]-DatosHoy[[#This Row],[CT ajus PM Q1]])</f>
        <v>-80271.325300074182</v>
      </c>
      <c r="AX8" s="94">
        <f ca="1">IF($BN8=$BN9,-1,DatosHoy[[#This Row],[G ajus PMd]]-BR9)</f>
        <v>-208529.61034514289</v>
      </c>
      <c r="AY8" s="94">
        <f ca="1">IF($BN8=$BN9,-1,DatosHoy[[#This Row],[G+V ajus PM Md]]-BS9)</f>
        <v>-199077.62366085546</v>
      </c>
      <c r="AZ8" s="94">
        <f ca="1">IF($BN8=$BN9,-1,DatosHoy[[#This Row],[CT ajus PM Md]]-BT9)</f>
        <v>-223609.35615103366</v>
      </c>
      <c r="BA8" s="94">
        <f ca="1">IF(DatosHoy[[#This Row],[G ajus PMd]]=DatosHoy[[#This Row],[G+V ajus PM Md]],-1,DatosHoy[[#This Row],[G ajus PMd]]-DatosHoy[[#This Row],[G+V ajus PM Md]])</f>
        <v>-51329.800752235111</v>
      </c>
      <c r="BB8" s="94">
        <f ca="1">IF(DatosHoy[[#This Row],[G+V ajus PM Md]]=DatosHoy[[#This Row],[CT ajus PM Md]],-1,DatosHoy[[#This Row],[G+V ajus PM Md]]-DatosHoy[[#This Row],[CT ajus PM Md]])</f>
        <v>-107059.12779068202</v>
      </c>
      <c r="BC8" s="94">
        <f ca="1">IF($BN8=$BN9,-1,DatosHoy[[#This Row],[G ajus PM Q3]]-BU9)</f>
        <v>-387667.94459505472</v>
      </c>
      <c r="BD8" s="94">
        <f ca="1">IF($BN8=$BN9,-1,DatosHoy[[#This Row],[G+V ajus PM Q3]]-BV9)</f>
        <v>-396797.74014944816</v>
      </c>
      <c r="BE8" s="94">
        <f ca="1">IF($BN8=$BN9,-1,DatosHoy[[#This Row],[CT ajus PM Q3]]-BW9)</f>
        <v>-404265.21105249412</v>
      </c>
      <c r="BF8" s="94">
        <f ca="1">IF(DatosHoy[[#This Row],[G ajus PM Q3]]=DatosHoy[[#This Row],[G+V ajus PM Q3]],-1,DatosHoy[[#This Row],[G ajus PM Q3]]-DatosHoy[[#This Row],[G+V ajus PM Q3]])</f>
        <v>-95873.652657344472</v>
      </c>
      <c r="BG8" s="94">
        <f ca="1">IF(DatosHoy[[#This Row],[G+V ajus PM Q3]]=DatosHoy[[#This Row],[CT ajus PM Q3]],-1,DatosHoy[[#This Row],[G+V ajus PM Q3]]-DatosHoy[[#This Row],[CT ajus PM Q3]])</f>
        <v>-97463.01841567643</v>
      </c>
      <c r="BH8" s="94">
        <f ca="1">IF(DatosHoy[[#This Row],[G ajus PM Q1]]=DatosHoy[[#This Row],[G ajus PMd]],-1,DatosHoy[[#This Row],[G ajus PM Q1]]-DatosHoy[[#This Row],[G ajus PMd]])</f>
        <v>-148526.27845150442</v>
      </c>
      <c r="BI8" s="94">
        <f ca="1">IF(DatosHoy[[#This Row],[G+V ajus PM Q1]]=DatosHoy[[#This Row],[G+V ajus PM Md]],-1,DatosHoy[[#This Row],[G+V ajus PM Q1]]-DatosHoy[[#This Row],[G+V ajus PM Md]])</f>
        <v>-109465.77002150426</v>
      </c>
      <c r="BJ8" s="94">
        <f ca="1">IF(DatosHoy[[#This Row],[CT ajus PM Q1]]=DatosHoy[[#This Row],[CT ajus PM Md]],-1,DatosHoy[[#This Row],[CT ajus PM Q1]]-DatosHoy[[#This Row],[CT ajus PM Md]])</f>
        <v>-136253.57251211209</v>
      </c>
      <c r="BK8" s="94">
        <f ca="1">IF(DatosHoy[[#This Row],[G ajus PMd]]=DatosHoy[[#This Row],[G ajus PM Q3]],-1,DatosHoy[[#This Row],[G ajus PMd]]-DatosHoy[[#This Row],[G ajus PM Q3]])</f>
        <v>-942998.58744444605</v>
      </c>
      <c r="BL8" s="94">
        <f ca="1">IF(DatosHoy[[#This Row],[G+V ajus PM Md]]=DatosHoy[[#This Row],[G+V ajus PM Q3]],-1,DatosHoy[[#This Row],[G+V ajus PM Md]]-DatosHoy[[#This Row],[G+V ajus PM Q3]])</f>
        <v>-987542.43934955541</v>
      </c>
      <c r="BM8" s="94">
        <f ca="1">IF(DatosHoy[[#This Row],[CT ajus PM Md]]=DatosHoy[[#This Row],[CT ajus PM Q3]],-1,DatosHoy[[#This Row],[CT ajus PM Md]]-DatosHoy[[#This Row],[CT ajus PM Q3]])</f>
        <v>-977946.32997454982</v>
      </c>
      <c r="BN8" s="74">
        <v>143</v>
      </c>
      <c r="BO8" s="94">
        <f ca="1">IFERROR(VLOOKUP($BN8,'Regresion Q1'!$T$6:$V$10,2,1)*$BN8+VLOOKUP($BN8,'Regresion Q1'!$T$6:$V$10,3,1),VLOOKUP(MIN(DatosHoy[Puntos]),'Regresion Q1'!$T$6:$V$10,2,1)*$BN8+VLOOKUP(MIN(DatosHoy[Puntos]),'Regresion Q1'!$T$6:$V$10,3,1))</f>
        <v>2021387.4492808308</v>
      </c>
      <c r="BP8" s="94">
        <f ca="1">IFERROR(VLOOKUP($BN8,'Regresion Q1'!$W$6:$Y$10,2,1)*$BN8+VLOOKUP($BN8,'Regresion Q1'!$W$6:$Y$10,3,1),VLOOKUP(MIN(DatosHoy[Puntos]),'Regresion Q1'!$W$6:$Y$10,2,1)*$BN8+VLOOKUP(MIN(DatosHoy[Puntos]),'Regresion Q1'!$W$6:$Y$10,3,1))</f>
        <v>2111777.7584630661</v>
      </c>
      <c r="BQ8" s="94">
        <f ca="1">IFERROR(VLOOKUP($BN8,'Regresion Q1'!$Z$6:$AB$10,2,1)*$BN8+VLOOKUP($BN8,'Regresion Q1'!$Z$6:$AB$10,3,1),VLOOKUP(MIN(DatosHoy[Puntos]),'Regresion Q1'!$Z$6:$AB$10,2,1)*$BN8+VLOOKUP(MIN(DatosHoy[Puntos]),'Regresion Q1'!$Z$6:$AB$10,3,1))</f>
        <v>2192049.0837631403</v>
      </c>
      <c r="BR8" s="94">
        <f ca="1">IFERROR(VLOOKUP($BN8,'Regresion Md'!$T$6:$V$10,2,1)*$BN8+VLOOKUP($BN8,'Regresion Md'!$T$6:$V$10,3,1),VLOOKUP(MIN(DatosHoy[Puntos]),'Regresion Md'!$T$6:$V$10,2,1)*$BN8+VLOOKUP(MIN(DatosHoy[Puntos]),'Regresion Md'!$T$6:$V$10,3,1))</f>
        <v>2169913.7277323352</v>
      </c>
      <c r="BS8" s="94">
        <f ca="1">IFERROR(VLOOKUP($BN8,'Regresion Md'!$W$6:$Y$10,2,1)*$BN8+VLOOKUP($BN8,'Regresion Md'!$W$6:$Y$10,3,1),VLOOKUP(MIN(DatosHoy[Puntos]),'Regresion Md'!$W$6:$Y$10,2,1)*$BN8+VLOOKUP(MIN(DatosHoy[Puntos]),'Regresion Md'!$W$6:$Y$10,3,1))</f>
        <v>2221243.5284845703</v>
      </c>
      <c r="BT8" s="94">
        <f ca="1">IFERROR(VLOOKUP($BN8,'Regresion Md'!$Z$6:$AB$10,2,1)*$BN8+VLOOKUP($BN8,'Regresion Md'!$Z$6:$AB$10,3,1),VLOOKUP(MIN(DatosHoy[Puntos]),'Regresion Md'!$Z$6:$AB$10,2,1)*$BN8+VLOOKUP(MIN(DatosHoy[Puntos]),'Regresion Md'!$Z$6:$AB$10,3,1))</f>
        <v>2328302.6562752523</v>
      </c>
      <c r="BU8" s="94">
        <f ca="1">IFERROR(VLOOKUP($BN8,'Regresion Q3'!$T$6:$V$10,2,1)*$BN8+VLOOKUP($BN8,'Regresion Q3'!$T$6:$V$10,3,1),VLOOKUP(MIN(DatosHoy[Puntos]),'Regresion Q3'!$T$6:$V$10,2,1)*$BN8+VLOOKUP(MIN(DatosHoy[Puntos]),'Regresion Q3'!$T$6:$V$10,3,1))</f>
        <v>3112912.3151767813</v>
      </c>
      <c r="BV8" s="94">
        <f ca="1">IFERROR(VLOOKUP($BN8,'Regresion Q3'!$W$6:$Y$10,2,1)*$BN8+VLOOKUP($BN8,'Regresion Q3'!$W$6:$Y$10,3,1),VLOOKUP(MIN(DatosHoy[Puntos]),'Regresion Q3'!$W$6:$Y$10,2,1)*$BN8+VLOOKUP(MIN(DatosHoy[Puntos]),'Regresion Q3'!$W$6:$Y$10,3,1))</f>
        <v>3208785.9678341257</v>
      </c>
      <c r="BW8" s="94">
        <f ca="1">IFERROR(VLOOKUP($BN8,'Regresion Q3'!$Z$6:$AB$10,2,1)*$BN8+VLOOKUP($BN8,'Regresion Q3'!$Z$6:$AB$10,3,1),VLOOKUP(MIN(DatosHoy[Puntos]),'Regresion Q3'!$Z$6:$AB$10,2,1)*$BN8+VLOOKUP(MIN(DatosHoy[Puntos]),'Regresion Q3'!$Z$6:$AB$10,3,1))</f>
        <v>3306248.9862498022</v>
      </c>
      <c r="BX8" s="96">
        <f ca="1">DatosHoy[[#This Row],[CT Actual]]/DatosHoy[[#This Row],[CT ajus PM Md]]</f>
        <v>0.9859900145767837</v>
      </c>
      <c r="BY8" s="125" t="str">
        <f>VLOOKUP(DatosHoy[[#This Row],[Cargo Valorado]],Estadísticos[[Cargo]:[Nivel]],2,FALSE)</f>
        <v>Operativo</v>
      </c>
      <c r="BZ8" s="96">
        <f>(DatosHoy[[#This Row],[G+V Actual]]-DatosHoy[[#This Row],[G Actual]])/DatosHoy[[#This Row],[CT Actual]]</f>
        <v>0</v>
      </c>
      <c r="CA8" s="96">
        <f>(DatosHoy[[#This Row],[CT Actual]]-DatosHoy[[#This Row],[G+V Actual]])/DatosHoy[[#This Row],[CT Actual]]</f>
        <v>0</v>
      </c>
      <c r="CB8" s="139" t="s">
        <v>255</v>
      </c>
    </row>
    <row r="9" spans="2:80" x14ac:dyDescent="0.25">
      <c r="B9" s="73">
        <f t="shared" si="0"/>
        <v>4</v>
      </c>
      <c r="C9" s="74">
        <v>2412173.5</v>
      </c>
      <c r="D9" s="74">
        <v>2412173.5</v>
      </c>
      <c r="E9" s="74">
        <v>2412173.5</v>
      </c>
      <c r="F9" s="94">
        <f>VLOOKUP(DatosHoy[[#This Row],[Cargo Valorado]],Estadísticos[],3,0)</f>
        <v>1674373.3382850783</v>
      </c>
      <c r="G9" s="94">
        <f>VLOOKUP(DatosHoy[[#This Row],[Cargo Valorado]],Estadísticos[],4,0)</f>
        <v>1674373.3382850783</v>
      </c>
      <c r="H9" s="94">
        <f>VLOOKUP(DatosHoy[[#This Row],[Cargo Valorado]],Estadísticos[],5,0)</f>
        <v>1674373.3382850783</v>
      </c>
      <c r="I9" s="94">
        <f>VLOOKUP(DatosHoy[[#This Row],[Cargo Valorado]],Estadísticos[],6,0)</f>
        <v>1756982.5298798177</v>
      </c>
      <c r="J9" s="94">
        <f>VLOOKUP(DatosHoy[[#This Row],[Cargo Valorado]],Estadísticos[],7,0)</f>
        <v>1806547.4919228402</v>
      </c>
      <c r="K9" s="94">
        <f>VLOOKUP(DatosHoy[[#This Row],[Cargo Valorado]],Estadísticos[],8,0)</f>
        <v>1806547.4919228402</v>
      </c>
      <c r="L9" s="94">
        <f>VLOOKUP(DatosHoy[[#This Row],[Cargo Valorado]],Estadísticos[],9,0)</f>
        <v>2284331.3275407897</v>
      </c>
      <c r="M9" s="94">
        <f>VLOOKUP(DatosHoy[[#This Row],[Cargo Valorado]],Estadísticos[],10,0)</f>
        <v>2385325.0637786104</v>
      </c>
      <c r="N9" s="94">
        <f>VLOOKUP(DatosHoy[[#This Row],[Cargo Valorado]],Estadísticos[],11,0)</f>
        <v>2840782.1646548053</v>
      </c>
      <c r="O9" s="75" t="s">
        <v>243</v>
      </c>
      <c r="P9" s="75">
        <v>168</v>
      </c>
      <c r="Q9" s="95" t="str">
        <f t="shared" si="4"/>
        <v>$P$9</v>
      </c>
      <c r="R9" s="95" t="str">
        <f>"$"&amp;"F"&amp;"$"&amp;ROW()</f>
        <v>$F$9</v>
      </c>
      <c r="S9" s="95" t="str">
        <f t="shared" si="6"/>
        <v>$G$9</v>
      </c>
      <c r="T9" s="95" t="str">
        <f t="shared" si="7"/>
        <v>$H$9</v>
      </c>
      <c r="U9" s="95" t="str">
        <f t="shared" si="8"/>
        <v>$I$9</v>
      </c>
      <c r="V9" s="95" t="str">
        <f t="shared" si="9"/>
        <v>$J$9</v>
      </c>
      <c r="W9" s="95" t="str">
        <f t="shared" si="10"/>
        <v>$K$9</v>
      </c>
      <c r="X9" s="95" t="str">
        <f t="shared" si="11"/>
        <v>$L$9</v>
      </c>
      <c r="Y9" s="95" t="str">
        <f t="shared" si="12"/>
        <v>$M$9</v>
      </c>
      <c r="Z9" s="95" t="str">
        <f t="shared" si="13"/>
        <v>$N$9</v>
      </c>
      <c r="AA9" s="94">
        <f ca="1">VLOOKUP($P9,'Regresion Q1'!$E$6:$I$10,4,1)*$P9+VLOOKUP($P9,'Regresion Q1'!$E$6:$I$10,5,1)</f>
        <v>2137299.109101024</v>
      </c>
      <c r="AB9" s="94">
        <f ca="1">VLOOKUP($P9,'Regresion Q1'!$J$6:$N$10,4,1)*$P9+VLOOKUP($P9,'Regresion Q1'!$J$6:$N$10,5,1)</f>
        <v>2178230.5428246651</v>
      </c>
      <c r="AC9" s="94">
        <f ca="1">VLOOKUP($P9,'Regresion Q1'!$O$6:$S$10,4,1)*$P9+VLOOKUP($P9,'Regresion Q1'!$O$6:$S$10,5,1)</f>
        <v>2326533.1274366309</v>
      </c>
      <c r="AD9" s="94">
        <f ca="1">VLOOKUP($P9,'Regresion Md'!$E$6:$I$10,4,1)*$P9+VLOOKUP($P9,'Regresion Md'!$E$6:$I$10,5,1)</f>
        <v>2467124.4349994734</v>
      </c>
      <c r="AE9" s="94">
        <f ca="1">VLOOKUP($P9,'Regresion Md'!$J$6:$N$10,4,1)*$P9+VLOOKUP($P9,'Regresion Md'!$J$6:$N$10,5,1)</f>
        <v>2536955.5943765366</v>
      </c>
      <c r="AF9" s="94">
        <f ca="1">VLOOKUP($P9,'Regresion Md'!$O$6:$S$10,4,1)*$P9+VLOOKUP($P9,'Regresion Md'!$O$6:$S$10,5,1)</f>
        <v>2645856.6104086968</v>
      </c>
      <c r="AG9" s="94">
        <f ca="1">VLOOKUP($P9,'Regresion Q3'!$E$6:$I$10,4,1)*$P9+VLOOKUP($P9,'Regresion Q3'!$E$6:$I$10,5,1)</f>
        <v>2666134.9496873231</v>
      </c>
      <c r="AH9" s="94">
        <f ca="1">VLOOKUP($P9,'Regresion Q3'!$J$6:$N$10,4,1)*$P9+VLOOKUP($P9,'Regresion Q3'!$J$6:$N$10,5,1)</f>
        <v>2714897.8456711536</v>
      </c>
      <c r="AI9" s="94">
        <f ca="1">VLOOKUP($P9,'Regresion Q3'!$O$6:$S$10,4,1)*$P9+VLOOKUP($P9,'Regresion Q3'!$O$6:$S$10,5,1)</f>
        <v>2912946.3634709558</v>
      </c>
      <c r="AJ9" s="94">
        <f ca="1">VLOOKUP($P9,'Regresion Q1'!$T$6:$V$10,2,1)*$P9+VLOOKUP($P9,'Regresion Q1'!$T$6:$V$10,3,1)</f>
        <v>2271472.9000421264</v>
      </c>
      <c r="AK9" s="94">
        <f ca="1">VLOOKUP($P9,'Regresion Q1'!$W$6:$Y$10,2,1)*$P9+VLOOKUP($P9,'Regresion Q1'!$W$6:$Y$10,3,1)</f>
        <v>2364525.9613252617</v>
      </c>
      <c r="AL9" s="94">
        <f ca="1">VLOOKUP($P9,'Regresion Q1'!$Z$6:$AB$10,2,1)*$P9+VLOOKUP($P9,'Regresion Q1'!$Z$6:$AB$10,3,1)</f>
        <v>2456169.3620682731</v>
      </c>
      <c r="AM9" s="94">
        <f ca="1">VLOOKUP($P9,'Regresion Md'!$T$6:$V$10,2,1)*$P9+VLOOKUP($P9,'Regresion Md'!$T$6:$V$10,3,1)</f>
        <v>2418163.2638575053</v>
      </c>
      <c r="AN9" s="94">
        <f ca="1">VLOOKUP($P9,'Regresion Md'!$W$6:$Y$10,2,1)*$P9+VLOOKUP($P9,'Regresion Md'!$W$6:$Y$10,3,1)</f>
        <v>2458240.6995093981</v>
      </c>
      <c r="AO9" s="94">
        <f ca="1">VLOOKUP($P9,'Regresion Md'!$Z$6:$AB$10,2,1)*$P9+VLOOKUP($P9,'Regresion Md'!$Z$6:$AB$10,3,1)</f>
        <v>2594504.2707407689</v>
      </c>
      <c r="AP9" s="94">
        <f ca="1">VLOOKUP($P9,'Regresion Q3'!$T$6:$V$10,2,1)*$P9+VLOOKUP($P9,'Regresion Q3'!$T$6:$V$10,3,1)</f>
        <v>3574421.7730280366</v>
      </c>
      <c r="AQ9" s="94">
        <f ca="1">VLOOKUP($P9,'Regresion Q3'!$W$6:$Y$10,2,1)*$P9+VLOOKUP($P9,'Regresion Q3'!$W$6:$Y$10,3,1)</f>
        <v>3681164.2299168021</v>
      </c>
      <c r="AR9" s="94">
        <f ca="1">VLOOKUP($P9,'Regresion Q3'!$Z$6:$AB$10,2,1)*$P9+VLOOKUP($P9,'Regresion Q3'!$Z$6:$AB$10,3,1)</f>
        <v>3787517.0946456287</v>
      </c>
      <c r="AS9" s="94">
        <f>IF($BN9=$BN10,-1,DatosHoy[[#This Row],[G ajus PM Q1]]-BO10)</f>
        <v>-1</v>
      </c>
      <c r="AT9" s="94">
        <f>IF($BN9=$BN10,-1,DatosHoy[[#This Row],[G+V ajus PM Q1]]-BP10)</f>
        <v>-1</v>
      </c>
      <c r="AU9" s="94">
        <f>IF($BN9=$BN10,-1,DatosHoy[[#This Row],[CT ajus PM Q1]]-BQ10)</f>
        <v>-1</v>
      </c>
      <c r="AV9" s="94">
        <f ca="1">IF(DatosHoy[[#This Row],[G ajus PM Q1]]=DatosHoy[[#This Row],[G+V ajus PM Q1]],-1,DatosHoy[[#This Row],[G ajus PM Q1]]-DatosHoy[[#This Row],[G+V ajus PM Q1]])</f>
        <v>-92627.02094699163</v>
      </c>
      <c r="AW9" s="94">
        <f ca="1">IF(DatosHoy[[#This Row],[G+V ajus PM Q1]]=DatosHoy[[#This Row],[CT ajus PM Q1]],-1,DatosHoy[[#This Row],[G+V ajus PM Q1]]-DatosHoy[[#This Row],[CT ajus PM Q1]])</f>
        <v>-89823.86867214134</v>
      </c>
      <c r="AX9" s="94">
        <f>IF($BN9=$BN10,-1,DatosHoy[[#This Row],[G ajus PMd]]-BR10)</f>
        <v>-1</v>
      </c>
      <c r="AY9" s="94">
        <f>IF($BN9=$BN10,-1,DatosHoy[[#This Row],[G+V ajus PM Md]]-BS10)</f>
        <v>-1</v>
      </c>
      <c r="AZ9" s="94">
        <f>IF($BN9=$BN10,-1,DatosHoy[[#This Row],[CT ajus PM Md]]-BT10)</f>
        <v>-1</v>
      </c>
      <c r="BA9" s="94">
        <f ca="1">IF(DatosHoy[[#This Row],[G ajus PMd]]=DatosHoy[[#This Row],[G+V ajus PM Md]],-1,DatosHoy[[#This Row],[G ajus PMd]]-DatosHoy[[#This Row],[G+V ajus PM Md]])</f>
        <v>-41877.814067947678</v>
      </c>
      <c r="BB9" s="94">
        <f ca="1">IF(DatosHoy[[#This Row],[G+V ajus PM Md]]=DatosHoy[[#This Row],[CT ajus PM Md]],-1,DatosHoy[[#This Row],[G+V ajus PM Md]]-DatosHoy[[#This Row],[CT ajus PM Md]])</f>
        <v>-131590.86028086022</v>
      </c>
      <c r="BC9" s="94">
        <f>IF($BN9=$BN10,-1,DatosHoy[[#This Row],[G ajus PM Q3]]-BU10)</f>
        <v>-1</v>
      </c>
      <c r="BD9" s="94">
        <f>IF($BN9=$BN10,-1,DatosHoy[[#This Row],[G+V ajus PM Q3]]-BV10)</f>
        <v>-1</v>
      </c>
      <c r="BE9" s="94">
        <f>IF($BN9=$BN10,-1,DatosHoy[[#This Row],[CT ajus PM Q3]]-BW10)</f>
        <v>-1</v>
      </c>
      <c r="BF9" s="94">
        <f ca="1">IF(DatosHoy[[#This Row],[G ajus PM Q3]]=DatosHoy[[#This Row],[G+V ajus PM Q3]],-1,DatosHoy[[#This Row],[G ajus PM Q3]]-DatosHoy[[#This Row],[G+V ajus PM Q3]])</f>
        <v>-105003.44821173791</v>
      </c>
      <c r="BG9" s="94">
        <f ca="1">IF(DatosHoy[[#This Row],[G+V ajus PM Q3]]=DatosHoy[[#This Row],[CT ajus PM Q3]],-1,DatosHoy[[#This Row],[G+V ajus PM Q3]]-DatosHoy[[#This Row],[CT ajus PM Q3]])</f>
        <v>-104930.48931872239</v>
      </c>
      <c r="BH9" s="94">
        <f ca="1">IF(DatosHoy[[#This Row],[G ajus PM Q1]]=DatosHoy[[#This Row],[G ajus PMd]],-1,DatosHoy[[#This Row],[G ajus PM Q1]]-DatosHoy[[#This Row],[G ajus PMd]])</f>
        <v>-146984.11015715916</v>
      </c>
      <c r="BI9" s="94">
        <f ca="1">IF(DatosHoy[[#This Row],[G+V ajus PM Q1]]=DatosHoy[[#This Row],[G+V ajus PM Md]],-1,DatosHoy[[#This Row],[G+V ajus PM Q1]]-DatosHoy[[#This Row],[G+V ajus PM Md]])</f>
        <v>-96234.903278115205</v>
      </c>
      <c r="BJ9" s="94">
        <f ca="1">IF(DatosHoy[[#This Row],[CT ajus PM Q1]]=DatosHoy[[#This Row],[CT ajus PM Md]],-1,DatosHoy[[#This Row],[CT ajus PM Q1]]-DatosHoy[[#This Row],[CT ajus PM Md]])</f>
        <v>-138001.89488683408</v>
      </c>
      <c r="BK9" s="94">
        <f ca="1">IF(DatosHoy[[#This Row],[G ajus PMd]]=DatosHoy[[#This Row],[G ajus PM Q3]],-1,DatosHoy[[#This Row],[G ajus PMd]]-DatosHoy[[#This Row],[G ajus PM Q3]])</f>
        <v>-1122136.9216943579</v>
      </c>
      <c r="BL9" s="94">
        <f ca="1">IF(DatosHoy[[#This Row],[G+V ajus PM Md]]=DatosHoy[[#This Row],[G+V ajus PM Q3]],-1,DatosHoy[[#This Row],[G+V ajus PM Md]]-DatosHoy[[#This Row],[G+V ajus PM Q3]])</f>
        <v>-1185262.5558381481</v>
      </c>
      <c r="BM9" s="94">
        <f ca="1">IF(DatosHoy[[#This Row],[CT ajus PM Md]]=DatosHoy[[#This Row],[CT ajus PM Q3]],-1,DatosHoy[[#This Row],[CT ajus PM Md]]-DatosHoy[[#This Row],[CT ajus PM Q3]])</f>
        <v>-1158602.1848760103</v>
      </c>
      <c r="BN9" s="74">
        <v>164</v>
      </c>
      <c r="BO9" s="94">
        <f ca="1">IFERROR(VLOOKUP($BN9,'Regresion Q1'!$T$6:$V$10,2,1)*$BN9+VLOOKUP($BN9,'Regresion Q1'!$T$6:$V$10,3,1),VLOOKUP(MIN(DatosHoy[Puntos]),'Regresion Q1'!$T$6:$V$10,2,1)*$BN9+VLOOKUP(MIN(DatosHoy[Puntos]),'Regresion Q1'!$T$6:$V$10,3,1))</f>
        <v>2231459.227920319</v>
      </c>
      <c r="BP9" s="94">
        <f ca="1">IFERROR(VLOOKUP($BN9,'Regresion Q1'!$W$6:$Y$10,2,1)*$BN9+VLOOKUP($BN9,'Regresion Q1'!$W$6:$Y$10,3,1),VLOOKUP(MIN(DatosHoy[Puntos]),'Regresion Q1'!$W$6:$Y$10,2,1)*$BN9+VLOOKUP(MIN(DatosHoy[Puntos]),'Regresion Q1'!$W$6:$Y$10,3,1))</f>
        <v>2324086.2488673106</v>
      </c>
      <c r="BQ9" s="94">
        <f ca="1">IFERROR(VLOOKUP($BN9,'Regresion Q1'!$Z$6:$AB$10,2,1)*$BN9+VLOOKUP($BN9,'Regresion Q1'!$Z$6:$AB$10,3,1),VLOOKUP(MIN(DatosHoy[Puntos]),'Regresion Q1'!$Z$6:$AB$10,2,1)*$BN9+VLOOKUP(MIN(DatosHoy[Puntos]),'Regresion Q1'!$Z$6:$AB$10,3,1))</f>
        <v>2413910.1175394519</v>
      </c>
      <c r="BR9" s="94">
        <f ca="1">IFERROR(VLOOKUP($BN9,'Regresion Md'!$T$6:$V$10,2,1)*$BN9+VLOOKUP($BN9,'Regresion Md'!$T$6:$V$10,3,1),VLOOKUP(MIN(DatosHoy[Puntos]),'Regresion Md'!$T$6:$V$10,2,1)*$BN9+VLOOKUP(MIN(DatosHoy[Puntos]),'Regresion Md'!$T$6:$V$10,3,1))</f>
        <v>2378443.3380774781</v>
      </c>
      <c r="BS9" s="94">
        <f ca="1">IFERROR(VLOOKUP($BN9,'Regresion Md'!$W$6:$Y$10,2,1)*$BN9+VLOOKUP($BN9,'Regresion Md'!$W$6:$Y$10,3,1),VLOOKUP(MIN(DatosHoy[Puntos]),'Regresion Md'!$W$6:$Y$10,2,1)*$BN9+VLOOKUP(MIN(DatosHoy[Puntos]),'Regresion Md'!$W$6:$Y$10,3,1))</f>
        <v>2420321.1521454258</v>
      </c>
      <c r="BT9" s="94">
        <f ca="1">IFERROR(VLOOKUP($BN9,'Regresion Md'!$Z$6:$AB$10,2,1)*$BN9+VLOOKUP($BN9,'Regresion Md'!$Z$6:$AB$10,3,1),VLOOKUP(MIN(DatosHoy[Puntos]),'Regresion Md'!$Z$6:$AB$10,2,1)*$BN9+VLOOKUP(MIN(DatosHoy[Puntos]),'Regresion Md'!$Z$6:$AB$10,3,1))</f>
        <v>2551912.012426286</v>
      </c>
      <c r="BU9" s="94">
        <f ca="1">IFERROR(VLOOKUP($BN9,'Regresion Q3'!$T$6:$V$10,2,1)*$BN9+VLOOKUP($BN9,'Regresion Q3'!$T$6:$V$10,3,1),VLOOKUP(MIN(DatosHoy[Puntos]),'Regresion Q3'!$T$6:$V$10,2,1)*$BN9+VLOOKUP(MIN(DatosHoy[Puntos]),'Regresion Q3'!$T$6:$V$10,3,1))</f>
        <v>3500580.259771836</v>
      </c>
      <c r="BV9" s="94">
        <f ca="1">IFERROR(VLOOKUP($BN9,'Regresion Q3'!$W$6:$Y$10,2,1)*$BN9+VLOOKUP($BN9,'Regresion Q3'!$W$6:$Y$10,3,1),VLOOKUP(MIN(DatosHoy[Puntos]),'Regresion Q3'!$W$6:$Y$10,2,1)*$BN9+VLOOKUP(MIN(DatosHoy[Puntos]),'Regresion Q3'!$W$6:$Y$10,3,1))</f>
        <v>3605583.7079835739</v>
      </c>
      <c r="BW9" s="94">
        <f ca="1">IFERROR(VLOOKUP($BN9,'Regresion Q3'!$Z$6:$AB$10,2,1)*$BN9+VLOOKUP($BN9,'Regresion Q3'!$Z$6:$AB$10,3,1),VLOOKUP(MIN(DatosHoy[Puntos]),'Regresion Q3'!$Z$6:$AB$10,2,1)*$BN9+VLOOKUP(MIN(DatosHoy[Puntos]),'Regresion Q3'!$Z$6:$AB$10,3,1))</f>
        <v>3710514.1973022963</v>
      </c>
      <c r="BX9" s="96">
        <f ca="1">DatosHoy[[#This Row],[CT Actual]]/DatosHoy[[#This Row],[CT ajus PM Md]]</f>
        <v>0.94524164166090252</v>
      </c>
      <c r="BY9" s="125" t="str">
        <f>VLOOKUP(DatosHoy[[#This Row],[Cargo Valorado]],Estadísticos[[Cargo]:[Nivel]],2,FALSE)</f>
        <v>Operativo</v>
      </c>
      <c r="BZ9" s="96">
        <f>(DatosHoy[[#This Row],[G+V Actual]]-DatosHoy[[#This Row],[G Actual]])/DatosHoy[[#This Row],[CT Actual]]</f>
        <v>0</v>
      </c>
      <c r="CA9" s="96">
        <f>(DatosHoy[[#This Row],[CT Actual]]-DatosHoy[[#This Row],[G+V Actual]])/DatosHoy[[#This Row],[CT Actual]]</f>
        <v>0</v>
      </c>
      <c r="CB9" s="139" t="s">
        <v>255</v>
      </c>
    </row>
    <row r="10" spans="2:80" x14ac:dyDescent="0.25">
      <c r="B10" s="73">
        <f t="shared" si="0"/>
        <v>5</v>
      </c>
      <c r="C10" s="74">
        <v>2412173.5</v>
      </c>
      <c r="D10" s="74">
        <v>2412173.5</v>
      </c>
      <c r="E10" s="74">
        <v>2412173.5</v>
      </c>
      <c r="F10" s="94">
        <f>VLOOKUP(DatosHoy[[#This Row],[Cargo Valorado]],Estadísticos[],3,0)</f>
        <v>1674373.3382850783</v>
      </c>
      <c r="G10" s="94">
        <f>VLOOKUP(DatosHoy[[#This Row],[Cargo Valorado]],Estadísticos[],4,0)</f>
        <v>1674373.3382850783</v>
      </c>
      <c r="H10" s="94">
        <f>VLOOKUP(DatosHoy[[#This Row],[Cargo Valorado]],Estadísticos[],5,0)</f>
        <v>1674373.3382850783</v>
      </c>
      <c r="I10" s="94">
        <f>VLOOKUP(DatosHoy[[#This Row],[Cargo Valorado]],Estadísticos[],6,0)</f>
        <v>1756982.5298798177</v>
      </c>
      <c r="J10" s="94">
        <f>VLOOKUP(DatosHoy[[#This Row],[Cargo Valorado]],Estadísticos[],7,0)</f>
        <v>1806547.4919228402</v>
      </c>
      <c r="K10" s="94">
        <f>VLOOKUP(DatosHoy[[#This Row],[Cargo Valorado]],Estadísticos[],8,0)</f>
        <v>1806547.4919228402</v>
      </c>
      <c r="L10" s="94">
        <f>VLOOKUP(DatosHoy[[#This Row],[Cargo Valorado]],Estadísticos[],9,0)</f>
        <v>2284331.3275407897</v>
      </c>
      <c r="M10" s="94">
        <f>VLOOKUP(DatosHoy[[#This Row],[Cargo Valorado]],Estadísticos[],10,0)</f>
        <v>2385325.0637786104</v>
      </c>
      <c r="N10" s="94">
        <f>VLOOKUP(DatosHoy[[#This Row],[Cargo Valorado]],Estadísticos[],11,0)</f>
        <v>2840782.1646548053</v>
      </c>
      <c r="O10" s="75" t="s">
        <v>243</v>
      </c>
      <c r="P10" s="75">
        <v>168</v>
      </c>
      <c r="Q10" s="95" t="str">
        <f t="shared" si="4"/>
        <v>$P$10</v>
      </c>
      <c r="R10" s="95" t="str">
        <f t="shared" si="5"/>
        <v>$F$10</v>
      </c>
      <c r="S10" s="95" t="str">
        <f t="shared" si="6"/>
        <v>$G$10</v>
      </c>
      <c r="T10" s="95" t="str">
        <f t="shared" si="7"/>
        <v>$H$10</v>
      </c>
      <c r="U10" s="95" t="str">
        <f t="shared" si="8"/>
        <v>$I$10</v>
      </c>
      <c r="V10" s="95" t="str">
        <f t="shared" si="9"/>
        <v>$J$10</v>
      </c>
      <c r="W10" s="95" t="str">
        <f t="shared" si="10"/>
        <v>$K$10</v>
      </c>
      <c r="X10" s="95" t="str">
        <f t="shared" si="11"/>
        <v>$L$10</v>
      </c>
      <c r="Y10" s="95" t="str">
        <f t="shared" si="12"/>
        <v>$M$10</v>
      </c>
      <c r="Z10" s="95" t="str">
        <f t="shared" si="13"/>
        <v>$N$10</v>
      </c>
      <c r="AA10" s="94">
        <f ca="1">VLOOKUP($P10,'Regresion Q1'!$E$6:$I$10,4,1)*$P10+VLOOKUP($P10,'Regresion Q1'!$E$6:$I$10,5,1)</f>
        <v>2137299.109101024</v>
      </c>
      <c r="AB10" s="94">
        <f ca="1">VLOOKUP($P10,'Regresion Q1'!$J$6:$N$10,4,1)*$P10+VLOOKUP($P10,'Regresion Q1'!$J$6:$N$10,5,1)</f>
        <v>2178230.5428246651</v>
      </c>
      <c r="AC10" s="94">
        <f ca="1">VLOOKUP($P10,'Regresion Q1'!$O$6:$S$10,4,1)*$P10+VLOOKUP($P10,'Regresion Q1'!$O$6:$S$10,5,1)</f>
        <v>2326533.1274366309</v>
      </c>
      <c r="AD10" s="94">
        <f ca="1">VLOOKUP($P10,'Regresion Md'!$E$6:$I$10,4,1)*$P10+VLOOKUP($P10,'Regresion Md'!$E$6:$I$10,5,1)</f>
        <v>2467124.4349994734</v>
      </c>
      <c r="AE10" s="94">
        <f ca="1">VLOOKUP($P10,'Regresion Md'!$J$6:$N$10,4,1)*$P10+VLOOKUP($P10,'Regresion Md'!$J$6:$N$10,5,1)</f>
        <v>2536955.5943765366</v>
      </c>
      <c r="AF10" s="94">
        <f ca="1">VLOOKUP($P10,'Regresion Md'!$O$6:$S$10,4,1)*$P10+VLOOKUP($P10,'Regresion Md'!$O$6:$S$10,5,1)</f>
        <v>2645856.6104086968</v>
      </c>
      <c r="AG10" s="94">
        <f ca="1">VLOOKUP($P10,'Regresion Q3'!$E$6:$I$10,4,1)*$P10+VLOOKUP($P10,'Regresion Q3'!$E$6:$I$10,5,1)</f>
        <v>2666134.9496873231</v>
      </c>
      <c r="AH10" s="94">
        <f ca="1">VLOOKUP($P10,'Regresion Q3'!$J$6:$N$10,4,1)*$P10+VLOOKUP($P10,'Regresion Q3'!$J$6:$N$10,5,1)</f>
        <v>2714897.8456711536</v>
      </c>
      <c r="AI10" s="94">
        <f ca="1">VLOOKUP($P10,'Regresion Q3'!$O$6:$S$10,4,1)*$P10+VLOOKUP($P10,'Regresion Q3'!$O$6:$S$10,5,1)</f>
        <v>2912946.3634709558</v>
      </c>
      <c r="AJ10" s="94">
        <f ca="1">VLOOKUP($P10,'Regresion Q1'!$T$6:$V$10,2,1)*$P10+VLOOKUP($P10,'Regresion Q1'!$T$6:$V$10,3,1)</f>
        <v>2271472.9000421264</v>
      </c>
      <c r="AK10" s="94">
        <f ca="1">VLOOKUP($P10,'Regresion Q1'!$W$6:$Y$10,2,1)*$P10+VLOOKUP($P10,'Regresion Q1'!$W$6:$Y$10,3,1)</f>
        <v>2364525.9613252617</v>
      </c>
      <c r="AL10" s="94">
        <f ca="1">VLOOKUP($P10,'Regresion Q1'!$Z$6:$AB$10,2,1)*$P10+VLOOKUP($P10,'Regresion Q1'!$Z$6:$AB$10,3,1)</f>
        <v>2456169.3620682731</v>
      </c>
      <c r="AM10" s="94">
        <f ca="1">VLOOKUP($P10,'Regresion Md'!$T$6:$V$10,2,1)*$P10+VLOOKUP($P10,'Regresion Md'!$T$6:$V$10,3,1)</f>
        <v>2418163.2638575053</v>
      </c>
      <c r="AN10" s="94">
        <f ca="1">VLOOKUP($P10,'Regresion Md'!$W$6:$Y$10,2,1)*$P10+VLOOKUP($P10,'Regresion Md'!$W$6:$Y$10,3,1)</f>
        <v>2458240.6995093981</v>
      </c>
      <c r="AO10" s="94">
        <f ca="1">VLOOKUP($P10,'Regresion Md'!$Z$6:$AB$10,2,1)*$P10+VLOOKUP($P10,'Regresion Md'!$Z$6:$AB$10,3,1)</f>
        <v>2594504.2707407689</v>
      </c>
      <c r="AP10" s="94">
        <f ca="1">VLOOKUP($P10,'Regresion Q3'!$T$6:$V$10,2,1)*$P10+VLOOKUP($P10,'Regresion Q3'!$T$6:$V$10,3,1)</f>
        <v>3574421.7730280366</v>
      </c>
      <c r="AQ10" s="94">
        <f ca="1">VLOOKUP($P10,'Regresion Q3'!$W$6:$Y$10,2,1)*$P10+VLOOKUP($P10,'Regresion Q3'!$W$6:$Y$10,3,1)</f>
        <v>3681164.2299168021</v>
      </c>
      <c r="AR10" s="94">
        <f ca="1">VLOOKUP($P10,'Regresion Q3'!$Z$6:$AB$10,2,1)*$P10+VLOOKUP($P10,'Regresion Q3'!$Z$6:$AB$10,3,1)</f>
        <v>3787517.0946456287</v>
      </c>
      <c r="AS10" s="94">
        <f>IF($BN10=$BN11,-1,DatosHoy[[#This Row],[G ajus PM Q1]]-BO11)</f>
        <v>-1</v>
      </c>
      <c r="AT10" s="94">
        <f>IF($BN10=$BN11,-1,DatosHoy[[#This Row],[G+V ajus PM Q1]]-BP11)</f>
        <v>-1</v>
      </c>
      <c r="AU10" s="94">
        <f>IF($BN10=$BN11,-1,DatosHoy[[#This Row],[CT ajus PM Q1]]-BQ11)</f>
        <v>-1</v>
      </c>
      <c r="AV10" s="94">
        <f ca="1">IF(DatosHoy[[#This Row],[G ajus PM Q1]]=DatosHoy[[#This Row],[G+V ajus PM Q1]],-1,DatosHoy[[#This Row],[G ajus PM Q1]]-DatosHoy[[#This Row],[G+V ajus PM Q1]])</f>
        <v>-92627.02094699163</v>
      </c>
      <c r="AW10" s="94">
        <f ca="1">IF(DatosHoy[[#This Row],[G+V ajus PM Q1]]=DatosHoy[[#This Row],[CT ajus PM Q1]],-1,DatosHoy[[#This Row],[G+V ajus PM Q1]]-DatosHoy[[#This Row],[CT ajus PM Q1]])</f>
        <v>-89823.86867214134</v>
      </c>
      <c r="AX10" s="94">
        <f>IF($BN10=$BN11,-1,DatosHoy[[#This Row],[G ajus PMd]]-BR11)</f>
        <v>-1</v>
      </c>
      <c r="AY10" s="94">
        <f>IF($BN10=$BN11,-1,DatosHoy[[#This Row],[G+V ajus PM Md]]-BS11)</f>
        <v>-1</v>
      </c>
      <c r="AZ10" s="94">
        <f>IF($BN10=$BN11,-1,DatosHoy[[#This Row],[CT ajus PM Md]]-BT11)</f>
        <v>-1</v>
      </c>
      <c r="BA10" s="94">
        <f ca="1">IF(DatosHoy[[#This Row],[G ajus PMd]]=DatosHoy[[#This Row],[G+V ajus PM Md]],-1,DatosHoy[[#This Row],[G ajus PMd]]-DatosHoy[[#This Row],[G+V ajus PM Md]])</f>
        <v>-41877.814067947678</v>
      </c>
      <c r="BB10" s="94">
        <f ca="1">IF(DatosHoy[[#This Row],[G+V ajus PM Md]]=DatosHoy[[#This Row],[CT ajus PM Md]],-1,DatosHoy[[#This Row],[G+V ajus PM Md]]-DatosHoy[[#This Row],[CT ajus PM Md]])</f>
        <v>-131590.86028086022</v>
      </c>
      <c r="BC10" s="94">
        <f>IF($BN10=$BN11,-1,DatosHoy[[#This Row],[G ajus PM Q3]]-BU11)</f>
        <v>-1</v>
      </c>
      <c r="BD10" s="94">
        <f>IF($BN10=$BN11,-1,DatosHoy[[#This Row],[G+V ajus PM Q3]]-BV11)</f>
        <v>-1</v>
      </c>
      <c r="BE10" s="94">
        <f>IF($BN10=$BN11,-1,DatosHoy[[#This Row],[CT ajus PM Q3]]-BW11)</f>
        <v>-1</v>
      </c>
      <c r="BF10" s="94">
        <f ca="1">IF(DatosHoy[[#This Row],[G ajus PM Q3]]=DatosHoy[[#This Row],[G+V ajus PM Q3]],-1,DatosHoy[[#This Row],[G ajus PM Q3]]-DatosHoy[[#This Row],[G+V ajus PM Q3]])</f>
        <v>-105003.44821173791</v>
      </c>
      <c r="BG10" s="94">
        <f ca="1">IF(DatosHoy[[#This Row],[G+V ajus PM Q3]]=DatosHoy[[#This Row],[CT ajus PM Q3]],-1,DatosHoy[[#This Row],[G+V ajus PM Q3]]-DatosHoy[[#This Row],[CT ajus PM Q3]])</f>
        <v>-104930.48931872239</v>
      </c>
      <c r="BH10" s="94">
        <f ca="1">IF(DatosHoy[[#This Row],[G ajus PM Q1]]=DatosHoy[[#This Row],[G ajus PMd]],-1,DatosHoy[[#This Row],[G ajus PM Q1]]-DatosHoy[[#This Row],[G ajus PMd]])</f>
        <v>-146984.11015715916</v>
      </c>
      <c r="BI10" s="94">
        <f ca="1">IF(DatosHoy[[#This Row],[G+V ajus PM Q1]]=DatosHoy[[#This Row],[G+V ajus PM Md]],-1,DatosHoy[[#This Row],[G+V ajus PM Q1]]-DatosHoy[[#This Row],[G+V ajus PM Md]])</f>
        <v>-96234.903278115205</v>
      </c>
      <c r="BJ10" s="94">
        <f ca="1">IF(DatosHoy[[#This Row],[CT ajus PM Q1]]=DatosHoy[[#This Row],[CT ajus PM Md]],-1,DatosHoy[[#This Row],[CT ajus PM Q1]]-DatosHoy[[#This Row],[CT ajus PM Md]])</f>
        <v>-138001.89488683408</v>
      </c>
      <c r="BK10" s="94">
        <f ca="1">IF(DatosHoy[[#This Row],[G ajus PMd]]=DatosHoy[[#This Row],[G ajus PM Q3]],-1,DatosHoy[[#This Row],[G ajus PMd]]-DatosHoy[[#This Row],[G ajus PM Q3]])</f>
        <v>-1122136.9216943579</v>
      </c>
      <c r="BL10" s="94">
        <f ca="1">IF(DatosHoy[[#This Row],[G+V ajus PM Md]]=DatosHoy[[#This Row],[G+V ajus PM Q3]],-1,DatosHoy[[#This Row],[G+V ajus PM Md]]-DatosHoy[[#This Row],[G+V ajus PM Q3]])</f>
        <v>-1185262.5558381481</v>
      </c>
      <c r="BM10" s="94">
        <f ca="1">IF(DatosHoy[[#This Row],[CT ajus PM Md]]=DatosHoy[[#This Row],[CT ajus PM Q3]],-1,DatosHoy[[#This Row],[CT ajus PM Md]]-DatosHoy[[#This Row],[CT ajus PM Q3]])</f>
        <v>-1158602.1848760103</v>
      </c>
      <c r="BN10" s="74">
        <v>164</v>
      </c>
      <c r="BO10" s="94">
        <f ca="1">IFERROR(VLOOKUP($BN10,'Regresion Q1'!$T$6:$V$10,2,1)*$BN10+VLOOKUP($BN10,'Regresion Q1'!$T$6:$V$10,3,1),VLOOKUP(MIN(DatosHoy[Puntos]),'Regresion Q1'!$T$6:$V$10,2,1)*$BN10+VLOOKUP(MIN(DatosHoy[Puntos]),'Regresion Q1'!$T$6:$V$10,3,1))</f>
        <v>2231459.227920319</v>
      </c>
      <c r="BP10" s="94">
        <f ca="1">IFERROR(VLOOKUP($BN10,'Regresion Q1'!$W$6:$Y$10,2,1)*$BN10+VLOOKUP($BN10,'Regresion Q1'!$W$6:$Y$10,3,1),VLOOKUP(MIN(DatosHoy[Puntos]),'Regresion Q1'!$W$6:$Y$10,2,1)*$BN10+VLOOKUP(MIN(DatosHoy[Puntos]),'Regresion Q1'!$W$6:$Y$10,3,1))</f>
        <v>2324086.2488673106</v>
      </c>
      <c r="BQ10" s="94">
        <f ca="1">IFERROR(VLOOKUP($BN10,'Regresion Q1'!$Z$6:$AB$10,2,1)*$BN10+VLOOKUP($BN10,'Regresion Q1'!$Z$6:$AB$10,3,1),VLOOKUP(MIN(DatosHoy[Puntos]),'Regresion Q1'!$Z$6:$AB$10,2,1)*$BN10+VLOOKUP(MIN(DatosHoy[Puntos]),'Regresion Q1'!$Z$6:$AB$10,3,1))</f>
        <v>2413910.1175394519</v>
      </c>
      <c r="BR10" s="94">
        <f ca="1">IFERROR(VLOOKUP($BN10,'Regresion Md'!$T$6:$V$10,2,1)*$BN10+VLOOKUP($BN10,'Regresion Md'!$T$6:$V$10,3,1),VLOOKUP(MIN(DatosHoy[Puntos]),'Regresion Md'!$T$6:$V$10,2,1)*$BN10+VLOOKUP(MIN(DatosHoy[Puntos]),'Regresion Md'!$T$6:$V$10,3,1))</f>
        <v>2378443.3380774781</v>
      </c>
      <c r="BS10" s="94">
        <f ca="1">IFERROR(VLOOKUP($BN10,'Regresion Md'!$W$6:$Y$10,2,1)*$BN10+VLOOKUP($BN10,'Regresion Md'!$W$6:$Y$10,3,1),VLOOKUP(MIN(DatosHoy[Puntos]),'Regresion Md'!$W$6:$Y$10,2,1)*$BN10+VLOOKUP(MIN(DatosHoy[Puntos]),'Regresion Md'!$W$6:$Y$10,3,1))</f>
        <v>2420321.1521454258</v>
      </c>
      <c r="BT10" s="94">
        <f ca="1">IFERROR(VLOOKUP($BN10,'Regresion Md'!$Z$6:$AB$10,2,1)*$BN10+VLOOKUP($BN10,'Regresion Md'!$Z$6:$AB$10,3,1),VLOOKUP(MIN(DatosHoy[Puntos]),'Regresion Md'!$Z$6:$AB$10,2,1)*$BN10+VLOOKUP(MIN(DatosHoy[Puntos]),'Regresion Md'!$Z$6:$AB$10,3,1))</f>
        <v>2551912.012426286</v>
      </c>
      <c r="BU10" s="94">
        <f ca="1">IFERROR(VLOOKUP($BN10,'Regresion Q3'!$T$6:$V$10,2,1)*$BN10+VLOOKUP($BN10,'Regresion Q3'!$T$6:$V$10,3,1),VLOOKUP(MIN(DatosHoy[Puntos]),'Regresion Q3'!$T$6:$V$10,2,1)*$BN10+VLOOKUP(MIN(DatosHoy[Puntos]),'Regresion Q3'!$T$6:$V$10,3,1))</f>
        <v>3500580.259771836</v>
      </c>
      <c r="BV10" s="94">
        <f ca="1">IFERROR(VLOOKUP($BN10,'Regresion Q3'!$W$6:$Y$10,2,1)*$BN10+VLOOKUP($BN10,'Regresion Q3'!$W$6:$Y$10,3,1),VLOOKUP(MIN(DatosHoy[Puntos]),'Regresion Q3'!$W$6:$Y$10,2,1)*$BN10+VLOOKUP(MIN(DatosHoy[Puntos]),'Regresion Q3'!$W$6:$Y$10,3,1))</f>
        <v>3605583.7079835739</v>
      </c>
      <c r="BW10" s="94">
        <f ca="1">IFERROR(VLOOKUP($BN10,'Regresion Q3'!$Z$6:$AB$10,2,1)*$BN10+VLOOKUP($BN10,'Regresion Q3'!$Z$6:$AB$10,3,1),VLOOKUP(MIN(DatosHoy[Puntos]),'Regresion Q3'!$Z$6:$AB$10,2,1)*$BN10+VLOOKUP(MIN(DatosHoy[Puntos]),'Regresion Q3'!$Z$6:$AB$10,3,1))</f>
        <v>3710514.1973022963</v>
      </c>
      <c r="BX10" s="96">
        <f ca="1">DatosHoy[[#This Row],[CT Actual]]/DatosHoy[[#This Row],[CT ajus PM Md]]</f>
        <v>0.94524164166090252</v>
      </c>
      <c r="BY10" s="125" t="str">
        <f>VLOOKUP(DatosHoy[[#This Row],[Cargo Valorado]],Estadísticos[[Cargo]:[Nivel]],2,FALSE)</f>
        <v>Operativo</v>
      </c>
      <c r="BZ10" s="96">
        <f>(DatosHoy[[#This Row],[G+V Actual]]-DatosHoy[[#This Row],[G Actual]])/DatosHoy[[#This Row],[CT Actual]]</f>
        <v>0</v>
      </c>
      <c r="CA10" s="96">
        <f>(DatosHoy[[#This Row],[CT Actual]]-DatosHoy[[#This Row],[G+V Actual]])/DatosHoy[[#This Row],[CT Actual]]</f>
        <v>0</v>
      </c>
      <c r="CB10" s="139" t="s">
        <v>255</v>
      </c>
    </row>
    <row r="11" spans="2:80" x14ac:dyDescent="0.25">
      <c r="B11" s="73">
        <f t="shared" si="0"/>
        <v>6</v>
      </c>
      <c r="C11" s="74">
        <v>2412173.5</v>
      </c>
      <c r="D11" s="74">
        <v>2412173.5</v>
      </c>
      <c r="E11" s="74">
        <v>2412173.5</v>
      </c>
      <c r="F11" s="94">
        <f>VLOOKUP(DatosHoy[[#This Row],[Cargo Valorado]],Estadísticos[],3,0)</f>
        <v>1674373.3382850783</v>
      </c>
      <c r="G11" s="94">
        <f>VLOOKUP(DatosHoy[[#This Row],[Cargo Valorado]],Estadísticos[],4,0)</f>
        <v>1674373.3382850783</v>
      </c>
      <c r="H11" s="94">
        <f>VLOOKUP(DatosHoy[[#This Row],[Cargo Valorado]],Estadísticos[],5,0)</f>
        <v>1674373.3382850783</v>
      </c>
      <c r="I11" s="94">
        <f>VLOOKUP(DatosHoy[[#This Row],[Cargo Valorado]],Estadísticos[],6,0)</f>
        <v>1756982.5298798177</v>
      </c>
      <c r="J11" s="94">
        <f>VLOOKUP(DatosHoy[[#This Row],[Cargo Valorado]],Estadísticos[],7,0)</f>
        <v>1806547.4919228402</v>
      </c>
      <c r="K11" s="94">
        <f>VLOOKUP(DatosHoy[[#This Row],[Cargo Valorado]],Estadísticos[],8,0)</f>
        <v>1806547.4919228402</v>
      </c>
      <c r="L11" s="94">
        <f>VLOOKUP(DatosHoy[[#This Row],[Cargo Valorado]],Estadísticos[],9,0)</f>
        <v>2284331.3275407897</v>
      </c>
      <c r="M11" s="94">
        <f>VLOOKUP(DatosHoy[[#This Row],[Cargo Valorado]],Estadísticos[],10,0)</f>
        <v>2385325.0637786104</v>
      </c>
      <c r="N11" s="94">
        <f>VLOOKUP(DatosHoy[[#This Row],[Cargo Valorado]],Estadísticos[],11,0)</f>
        <v>2840782.1646548053</v>
      </c>
      <c r="O11" s="75" t="s">
        <v>243</v>
      </c>
      <c r="P11" s="75">
        <v>168</v>
      </c>
      <c r="Q11" s="95" t="str">
        <f t="shared" si="4"/>
        <v>$P$11</v>
      </c>
      <c r="R11" s="95" t="str">
        <f t="shared" si="5"/>
        <v>$F$11</v>
      </c>
      <c r="S11" s="95" t="str">
        <f t="shared" si="6"/>
        <v>$G$11</v>
      </c>
      <c r="T11" s="95" t="str">
        <f t="shared" si="7"/>
        <v>$H$11</v>
      </c>
      <c r="U11" s="95" t="str">
        <f t="shared" si="8"/>
        <v>$I$11</v>
      </c>
      <c r="V11" s="95" t="str">
        <f t="shared" si="9"/>
        <v>$J$11</v>
      </c>
      <c r="W11" s="95" t="str">
        <f t="shared" si="10"/>
        <v>$K$11</v>
      </c>
      <c r="X11" s="95" t="str">
        <f t="shared" si="11"/>
        <v>$L$11</v>
      </c>
      <c r="Y11" s="95" t="str">
        <f t="shared" si="12"/>
        <v>$M$11</v>
      </c>
      <c r="Z11" s="95" t="str">
        <f t="shared" si="13"/>
        <v>$N$11</v>
      </c>
      <c r="AA11" s="94">
        <f ca="1">VLOOKUP($P11,'Regresion Q1'!$E$6:$I$10,4,1)*$P11+VLOOKUP($P11,'Regresion Q1'!$E$6:$I$10,5,1)</f>
        <v>2137299.109101024</v>
      </c>
      <c r="AB11" s="94">
        <f ca="1">VLOOKUP($P11,'Regresion Q1'!$J$6:$N$10,4,1)*$P11+VLOOKUP($P11,'Regresion Q1'!$J$6:$N$10,5,1)</f>
        <v>2178230.5428246651</v>
      </c>
      <c r="AC11" s="94">
        <f ca="1">VLOOKUP($P11,'Regresion Q1'!$O$6:$S$10,4,1)*$P11+VLOOKUP($P11,'Regresion Q1'!$O$6:$S$10,5,1)</f>
        <v>2326533.1274366309</v>
      </c>
      <c r="AD11" s="94">
        <f ca="1">VLOOKUP($P11,'Regresion Md'!$E$6:$I$10,4,1)*$P11+VLOOKUP($P11,'Regresion Md'!$E$6:$I$10,5,1)</f>
        <v>2467124.4349994734</v>
      </c>
      <c r="AE11" s="94">
        <f ca="1">VLOOKUP($P11,'Regresion Md'!$J$6:$N$10,4,1)*$P11+VLOOKUP($P11,'Regresion Md'!$J$6:$N$10,5,1)</f>
        <v>2536955.5943765366</v>
      </c>
      <c r="AF11" s="94">
        <f ca="1">VLOOKUP($P11,'Regresion Md'!$O$6:$S$10,4,1)*$P11+VLOOKUP($P11,'Regresion Md'!$O$6:$S$10,5,1)</f>
        <v>2645856.6104086968</v>
      </c>
      <c r="AG11" s="94">
        <f ca="1">VLOOKUP($P11,'Regresion Q3'!$E$6:$I$10,4,1)*$P11+VLOOKUP($P11,'Regresion Q3'!$E$6:$I$10,5,1)</f>
        <v>2666134.9496873231</v>
      </c>
      <c r="AH11" s="94">
        <f ca="1">VLOOKUP($P11,'Regresion Q3'!$J$6:$N$10,4,1)*$P11+VLOOKUP($P11,'Regresion Q3'!$J$6:$N$10,5,1)</f>
        <v>2714897.8456711536</v>
      </c>
      <c r="AI11" s="94">
        <f ca="1">VLOOKUP($P11,'Regresion Q3'!$O$6:$S$10,4,1)*$P11+VLOOKUP($P11,'Regresion Q3'!$O$6:$S$10,5,1)</f>
        <v>2912946.3634709558</v>
      </c>
      <c r="AJ11" s="94">
        <f ca="1">VLOOKUP($P11,'Regresion Q1'!$T$6:$V$10,2,1)*$P11+VLOOKUP($P11,'Regresion Q1'!$T$6:$V$10,3,1)</f>
        <v>2271472.9000421264</v>
      </c>
      <c r="AK11" s="94">
        <f ca="1">VLOOKUP($P11,'Regresion Q1'!$W$6:$Y$10,2,1)*$P11+VLOOKUP($P11,'Regresion Q1'!$W$6:$Y$10,3,1)</f>
        <v>2364525.9613252617</v>
      </c>
      <c r="AL11" s="94">
        <f ca="1">VLOOKUP($P11,'Regresion Q1'!$Z$6:$AB$10,2,1)*$P11+VLOOKUP($P11,'Regresion Q1'!$Z$6:$AB$10,3,1)</f>
        <v>2456169.3620682731</v>
      </c>
      <c r="AM11" s="94">
        <f ca="1">VLOOKUP($P11,'Regresion Md'!$T$6:$V$10,2,1)*$P11+VLOOKUP($P11,'Regresion Md'!$T$6:$V$10,3,1)</f>
        <v>2418163.2638575053</v>
      </c>
      <c r="AN11" s="94">
        <f ca="1">VLOOKUP($P11,'Regresion Md'!$W$6:$Y$10,2,1)*$P11+VLOOKUP($P11,'Regresion Md'!$W$6:$Y$10,3,1)</f>
        <v>2458240.6995093981</v>
      </c>
      <c r="AO11" s="94">
        <f ca="1">VLOOKUP($P11,'Regresion Md'!$Z$6:$AB$10,2,1)*$P11+VLOOKUP($P11,'Regresion Md'!$Z$6:$AB$10,3,1)</f>
        <v>2594504.2707407689</v>
      </c>
      <c r="AP11" s="94">
        <f ca="1">VLOOKUP($P11,'Regresion Q3'!$T$6:$V$10,2,1)*$P11+VLOOKUP($P11,'Regresion Q3'!$T$6:$V$10,3,1)</f>
        <v>3574421.7730280366</v>
      </c>
      <c r="AQ11" s="94">
        <f ca="1">VLOOKUP($P11,'Regresion Q3'!$W$6:$Y$10,2,1)*$P11+VLOOKUP($P11,'Regresion Q3'!$W$6:$Y$10,3,1)</f>
        <v>3681164.2299168021</v>
      </c>
      <c r="AR11" s="94">
        <f ca="1">VLOOKUP($P11,'Regresion Q3'!$Z$6:$AB$10,2,1)*$P11+VLOOKUP($P11,'Regresion Q3'!$Z$6:$AB$10,3,1)</f>
        <v>3787517.0946456287</v>
      </c>
      <c r="AS11" s="94">
        <f>IF($BN11=$BN12,-1,DatosHoy[[#This Row],[G ajus PM Q1]]-BO12)</f>
        <v>-1</v>
      </c>
      <c r="AT11" s="94">
        <f>IF($BN11=$BN12,-1,DatosHoy[[#This Row],[G+V ajus PM Q1]]-BP12)</f>
        <v>-1</v>
      </c>
      <c r="AU11" s="94">
        <f>IF($BN11=$BN12,-1,DatosHoy[[#This Row],[CT ajus PM Q1]]-BQ12)</f>
        <v>-1</v>
      </c>
      <c r="AV11" s="94">
        <f ca="1">IF(DatosHoy[[#This Row],[G ajus PM Q1]]=DatosHoy[[#This Row],[G+V ajus PM Q1]],-1,DatosHoy[[#This Row],[G ajus PM Q1]]-DatosHoy[[#This Row],[G+V ajus PM Q1]])</f>
        <v>-92627.02094699163</v>
      </c>
      <c r="AW11" s="94">
        <f ca="1">IF(DatosHoy[[#This Row],[G+V ajus PM Q1]]=DatosHoy[[#This Row],[CT ajus PM Q1]],-1,DatosHoy[[#This Row],[G+V ajus PM Q1]]-DatosHoy[[#This Row],[CT ajus PM Q1]])</f>
        <v>-89823.86867214134</v>
      </c>
      <c r="AX11" s="94">
        <f>IF($BN11=$BN12,-1,DatosHoy[[#This Row],[G ajus PMd]]-BR12)</f>
        <v>-1</v>
      </c>
      <c r="AY11" s="94">
        <f>IF($BN11=$BN12,-1,DatosHoy[[#This Row],[G+V ajus PM Md]]-BS12)</f>
        <v>-1</v>
      </c>
      <c r="AZ11" s="94">
        <f>IF($BN11=$BN12,-1,DatosHoy[[#This Row],[CT ajus PM Md]]-BT12)</f>
        <v>-1</v>
      </c>
      <c r="BA11" s="94">
        <f ca="1">IF(DatosHoy[[#This Row],[G ajus PMd]]=DatosHoy[[#This Row],[G+V ajus PM Md]],-1,DatosHoy[[#This Row],[G ajus PMd]]-DatosHoy[[#This Row],[G+V ajus PM Md]])</f>
        <v>-41877.814067947678</v>
      </c>
      <c r="BB11" s="94">
        <f ca="1">IF(DatosHoy[[#This Row],[G+V ajus PM Md]]=DatosHoy[[#This Row],[CT ajus PM Md]],-1,DatosHoy[[#This Row],[G+V ajus PM Md]]-DatosHoy[[#This Row],[CT ajus PM Md]])</f>
        <v>-131590.86028086022</v>
      </c>
      <c r="BC11" s="94">
        <f>IF($BN11=$BN12,-1,DatosHoy[[#This Row],[G ajus PM Q3]]-BU12)</f>
        <v>-1</v>
      </c>
      <c r="BD11" s="94">
        <f>IF($BN11=$BN12,-1,DatosHoy[[#This Row],[G+V ajus PM Q3]]-BV12)</f>
        <v>-1</v>
      </c>
      <c r="BE11" s="94">
        <f>IF($BN11=$BN12,-1,DatosHoy[[#This Row],[CT ajus PM Q3]]-BW12)</f>
        <v>-1</v>
      </c>
      <c r="BF11" s="94">
        <f ca="1">IF(DatosHoy[[#This Row],[G ajus PM Q3]]=DatosHoy[[#This Row],[G+V ajus PM Q3]],-1,DatosHoy[[#This Row],[G ajus PM Q3]]-DatosHoy[[#This Row],[G+V ajus PM Q3]])</f>
        <v>-105003.44821173791</v>
      </c>
      <c r="BG11" s="94">
        <f ca="1">IF(DatosHoy[[#This Row],[G+V ajus PM Q3]]=DatosHoy[[#This Row],[CT ajus PM Q3]],-1,DatosHoy[[#This Row],[G+V ajus PM Q3]]-DatosHoy[[#This Row],[CT ajus PM Q3]])</f>
        <v>-104930.48931872239</v>
      </c>
      <c r="BH11" s="94">
        <f ca="1">IF(DatosHoy[[#This Row],[G ajus PM Q1]]=DatosHoy[[#This Row],[G ajus PMd]],-1,DatosHoy[[#This Row],[G ajus PM Q1]]-DatosHoy[[#This Row],[G ajus PMd]])</f>
        <v>-146984.11015715916</v>
      </c>
      <c r="BI11" s="94">
        <f ca="1">IF(DatosHoy[[#This Row],[G+V ajus PM Q1]]=DatosHoy[[#This Row],[G+V ajus PM Md]],-1,DatosHoy[[#This Row],[G+V ajus PM Q1]]-DatosHoy[[#This Row],[G+V ajus PM Md]])</f>
        <v>-96234.903278115205</v>
      </c>
      <c r="BJ11" s="94">
        <f ca="1">IF(DatosHoy[[#This Row],[CT ajus PM Q1]]=DatosHoy[[#This Row],[CT ajus PM Md]],-1,DatosHoy[[#This Row],[CT ajus PM Q1]]-DatosHoy[[#This Row],[CT ajus PM Md]])</f>
        <v>-138001.89488683408</v>
      </c>
      <c r="BK11" s="94">
        <f ca="1">IF(DatosHoy[[#This Row],[G ajus PMd]]=DatosHoy[[#This Row],[G ajus PM Q3]],-1,DatosHoy[[#This Row],[G ajus PMd]]-DatosHoy[[#This Row],[G ajus PM Q3]])</f>
        <v>-1122136.9216943579</v>
      </c>
      <c r="BL11" s="94">
        <f ca="1">IF(DatosHoy[[#This Row],[G+V ajus PM Md]]=DatosHoy[[#This Row],[G+V ajus PM Q3]],-1,DatosHoy[[#This Row],[G+V ajus PM Md]]-DatosHoy[[#This Row],[G+V ajus PM Q3]])</f>
        <v>-1185262.5558381481</v>
      </c>
      <c r="BM11" s="94">
        <f ca="1">IF(DatosHoy[[#This Row],[CT ajus PM Md]]=DatosHoy[[#This Row],[CT ajus PM Q3]],-1,DatosHoy[[#This Row],[CT ajus PM Md]]-DatosHoy[[#This Row],[CT ajus PM Q3]])</f>
        <v>-1158602.1848760103</v>
      </c>
      <c r="BN11" s="74">
        <v>164</v>
      </c>
      <c r="BO11" s="94">
        <f ca="1">IFERROR(VLOOKUP($BN11,'Regresion Q1'!$T$6:$V$10,2,1)*$BN11+VLOOKUP($BN11,'Regresion Q1'!$T$6:$V$10,3,1),VLOOKUP(MIN(DatosHoy[Puntos]),'Regresion Q1'!$T$6:$V$10,2,1)*$BN11+VLOOKUP(MIN(DatosHoy[Puntos]),'Regresion Q1'!$T$6:$V$10,3,1))</f>
        <v>2231459.227920319</v>
      </c>
      <c r="BP11" s="94">
        <f ca="1">IFERROR(VLOOKUP($BN11,'Regresion Q1'!$W$6:$Y$10,2,1)*$BN11+VLOOKUP($BN11,'Regresion Q1'!$W$6:$Y$10,3,1),VLOOKUP(MIN(DatosHoy[Puntos]),'Regresion Q1'!$W$6:$Y$10,2,1)*$BN11+VLOOKUP(MIN(DatosHoy[Puntos]),'Regresion Q1'!$W$6:$Y$10,3,1))</f>
        <v>2324086.2488673106</v>
      </c>
      <c r="BQ11" s="94">
        <f ca="1">IFERROR(VLOOKUP($BN11,'Regresion Q1'!$Z$6:$AB$10,2,1)*$BN11+VLOOKUP($BN11,'Regresion Q1'!$Z$6:$AB$10,3,1),VLOOKUP(MIN(DatosHoy[Puntos]),'Regresion Q1'!$Z$6:$AB$10,2,1)*$BN11+VLOOKUP(MIN(DatosHoy[Puntos]),'Regresion Q1'!$Z$6:$AB$10,3,1))</f>
        <v>2413910.1175394519</v>
      </c>
      <c r="BR11" s="94">
        <f ca="1">IFERROR(VLOOKUP($BN11,'Regresion Md'!$T$6:$V$10,2,1)*$BN11+VLOOKUP($BN11,'Regresion Md'!$T$6:$V$10,3,1),VLOOKUP(MIN(DatosHoy[Puntos]),'Regresion Md'!$T$6:$V$10,2,1)*$BN11+VLOOKUP(MIN(DatosHoy[Puntos]),'Regresion Md'!$T$6:$V$10,3,1))</f>
        <v>2378443.3380774781</v>
      </c>
      <c r="BS11" s="94">
        <f ca="1">IFERROR(VLOOKUP($BN11,'Regresion Md'!$W$6:$Y$10,2,1)*$BN11+VLOOKUP($BN11,'Regresion Md'!$W$6:$Y$10,3,1),VLOOKUP(MIN(DatosHoy[Puntos]),'Regresion Md'!$W$6:$Y$10,2,1)*$BN11+VLOOKUP(MIN(DatosHoy[Puntos]),'Regresion Md'!$W$6:$Y$10,3,1))</f>
        <v>2420321.1521454258</v>
      </c>
      <c r="BT11" s="94">
        <f ca="1">IFERROR(VLOOKUP($BN11,'Regresion Md'!$Z$6:$AB$10,2,1)*$BN11+VLOOKUP($BN11,'Regresion Md'!$Z$6:$AB$10,3,1),VLOOKUP(MIN(DatosHoy[Puntos]),'Regresion Md'!$Z$6:$AB$10,2,1)*$BN11+VLOOKUP(MIN(DatosHoy[Puntos]),'Regresion Md'!$Z$6:$AB$10,3,1))</f>
        <v>2551912.012426286</v>
      </c>
      <c r="BU11" s="94">
        <f ca="1">IFERROR(VLOOKUP($BN11,'Regresion Q3'!$T$6:$V$10,2,1)*$BN11+VLOOKUP($BN11,'Regresion Q3'!$T$6:$V$10,3,1),VLOOKUP(MIN(DatosHoy[Puntos]),'Regresion Q3'!$T$6:$V$10,2,1)*$BN11+VLOOKUP(MIN(DatosHoy[Puntos]),'Regresion Q3'!$T$6:$V$10,3,1))</f>
        <v>3500580.259771836</v>
      </c>
      <c r="BV11" s="94">
        <f ca="1">IFERROR(VLOOKUP($BN11,'Regresion Q3'!$W$6:$Y$10,2,1)*$BN11+VLOOKUP($BN11,'Regresion Q3'!$W$6:$Y$10,3,1),VLOOKUP(MIN(DatosHoy[Puntos]),'Regresion Q3'!$W$6:$Y$10,2,1)*$BN11+VLOOKUP(MIN(DatosHoy[Puntos]),'Regresion Q3'!$W$6:$Y$10,3,1))</f>
        <v>3605583.7079835739</v>
      </c>
      <c r="BW11" s="94">
        <f ca="1">IFERROR(VLOOKUP($BN11,'Regresion Q3'!$Z$6:$AB$10,2,1)*$BN11+VLOOKUP($BN11,'Regresion Q3'!$Z$6:$AB$10,3,1),VLOOKUP(MIN(DatosHoy[Puntos]),'Regresion Q3'!$Z$6:$AB$10,2,1)*$BN11+VLOOKUP(MIN(DatosHoy[Puntos]),'Regresion Q3'!$Z$6:$AB$10,3,1))</f>
        <v>3710514.1973022963</v>
      </c>
      <c r="BX11" s="96">
        <f ca="1">DatosHoy[[#This Row],[CT Actual]]/DatosHoy[[#This Row],[CT ajus PM Md]]</f>
        <v>0.94524164166090252</v>
      </c>
      <c r="BY11" s="125" t="str">
        <f>VLOOKUP(DatosHoy[[#This Row],[Cargo Valorado]],Estadísticos[[Cargo]:[Nivel]],2,FALSE)</f>
        <v>Operativo</v>
      </c>
      <c r="BZ11" s="96">
        <f>(DatosHoy[[#This Row],[G+V Actual]]-DatosHoy[[#This Row],[G Actual]])/DatosHoy[[#This Row],[CT Actual]]</f>
        <v>0</v>
      </c>
      <c r="CA11" s="96">
        <f>(DatosHoy[[#This Row],[CT Actual]]-DatosHoy[[#This Row],[G+V Actual]])/DatosHoy[[#This Row],[CT Actual]]</f>
        <v>0</v>
      </c>
      <c r="CB11" s="139" t="s">
        <v>255</v>
      </c>
    </row>
    <row r="12" spans="2:80" x14ac:dyDescent="0.25">
      <c r="B12" s="73">
        <f t="shared" si="0"/>
        <v>7</v>
      </c>
      <c r="C12" s="74">
        <v>2412173.5</v>
      </c>
      <c r="D12" s="74">
        <v>2412173.5</v>
      </c>
      <c r="E12" s="74">
        <v>2412173.5</v>
      </c>
      <c r="F12" s="94">
        <f>VLOOKUP(DatosHoy[[#This Row],[Cargo Valorado]],Estadísticos[],3,0)</f>
        <v>1674373.3382850783</v>
      </c>
      <c r="G12" s="94">
        <f>VLOOKUP(DatosHoy[[#This Row],[Cargo Valorado]],Estadísticos[],4,0)</f>
        <v>1674373.3382850783</v>
      </c>
      <c r="H12" s="94">
        <f>VLOOKUP(DatosHoy[[#This Row],[Cargo Valorado]],Estadísticos[],5,0)</f>
        <v>1674373.3382850783</v>
      </c>
      <c r="I12" s="94">
        <f>VLOOKUP(DatosHoy[[#This Row],[Cargo Valorado]],Estadísticos[],6,0)</f>
        <v>1756982.5298798177</v>
      </c>
      <c r="J12" s="94">
        <f>VLOOKUP(DatosHoy[[#This Row],[Cargo Valorado]],Estadísticos[],7,0)</f>
        <v>1806547.4919228402</v>
      </c>
      <c r="K12" s="94">
        <f>VLOOKUP(DatosHoy[[#This Row],[Cargo Valorado]],Estadísticos[],8,0)</f>
        <v>1806547.4919228402</v>
      </c>
      <c r="L12" s="94">
        <f>VLOOKUP(DatosHoy[[#This Row],[Cargo Valorado]],Estadísticos[],9,0)</f>
        <v>2284331.3275407897</v>
      </c>
      <c r="M12" s="94">
        <f>VLOOKUP(DatosHoy[[#This Row],[Cargo Valorado]],Estadísticos[],10,0)</f>
        <v>2385325.0637786104</v>
      </c>
      <c r="N12" s="94">
        <f>VLOOKUP(DatosHoy[[#This Row],[Cargo Valorado]],Estadísticos[],11,0)</f>
        <v>2840782.1646548053</v>
      </c>
      <c r="O12" s="75" t="s">
        <v>243</v>
      </c>
      <c r="P12" s="75">
        <v>168</v>
      </c>
      <c r="Q12" s="95" t="str">
        <f t="shared" si="4"/>
        <v>$P$12</v>
      </c>
      <c r="R12" s="95" t="str">
        <f t="shared" si="5"/>
        <v>$F$12</v>
      </c>
      <c r="S12" s="95" t="str">
        <f t="shared" si="6"/>
        <v>$G$12</v>
      </c>
      <c r="T12" s="95" t="str">
        <f t="shared" si="7"/>
        <v>$H$12</v>
      </c>
      <c r="U12" s="95" t="str">
        <f t="shared" si="8"/>
        <v>$I$12</v>
      </c>
      <c r="V12" s="95" t="str">
        <f t="shared" si="9"/>
        <v>$J$12</v>
      </c>
      <c r="W12" s="95" t="str">
        <f t="shared" si="10"/>
        <v>$K$12</v>
      </c>
      <c r="X12" s="95" t="str">
        <f t="shared" si="11"/>
        <v>$L$12</v>
      </c>
      <c r="Y12" s="95" t="str">
        <f t="shared" si="12"/>
        <v>$M$12</v>
      </c>
      <c r="Z12" s="95" t="str">
        <f t="shared" si="13"/>
        <v>$N$12</v>
      </c>
      <c r="AA12" s="94">
        <f ca="1">VLOOKUP($P12,'Regresion Q1'!$E$6:$I$10,4,1)*$P12+VLOOKUP($P12,'Regresion Q1'!$E$6:$I$10,5,1)</f>
        <v>2137299.109101024</v>
      </c>
      <c r="AB12" s="94">
        <f ca="1">VLOOKUP($P12,'Regresion Q1'!$J$6:$N$10,4,1)*$P12+VLOOKUP($P12,'Regresion Q1'!$J$6:$N$10,5,1)</f>
        <v>2178230.5428246651</v>
      </c>
      <c r="AC12" s="94">
        <f ca="1">VLOOKUP($P12,'Regresion Q1'!$O$6:$S$10,4,1)*$P12+VLOOKUP($P12,'Regresion Q1'!$O$6:$S$10,5,1)</f>
        <v>2326533.1274366309</v>
      </c>
      <c r="AD12" s="94">
        <f ca="1">VLOOKUP($P12,'Regresion Md'!$E$6:$I$10,4,1)*$P12+VLOOKUP($P12,'Regresion Md'!$E$6:$I$10,5,1)</f>
        <v>2467124.4349994734</v>
      </c>
      <c r="AE12" s="94">
        <f ca="1">VLOOKUP($P12,'Regresion Md'!$J$6:$N$10,4,1)*$P12+VLOOKUP($P12,'Regresion Md'!$J$6:$N$10,5,1)</f>
        <v>2536955.5943765366</v>
      </c>
      <c r="AF12" s="94">
        <f ca="1">VLOOKUP($P12,'Regresion Md'!$O$6:$S$10,4,1)*$P12+VLOOKUP($P12,'Regresion Md'!$O$6:$S$10,5,1)</f>
        <v>2645856.6104086968</v>
      </c>
      <c r="AG12" s="94">
        <f ca="1">VLOOKUP($P12,'Regresion Q3'!$E$6:$I$10,4,1)*$P12+VLOOKUP($P12,'Regresion Q3'!$E$6:$I$10,5,1)</f>
        <v>2666134.9496873231</v>
      </c>
      <c r="AH12" s="94">
        <f ca="1">VLOOKUP($P12,'Regresion Q3'!$J$6:$N$10,4,1)*$P12+VLOOKUP($P12,'Regresion Q3'!$J$6:$N$10,5,1)</f>
        <v>2714897.8456711536</v>
      </c>
      <c r="AI12" s="94">
        <f ca="1">VLOOKUP($P12,'Regresion Q3'!$O$6:$S$10,4,1)*$P12+VLOOKUP($P12,'Regresion Q3'!$O$6:$S$10,5,1)</f>
        <v>2912946.3634709558</v>
      </c>
      <c r="AJ12" s="94">
        <f ca="1">VLOOKUP($P12,'Regresion Q1'!$T$6:$V$10,2,1)*$P12+VLOOKUP($P12,'Regresion Q1'!$T$6:$V$10,3,1)</f>
        <v>2271472.9000421264</v>
      </c>
      <c r="AK12" s="94">
        <f ca="1">VLOOKUP($P12,'Regresion Q1'!$W$6:$Y$10,2,1)*$P12+VLOOKUP($P12,'Regresion Q1'!$W$6:$Y$10,3,1)</f>
        <v>2364525.9613252617</v>
      </c>
      <c r="AL12" s="94">
        <f ca="1">VLOOKUP($P12,'Regresion Q1'!$Z$6:$AB$10,2,1)*$P12+VLOOKUP($P12,'Regresion Q1'!$Z$6:$AB$10,3,1)</f>
        <v>2456169.3620682731</v>
      </c>
      <c r="AM12" s="94">
        <f ca="1">VLOOKUP($P12,'Regresion Md'!$T$6:$V$10,2,1)*$P12+VLOOKUP($P12,'Regresion Md'!$T$6:$V$10,3,1)</f>
        <v>2418163.2638575053</v>
      </c>
      <c r="AN12" s="94">
        <f ca="1">VLOOKUP($P12,'Regresion Md'!$W$6:$Y$10,2,1)*$P12+VLOOKUP($P12,'Regresion Md'!$W$6:$Y$10,3,1)</f>
        <v>2458240.6995093981</v>
      </c>
      <c r="AO12" s="94">
        <f ca="1">VLOOKUP($P12,'Regresion Md'!$Z$6:$AB$10,2,1)*$P12+VLOOKUP($P12,'Regresion Md'!$Z$6:$AB$10,3,1)</f>
        <v>2594504.2707407689</v>
      </c>
      <c r="AP12" s="94">
        <f ca="1">VLOOKUP($P12,'Regresion Q3'!$T$6:$V$10,2,1)*$P12+VLOOKUP($P12,'Regresion Q3'!$T$6:$V$10,3,1)</f>
        <v>3574421.7730280366</v>
      </c>
      <c r="AQ12" s="94">
        <f ca="1">VLOOKUP($P12,'Regresion Q3'!$W$6:$Y$10,2,1)*$P12+VLOOKUP($P12,'Regresion Q3'!$W$6:$Y$10,3,1)</f>
        <v>3681164.2299168021</v>
      </c>
      <c r="AR12" s="94">
        <f ca="1">VLOOKUP($P12,'Regresion Q3'!$Z$6:$AB$10,2,1)*$P12+VLOOKUP($P12,'Regresion Q3'!$Z$6:$AB$10,3,1)</f>
        <v>3787517.0946456287</v>
      </c>
      <c r="AS12" s="94">
        <f>IF($BN12=$BN13,-1,DatosHoy[[#This Row],[G ajus PM Q1]]-BO13)</f>
        <v>-1</v>
      </c>
      <c r="AT12" s="94">
        <f>IF($BN12=$BN13,-1,DatosHoy[[#This Row],[G+V ajus PM Q1]]-BP13)</f>
        <v>-1</v>
      </c>
      <c r="AU12" s="94">
        <f>IF($BN12=$BN13,-1,DatosHoy[[#This Row],[CT ajus PM Q1]]-BQ13)</f>
        <v>-1</v>
      </c>
      <c r="AV12" s="94">
        <f ca="1">IF(DatosHoy[[#This Row],[G ajus PM Q1]]=DatosHoy[[#This Row],[G+V ajus PM Q1]],-1,DatosHoy[[#This Row],[G ajus PM Q1]]-DatosHoy[[#This Row],[G+V ajus PM Q1]])</f>
        <v>-92627.02094699163</v>
      </c>
      <c r="AW12" s="94">
        <f ca="1">IF(DatosHoy[[#This Row],[G+V ajus PM Q1]]=DatosHoy[[#This Row],[CT ajus PM Q1]],-1,DatosHoy[[#This Row],[G+V ajus PM Q1]]-DatosHoy[[#This Row],[CT ajus PM Q1]])</f>
        <v>-89823.86867214134</v>
      </c>
      <c r="AX12" s="94">
        <f>IF($BN12=$BN13,-1,DatosHoy[[#This Row],[G ajus PMd]]-BR13)</f>
        <v>-1</v>
      </c>
      <c r="AY12" s="94">
        <f>IF($BN12=$BN13,-1,DatosHoy[[#This Row],[G+V ajus PM Md]]-BS13)</f>
        <v>-1</v>
      </c>
      <c r="AZ12" s="94">
        <f>IF($BN12=$BN13,-1,DatosHoy[[#This Row],[CT ajus PM Md]]-BT13)</f>
        <v>-1</v>
      </c>
      <c r="BA12" s="94">
        <f ca="1">IF(DatosHoy[[#This Row],[G ajus PMd]]=DatosHoy[[#This Row],[G+V ajus PM Md]],-1,DatosHoy[[#This Row],[G ajus PMd]]-DatosHoy[[#This Row],[G+V ajus PM Md]])</f>
        <v>-41877.814067947678</v>
      </c>
      <c r="BB12" s="94">
        <f ca="1">IF(DatosHoy[[#This Row],[G+V ajus PM Md]]=DatosHoy[[#This Row],[CT ajus PM Md]],-1,DatosHoy[[#This Row],[G+V ajus PM Md]]-DatosHoy[[#This Row],[CT ajus PM Md]])</f>
        <v>-131590.86028086022</v>
      </c>
      <c r="BC12" s="94">
        <f>IF($BN12=$BN13,-1,DatosHoy[[#This Row],[G ajus PM Q3]]-BU13)</f>
        <v>-1</v>
      </c>
      <c r="BD12" s="94">
        <f>IF($BN12=$BN13,-1,DatosHoy[[#This Row],[G+V ajus PM Q3]]-BV13)</f>
        <v>-1</v>
      </c>
      <c r="BE12" s="94">
        <f>IF($BN12=$BN13,-1,DatosHoy[[#This Row],[CT ajus PM Q3]]-BW13)</f>
        <v>-1</v>
      </c>
      <c r="BF12" s="94">
        <f ca="1">IF(DatosHoy[[#This Row],[G ajus PM Q3]]=DatosHoy[[#This Row],[G+V ajus PM Q3]],-1,DatosHoy[[#This Row],[G ajus PM Q3]]-DatosHoy[[#This Row],[G+V ajus PM Q3]])</f>
        <v>-105003.44821173791</v>
      </c>
      <c r="BG12" s="94">
        <f ca="1">IF(DatosHoy[[#This Row],[G+V ajus PM Q3]]=DatosHoy[[#This Row],[CT ajus PM Q3]],-1,DatosHoy[[#This Row],[G+V ajus PM Q3]]-DatosHoy[[#This Row],[CT ajus PM Q3]])</f>
        <v>-104930.48931872239</v>
      </c>
      <c r="BH12" s="94">
        <f ca="1">IF(DatosHoy[[#This Row],[G ajus PM Q1]]=DatosHoy[[#This Row],[G ajus PMd]],-1,DatosHoy[[#This Row],[G ajus PM Q1]]-DatosHoy[[#This Row],[G ajus PMd]])</f>
        <v>-146984.11015715916</v>
      </c>
      <c r="BI12" s="94">
        <f ca="1">IF(DatosHoy[[#This Row],[G+V ajus PM Q1]]=DatosHoy[[#This Row],[G+V ajus PM Md]],-1,DatosHoy[[#This Row],[G+V ajus PM Q1]]-DatosHoy[[#This Row],[G+V ajus PM Md]])</f>
        <v>-96234.903278115205</v>
      </c>
      <c r="BJ12" s="94">
        <f ca="1">IF(DatosHoy[[#This Row],[CT ajus PM Q1]]=DatosHoy[[#This Row],[CT ajus PM Md]],-1,DatosHoy[[#This Row],[CT ajus PM Q1]]-DatosHoy[[#This Row],[CT ajus PM Md]])</f>
        <v>-138001.89488683408</v>
      </c>
      <c r="BK12" s="94">
        <f ca="1">IF(DatosHoy[[#This Row],[G ajus PMd]]=DatosHoy[[#This Row],[G ajus PM Q3]],-1,DatosHoy[[#This Row],[G ajus PMd]]-DatosHoy[[#This Row],[G ajus PM Q3]])</f>
        <v>-1122136.9216943579</v>
      </c>
      <c r="BL12" s="94">
        <f ca="1">IF(DatosHoy[[#This Row],[G+V ajus PM Md]]=DatosHoy[[#This Row],[G+V ajus PM Q3]],-1,DatosHoy[[#This Row],[G+V ajus PM Md]]-DatosHoy[[#This Row],[G+V ajus PM Q3]])</f>
        <v>-1185262.5558381481</v>
      </c>
      <c r="BM12" s="94">
        <f ca="1">IF(DatosHoy[[#This Row],[CT ajus PM Md]]=DatosHoy[[#This Row],[CT ajus PM Q3]],-1,DatosHoy[[#This Row],[CT ajus PM Md]]-DatosHoy[[#This Row],[CT ajus PM Q3]])</f>
        <v>-1158602.1848760103</v>
      </c>
      <c r="BN12" s="74">
        <v>164</v>
      </c>
      <c r="BO12" s="94">
        <f ca="1">IFERROR(VLOOKUP($BN12,'Regresion Q1'!$T$6:$V$10,2,1)*$BN12+VLOOKUP($BN12,'Regresion Q1'!$T$6:$V$10,3,1),VLOOKUP(MIN(DatosHoy[Puntos]),'Regresion Q1'!$T$6:$V$10,2,1)*$BN12+VLOOKUP(MIN(DatosHoy[Puntos]),'Regresion Q1'!$T$6:$V$10,3,1))</f>
        <v>2231459.227920319</v>
      </c>
      <c r="BP12" s="94">
        <f ca="1">IFERROR(VLOOKUP($BN12,'Regresion Q1'!$W$6:$Y$10,2,1)*$BN12+VLOOKUP($BN12,'Regresion Q1'!$W$6:$Y$10,3,1),VLOOKUP(MIN(DatosHoy[Puntos]),'Regresion Q1'!$W$6:$Y$10,2,1)*$BN12+VLOOKUP(MIN(DatosHoy[Puntos]),'Regresion Q1'!$W$6:$Y$10,3,1))</f>
        <v>2324086.2488673106</v>
      </c>
      <c r="BQ12" s="94">
        <f ca="1">IFERROR(VLOOKUP($BN12,'Regresion Q1'!$Z$6:$AB$10,2,1)*$BN12+VLOOKUP($BN12,'Regresion Q1'!$Z$6:$AB$10,3,1),VLOOKUP(MIN(DatosHoy[Puntos]),'Regresion Q1'!$Z$6:$AB$10,2,1)*$BN12+VLOOKUP(MIN(DatosHoy[Puntos]),'Regresion Q1'!$Z$6:$AB$10,3,1))</f>
        <v>2413910.1175394519</v>
      </c>
      <c r="BR12" s="94">
        <f ca="1">IFERROR(VLOOKUP($BN12,'Regresion Md'!$T$6:$V$10,2,1)*$BN12+VLOOKUP($BN12,'Regresion Md'!$T$6:$V$10,3,1),VLOOKUP(MIN(DatosHoy[Puntos]),'Regresion Md'!$T$6:$V$10,2,1)*$BN12+VLOOKUP(MIN(DatosHoy[Puntos]),'Regresion Md'!$T$6:$V$10,3,1))</f>
        <v>2378443.3380774781</v>
      </c>
      <c r="BS12" s="94">
        <f ca="1">IFERROR(VLOOKUP($BN12,'Regresion Md'!$W$6:$Y$10,2,1)*$BN12+VLOOKUP($BN12,'Regresion Md'!$W$6:$Y$10,3,1),VLOOKUP(MIN(DatosHoy[Puntos]),'Regresion Md'!$W$6:$Y$10,2,1)*$BN12+VLOOKUP(MIN(DatosHoy[Puntos]),'Regresion Md'!$W$6:$Y$10,3,1))</f>
        <v>2420321.1521454258</v>
      </c>
      <c r="BT12" s="94">
        <f ca="1">IFERROR(VLOOKUP($BN12,'Regresion Md'!$Z$6:$AB$10,2,1)*$BN12+VLOOKUP($BN12,'Regresion Md'!$Z$6:$AB$10,3,1),VLOOKUP(MIN(DatosHoy[Puntos]),'Regresion Md'!$Z$6:$AB$10,2,1)*$BN12+VLOOKUP(MIN(DatosHoy[Puntos]),'Regresion Md'!$Z$6:$AB$10,3,1))</f>
        <v>2551912.012426286</v>
      </c>
      <c r="BU12" s="94">
        <f ca="1">IFERROR(VLOOKUP($BN12,'Regresion Q3'!$T$6:$V$10,2,1)*$BN12+VLOOKUP($BN12,'Regresion Q3'!$T$6:$V$10,3,1),VLOOKUP(MIN(DatosHoy[Puntos]),'Regresion Q3'!$T$6:$V$10,2,1)*$BN12+VLOOKUP(MIN(DatosHoy[Puntos]),'Regresion Q3'!$T$6:$V$10,3,1))</f>
        <v>3500580.259771836</v>
      </c>
      <c r="BV12" s="94">
        <f ca="1">IFERROR(VLOOKUP($BN12,'Regresion Q3'!$W$6:$Y$10,2,1)*$BN12+VLOOKUP($BN12,'Regresion Q3'!$W$6:$Y$10,3,1),VLOOKUP(MIN(DatosHoy[Puntos]),'Regresion Q3'!$W$6:$Y$10,2,1)*$BN12+VLOOKUP(MIN(DatosHoy[Puntos]),'Regresion Q3'!$W$6:$Y$10,3,1))</f>
        <v>3605583.7079835739</v>
      </c>
      <c r="BW12" s="94">
        <f ca="1">IFERROR(VLOOKUP($BN12,'Regresion Q3'!$Z$6:$AB$10,2,1)*$BN12+VLOOKUP($BN12,'Regresion Q3'!$Z$6:$AB$10,3,1),VLOOKUP(MIN(DatosHoy[Puntos]),'Regresion Q3'!$Z$6:$AB$10,2,1)*$BN12+VLOOKUP(MIN(DatosHoy[Puntos]),'Regresion Q3'!$Z$6:$AB$10,3,1))</f>
        <v>3710514.1973022963</v>
      </c>
      <c r="BX12" s="96">
        <f ca="1">DatosHoy[[#This Row],[CT Actual]]/DatosHoy[[#This Row],[CT ajus PM Md]]</f>
        <v>0.94524164166090252</v>
      </c>
      <c r="BY12" s="125" t="str">
        <f>VLOOKUP(DatosHoy[[#This Row],[Cargo Valorado]],Estadísticos[[Cargo]:[Nivel]],2,FALSE)</f>
        <v>Operativo</v>
      </c>
      <c r="BZ12" s="96">
        <f>(DatosHoy[[#This Row],[G+V Actual]]-DatosHoy[[#This Row],[G Actual]])/DatosHoy[[#This Row],[CT Actual]]</f>
        <v>0</v>
      </c>
      <c r="CA12" s="96">
        <f>(DatosHoy[[#This Row],[CT Actual]]-DatosHoy[[#This Row],[G+V Actual]])/DatosHoy[[#This Row],[CT Actual]]</f>
        <v>0</v>
      </c>
      <c r="CB12" s="139" t="s">
        <v>255</v>
      </c>
    </row>
    <row r="13" spans="2:80" x14ac:dyDescent="0.25">
      <c r="B13" s="73">
        <f t="shared" si="0"/>
        <v>8</v>
      </c>
      <c r="C13" s="74">
        <v>2412173.5</v>
      </c>
      <c r="D13" s="74">
        <v>2412173.5</v>
      </c>
      <c r="E13" s="74">
        <v>2412173.5</v>
      </c>
      <c r="F13" s="94">
        <f>VLOOKUP(DatosHoy[[#This Row],[Cargo Valorado]],Estadísticos[],3,0)</f>
        <v>1674373.3382850783</v>
      </c>
      <c r="G13" s="94">
        <f>VLOOKUP(DatosHoy[[#This Row],[Cargo Valorado]],Estadísticos[],4,0)</f>
        <v>1674373.3382850783</v>
      </c>
      <c r="H13" s="94">
        <f>VLOOKUP(DatosHoy[[#This Row],[Cargo Valorado]],Estadísticos[],5,0)</f>
        <v>1674373.3382850783</v>
      </c>
      <c r="I13" s="94">
        <f>VLOOKUP(DatosHoy[[#This Row],[Cargo Valorado]],Estadísticos[],6,0)</f>
        <v>1756982.5298798177</v>
      </c>
      <c r="J13" s="94">
        <f>VLOOKUP(DatosHoy[[#This Row],[Cargo Valorado]],Estadísticos[],7,0)</f>
        <v>1806547.4919228402</v>
      </c>
      <c r="K13" s="94">
        <f>VLOOKUP(DatosHoy[[#This Row],[Cargo Valorado]],Estadísticos[],8,0)</f>
        <v>1806547.4919228402</v>
      </c>
      <c r="L13" s="94">
        <f>VLOOKUP(DatosHoy[[#This Row],[Cargo Valorado]],Estadísticos[],9,0)</f>
        <v>2284331.3275407897</v>
      </c>
      <c r="M13" s="94">
        <f>VLOOKUP(DatosHoy[[#This Row],[Cargo Valorado]],Estadísticos[],10,0)</f>
        <v>2385325.0637786104</v>
      </c>
      <c r="N13" s="94">
        <f>VLOOKUP(DatosHoy[[#This Row],[Cargo Valorado]],Estadísticos[],11,0)</f>
        <v>2840782.1646548053</v>
      </c>
      <c r="O13" s="75" t="s">
        <v>243</v>
      </c>
      <c r="P13" s="75">
        <v>168</v>
      </c>
      <c r="Q13" s="95" t="str">
        <f t="shared" si="4"/>
        <v>$P$13</v>
      </c>
      <c r="R13" s="95" t="str">
        <f t="shared" si="5"/>
        <v>$F$13</v>
      </c>
      <c r="S13" s="95" t="str">
        <f t="shared" si="6"/>
        <v>$G$13</v>
      </c>
      <c r="T13" s="95" t="str">
        <f t="shared" si="7"/>
        <v>$H$13</v>
      </c>
      <c r="U13" s="95" t="str">
        <f t="shared" si="8"/>
        <v>$I$13</v>
      </c>
      <c r="V13" s="95" t="str">
        <f t="shared" si="9"/>
        <v>$J$13</v>
      </c>
      <c r="W13" s="95" t="str">
        <f t="shared" si="10"/>
        <v>$K$13</v>
      </c>
      <c r="X13" s="95" t="str">
        <f t="shared" si="11"/>
        <v>$L$13</v>
      </c>
      <c r="Y13" s="95" t="str">
        <f t="shared" si="12"/>
        <v>$M$13</v>
      </c>
      <c r="Z13" s="95" t="str">
        <f t="shared" si="13"/>
        <v>$N$13</v>
      </c>
      <c r="AA13" s="94">
        <f ca="1">VLOOKUP($P13,'Regresion Q1'!$E$6:$I$10,4,1)*$P13+VLOOKUP($P13,'Regresion Q1'!$E$6:$I$10,5,1)</f>
        <v>2137299.109101024</v>
      </c>
      <c r="AB13" s="94">
        <f ca="1">VLOOKUP($P13,'Regresion Q1'!$J$6:$N$10,4,1)*$P13+VLOOKUP($P13,'Regresion Q1'!$J$6:$N$10,5,1)</f>
        <v>2178230.5428246651</v>
      </c>
      <c r="AC13" s="94">
        <f ca="1">VLOOKUP($P13,'Regresion Q1'!$O$6:$S$10,4,1)*$P13+VLOOKUP($P13,'Regresion Q1'!$O$6:$S$10,5,1)</f>
        <v>2326533.1274366309</v>
      </c>
      <c r="AD13" s="94">
        <f ca="1">VLOOKUP($P13,'Regresion Md'!$E$6:$I$10,4,1)*$P13+VLOOKUP($P13,'Regresion Md'!$E$6:$I$10,5,1)</f>
        <v>2467124.4349994734</v>
      </c>
      <c r="AE13" s="94">
        <f ca="1">VLOOKUP($P13,'Regresion Md'!$J$6:$N$10,4,1)*$P13+VLOOKUP($P13,'Regresion Md'!$J$6:$N$10,5,1)</f>
        <v>2536955.5943765366</v>
      </c>
      <c r="AF13" s="94">
        <f ca="1">VLOOKUP($P13,'Regresion Md'!$O$6:$S$10,4,1)*$P13+VLOOKUP($P13,'Regresion Md'!$O$6:$S$10,5,1)</f>
        <v>2645856.6104086968</v>
      </c>
      <c r="AG13" s="94">
        <f ca="1">VLOOKUP($P13,'Regresion Q3'!$E$6:$I$10,4,1)*$P13+VLOOKUP($P13,'Regresion Q3'!$E$6:$I$10,5,1)</f>
        <v>2666134.9496873231</v>
      </c>
      <c r="AH13" s="94">
        <f ca="1">VLOOKUP($P13,'Regresion Q3'!$J$6:$N$10,4,1)*$P13+VLOOKUP($P13,'Regresion Q3'!$J$6:$N$10,5,1)</f>
        <v>2714897.8456711536</v>
      </c>
      <c r="AI13" s="94">
        <f ca="1">VLOOKUP($P13,'Regresion Q3'!$O$6:$S$10,4,1)*$P13+VLOOKUP($P13,'Regresion Q3'!$O$6:$S$10,5,1)</f>
        <v>2912946.3634709558</v>
      </c>
      <c r="AJ13" s="94">
        <f ca="1">VLOOKUP($P13,'Regresion Q1'!$T$6:$V$10,2,1)*$P13+VLOOKUP($P13,'Regresion Q1'!$T$6:$V$10,3,1)</f>
        <v>2271472.9000421264</v>
      </c>
      <c r="AK13" s="94">
        <f ca="1">VLOOKUP($P13,'Regresion Q1'!$W$6:$Y$10,2,1)*$P13+VLOOKUP($P13,'Regresion Q1'!$W$6:$Y$10,3,1)</f>
        <v>2364525.9613252617</v>
      </c>
      <c r="AL13" s="94">
        <f ca="1">VLOOKUP($P13,'Regresion Q1'!$Z$6:$AB$10,2,1)*$P13+VLOOKUP($P13,'Regresion Q1'!$Z$6:$AB$10,3,1)</f>
        <v>2456169.3620682731</v>
      </c>
      <c r="AM13" s="94">
        <f ca="1">VLOOKUP($P13,'Regresion Md'!$T$6:$V$10,2,1)*$P13+VLOOKUP($P13,'Regresion Md'!$T$6:$V$10,3,1)</f>
        <v>2418163.2638575053</v>
      </c>
      <c r="AN13" s="94">
        <f ca="1">VLOOKUP($P13,'Regresion Md'!$W$6:$Y$10,2,1)*$P13+VLOOKUP($P13,'Regresion Md'!$W$6:$Y$10,3,1)</f>
        <v>2458240.6995093981</v>
      </c>
      <c r="AO13" s="94">
        <f ca="1">VLOOKUP($P13,'Regresion Md'!$Z$6:$AB$10,2,1)*$P13+VLOOKUP($P13,'Regresion Md'!$Z$6:$AB$10,3,1)</f>
        <v>2594504.2707407689</v>
      </c>
      <c r="AP13" s="94">
        <f ca="1">VLOOKUP($P13,'Regresion Q3'!$T$6:$V$10,2,1)*$P13+VLOOKUP($P13,'Regresion Q3'!$T$6:$V$10,3,1)</f>
        <v>3574421.7730280366</v>
      </c>
      <c r="AQ13" s="94">
        <f ca="1">VLOOKUP($P13,'Regresion Q3'!$W$6:$Y$10,2,1)*$P13+VLOOKUP($P13,'Regresion Q3'!$W$6:$Y$10,3,1)</f>
        <v>3681164.2299168021</v>
      </c>
      <c r="AR13" s="94">
        <f ca="1">VLOOKUP($P13,'Regresion Q3'!$Z$6:$AB$10,2,1)*$P13+VLOOKUP($P13,'Regresion Q3'!$Z$6:$AB$10,3,1)</f>
        <v>3787517.0946456287</v>
      </c>
      <c r="AS13" s="94">
        <f>IF($BN13=$BN14,-1,DatosHoy[[#This Row],[G ajus PM Q1]]-BO14)</f>
        <v>-1</v>
      </c>
      <c r="AT13" s="94">
        <f>IF($BN13=$BN14,-1,DatosHoy[[#This Row],[G+V ajus PM Q1]]-BP14)</f>
        <v>-1</v>
      </c>
      <c r="AU13" s="94">
        <f>IF($BN13=$BN14,-1,DatosHoy[[#This Row],[CT ajus PM Q1]]-BQ14)</f>
        <v>-1</v>
      </c>
      <c r="AV13" s="94">
        <f ca="1">IF(DatosHoy[[#This Row],[G ajus PM Q1]]=DatosHoy[[#This Row],[G+V ajus PM Q1]],-1,DatosHoy[[#This Row],[G ajus PM Q1]]-DatosHoy[[#This Row],[G+V ajus PM Q1]])</f>
        <v>-92627.02094699163</v>
      </c>
      <c r="AW13" s="94">
        <f ca="1">IF(DatosHoy[[#This Row],[G+V ajus PM Q1]]=DatosHoy[[#This Row],[CT ajus PM Q1]],-1,DatosHoy[[#This Row],[G+V ajus PM Q1]]-DatosHoy[[#This Row],[CT ajus PM Q1]])</f>
        <v>-89823.86867214134</v>
      </c>
      <c r="AX13" s="94">
        <f>IF($BN13=$BN14,-1,DatosHoy[[#This Row],[G ajus PMd]]-BR14)</f>
        <v>-1</v>
      </c>
      <c r="AY13" s="94">
        <f>IF($BN13=$BN14,-1,DatosHoy[[#This Row],[G+V ajus PM Md]]-BS14)</f>
        <v>-1</v>
      </c>
      <c r="AZ13" s="94">
        <f>IF($BN13=$BN14,-1,DatosHoy[[#This Row],[CT ajus PM Md]]-BT14)</f>
        <v>-1</v>
      </c>
      <c r="BA13" s="94">
        <f ca="1">IF(DatosHoy[[#This Row],[G ajus PMd]]=DatosHoy[[#This Row],[G+V ajus PM Md]],-1,DatosHoy[[#This Row],[G ajus PMd]]-DatosHoy[[#This Row],[G+V ajus PM Md]])</f>
        <v>-41877.814067947678</v>
      </c>
      <c r="BB13" s="94">
        <f ca="1">IF(DatosHoy[[#This Row],[G+V ajus PM Md]]=DatosHoy[[#This Row],[CT ajus PM Md]],-1,DatosHoy[[#This Row],[G+V ajus PM Md]]-DatosHoy[[#This Row],[CT ajus PM Md]])</f>
        <v>-131590.86028086022</v>
      </c>
      <c r="BC13" s="94">
        <f>IF($BN13=$BN14,-1,DatosHoy[[#This Row],[G ajus PM Q3]]-BU14)</f>
        <v>-1</v>
      </c>
      <c r="BD13" s="94">
        <f>IF($BN13=$BN14,-1,DatosHoy[[#This Row],[G+V ajus PM Q3]]-BV14)</f>
        <v>-1</v>
      </c>
      <c r="BE13" s="94">
        <f>IF($BN13=$BN14,-1,DatosHoy[[#This Row],[CT ajus PM Q3]]-BW14)</f>
        <v>-1</v>
      </c>
      <c r="BF13" s="94">
        <f ca="1">IF(DatosHoy[[#This Row],[G ajus PM Q3]]=DatosHoy[[#This Row],[G+V ajus PM Q3]],-1,DatosHoy[[#This Row],[G ajus PM Q3]]-DatosHoy[[#This Row],[G+V ajus PM Q3]])</f>
        <v>-105003.44821173791</v>
      </c>
      <c r="BG13" s="94">
        <f ca="1">IF(DatosHoy[[#This Row],[G+V ajus PM Q3]]=DatosHoy[[#This Row],[CT ajus PM Q3]],-1,DatosHoy[[#This Row],[G+V ajus PM Q3]]-DatosHoy[[#This Row],[CT ajus PM Q3]])</f>
        <v>-104930.48931872239</v>
      </c>
      <c r="BH13" s="94">
        <f ca="1">IF(DatosHoy[[#This Row],[G ajus PM Q1]]=DatosHoy[[#This Row],[G ajus PMd]],-1,DatosHoy[[#This Row],[G ajus PM Q1]]-DatosHoy[[#This Row],[G ajus PMd]])</f>
        <v>-146984.11015715916</v>
      </c>
      <c r="BI13" s="94">
        <f ca="1">IF(DatosHoy[[#This Row],[G+V ajus PM Q1]]=DatosHoy[[#This Row],[G+V ajus PM Md]],-1,DatosHoy[[#This Row],[G+V ajus PM Q1]]-DatosHoy[[#This Row],[G+V ajus PM Md]])</f>
        <v>-96234.903278115205</v>
      </c>
      <c r="BJ13" s="94">
        <f ca="1">IF(DatosHoy[[#This Row],[CT ajus PM Q1]]=DatosHoy[[#This Row],[CT ajus PM Md]],-1,DatosHoy[[#This Row],[CT ajus PM Q1]]-DatosHoy[[#This Row],[CT ajus PM Md]])</f>
        <v>-138001.89488683408</v>
      </c>
      <c r="BK13" s="94">
        <f ca="1">IF(DatosHoy[[#This Row],[G ajus PMd]]=DatosHoy[[#This Row],[G ajus PM Q3]],-1,DatosHoy[[#This Row],[G ajus PMd]]-DatosHoy[[#This Row],[G ajus PM Q3]])</f>
        <v>-1122136.9216943579</v>
      </c>
      <c r="BL13" s="94">
        <f ca="1">IF(DatosHoy[[#This Row],[G+V ajus PM Md]]=DatosHoy[[#This Row],[G+V ajus PM Q3]],-1,DatosHoy[[#This Row],[G+V ajus PM Md]]-DatosHoy[[#This Row],[G+V ajus PM Q3]])</f>
        <v>-1185262.5558381481</v>
      </c>
      <c r="BM13" s="94">
        <f ca="1">IF(DatosHoy[[#This Row],[CT ajus PM Md]]=DatosHoy[[#This Row],[CT ajus PM Q3]],-1,DatosHoy[[#This Row],[CT ajus PM Md]]-DatosHoy[[#This Row],[CT ajus PM Q3]])</f>
        <v>-1158602.1848760103</v>
      </c>
      <c r="BN13" s="74">
        <v>164</v>
      </c>
      <c r="BO13" s="94">
        <f ca="1">IFERROR(VLOOKUP($BN13,'Regresion Q1'!$T$6:$V$10,2,1)*$BN13+VLOOKUP($BN13,'Regresion Q1'!$T$6:$V$10,3,1),VLOOKUP(MIN(DatosHoy[Puntos]),'Regresion Q1'!$T$6:$V$10,2,1)*$BN13+VLOOKUP(MIN(DatosHoy[Puntos]),'Regresion Q1'!$T$6:$V$10,3,1))</f>
        <v>2231459.227920319</v>
      </c>
      <c r="BP13" s="94">
        <f ca="1">IFERROR(VLOOKUP($BN13,'Regresion Q1'!$W$6:$Y$10,2,1)*$BN13+VLOOKUP($BN13,'Regresion Q1'!$W$6:$Y$10,3,1),VLOOKUP(MIN(DatosHoy[Puntos]),'Regresion Q1'!$W$6:$Y$10,2,1)*$BN13+VLOOKUP(MIN(DatosHoy[Puntos]),'Regresion Q1'!$W$6:$Y$10,3,1))</f>
        <v>2324086.2488673106</v>
      </c>
      <c r="BQ13" s="94">
        <f ca="1">IFERROR(VLOOKUP($BN13,'Regresion Q1'!$Z$6:$AB$10,2,1)*$BN13+VLOOKUP($BN13,'Regresion Q1'!$Z$6:$AB$10,3,1),VLOOKUP(MIN(DatosHoy[Puntos]),'Regresion Q1'!$Z$6:$AB$10,2,1)*$BN13+VLOOKUP(MIN(DatosHoy[Puntos]),'Regresion Q1'!$Z$6:$AB$10,3,1))</f>
        <v>2413910.1175394519</v>
      </c>
      <c r="BR13" s="94">
        <f ca="1">IFERROR(VLOOKUP($BN13,'Regresion Md'!$T$6:$V$10,2,1)*$BN13+VLOOKUP($BN13,'Regresion Md'!$T$6:$V$10,3,1),VLOOKUP(MIN(DatosHoy[Puntos]),'Regresion Md'!$T$6:$V$10,2,1)*$BN13+VLOOKUP(MIN(DatosHoy[Puntos]),'Regresion Md'!$T$6:$V$10,3,1))</f>
        <v>2378443.3380774781</v>
      </c>
      <c r="BS13" s="94">
        <f ca="1">IFERROR(VLOOKUP($BN13,'Regresion Md'!$W$6:$Y$10,2,1)*$BN13+VLOOKUP($BN13,'Regresion Md'!$W$6:$Y$10,3,1),VLOOKUP(MIN(DatosHoy[Puntos]),'Regresion Md'!$W$6:$Y$10,2,1)*$BN13+VLOOKUP(MIN(DatosHoy[Puntos]),'Regresion Md'!$W$6:$Y$10,3,1))</f>
        <v>2420321.1521454258</v>
      </c>
      <c r="BT13" s="94">
        <f ca="1">IFERROR(VLOOKUP($BN13,'Regresion Md'!$Z$6:$AB$10,2,1)*$BN13+VLOOKUP($BN13,'Regresion Md'!$Z$6:$AB$10,3,1),VLOOKUP(MIN(DatosHoy[Puntos]),'Regresion Md'!$Z$6:$AB$10,2,1)*$BN13+VLOOKUP(MIN(DatosHoy[Puntos]),'Regresion Md'!$Z$6:$AB$10,3,1))</f>
        <v>2551912.012426286</v>
      </c>
      <c r="BU13" s="94">
        <f ca="1">IFERROR(VLOOKUP($BN13,'Regresion Q3'!$T$6:$V$10,2,1)*$BN13+VLOOKUP($BN13,'Regresion Q3'!$T$6:$V$10,3,1),VLOOKUP(MIN(DatosHoy[Puntos]),'Regresion Q3'!$T$6:$V$10,2,1)*$BN13+VLOOKUP(MIN(DatosHoy[Puntos]),'Regresion Q3'!$T$6:$V$10,3,1))</f>
        <v>3500580.259771836</v>
      </c>
      <c r="BV13" s="94">
        <f ca="1">IFERROR(VLOOKUP($BN13,'Regresion Q3'!$W$6:$Y$10,2,1)*$BN13+VLOOKUP($BN13,'Regresion Q3'!$W$6:$Y$10,3,1),VLOOKUP(MIN(DatosHoy[Puntos]),'Regresion Q3'!$W$6:$Y$10,2,1)*$BN13+VLOOKUP(MIN(DatosHoy[Puntos]),'Regresion Q3'!$W$6:$Y$10,3,1))</f>
        <v>3605583.7079835739</v>
      </c>
      <c r="BW13" s="94">
        <f ca="1">IFERROR(VLOOKUP($BN13,'Regresion Q3'!$Z$6:$AB$10,2,1)*$BN13+VLOOKUP($BN13,'Regresion Q3'!$Z$6:$AB$10,3,1),VLOOKUP(MIN(DatosHoy[Puntos]),'Regresion Q3'!$Z$6:$AB$10,2,1)*$BN13+VLOOKUP(MIN(DatosHoy[Puntos]),'Regresion Q3'!$Z$6:$AB$10,3,1))</f>
        <v>3710514.1973022963</v>
      </c>
      <c r="BX13" s="96">
        <f ca="1">DatosHoy[[#This Row],[CT Actual]]/DatosHoy[[#This Row],[CT ajus PM Md]]</f>
        <v>0.94524164166090252</v>
      </c>
      <c r="BY13" s="125" t="str">
        <f>VLOOKUP(DatosHoy[[#This Row],[Cargo Valorado]],Estadísticos[[Cargo]:[Nivel]],2,FALSE)</f>
        <v>Operativo</v>
      </c>
      <c r="BZ13" s="96">
        <f>(DatosHoy[[#This Row],[G+V Actual]]-DatosHoy[[#This Row],[G Actual]])/DatosHoy[[#This Row],[CT Actual]]</f>
        <v>0</v>
      </c>
      <c r="CA13" s="96">
        <f>(DatosHoy[[#This Row],[CT Actual]]-DatosHoy[[#This Row],[G+V Actual]])/DatosHoy[[#This Row],[CT Actual]]</f>
        <v>0</v>
      </c>
      <c r="CB13" s="139" t="s">
        <v>255</v>
      </c>
    </row>
    <row r="14" spans="2:80" x14ac:dyDescent="0.25">
      <c r="B14" s="73">
        <f t="shared" si="0"/>
        <v>9</v>
      </c>
      <c r="C14" s="74">
        <v>2412173.5</v>
      </c>
      <c r="D14" s="74">
        <v>2412173.5</v>
      </c>
      <c r="E14" s="74">
        <v>2412173.5</v>
      </c>
      <c r="F14" s="94">
        <f>VLOOKUP(DatosHoy[[#This Row],[Cargo Valorado]],Estadísticos[],3,0)</f>
        <v>1674373.3382850783</v>
      </c>
      <c r="G14" s="94">
        <f>VLOOKUP(DatosHoy[[#This Row],[Cargo Valorado]],Estadísticos[],4,0)</f>
        <v>1674373.3382850783</v>
      </c>
      <c r="H14" s="94">
        <f>VLOOKUP(DatosHoy[[#This Row],[Cargo Valorado]],Estadísticos[],5,0)</f>
        <v>1674373.3382850783</v>
      </c>
      <c r="I14" s="94">
        <f>VLOOKUP(DatosHoy[[#This Row],[Cargo Valorado]],Estadísticos[],6,0)</f>
        <v>1756982.5298798177</v>
      </c>
      <c r="J14" s="94">
        <f>VLOOKUP(DatosHoy[[#This Row],[Cargo Valorado]],Estadísticos[],7,0)</f>
        <v>1806547.4919228402</v>
      </c>
      <c r="K14" s="94">
        <f>VLOOKUP(DatosHoy[[#This Row],[Cargo Valorado]],Estadísticos[],8,0)</f>
        <v>1806547.4919228402</v>
      </c>
      <c r="L14" s="94">
        <f>VLOOKUP(DatosHoy[[#This Row],[Cargo Valorado]],Estadísticos[],9,0)</f>
        <v>2284331.3275407897</v>
      </c>
      <c r="M14" s="94">
        <f>VLOOKUP(DatosHoy[[#This Row],[Cargo Valorado]],Estadísticos[],10,0)</f>
        <v>2385325.0637786104</v>
      </c>
      <c r="N14" s="94">
        <f>VLOOKUP(DatosHoy[[#This Row],[Cargo Valorado]],Estadísticos[],11,0)</f>
        <v>2840782.1646548053</v>
      </c>
      <c r="O14" s="75" t="s">
        <v>243</v>
      </c>
      <c r="P14" s="75">
        <v>168</v>
      </c>
      <c r="Q14" s="95" t="str">
        <f t="shared" si="4"/>
        <v>$P$14</v>
      </c>
      <c r="R14" s="95" t="str">
        <f t="shared" si="5"/>
        <v>$F$14</v>
      </c>
      <c r="S14" s="95" t="str">
        <f t="shared" si="6"/>
        <v>$G$14</v>
      </c>
      <c r="T14" s="95" t="str">
        <f t="shared" si="7"/>
        <v>$H$14</v>
      </c>
      <c r="U14" s="95" t="str">
        <f t="shared" si="8"/>
        <v>$I$14</v>
      </c>
      <c r="V14" s="95" t="str">
        <f t="shared" si="9"/>
        <v>$J$14</v>
      </c>
      <c r="W14" s="95" t="str">
        <f t="shared" si="10"/>
        <v>$K$14</v>
      </c>
      <c r="X14" s="95" t="str">
        <f t="shared" si="11"/>
        <v>$L$14</v>
      </c>
      <c r="Y14" s="95" t="str">
        <f t="shared" si="12"/>
        <v>$M$14</v>
      </c>
      <c r="Z14" s="95" t="str">
        <f t="shared" si="13"/>
        <v>$N$14</v>
      </c>
      <c r="AA14" s="94">
        <f ca="1">VLOOKUP($P14,'Regresion Q1'!$E$6:$I$10,4,1)*$P14+VLOOKUP($P14,'Regresion Q1'!$E$6:$I$10,5,1)</f>
        <v>2137299.109101024</v>
      </c>
      <c r="AB14" s="94">
        <f ca="1">VLOOKUP($P14,'Regresion Q1'!$J$6:$N$10,4,1)*$P14+VLOOKUP($P14,'Regresion Q1'!$J$6:$N$10,5,1)</f>
        <v>2178230.5428246651</v>
      </c>
      <c r="AC14" s="94">
        <f ca="1">VLOOKUP($P14,'Regresion Q1'!$O$6:$S$10,4,1)*$P14+VLOOKUP($P14,'Regresion Q1'!$O$6:$S$10,5,1)</f>
        <v>2326533.1274366309</v>
      </c>
      <c r="AD14" s="94">
        <f ca="1">VLOOKUP($P14,'Regresion Md'!$E$6:$I$10,4,1)*$P14+VLOOKUP($P14,'Regresion Md'!$E$6:$I$10,5,1)</f>
        <v>2467124.4349994734</v>
      </c>
      <c r="AE14" s="94">
        <f ca="1">VLOOKUP($P14,'Regresion Md'!$J$6:$N$10,4,1)*$P14+VLOOKUP($P14,'Regresion Md'!$J$6:$N$10,5,1)</f>
        <v>2536955.5943765366</v>
      </c>
      <c r="AF14" s="94">
        <f ca="1">VLOOKUP($P14,'Regresion Md'!$O$6:$S$10,4,1)*$P14+VLOOKUP($P14,'Regresion Md'!$O$6:$S$10,5,1)</f>
        <v>2645856.6104086968</v>
      </c>
      <c r="AG14" s="94">
        <f ca="1">VLOOKUP($P14,'Regresion Q3'!$E$6:$I$10,4,1)*$P14+VLOOKUP($P14,'Regresion Q3'!$E$6:$I$10,5,1)</f>
        <v>2666134.9496873231</v>
      </c>
      <c r="AH14" s="94">
        <f ca="1">VLOOKUP($P14,'Regresion Q3'!$J$6:$N$10,4,1)*$P14+VLOOKUP($P14,'Regresion Q3'!$J$6:$N$10,5,1)</f>
        <v>2714897.8456711536</v>
      </c>
      <c r="AI14" s="94">
        <f ca="1">VLOOKUP($P14,'Regresion Q3'!$O$6:$S$10,4,1)*$P14+VLOOKUP($P14,'Regresion Q3'!$O$6:$S$10,5,1)</f>
        <v>2912946.3634709558</v>
      </c>
      <c r="AJ14" s="94">
        <f ca="1">VLOOKUP($P14,'Regresion Q1'!$T$6:$V$10,2,1)*$P14+VLOOKUP($P14,'Regresion Q1'!$T$6:$V$10,3,1)</f>
        <v>2271472.9000421264</v>
      </c>
      <c r="AK14" s="94">
        <f ca="1">VLOOKUP($P14,'Regresion Q1'!$W$6:$Y$10,2,1)*$P14+VLOOKUP($P14,'Regresion Q1'!$W$6:$Y$10,3,1)</f>
        <v>2364525.9613252617</v>
      </c>
      <c r="AL14" s="94">
        <f ca="1">VLOOKUP($P14,'Regresion Q1'!$Z$6:$AB$10,2,1)*$P14+VLOOKUP($P14,'Regresion Q1'!$Z$6:$AB$10,3,1)</f>
        <v>2456169.3620682731</v>
      </c>
      <c r="AM14" s="94">
        <f ca="1">VLOOKUP($P14,'Regresion Md'!$T$6:$V$10,2,1)*$P14+VLOOKUP($P14,'Regresion Md'!$T$6:$V$10,3,1)</f>
        <v>2418163.2638575053</v>
      </c>
      <c r="AN14" s="94">
        <f ca="1">VLOOKUP($P14,'Regresion Md'!$W$6:$Y$10,2,1)*$P14+VLOOKUP($P14,'Regresion Md'!$W$6:$Y$10,3,1)</f>
        <v>2458240.6995093981</v>
      </c>
      <c r="AO14" s="94">
        <f ca="1">VLOOKUP($P14,'Regresion Md'!$Z$6:$AB$10,2,1)*$P14+VLOOKUP($P14,'Regresion Md'!$Z$6:$AB$10,3,1)</f>
        <v>2594504.2707407689</v>
      </c>
      <c r="AP14" s="94">
        <f ca="1">VLOOKUP($P14,'Regresion Q3'!$T$6:$V$10,2,1)*$P14+VLOOKUP($P14,'Regresion Q3'!$T$6:$V$10,3,1)</f>
        <v>3574421.7730280366</v>
      </c>
      <c r="AQ14" s="94">
        <f ca="1">VLOOKUP($P14,'Regresion Q3'!$W$6:$Y$10,2,1)*$P14+VLOOKUP($P14,'Regresion Q3'!$W$6:$Y$10,3,1)</f>
        <v>3681164.2299168021</v>
      </c>
      <c r="AR14" s="94">
        <f ca="1">VLOOKUP($P14,'Regresion Q3'!$Z$6:$AB$10,2,1)*$P14+VLOOKUP($P14,'Regresion Q3'!$Z$6:$AB$10,3,1)</f>
        <v>3787517.0946456287</v>
      </c>
      <c r="AS14" s="94">
        <f>IF($BN14=$BN15,-1,DatosHoy[[#This Row],[G ajus PM Q1]]-BO15)</f>
        <v>-1</v>
      </c>
      <c r="AT14" s="94">
        <f>IF($BN14=$BN15,-1,DatosHoy[[#This Row],[G+V ajus PM Q1]]-BP15)</f>
        <v>-1</v>
      </c>
      <c r="AU14" s="94">
        <f>IF($BN14=$BN15,-1,DatosHoy[[#This Row],[CT ajus PM Q1]]-BQ15)</f>
        <v>-1</v>
      </c>
      <c r="AV14" s="94">
        <f ca="1">IF(DatosHoy[[#This Row],[G ajus PM Q1]]=DatosHoy[[#This Row],[G+V ajus PM Q1]],-1,DatosHoy[[#This Row],[G ajus PM Q1]]-DatosHoy[[#This Row],[G+V ajus PM Q1]])</f>
        <v>-92627.02094699163</v>
      </c>
      <c r="AW14" s="94">
        <f ca="1">IF(DatosHoy[[#This Row],[G+V ajus PM Q1]]=DatosHoy[[#This Row],[CT ajus PM Q1]],-1,DatosHoy[[#This Row],[G+V ajus PM Q1]]-DatosHoy[[#This Row],[CT ajus PM Q1]])</f>
        <v>-89823.86867214134</v>
      </c>
      <c r="AX14" s="94">
        <f>IF($BN14=$BN15,-1,DatosHoy[[#This Row],[G ajus PMd]]-BR15)</f>
        <v>-1</v>
      </c>
      <c r="AY14" s="94">
        <f>IF($BN14=$BN15,-1,DatosHoy[[#This Row],[G+V ajus PM Md]]-BS15)</f>
        <v>-1</v>
      </c>
      <c r="AZ14" s="94">
        <f>IF($BN14=$BN15,-1,DatosHoy[[#This Row],[CT ajus PM Md]]-BT15)</f>
        <v>-1</v>
      </c>
      <c r="BA14" s="94">
        <f ca="1">IF(DatosHoy[[#This Row],[G ajus PMd]]=DatosHoy[[#This Row],[G+V ajus PM Md]],-1,DatosHoy[[#This Row],[G ajus PMd]]-DatosHoy[[#This Row],[G+V ajus PM Md]])</f>
        <v>-41877.814067947678</v>
      </c>
      <c r="BB14" s="94">
        <f ca="1">IF(DatosHoy[[#This Row],[G+V ajus PM Md]]=DatosHoy[[#This Row],[CT ajus PM Md]],-1,DatosHoy[[#This Row],[G+V ajus PM Md]]-DatosHoy[[#This Row],[CT ajus PM Md]])</f>
        <v>-131590.86028086022</v>
      </c>
      <c r="BC14" s="94">
        <f>IF($BN14=$BN15,-1,DatosHoy[[#This Row],[G ajus PM Q3]]-BU15)</f>
        <v>-1</v>
      </c>
      <c r="BD14" s="94">
        <f>IF($BN14=$BN15,-1,DatosHoy[[#This Row],[G+V ajus PM Q3]]-BV15)</f>
        <v>-1</v>
      </c>
      <c r="BE14" s="94">
        <f>IF($BN14=$BN15,-1,DatosHoy[[#This Row],[CT ajus PM Q3]]-BW15)</f>
        <v>-1</v>
      </c>
      <c r="BF14" s="94">
        <f ca="1">IF(DatosHoy[[#This Row],[G ajus PM Q3]]=DatosHoy[[#This Row],[G+V ajus PM Q3]],-1,DatosHoy[[#This Row],[G ajus PM Q3]]-DatosHoy[[#This Row],[G+V ajus PM Q3]])</f>
        <v>-105003.44821173791</v>
      </c>
      <c r="BG14" s="94">
        <f ca="1">IF(DatosHoy[[#This Row],[G+V ajus PM Q3]]=DatosHoy[[#This Row],[CT ajus PM Q3]],-1,DatosHoy[[#This Row],[G+V ajus PM Q3]]-DatosHoy[[#This Row],[CT ajus PM Q3]])</f>
        <v>-104930.48931872239</v>
      </c>
      <c r="BH14" s="94">
        <f ca="1">IF(DatosHoy[[#This Row],[G ajus PM Q1]]=DatosHoy[[#This Row],[G ajus PMd]],-1,DatosHoy[[#This Row],[G ajus PM Q1]]-DatosHoy[[#This Row],[G ajus PMd]])</f>
        <v>-146984.11015715916</v>
      </c>
      <c r="BI14" s="94">
        <f ca="1">IF(DatosHoy[[#This Row],[G+V ajus PM Q1]]=DatosHoy[[#This Row],[G+V ajus PM Md]],-1,DatosHoy[[#This Row],[G+V ajus PM Q1]]-DatosHoy[[#This Row],[G+V ajus PM Md]])</f>
        <v>-96234.903278115205</v>
      </c>
      <c r="BJ14" s="94">
        <f ca="1">IF(DatosHoy[[#This Row],[CT ajus PM Q1]]=DatosHoy[[#This Row],[CT ajus PM Md]],-1,DatosHoy[[#This Row],[CT ajus PM Q1]]-DatosHoy[[#This Row],[CT ajus PM Md]])</f>
        <v>-138001.89488683408</v>
      </c>
      <c r="BK14" s="94">
        <f ca="1">IF(DatosHoy[[#This Row],[G ajus PMd]]=DatosHoy[[#This Row],[G ajus PM Q3]],-1,DatosHoy[[#This Row],[G ajus PMd]]-DatosHoy[[#This Row],[G ajus PM Q3]])</f>
        <v>-1122136.9216943579</v>
      </c>
      <c r="BL14" s="94">
        <f ca="1">IF(DatosHoy[[#This Row],[G+V ajus PM Md]]=DatosHoy[[#This Row],[G+V ajus PM Q3]],-1,DatosHoy[[#This Row],[G+V ajus PM Md]]-DatosHoy[[#This Row],[G+V ajus PM Q3]])</f>
        <v>-1185262.5558381481</v>
      </c>
      <c r="BM14" s="94">
        <f ca="1">IF(DatosHoy[[#This Row],[CT ajus PM Md]]=DatosHoy[[#This Row],[CT ajus PM Q3]],-1,DatosHoy[[#This Row],[CT ajus PM Md]]-DatosHoy[[#This Row],[CT ajus PM Q3]])</f>
        <v>-1158602.1848760103</v>
      </c>
      <c r="BN14" s="74">
        <v>164</v>
      </c>
      <c r="BO14" s="94">
        <f ca="1">IFERROR(VLOOKUP($BN14,'Regresion Q1'!$T$6:$V$10,2,1)*$BN14+VLOOKUP($BN14,'Regresion Q1'!$T$6:$V$10,3,1),VLOOKUP(MIN(DatosHoy[Puntos]),'Regresion Q1'!$T$6:$V$10,2,1)*$BN14+VLOOKUP(MIN(DatosHoy[Puntos]),'Regresion Q1'!$T$6:$V$10,3,1))</f>
        <v>2231459.227920319</v>
      </c>
      <c r="BP14" s="94">
        <f ca="1">IFERROR(VLOOKUP($BN14,'Regresion Q1'!$W$6:$Y$10,2,1)*$BN14+VLOOKUP($BN14,'Regresion Q1'!$W$6:$Y$10,3,1),VLOOKUP(MIN(DatosHoy[Puntos]),'Regresion Q1'!$W$6:$Y$10,2,1)*$BN14+VLOOKUP(MIN(DatosHoy[Puntos]),'Regresion Q1'!$W$6:$Y$10,3,1))</f>
        <v>2324086.2488673106</v>
      </c>
      <c r="BQ14" s="94">
        <f ca="1">IFERROR(VLOOKUP($BN14,'Regresion Q1'!$Z$6:$AB$10,2,1)*$BN14+VLOOKUP($BN14,'Regresion Q1'!$Z$6:$AB$10,3,1),VLOOKUP(MIN(DatosHoy[Puntos]),'Regresion Q1'!$Z$6:$AB$10,2,1)*$BN14+VLOOKUP(MIN(DatosHoy[Puntos]),'Regresion Q1'!$Z$6:$AB$10,3,1))</f>
        <v>2413910.1175394519</v>
      </c>
      <c r="BR14" s="94">
        <f ca="1">IFERROR(VLOOKUP($BN14,'Regresion Md'!$T$6:$V$10,2,1)*$BN14+VLOOKUP($BN14,'Regresion Md'!$T$6:$V$10,3,1),VLOOKUP(MIN(DatosHoy[Puntos]),'Regresion Md'!$T$6:$V$10,2,1)*$BN14+VLOOKUP(MIN(DatosHoy[Puntos]),'Regresion Md'!$T$6:$V$10,3,1))</f>
        <v>2378443.3380774781</v>
      </c>
      <c r="BS14" s="94">
        <f ca="1">IFERROR(VLOOKUP($BN14,'Regresion Md'!$W$6:$Y$10,2,1)*$BN14+VLOOKUP($BN14,'Regresion Md'!$W$6:$Y$10,3,1),VLOOKUP(MIN(DatosHoy[Puntos]),'Regresion Md'!$W$6:$Y$10,2,1)*$BN14+VLOOKUP(MIN(DatosHoy[Puntos]),'Regresion Md'!$W$6:$Y$10,3,1))</f>
        <v>2420321.1521454258</v>
      </c>
      <c r="BT14" s="94">
        <f ca="1">IFERROR(VLOOKUP($BN14,'Regresion Md'!$Z$6:$AB$10,2,1)*$BN14+VLOOKUP($BN14,'Regresion Md'!$Z$6:$AB$10,3,1),VLOOKUP(MIN(DatosHoy[Puntos]),'Regresion Md'!$Z$6:$AB$10,2,1)*$BN14+VLOOKUP(MIN(DatosHoy[Puntos]),'Regresion Md'!$Z$6:$AB$10,3,1))</f>
        <v>2551912.012426286</v>
      </c>
      <c r="BU14" s="94">
        <f ca="1">IFERROR(VLOOKUP($BN14,'Regresion Q3'!$T$6:$V$10,2,1)*$BN14+VLOOKUP($BN14,'Regresion Q3'!$T$6:$V$10,3,1),VLOOKUP(MIN(DatosHoy[Puntos]),'Regresion Q3'!$T$6:$V$10,2,1)*$BN14+VLOOKUP(MIN(DatosHoy[Puntos]),'Regresion Q3'!$T$6:$V$10,3,1))</f>
        <v>3500580.259771836</v>
      </c>
      <c r="BV14" s="94">
        <f ca="1">IFERROR(VLOOKUP($BN14,'Regresion Q3'!$W$6:$Y$10,2,1)*$BN14+VLOOKUP($BN14,'Regresion Q3'!$W$6:$Y$10,3,1),VLOOKUP(MIN(DatosHoy[Puntos]),'Regresion Q3'!$W$6:$Y$10,2,1)*$BN14+VLOOKUP(MIN(DatosHoy[Puntos]),'Regresion Q3'!$W$6:$Y$10,3,1))</f>
        <v>3605583.7079835739</v>
      </c>
      <c r="BW14" s="94">
        <f ca="1">IFERROR(VLOOKUP($BN14,'Regresion Q3'!$Z$6:$AB$10,2,1)*$BN14+VLOOKUP($BN14,'Regresion Q3'!$Z$6:$AB$10,3,1),VLOOKUP(MIN(DatosHoy[Puntos]),'Regresion Q3'!$Z$6:$AB$10,2,1)*$BN14+VLOOKUP(MIN(DatosHoy[Puntos]),'Regresion Q3'!$Z$6:$AB$10,3,1))</f>
        <v>3710514.1973022963</v>
      </c>
      <c r="BX14" s="96">
        <f ca="1">DatosHoy[[#This Row],[CT Actual]]/DatosHoy[[#This Row],[CT ajus PM Md]]</f>
        <v>0.94524164166090252</v>
      </c>
      <c r="BY14" s="125" t="str">
        <f>VLOOKUP(DatosHoy[[#This Row],[Cargo Valorado]],Estadísticos[[Cargo]:[Nivel]],2,FALSE)</f>
        <v>Operativo</v>
      </c>
      <c r="BZ14" s="96">
        <f>(DatosHoy[[#This Row],[G+V Actual]]-DatosHoy[[#This Row],[G Actual]])/DatosHoy[[#This Row],[CT Actual]]</f>
        <v>0</v>
      </c>
      <c r="CA14" s="96">
        <f>(DatosHoy[[#This Row],[CT Actual]]-DatosHoy[[#This Row],[G+V Actual]])/DatosHoy[[#This Row],[CT Actual]]</f>
        <v>0</v>
      </c>
      <c r="CB14" s="139" t="s">
        <v>255</v>
      </c>
    </row>
    <row r="15" spans="2:80" x14ac:dyDescent="0.25">
      <c r="B15" s="73">
        <f t="shared" si="0"/>
        <v>10</v>
      </c>
      <c r="C15" s="74">
        <v>2412173.5</v>
      </c>
      <c r="D15" s="74">
        <v>2412173.5</v>
      </c>
      <c r="E15" s="74">
        <v>2412173.5</v>
      </c>
      <c r="F15" s="94">
        <f>VLOOKUP(DatosHoy[[#This Row],[Cargo Valorado]],Estadísticos[],3,0)</f>
        <v>1674373.3382850783</v>
      </c>
      <c r="G15" s="94">
        <f>VLOOKUP(DatosHoy[[#This Row],[Cargo Valorado]],Estadísticos[],4,0)</f>
        <v>1674373.3382850783</v>
      </c>
      <c r="H15" s="94">
        <f>VLOOKUP(DatosHoy[[#This Row],[Cargo Valorado]],Estadísticos[],5,0)</f>
        <v>1674373.3382850783</v>
      </c>
      <c r="I15" s="94">
        <f>VLOOKUP(DatosHoy[[#This Row],[Cargo Valorado]],Estadísticos[],6,0)</f>
        <v>1756982.5298798177</v>
      </c>
      <c r="J15" s="94">
        <f>VLOOKUP(DatosHoy[[#This Row],[Cargo Valorado]],Estadísticos[],7,0)</f>
        <v>1806547.4919228402</v>
      </c>
      <c r="K15" s="94">
        <f>VLOOKUP(DatosHoy[[#This Row],[Cargo Valorado]],Estadísticos[],8,0)</f>
        <v>1806547.4919228402</v>
      </c>
      <c r="L15" s="94">
        <f>VLOOKUP(DatosHoy[[#This Row],[Cargo Valorado]],Estadísticos[],9,0)</f>
        <v>2284331.3275407897</v>
      </c>
      <c r="M15" s="94">
        <f>VLOOKUP(DatosHoy[[#This Row],[Cargo Valorado]],Estadísticos[],10,0)</f>
        <v>2385325.0637786104</v>
      </c>
      <c r="N15" s="94">
        <f>VLOOKUP(DatosHoy[[#This Row],[Cargo Valorado]],Estadísticos[],11,0)</f>
        <v>2840782.1646548053</v>
      </c>
      <c r="O15" s="75" t="s">
        <v>243</v>
      </c>
      <c r="P15" s="75">
        <v>168</v>
      </c>
      <c r="Q15" s="95" t="str">
        <f t="shared" si="4"/>
        <v>$P$15</v>
      </c>
      <c r="R15" s="95" t="str">
        <f t="shared" si="5"/>
        <v>$F$15</v>
      </c>
      <c r="S15" s="95" t="str">
        <f t="shared" si="6"/>
        <v>$G$15</v>
      </c>
      <c r="T15" s="95" t="str">
        <f t="shared" si="7"/>
        <v>$H$15</v>
      </c>
      <c r="U15" s="95" t="str">
        <f t="shared" si="8"/>
        <v>$I$15</v>
      </c>
      <c r="V15" s="95" t="str">
        <f t="shared" si="9"/>
        <v>$J$15</v>
      </c>
      <c r="W15" s="95" t="str">
        <f t="shared" si="10"/>
        <v>$K$15</v>
      </c>
      <c r="X15" s="95" t="str">
        <f t="shared" si="11"/>
        <v>$L$15</v>
      </c>
      <c r="Y15" s="95" t="str">
        <f t="shared" si="12"/>
        <v>$M$15</v>
      </c>
      <c r="Z15" s="95" t="str">
        <f t="shared" si="13"/>
        <v>$N$15</v>
      </c>
      <c r="AA15" s="94">
        <f ca="1">VLOOKUP($P15,'Regresion Q1'!$E$6:$I$10,4,1)*$P15+VLOOKUP($P15,'Regresion Q1'!$E$6:$I$10,5,1)</f>
        <v>2137299.109101024</v>
      </c>
      <c r="AB15" s="94">
        <f ca="1">VLOOKUP($P15,'Regresion Q1'!$J$6:$N$10,4,1)*$P15+VLOOKUP($P15,'Regresion Q1'!$J$6:$N$10,5,1)</f>
        <v>2178230.5428246651</v>
      </c>
      <c r="AC15" s="94">
        <f ca="1">VLOOKUP($P15,'Regresion Q1'!$O$6:$S$10,4,1)*$P15+VLOOKUP($P15,'Regresion Q1'!$O$6:$S$10,5,1)</f>
        <v>2326533.1274366309</v>
      </c>
      <c r="AD15" s="94">
        <f ca="1">VLOOKUP($P15,'Regresion Md'!$E$6:$I$10,4,1)*$P15+VLOOKUP($P15,'Regresion Md'!$E$6:$I$10,5,1)</f>
        <v>2467124.4349994734</v>
      </c>
      <c r="AE15" s="94">
        <f ca="1">VLOOKUP($P15,'Regresion Md'!$J$6:$N$10,4,1)*$P15+VLOOKUP($P15,'Regresion Md'!$J$6:$N$10,5,1)</f>
        <v>2536955.5943765366</v>
      </c>
      <c r="AF15" s="94">
        <f ca="1">VLOOKUP($P15,'Regresion Md'!$O$6:$S$10,4,1)*$P15+VLOOKUP($P15,'Regresion Md'!$O$6:$S$10,5,1)</f>
        <v>2645856.6104086968</v>
      </c>
      <c r="AG15" s="94">
        <f ca="1">VLOOKUP($P15,'Regresion Q3'!$E$6:$I$10,4,1)*$P15+VLOOKUP($P15,'Regresion Q3'!$E$6:$I$10,5,1)</f>
        <v>2666134.9496873231</v>
      </c>
      <c r="AH15" s="94">
        <f ca="1">VLOOKUP($P15,'Regresion Q3'!$J$6:$N$10,4,1)*$P15+VLOOKUP($P15,'Regresion Q3'!$J$6:$N$10,5,1)</f>
        <v>2714897.8456711536</v>
      </c>
      <c r="AI15" s="94">
        <f ca="1">VLOOKUP($P15,'Regresion Q3'!$O$6:$S$10,4,1)*$P15+VLOOKUP($P15,'Regresion Q3'!$O$6:$S$10,5,1)</f>
        <v>2912946.3634709558</v>
      </c>
      <c r="AJ15" s="94">
        <f ca="1">VLOOKUP($P15,'Regresion Q1'!$T$6:$V$10,2,1)*$P15+VLOOKUP($P15,'Regresion Q1'!$T$6:$V$10,3,1)</f>
        <v>2271472.9000421264</v>
      </c>
      <c r="AK15" s="94">
        <f ca="1">VLOOKUP($P15,'Regresion Q1'!$W$6:$Y$10,2,1)*$P15+VLOOKUP($P15,'Regresion Q1'!$W$6:$Y$10,3,1)</f>
        <v>2364525.9613252617</v>
      </c>
      <c r="AL15" s="94">
        <f ca="1">VLOOKUP($P15,'Regresion Q1'!$Z$6:$AB$10,2,1)*$P15+VLOOKUP($P15,'Regresion Q1'!$Z$6:$AB$10,3,1)</f>
        <v>2456169.3620682731</v>
      </c>
      <c r="AM15" s="94">
        <f ca="1">VLOOKUP($P15,'Regresion Md'!$T$6:$V$10,2,1)*$P15+VLOOKUP($P15,'Regresion Md'!$T$6:$V$10,3,1)</f>
        <v>2418163.2638575053</v>
      </c>
      <c r="AN15" s="94">
        <f ca="1">VLOOKUP($P15,'Regresion Md'!$W$6:$Y$10,2,1)*$P15+VLOOKUP($P15,'Regresion Md'!$W$6:$Y$10,3,1)</f>
        <v>2458240.6995093981</v>
      </c>
      <c r="AO15" s="94">
        <f ca="1">VLOOKUP($P15,'Regresion Md'!$Z$6:$AB$10,2,1)*$P15+VLOOKUP($P15,'Regresion Md'!$Z$6:$AB$10,3,1)</f>
        <v>2594504.2707407689</v>
      </c>
      <c r="AP15" s="94">
        <f ca="1">VLOOKUP($P15,'Regresion Q3'!$T$6:$V$10,2,1)*$P15+VLOOKUP($P15,'Regresion Q3'!$T$6:$V$10,3,1)</f>
        <v>3574421.7730280366</v>
      </c>
      <c r="AQ15" s="94">
        <f ca="1">VLOOKUP($P15,'Regresion Q3'!$W$6:$Y$10,2,1)*$P15+VLOOKUP($P15,'Regresion Q3'!$W$6:$Y$10,3,1)</f>
        <v>3681164.2299168021</v>
      </c>
      <c r="AR15" s="94">
        <f ca="1">VLOOKUP($P15,'Regresion Q3'!$Z$6:$AB$10,2,1)*$P15+VLOOKUP($P15,'Regresion Q3'!$Z$6:$AB$10,3,1)</f>
        <v>3787517.0946456287</v>
      </c>
      <c r="AS15" s="94">
        <f ca="1">IF($BN15=$BN16,-1,DatosHoy[[#This Row],[G ajus PM Q1]]-BO16)</f>
        <v>-250085.45076129586</v>
      </c>
      <c r="AT15" s="94">
        <f ca="1">IF($BN15=$BN16,-1,DatosHoy[[#This Row],[G+V ajus PM Q1]]-BP16)</f>
        <v>-252748.2028621952</v>
      </c>
      <c r="AU15" s="94">
        <f ca="1">IF($BN15=$BN16,-1,DatosHoy[[#This Row],[CT ajus PM Q1]]-BQ16)</f>
        <v>-264120.27830513334</v>
      </c>
      <c r="AV15" s="94">
        <f ca="1">IF(DatosHoy[[#This Row],[G ajus PM Q1]]=DatosHoy[[#This Row],[G+V ajus PM Q1]],-1,DatosHoy[[#This Row],[G ajus PM Q1]]-DatosHoy[[#This Row],[G+V ajus PM Q1]])</f>
        <v>-92627.02094699163</v>
      </c>
      <c r="AW15" s="94">
        <f ca="1">IF(DatosHoy[[#This Row],[G+V ajus PM Q1]]=DatosHoy[[#This Row],[CT ajus PM Q1]],-1,DatosHoy[[#This Row],[G+V ajus PM Q1]]-DatosHoy[[#This Row],[CT ajus PM Q1]])</f>
        <v>-89823.86867214134</v>
      </c>
      <c r="AX15" s="94">
        <f ca="1">IF($BN15=$BN16,-1,DatosHoy[[#This Row],[G ajus PMd]]-BR16)</f>
        <v>-248249.53612516914</v>
      </c>
      <c r="AY15" s="94">
        <f ca="1">IF($BN15=$BN16,-1,DatosHoy[[#This Row],[G+V ajus PM Md]]-BS16)</f>
        <v>-236997.17102482729</v>
      </c>
      <c r="AZ15" s="94">
        <f ca="1">IF($BN15=$BN16,-1,DatosHoy[[#This Row],[CT ajus PM Md]]-BT16)</f>
        <v>-266201.61446551606</v>
      </c>
      <c r="BA15" s="94">
        <f ca="1">IF(DatosHoy[[#This Row],[G ajus PMd]]=DatosHoy[[#This Row],[G+V ajus PM Md]],-1,DatosHoy[[#This Row],[G ajus PMd]]-DatosHoy[[#This Row],[G+V ajus PM Md]])</f>
        <v>-41877.814067947678</v>
      </c>
      <c r="BB15" s="94">
        <f ca="1">IF(DatosHoy[[#This Row],[G+V ajus PM Md]]=DatosHoy[[#This Row],[CT ajus PM Md]],-1,DatosHoy[[#This Row],[G+V ajus PM Md]]-DatosHoy[[#This Row],[CT ajus PM Md]])</f>
        <v>-131590.86028086022</v>
      </c>
      <c r="BC15" s="94">
        <f ca="1">IF($BN15=$BN16,-1,DatosHoy[[#This Row],[G ajus PM Q3]]-BU16)</f>
        <v>-461509.45785125531</v>
      </c>
      <c r="BD15" s="94">
        <f ca="1">IF($BN15=$BN16,-1,DatosHoy[[#This Row],[G+V ajus PM Q3]]-BV16)</f>
        <v>-472378.26208267594</v>
      </c>
      <c r="BE15" s="94">
        <f ca="1">IF($BN15=$BN16,-1,DatosHoy[[#This Row],[CT ajus PM Q3]]-BW16)</f>
        <v>-481268.10839582654</v>
      </c>
      <c r="BF15" s="94">
        <f ca="1">IF(DatosHoy[[#This Row],[G ajus PM Q3]]=DatosHoy[[#This Row],[G+V ajus PM Q3]],-1,DatosHoy[[#This Row],[G ajus PM Q3]]-DatosHoy[[#This Row],[G+V ajus PM Q3]])</f>
        <v>-105003.44821173791</v>
      </c>
      <c r="BG15" s="94">
        <f ca="1">IF(DatosHoy[[#This Row],[G+V ajus PM Q3]]=DatosHoy[[#This Row],[CT ajus PM Q3]],-1,DatosHoy[[#This Row],[G+V ajus PM Q3]]-DatosHoy[[#This Row],[CT ajus PM Q3]])</f>
        <v>-104930.48931872239</v>
      </c>
      <c r="BH15" s="94">
        <f ca="1">IF(DatosHoy[[#This Row],[G ajus PM Q1]]=DatosHoy[[#This Row],[G ajus PMd]],-1,DatosHoy[[#This Row],[G ajus PM Q1]]-DatosHoy[[#This Row],[G ajus PMd]])</f>
        <v>-146984.11015715916</v>
      </c>
      <c r="BI15" s="94">
        <f ca="1">IF(DatosHoy[[#This Row],[G+V ajus PM Q1]]=DatosHoy[[#This Row],[G+V ajus PM Md]],-1,DatosHoy[[#This Row],[G+V ajus PM Q1]]-DatosHoy[[#This Row],[G+V ajus PM Md]])</f>
        <v>-96234.903278115205</v>
      </c>
      <c r="BJ15" s="94">
        <f ca="1">IF(DatosHoy[[#This Row],[CT ajus PM Q1]]=DatosHoy[[#This Row],[CT ajus PM Md]],-1,DatosHoy[[#This Row],[CT ajus PM Q1]]-DatosHoy[[#This Row],[CT ajus PM Md]])</f>
        <v>-138001.89488683408</v>
      </c>
      <c r="BK15" s="94">
        <f ca="1">IF(DatosHoy[[#This Row],[G ajus PMd]]=DatosHoy[[#This Row],[G ajus PM Q3]],-1,DatosHoy[[#This Row],[G ajus PMd]]-DatosHoy[[#This Row],[G ajus PM Q3]])</f>
        <v>-1122136.9216943579</v>
      </c>
      <c r="BL15" s="94">
        <f ca="1">IF(DatosHoy[[#This Row],[G+V ajus PM Md]]=DatosHoy[[#This Row],[G+V ajus PM Q3]],-1,DatosHoy[[#This Row],[G+V ajus PM Md]]-DatosHoy[[#This Row],[G+V ajus PM Q3]])</f>
        <v>-1185262.5558381481</v>
      </c>
      <c r="BM15" s="94">
        <f ca="1">IF(DatosHoy[[#This Row],[CT ajus PM Md]]=DatosHoy[[#This Row],[CT ajus PM Q3]],-1,DatosHoy[[#This Row],[CT ajus PM Md]]-DatosHoy[[#This Row],[CT ajus PM Q3]])</f>
        <v>-1158602.1848760103</v>
      </c>
      <c r="BN15" s="74">
        <v>164</v>
      </c>
      <c r="BO15" s="94">
        <f ca="1">IFERROR(VLOOKUP($BN15,'Regresion Q1'!$T$6:$V$10,2,1)*$BN15+VLOOKUP($BN15,'Regresion Q1'!$T$6:$V$10,3,1),VLOOKUP(MIN(DatosHoy[Puntos]),'Regresion Q1'!$T$6:$V$10,2,1)*$BN15+VLOOKUP(MIN(DatosHoy[Puntos]),'Regresion Q1'!$T$6:$V$10,3,1))</f>
        <v>2231459.227920319</v>
      </c>
      <c r="BP15" s="94">
        <f ca="1">IFERROR(VLOOKUP($BN15,'Regresion Q1'!$W$6:$Y$10,2,1)*$BN15+VLOOKUP($BN15,'Regresion Q1'!$W$6:$Y$10,3,1),VLOOKUP(MIN(DatosHoy[Puntos]),'Regresion Q1'!$W$6:$Y$10,2,1)*$BN15+VLOOKUP(MIN(DatosHoy[Puntos]),'Regresion Q1'!$W$6:$Y$10,3,1))</f>
        <v>2324086.2488673106</v>
      </c>
      <c r="BQ15" s="94">
        <f ca="1">IFERROR(VLOOKUP($BN15,'Regresion Q1'!$Z$6:$AB$10,2,1)*$BN15+VLOOKUP($BN15,'Regresion Q1'!$Z$6:$AB$10,3,1),VLOOKUP(MIN(DatosHoy[Puntos]),'Regresion Q1'!$Z$6:$AB$10,2,1)*$BN15+VLOOKUP(MIN(DatosHoy[Puntos]),'Regresion Q1'!$Z$6:$AB$10,3,1))</f>
        <v>2413910.1175394519</v>
      </c>
      <c r="BR15" s="94">
        <f ca="1">IFERROR(VLOOKUP($BN15,'Regresion Md'!$T$6:$V$10,2,1)*$BN15+VLOOKUP($BN15,'Regresion Md'!$T$6:$V$10,3,1),VLOOKUP(MIN(DatosHoy[Puntos]),'Regresion Md'!$T$6:$V$10,2,1)*$BN15+VLOOKUP(MIN(DatosHoy[Puntos]),'Regresion Md'!$T$6:$V$10,3,1))</f>
        <v>2378443.3380774781</v>
      </c>
      <c r="BS15" s="94">
        <f ca="1">IFERROR(VLOOKUP($BN15,'Regresion Md'!$W$6:$Y$10,2,1)*$BN15+VLOOKUP($BN15,'Regresion Md'!$W$6:$Y$10,3,1),VLOOKUP(MIN(DatosHoy[Puntos]),'Regresion Md'!$W$6:$Y$10,2,1)*$BN15+VLOOKUP(MIN(DatosHoy[Puntos]),'Regresion Md'!$W$6:$Y$10,3,1))</f>
        <v>2420321.1521454258</v>
      </c>
      <c r="BT15" s="94">
        <f ca="1">IFERROR(VLOOKUP($BN15,'Regresion Md'!$Z$6:$AB$10,2,1)*$BN15+VLOOKUP($BN15,'Regresion Md'!$Z$6:$AB$10,3,1),VLOOKUP(MIN(DatosHoy[Puntos]),'Regresion Md'!$Z$6:$AB$10,2,1)*$BN15+VLOOKUP(MIN(DatosHoy[Puntos]),'Regresion Md'!$Z$6:$AB$10,3,1))</f>
        <v>2551912.012426286</v>
      </c>
      <c r="BU15" s="94">
        <f ca="1">IFERROR(VLOOKUP($BN15,'Regresion Q3'!$T$6:$V$10,2,1)*$BN15+VLOOKUP($BN15,'Regresion Q3'!$T$6:$V$10,3,1),VLOOKUP(MIN(DatosHoy[Puntos]),'Regresion Q3'!$T$6:$V$10,2,1)*$BN15+VLOOKUP(MIN(DatosHoy[Puntos]),'Regresion Q3'!$T$6:$V$10,3,1))</f>
        <v>3500580.259771836</v>
      </c>
      <c r="BV15" s="94">
        <f ca="1">IFERROR(VLOOKUP($BN15,'Regresion Q3'!$W$6:$Y$10,2,1)*$BN15+VLOOKUP($BN15,'Regresion Q3'!$W$6:$Y$10,3,1),VLOOKUP(MIN(DatosHoy[Puntos]),'Regresion Q3'!$W$6:$Y$10,2,1)*$BN15+VLOOKUP(MIN(DatosHoy[Puntos]),'Regresion Q3'!$W$6:$Y$10,3,1))</f>
        <v>3605583.7079835739</v>
      </c>
      <c r="BW15" s="94">
        <f ca="1">IFERROR(VLOOKUP($BN15,'Regresion Q3'!$Z$6:$AB$10,2,1)*$BN15+VLOOKUP($BN15,'Regresion Q3'!$Z$6:$AB$10,3,1),VLOOKUP(MIN(DatosHoy[Puntos]),'Regresion Q3'!$Z$6:$AB$10,2,1)*$BN15+VLOOKUP(MIN(DatosHoy[Puntos]),'Regresion Q3'!$Z$6:$AB$10,3,1))</f>
        <v>3710514.1973022963</v>
      </c>
      <c r="BX15" s="96">
        <f ca="1">DatosHoy[[#This Row],[CT Actual]]/DatosHoy[[#This Row],[CT ajus PM Md]]</f>
        <v>0.94524164166090252</v>
      </c>
      <c r="BY15" s="125" t="str">
        <f>VLOOKUP(DatosHoy[[#This Row],[Cargo Valorado]],Estadísticos[[Cargo]:[Nivel]],2,FALSE)</f>
        <v>Operativo</v>
      </c>
      <c r="BZ15" s="96">
        <f>(DatosHoy[[#This Row],[G+V Actual]]-DatosHoy[[#This Row],[G Actual]])/DatosHoy[[#This Row],[CT Actual]]</f>
        <v>0</v>
      </c>
      <c r="CA15" s="96">
        <f>(DatosHoy[[#This Row],[CT Actual]]-DatosHoy[[#This Row],[G+V Actual]])/DatosHoy[[#This Row],[CT Actual]]</f>
        <v>0</v>
      </c>
      <c r="CB15" s="139" t="s">
        <v>255</v>
      </c>
    </row>
    <row r="16" spans="2:80" x14ac:dyDescent="0.25">
      <c r="B16" s="73">
        <f t="shared" si="0"/>
        <v>11</v>
      </c>
      <c r="C16" s="74">
        <v>2706341.0000000005</v>
      </c>
      <c r="D16" s="74">
        <v>2706341.0000000005</v>
      </c>
      <c r="E16" s="74">
        <v>2706341.0000000005</v>
      </c>
      <c r="F16" s="94">
        <f>VLOOKUP(DatosHoy[[#This Row],[Cargo Valorado]],Estadísticos[],3,0)</f>
        <v>2638660.5002269493</v>
      </c>
      <c r="G16" s="94">
        <f>VLOOKUP(DatosHoy[[#This Row],[Cargo Valorado]],Estadísticos[],4,0)</f>
        <v>2638660.5002269493</v>
      </c>
      <c r="H16" s="94">
        <f>VLOOKUP(DatosHoy[[#This Row],[Cargo Valorado]],Estadísticos[],5,0)</f>
        <v>2721443.0767407464</v>
      </c>
      <c r="I16" s="94">
        <f>VLOOKUP(DatosHoy[[#This Row],[Cargo Valorado]],Estadísticos[],6,0)</f>
        <v>4297469.9864633391</v>
      </c>
      <c r="J16" s="94">
        <f>VLOOKUP(DatosHoy[[#This Row],[Cargo Valorado]],Estadísticos[],7,0)</f>
        <v>4297469.9864633391</v>
      </c>
      <c r="K16" s="94">
        <f>VLOOKUP(DatosHoy[[#This Row],[Cargo Valorado]],Estadísticos[],8,0)</f>
        <v>4297469.9864633391</v>
      </c>
      <c r="L16" s="94">
        <f>VLOOKUP(DatosHoy[[#This Row],[Cargo Valorado]],Estadísticos[],9,0)</f>
        <v>5022767.9353671987</v>
      </c>
      <c r="M16" s="94">
        <f>VLOOKUP(DatosHoy[[#This Row],[Cargo Valorado]],Estadísticos[],10,0)</f>
        <v>5042069.0103157777</v>
      </c>
      <c r="N16" s="94">
        <f>VLOOKUP(DatosHoy[[#This Row],[Cargo Valorado]],Estadísticos[],11,0)</f>
        <v>5271007.9182385728</v>
      </c>
      <c r="O16" s="75" t="s">
        <v>242</v>
      </c>
      <c r="P16" s="75">
        <v>192</v>
      </c>
      <c r="Q16" s="95" t="str">
        <f t="shared" si="4"/>
        <v>$P$16</v>
      </c>
      <c r="R16" s="95" t="str">
        <f t="shared" si="5"/>
        <v>$F$16</v>
      </c>
      <c r="S16" s="95" t="str">
        <f t="shared" si="6"/>
        <v>$G$16</v>
      </c>
      <c r="T16" s="95" t="str">
        <f t="shared" si="7"/>
        <v>$H$16</v>
      </c>
      <c r="U16" s="95" t="str">
        <f t="shared" si="8"/>
        <v>$I$16</v>
      </c>
      <c r="V16" s="95" t="str">
        <f t="shared" si="9"/>
        <v>$J$16</v>
      </c>
      <c r="W16" s="95" t="str">
        <f t="shared" si="10"/>
        <v>$K$16</v>
      </c>
      <c r="X16" s="95" t="str">
        <f t="shared" si="11"/>
        <v>$L$16</v>
      </c>
      <c r="Y16" s="95" t="str">
        <f t="shared" si="12"/>
        <v>$M$16</v>
      </c>
      <c r="Z16" s="95" t="str">
        <f t="shared" si="13"/>
        <v>$N$16</v>
      </c>
      <c r="AA16" s="94">
        <f ca="1">VLOOKUP($P16,'Regresion Q1'!$E$6:$I$10,4,1)*$P16+VLOOKUP($P16,'Regresion Q1'!$E$6:$I$10,5,1)</f>
        <v>2460153.6217167065</v>
      </c>
      <c r="AB16" s="94">
        <f ca="1">VLOOKUP($P16,'Regresion Q1'!$J$6:$N$10,4,1)*$P16+VLOOKUP($P16,'Regresion Q1'!$J$6:$N$10,5,1)</f>
        <v>2510349.7521952195</v>
      </c>
      <c r="AC16" s="94">
        <f ca="1">VLOOKUP($P16,'Regresion Q1'!$O$6:$S$10,4,1)*$P16+VLOOKUP($P16,'Regresion Q1'!$O$6:$S$10,5,1)</f>
        <v>2669255.6222398737</v>
      </c>
      <c r="AD16" s="94">
        <f ca="1">VLOOKUP($P16,'Regresion Md'!$E$6:$I$10,4,1)*$P16+VLOOKUP($P16,'Regresion Md'!$E$6:$I$10,5,1)</f>
        <v>2796061.9864069521</v>
      </c>
      <c r="AE16" s="94">
        <f ca="1">VLOOKUP($P16,'Regresion Md'!$J$6:$N$10,4,1)*$P16+VLOOKUP($P16,'Regresion Md'!$J$6:$N$10,5,1)</f>
        <v>2888160.1859249687</v>
      </c>
      <c r="AF16" s="94">
        <f ca="1">VLOOKUP($P16,'Regresion Md'!$O$6:$S$10,4,1)*$P16+VLOOKUP($P16,'Regresion Md'!$O$6:$S$10,5,1)</f>
        <v>3063773.4477338674</v>
      </c>
      <c r="AG16" s="94">
        <f ca="1">VLOOKUP($P16,'Regresion Q3'!$E$6:$I$10,4,1)*$P16+VLOOKUP($P16,'Regresion Q3'!$E$6:$I$10,5,1)</f>
        <v>3263561.8580720257</v>
      </c>
      <c r="AH16" s="94">
        <f ca="1">VLOOKUP($P16,'Regresion Q3'!$J$6:$N$10,4,1)*$P16+VLOOKUP($P16,'Regresion Q3'!$J$6:$N$10,5,1)</f>
        <v>3319862.2893772637</v>
      </c>
      <c r="AI16" s="94">
        <f ca="1">VLOOKUP($P16,'Regresion Q3'!$O$6:$S$10,4,1)*$P16+VLOOKUP($P16,'Regresion Q3'!$O$6:$S$10,5,1)</f>
        <v>3514331.413852076</v>
      </c>
      <c r="AJ16" s="94">
        <f ca="1">VLOOKUP($P16,'Regresion Q1'!$T$6:$V$10,2,1)*$P16+VLOOKUP($P16,'Regresion Q1'!$T$6:$V$10,3,1)</f>
        <v>2511554.9327729703</v>
      </c>
      <c r="AK16" s="94">
        <f ca="1">VLOOKUP($P16,'Regresion Q1'!$W$6:$Y$10,2,1)*$P16+VLOOKUP($P16,'Regresion Q1'!$W$6:$Y$10,3,1)</f>
        <v>2607164.2360729692</v>
      </c>
      <c r="AL16" s="94">
        <f ca="1">VLOOKUP($P16,'Regresion Q1'!$Z$6:$AB$10,2,1)*$P16+VLOOKUP($P16,'Regresion Q1'!$Z$6:$AB$10,3,1)</f>
        <v>2709724.8292412013</v>
      </c>
      <c r="AM16" s="94">
        <f ca="1">VLOOKUP($P16,'Regresion Md'!$T$6:$V$10,2,1)*$P16+VLOOKUP($P16,'Regresion Md'!$T$6:$V$10,3,1)</f>
        <v>2656482.8185376679</v>
      </c>
      <c r="AN16" s="94">
        <f ca="1">VLOOKUP($P16,'Regresion Md'!$W$6:$Y$10,2,1)*$P16+VLOOKUP($P16,'Regresion Md'!$W$6:$Y$10,3,1)</f>
        <v>2685757.9836932328</v>
      </c>
      <c r="AO16" s="94">
        <f ca="1">VLOOKUP($P16,'Regresion Md'!$Z$6:$AB$10,2,1)*$P16+VLOOKUP($P16,'Regresion Md'!$Z$6:$AB$10,3,1)</f>
        <v>2850057.8206276642</v>
      </c>
      <c r="AP16" s="94">
        <f ca="1">VLOOKUP($P16,'Regresion Q3'!$T$6:$V$10,2,1)*$P16+VLOOKUP($P16,'Regresion Q3'!$T$6:$V$10,3,1)</f>
        <v>4017470.852565242</v>
      </c>
      <c r="AQ16" s="94">
        <f ca="1">VLOOKUP($P16,'Regresion Q3'!$W$6:$Y$10,2,1)*$P16+VLOOKUP($P16,'Regresion Q3'!$W$6:$Y$10,3,1)</f>
        <v>4134647.3615161711</v>
      </c>
      <c r="AR16" s="94">
        <f ca="1">VLOOKUP($P16,'Regresion Q3'!$Z$6:$AB$10,2,1)*$P16+VLOOKUP($P16,'Regresion Q3'!$Z$6:$AB$10,3,1)</f>
        <v>4249534.4787056223</v>
      </c>
      <c r="AS16" s="94">
        <f>IF($BN16=$BN17,-1,DatosHoy[[#This Row],[G ajus PM Q1]]-BO17)</f>
        <v>-1</v>
      </c>
      <c r="AT16" s="94">
        <f>IF($BN16=$BN17,-1,DatosHoy[[#This Row],[G+V ajus PM Q1]]-BP17)</f>
        <v>-1</v>
      </c>
      <c r="AU16" s="94">
        <f>IF($BN16=$BN17,-1,DatosHoy[[#This Row],[CT ajus PM Q1]]-BQ17)</f>
        <v>-1</v>
      </c>
      <c r="AV16" s="94">
        <f ca="1">IF(DatosHoy[[#This Row],[G ajus PM Q1]]=DatosHoy[[#This Row],[G+V ajus PM Q1]],-1,DatosHoy[[#This Row],[G ajus PM Q1]]-DatosHoy[[#This Row],[G+V ajus PM Q1]])</f>
        <v>-95289.77304789098</v>
      </c>
      <c r="AW16" s="94">
        <f ca="1">IF(DatosHoy[[#This Row],[G+V ajus PM Q1]]=DatosHoy[[#This Row],[CT ajus PM Q1]],-1,DatosHoy[[#This Row],[G+V ajus PM Q1]]-DatosHoy[[#This Row],[CT ajus PM Q1]])</f>
        <v>-101195.94411507947</v>
      </c>
      <c r="AX16" s="94">
        <f>IF($BN16=$BN17,-1,DatosHoy[[#This Row],[G ajus PMd]]-BR17)</f>
        <v>-1</v>
      </c>
      <c r="AY16" s="94">
        <f>IF($BN16=$BN17,-1,DatosHoy[[#This Row],[G+V ajus PM Md]]-BS17)</f>
        <v>-1</v>
      </c>
      <c r="AZ16" s="94">
        <f>IF($BN16=$BN17,-1,DatosHoy[[#This Row],[CT ajus PM Md]]-BT17)</f>
        <v>-1</v>
      </c>
      <c r="BA16" s="94">
        <f ca="1">IF(DatosHoy[[#This Row],[G ajus PMd]]=DatosHoy[[#This Row],[G+V ajus PM Md]],-1,DatosHoy[[#This Row],[G ajus PMd]]-DatosHoy[[#This Row],[G+V ajus PM Md]])</f>
        <v>-30625.448967605829</v>
      </c>
      <c r="BB16" s="94">
        <f ca="1">IF(DatosHoy[[#This Row],[G+V ajus PM Md]]=DatosHoy[[#This Row],[CT ajus PM Md]],-1,DatosHoy[[#This Row],[G+V ajus PM Md]]-DatosHoy[[#This Row],[CT ajus PM Md]])</f>
        <v>-160795.30372154899</v>
      </c>
      <c r="BC16" s="94">
        <f>IF($BN16=$BN17,-1,DatosHoy[[#This Row],[G ajus PM Q3]]-BU17)</f>
        <v>-1</v>
      </c>
      <c r="BD16" s="94">
        <f>IF($BN16=$BN17,-1,DatosHoy[[#This Row],[G+V ajus PM Q3]]-BV17)</f>
        <v>-1</v>
      </c>
      <c r="BE16" s="94">
        <f>IF($BN16=$BN17,-1,DatosHoy[[#This Row],[CT ajus PM Q3]]-BW17)</f>
        <v>-1</v>
      </c>
      <c r="BF16" s="94">
        <f ca="1">IF(DatosHoy[[#This Row],[G ajus PM Q3]]=DatosHoy[[#This Row],[G+V ajus PM Q3]],-1,DatosHoy[[#This Row],[G ajus PM Q3]]-DatosHoy[[#This Row],[G+V ajus PM Q3]])</f>
        <v>-115872.25244315853</v>
      </c>
      <c r="BG16" s="94">
        <f ca="1">IF(DatosHoy[[#This Row],[G+V ajus PM Q3]]=DatosHoy[[#This Row],[CT ajus PM Q3]],-1,DatosHoy[[#This Row],[G+V ajus PM Q3]]-DatosHoy[[#This Row],[CT ajus PM Q3]])</f>
        <v>-113820.33563187299</v>
      </c>
      <c r="BH16" s="94">
        <f ca="1">IF(DatosHoy[[#This Row],[G ajus PM Q1]]=DatosHoy[[#This Row],[G ajus PMd]],-1,DatosHoy[[#This Row],[G ajus PM Q1]]-DatosHoy[[#This Row],[G ajus PMd]])</f>
        <v>-145148.19552103244</v>
      </c>
      <c r="BI16" s="94">
        <f ca="1">IF(DatosHoy[[#This Row],[G+V ajus PM Q1]]=DatosHoy[[#This Row],[G+V ajus PM Md]],-1,DatosHoy[[#This Row],[G+V ajus PM Q1]]-DatosHoy[[#This Row],[G+V ajus PM Md]])</f>
        <v>-80483.871440747287</v>
      </c>
      <c r="BJ16" s="94">
        <f ca="1">IF(DatosHoy[[#This Row],[CT ajus PM Q1]]=DatosHoy[[#This Row],[CT ajus PM Md]],-1,DatosHoy[[#This Row],[CT ajus PM Q1]]-DatosHoy[[#This Row],[CT ajus PM Md]])</f>
        <v>-140083.2310472168</v>
      </c>
      <c r="BK16" s="94">
        <f ca="1">IF(DatosHoy[[#This Row],[G ajus PMd]]=DatosHoy[[#This Row],[G ajus PM Q3]],-1,DatosHoy[[#This Row],[G ajus PMd]]-DatosHoy[[#This Row],[G ajus PM Q3]])</f>
        <v>-1335396.8434204441</v>
      </c>
      <c r="BL16" s="94">
        <f ca="1">IF(DatosHoy[[#This Row],[G+V ajus PM Md]]=DatosHoy[[#This Row],[G+V ajus PM Q3]],-1,DatosHoy[[#This Row],[G+V ajus PM Md]]-DatosHoy[[#This Row],[G+V ajus PM Q3]])</f>
        <v>-1420643.6468959968</v>
      </c>
      <c r="BM16" s="94">
        <f ca="1">IF(DatosHoy[[#This Row],[CT ajus PM Md]]=DatosHoy[[#This Row],[CT ajus PM Q3]],-1,DatosHoy[[#This Row],[CT ajus PM Md]]-DatosHoy[[#This Row],[CT ajus PM Q3]])</f>
        <v>-1373668.6788063208</v>
      </c>
      <c r="BN16" s="74">
        <v>189</v>
      </c>
      <c r="BO16" s="94">
        <f ca="1">IFERROR(VLOOKUP($BN16,'Regresion Q1'!$T$6:$V$10,2,1)*$BN16+VLOOKUP($BN16,'Regresion Q1'!$T$6:$V$10,3,1),VLOOKUP(MIN(DatosHoy[Puntos]),'Regresion Q1'!$T$6:$V$10,2,1)*$BN16+VLOOKUP(MIN(DatosHoy[Puntos]),'Regresion Q1'!$T$6:$V$10,3,1))</f>
        <v>2481544.6786816148</v>
      </c>
      <c r="BP16" s="94">
        <f ca="1">IFERROR(VLOOKUP($BN16,'Regresion Q1'!$W$6:$Y$10,2,1)*$BN16+VLOOKUP($BN16,'Regresion Q1'!$W$6:$Y$10,3,1),VLOOKUP(MIN(DatosHoy[Puntos]),'Regresion Q1'!$W$6:$Y$10,2,1)*$BN16+VLOOKUP(MIN(DatosHoy[Puntos]),'Regresion Q1'!$W$6:$Y$10,3,1))</f>
        <v>2576834.4517295058</v>
      </c>
      <c r="BQ16" s="94">
        <f ca="1">IFERROR(VLOOKUP($BN16,'Regresion Q1'!$Z$6:$AB$10,2,1)*$BN16+VLOOKUP($BN16,'Regresion Q1'!$Z$6:$AB$10,3,1),VLOOKUP(MIN(DatosHoy[Puntos]),'Regresion Q1'!$Z$6:$AB$10,2,1)*$BN16+VLOOKUP(MIN(DatosHoy[Puntos]),'Regresion Q1'!$Z$6:$AB$10,3,1))</f>
        <v>2678030.3958445853</v>
      </c>
      <c r="BR16" s="94">
        <f ca="1">IFERROR(VLOOKUP($BN16,'Regresion Md'!$T$6:$V$10,2,1)*$BN16+VLOOKUP($BN16,'Regresion Md'!$T$6:$V$10,3,1),VLOOKUP(MIN(DatosHoy[Puntos]),'Regresion Md'!$T$6:$V$10,2,1)*$BN16+VLOOKUP(MIN(DatosHoy[Puntos]),'Regresion Md'!$T$6:$V$10,3,1))</f>
        <v>2626692.8742026472</v>
      </c>
      <c r="BS16" s="94">
        <f ca="1">IFERROR(VLOOKUP($BN16,'Regresion Md'!$W$6:$Y$10,2,1)*$BN16+VLOOKUP($BN16,'Regresion Md'!$W$6:$Y$10,3,1),VLOOKUP(MIN(DatosHoy[Puntos]),'Regresion Md'!$W$6:$Y$10,2,1)*$BN16+VLOOKUP(MIN(DatosHoy[Puntos]),'Regresion Md'!$W$6:$Y$10,3,1))</f>
        <v>2657318.3231702531</v>
      </c>
      <c r="BT16" s="94">
        <f ca="1">IFERROR(VLOOKUP($BN16,'Regresion Md'!$Z$6:$AB$10,2,1)*$BN16+VLOOKUP($BN16,'Regresion Md'!$Z$6:$AB$10,3,1),VLOOKUP(MIN(DatosHoy[Puntos]),'Regresion Md'!$Z$6:$AB$10,2,1)*$BN16+VLOOKUP(MIN(DatosHoy[Puntos]),'Regresion Md'!$Z$6:$AB$10,3,1))</f>
        <v>2818113.6268918021</v>
      </c>
      <c r="BU16" s="94">
        <f ca="1">IFERROR(VLOOKUP($BN16,'Regresion Q3'!$T$6:$V$10,2,1)*$BN16+VLOOKUP($BN16,'Regresion Q3'!$T$6:$V$10,3,1),VLOOKUP(MIN(DatosHoy[Puntos]),'Regresion Q3'!$T$6:$V$10,2,1)*$BN16+VLOOKUP(MIN(DatosHoy[Puntos]),'Regresion Q3'!$T$6:$V$10,3,1))</f>
        <v>3962089.7176230913</v>
      </c>
      <c r="BV16" s="94">
        <f ca="1">IFERROR(VLOOKUP($BN16,'Regresion Q3'!$W$6:$Y$10,2,1)*$BN16+VLOOKUP($BN16,'Regresion Q3'!$W$6:$Y$10,3,1),VLOOKUP(MIN(DatosHoy[Puntos]),'Regresion Q3'!$W$6:$Y$10,2,1)*$BN16+VLOOKUP(MIN(DatosHoy[Puntos]),'Regresion Q3'!$W$6:$Y$10,3,1))</f>
        <v>4077961.9700662498</v>
      </c>
      <c r="BW16" s="94">
        <f ca="1">IFERROR(VLOOKUP($BN16,'Regresion Q3'!$Z$6:$AB$10,2,1)*$BN16+VLOOKUP($BN16,'Regresion Q3'!$Z$6:$AB$10,3,1),VLOOKUP(MIN(DatosHoy[Puntos]),'Regresion Q3'!$Z$6:$AB$10,2,1)*$BN16+VLOOKUP(MIN(DatosHoy[Puntos]),'Regresion Q3'!$Z$6:$AB$10,3,1))</f>
        <v>4191782.3056981228</v>
      </c>
      <c r="BX16" s="96">
        <f ca="1">DatosHoy[[#This Row],[CT Actual]]/DatosHoy[[#This Row],[CT ajus PM Md]]</f>
        <v>0.96033778559345051</v>
      </c>
      <c r="BY16" s="125" t="str">
        <f>VLOOKUP(DatosHoy[[#This Row],[Cargo Valorado]],Estadísticos[[Cargo]:[Nivel]],2,FALSE)</f>
        <v>Soporte</v>
      </c>
      <c r="BZ16" s="96">
        <f>(DatosHoy[[#This Row],[G+V Actual]]-DatosHoy[[#This Row],[G Actual]])/DatosHoy[[#This Row],[CT Actual]]</f>
        <v>0</v>
      </c>
      <c r="CA16" s="96">
        <f>(DatosHoy[[#This Row],[CT Actual]]-DatosHoy[[#This Row],[G+V Actual]])/DatosHoy[[#This Row],[CT Actual]]</f>
        <v>0</v>
      </c>
      <c r="CB16" s="139" t="s">
        <v>255</v>
      </c>
    </row>
    <row r="17" spans="2:80" x14ac:dyDescent="0.25">
      <c r="B17" s="73">
        <f t="shared" si="0"/>
        <v>12</v>
      </c>
      <c r="C17" s="74">
        <v>2706341.0000000005</v>
      </c>
      <c r="D17" s="74">
        <v>2706341.0000000005</v>
      </c>
      <c r="E17" s="74">
        <v>2706341.0000000005</v>
      </c>
      <c r="F17" s="94">
        <f>VLOOKUP(DatosHoy[[#This Row],[Cargo Valorado]],Estadísticos[],3,0)</f>
        <v>2638660.5002269493</v>
      </c>
      <c r="G17" s="94">
        <f>VLOOKUP(DatosHoy[[#This Row],[Cargo Valorado]],Estadísticos[],4,0)</f>
        <v>2638660.5002269493</v>
      </c>
      <c r="H17" s="94">
        <f>VLOOKUP(DatosHoy[[#This Row],[Cargo Valorado]],Estadísticos[],5,0)</f>
        <v>2721443.0767407464</v>
      </c>
      <c r="I17" s="94">
        <f>VLOOKUP(DatosHoy[[#This Row],[Cargo Valorado]],Estadísticos[],6,0)</f>
        <v>4297469.9864633391</v>
      </c>
      <c r="J17" s="94">
        <f>VLOOKUP(DatosHoy[[#This Row],[Cargo Valorado]],Estadísticos[],7,0)</f>
        <v>4297469.9864633391</v>
      </c>
      <c r="K17" s="94">
        <f>VLOOKUP(DatosHoy[[#This Row],[Cargo Valorado]],Estadísticos[],8,0)</f>
        <v>4297469.9864633391</v>
      </c>
      <c r="L17" s="94">
        <f>VLOOKUP(DatosHoy[[#This Row],[Cargo Valorado]],Estadísticos[],9,0)</f>
        <v>5022767.9353671987</v>
      </c>
      <c r="M17" s="94">
        <f>VLOOKUP(DatosHoy[[#This Row],[Cargo Valorado]],Estadísticos[],10,0)</f>
        <v>5042069.0103157777</v>
      </c>
      <c r="N17" s="94">
        <f>VLOOKUP(DatosHoy[[#This Row],[Cargo Valorado]],Estadísticos[],11,0)</f>
        <v>5271007.9182385728</v>
      </c>
      <c r="O17" s="75" t="s">
        <v>242</v>
      </c>
      <c r="P17" s="75">
        <v>192</v>
      </c>
      <c r="Q17" s="95" t="str">
        <f t="shared" si="4"/>
        <v>$P$17</v>
      </c>
      <c r="R17" s="95" t="str">
        <f t="shared" si="5"/>
        <v>$F$17</v>
      </c>
      <c r="S17" s="95" t="str">
        <f t="shared" si="6"/>
        <v>$G$17</v>
      </c>
      <c r="T17" s="95" t="str">
        <f t="shared" si="7"/>
        <v>$H$17</v>
      </c>
      <c r="U17" s="95" t="str">
        <f t="shared" si="8"/>
        <v>$I$17</v>
      </c>
      <c r="V17" s="95" t="str">
        <f t="shared" si="9"/>
        <v>$J$17</v>
      </c>
      <c r="W17" s="95" t="str">
        <f t="shared" si="10"/>
        <v>$K$17</v>
      </c>
      <c r="X17" s="95" t="str">
        <f t="shared" si="11"/>
        <v>$L$17</v>
      </c>
      <c r="Y17" s="95" t="str">
        <f t="shared" si="12"/>
        <v>$M$17</v>
      </c>
      <c r="Z17" s="95" t="str">
        <f t="shared" si="13"/>
        <v>$N$17</v>
      </c>
      <c r="AA17" s="94">
        <f ca="1">VLOOKUP($P17,'Regresion Q1'!$E$6:$I$10,4,1)*$P17+VLOOKUP($P17,'Regresion Q1'!$E$6:$I$10,5,1)</f>
        <v>2460153.6217167065</v>
      </c>
      <c r="AB17" s="94">
        <f ca="1">VLOOKUP($P17,'Regresion Q1'!$J$6:$N$10,4,1)*$P17+VLOOKUP($P17,'Regresion Q1'!$J$6:$N$10,5,1)</f>
        <v>2510349.7521952195</v>
      </c>
      <c r="AC17" s="94">
        <f ca="1">VLOOKUP($P17,'Regresion Q1'!$O$6:$S$10,4,1)*$P17+VLOOKUP($P17,'Regresion Q1'!$O$6:$S$10,5,1)</f>
        <v>2669255.6222398737</v>
      </c>
      <c r="AD17" s="94">
        <f ca="1">VLOOKUP($P17,'Regresion Md'!$E$6:$I$10,4,1)*$P17+VLOOKUP($P17,'Regresion Md'!$E$6:$I$10,5,1)</f>
        <v>2796061.9864069521</v>
      </c>
      <c r="AE17" s="94">
        <f ca="1">VLOOKUP($P17,'Regresion Md'!$J$6:$N$10,4,1)*$P17+VLOOKUP($P17,'Regresion Md'!$J$6:$N$10,5,1)</f>
        <v>2888160.1859249687</v>
      </c>
      <c r="AF17" s="94">
        <f ca="1">VLOOKUP($P17,'Regresion Md'!$O$6:$S$10,4,1)*$P17+VLOOKUP($P17,'Regresion Md'!$O$6:$S$10,5,1)</f>
        <v>3063773.4477338674</v>
      </c>
      <c r="AG17" s="94">
        <f ca="1">VLOOKUP($P17,'Regresion Q3'!$E$6:$I$10,4,1)*$P17+VLOOKUP($P17,'Regresion Q3'!$E$6:$I$10,5,1)</f>
        <v>3263561.8580720257</v>
      </c>
      <c r="AH17" s="94">
        <f ca="1">VLOOKUP($P17,'Regresion Q3'!$J$6:$N$10,4,1)*$P17+VLOOKUP($P17,'Regresion Q3'!$J$6:$N$10,5,1)</f>
        <v>3319862.2893772637</v>
      </c>
      <c r="AI17" s="94">
        <f ca="1">VLOOKUP($P17,'Regresion Q3'!$O$6:$S$10,4,1)*$P17+VLOOKUP($P17,'Regresion Q3'!$O$6:$S$10,5,1)</f>
        <v>3514331.413852076</v>
      </c>
      <c r="AJ17" s="94">
        <f ca="1">VLOOKUP($P17,'Regresion Q1'!$T$6:$V$10,2,1)*$P17+VLOOKUP($P17,'Regresion Q1'!$T$6:$V$10,3,1)</f>
        <v>2511554.9327729703</v>
      </c>
      <c r="AK17" s="94">
        <f ca="1">VLOOKUP($P17,'Regresion Q1'!$W$6:$Y$10,2,1)*$P17+VLOOKUP($P17,'Regresion Q1'!$W$6:$Y$10,3,1)</f>
        <v>2607164.2360729692</v>
      </c>
      <c r="AL17" s="94">
        <f ca="1">VLOOKUP($P17,'Regresion Q1'!$Z$6:$AB$10,2,1)*$P17+VLOOKUP($P17,'Regresion Q1'!$Z$6:$AB$10,3,1)</f>
        <v>2709724.8292412013</v>
      </c>
      <c r="AM17" s="94">
        <f ca="1">VLOOKUP($P17,'Regresion Md'!$T$6:$V$10,2,1)*$P17+VLOOKUP($P17,'Regresion Md'!$T$6:$V$10,3,1)</f>
        <v>2656482.8185376679</v>
      </c>
      <c r="AN17" s="94">
        <f ca="1">VLOOKUP($P17,'Regresion Md'!$W$6:$Y$10,2,1)*$P17+VLOOKUP($P17,'Regresion Md'!$W$6:$Y$10,3,1)</f>
        <v>2685757.9836932328</v>
      </c>
      <c r="AO17" s="94">
        <f ca="1">VLOOKUP($P17,'Regresion Md'!$Z$6:$AB$10,2,1)*$P17+VLOOKUP($P17,'Regresion Md'!$Z$6:$AB$10,3,1)</f>
        <v>2850057.8206276642</v>
      </c>
      <c r="AP17" s="94">
        <f ca="1">VLOOKUP($P17,'Regresion Q3'!$T$6:$V$10,2,1)*$P17+VLOOKUP($P17,'Regresion Q3'!$T$6:$V$10,3,1)</f>
        <v>4017470.852565242</v>
      </c>
      <c r="AQ17" s="94">
        <f ca="1">VLOOKUP($P17,'Regresion Q3'!$W$6:$Y$10,2,1)*$P17+VLOOKUP($P17,'Regresion Q3'!$W$6:$Y$10,3,1)</f>
        <v>4134647.3615161711</v>
      </c>
      <c r="AR17" s="94">
        <f ca="1">VLOOKUP($P17,'Regresion Q3'!$Z$6:$AB$10,2,1)*$P17+VLOOKUP($P17,'Regresion Q3'!$Z$6:$AB$10,3,1)</f>
        <v>4249534.4787056223</v>
      </c>
      <c r="AS17" s="94">
        <f>IF($BN17=$BN18,-1,DatosHoy[[#This Row],[G ajus PM Q1]]-BO18)</f>
        <v>-1</v>
      </c>
      <c r="AT17" s="94">
        <f>IF($BN17=$BN18,-1,DatosHoy[[#This Row],[G+V ajus PM Q1]]-BP18)</f>
        <v>-1</v>
      </c>
      <c r="AU17" s="94">
        <f>IF($BN17=$BN18,-1,DatosHoy[[#This Row],[CT ajus PM Q1]]-BQ18)</f>
        <v>-1</v>
      </c>
      <c r="AV17" s="94">
        <f ca="1">IF(DatosHoy[[#This Row],[G ajus PM Q1]]=DatosHoy[[#This Row],[G+V ajus PM Q1]],-1,DatosHoy[[#This Row],[G ajus PM Q1]]-DatosHoy[[#This Row],[G+V ajus PM Q1]])</f>
        <v>-95289.77304789098</v>
      </c>
      <c r="AW17" s="94">
        <f ca="1">IF(DatosHoy[[#This Row],[G+V ajus PM Q1]]=DatosHoy[[#This Row],[CT ajus PM Q1]],-1,DatosHoy[[#This Row],[G+V ajus PM Q1]]-DatosHoy[[#This Row],[CT ajus PM Q1]])</f>
        <v>-101195.94411507947</v>
      </c>
      <c r="AX17" s="94">
        <f>IF($BN17=$BN18,-1,DatosHoy[[#This Row],[G ajus PMd]]-BR18)</f>
        <v>-1</v>
      </c>
      <c r="AY17" s="94">
        <f>IF($BN17=$BN18,-1,DatosHoy[[#This Row],[G+V ajus PM Md]]-BS18)</f>
        <v>-1</v>
      </c>
      <c r="AZ17" s="94">
        <f>IF($BN17=$BN18,-1,DatosHoy[[#This Row],[CT ajus PM Md]]-BT18)</f>
        <v>-1</v>
      </c>
      <c r="BA17" s="94">
        <f ca="1">IF(DatosHoy[[#This Row],[G ajus PMd]]=DatosHoy[[#This Row],[G+V ajus PM Md]],-1,DatosHoy[[#This Row],[G ajus PMd]]-DatosHoy[[#This Row],[G+V ajus PM Md]])</f>
        <v>-30625.448967605829</v>
      </c>
      <c r="BB17" s="94">
        <f ca="1">IF(DatosHoy[[#This Row],[G+V ajus PM Md]]=DatosHoy[[#This Row],[CT ajus PM Md]],-1,DatosHoy[[#This Row],[G+V ajus PM Md]]-DatosHoy[[#This Row],[CT ajus PM Md]])</f>
        <v>-160795.30372154899</v>
      </c>
      <c r="BC17" s="94">
        <f>IF($BN17=$BN18,-1,DatosHoy[[#This Row],[G ajus PM Q3]]-BU18)</f>
        <v>-1</v>
      </c>
      <c r="BD17" s="94">
        <f>IF($BN17=$BN18,-1,DatosHoy[[#This Row],[G+V ajus PM Q3]]-BV18)</f>
        <v>-1</v>
      </c>
      <c r="BE17" s="94">
        <f>IF($BN17=$BN18,-1,DatosHoy[[#This Row],[CT ajus PM Q3]]-BW18)</f>
        <v>-1</v>
      </c>
      <c r="BF17" s="94">
        <f ca="1">IF(DatosHoy[[#This Row],[G ajus PM Q3]]=DatosHoy[[#This Row],[G+V ajus PM Q3]],-1,DatosHoy[[#This Row],[G ajus PM Q3]]-DatosHoy[[#This Row],[G+V ajus PM Q3]])</f>
        <v>-115872.25244315853</v>
      </c>
      <c r="BG17" s="94">
        <f ca="1">IF(DatosHoy[[#This Row],[G+V ajus PM Q3]]=DatosHoy[[#This Row],[CT ajus PM Q3]],-1,DatosHoy[[#This Row],[G+V ajus PM Q3]]-DatosHoy[[#This Row],[CT ajus PM Q3]])</f>
        <v>-113820.33563187299</v>
      </c>
      <c r="BH17" s="94">
        <f ca="1">IF(DatosHoy[[#This Row],[G ajus PM Q1]]=DatosHoy[[#This Row],[G ajus PMd]],-1,DatosHoy[[#This Row],[G ajus PM Q1]]-DatosHoy[[#This Row],[G ajus PMd]])</f>
        <v>-145148.19552103244</v>
      </c>
      <c r="BI17" s="94">
        <f ca="1">IF(DatosHoy[[#This Row],[G+V ajus PM Q1]]=DatosHoy[[#This Row],[G+V ajus PM Md]],-1,DatosHoy[[#This Row],[G+V ajus PM Q1]]-DatosHoy[[#This Row],[G+V ajus PM Md]])</f>
        <v>-80483.871440747287</v>
      </c>
      <c r="BJ17" s="94">
        <f ca="1">IF(DatosHoy[[#This Row],[CT ajus PM Q1]]=DatosHoy[[#This Row],[CT ajus PM Md]],-1,DatosHoy[[#This Row],[CT ajus PM Q1]]-DatosHoy[[#This Row],[CT ajus PM Md]])</f>
        <v>-140083.2310472168</v>
      </c>
      <c r="BK17" s="94">
        <f ca="1">IF(DatosHoy[[#This Row],[G ajus PMd]]=DatosHoy[[#This Row],[G ajus PM Q3]],-1,DatosHoy[[#This Row],[G ajus PMd]]-DatosHoy[[#This Row],[G ajus PM Q3]])</f>
        <v>-1335396.8434204441</v>
      </c>
      <c r="BL17" s="94">
        <f ca="1">IF(DatosHoy[[#This Row],[G+V ajus PM Md]]=DatosHoy[[#This Row],[G+V ajus PM Q3]],-1,DatosHoy[[#This Row],[G+V ajus PM Md]]-DatosHoy[[#This Row],[G+V ajus PM Q3]])</f>
        <v>-1420643.6468959968</v>
      </c>
      <c r="BM17" s="94">
        <f ca="1">IF(DatosHoy[[#This Row],[CT ajus PM Md]]=DatosHoy[[#This Row],[CT ajus PM Q3]],-1,DatosHoy[[#This Row],[CT ajus PM Md]]-DatosHoy[[#This Row],[CT ajus PM Q3]])</f>
        <v>-1373668.6788063208</v>
      </c>
      <c r="BN17" s="74">
        <v>189</v>
      </c>
      <c r="BO17" s="94">
        <f ca="1">IFERROR(VLOOKUP($BN17,'Regresion Q1'!$T$6:$V$10,2,1)*$BN17+VLOOKUP($BN17,'Regresion Q1'!$T$6:$V$10,3,1),VLOOKUP(MIN(DatosHoy[Puntos]),'Regresion Q1'!$T$6:$V$10,2,1)*$BN17+VLOOKUP(MIN(DatosHoy[Puntos]),'Regresion Q1'!$T$6:$V$10,3,1))</f>
        <v>2481544.6786816148</v>
      </c>
      <c r="BP17" s="94">
        <f ca="1">IFERROR(VLOOKUP($BN17,'Regresion Q1'!$W$6:$Y$10,2,1)*$BN17+VLOOKUP($BN17,'Regresion Q1'!$W$6:$Y$10,3,1),VLOOKUP(MIN(DatosHoy[Puntos]),'Regresion Q1'!$W$6:$Y$10,2,1)*$BN17+VLOOKUP(MIN(DatosHoy[Puntos]),'Regresion Q1'!$W$6:$Y$10,3,1))</f>
        <v>2576834.4517295058</v>
      </c>
      <c r="BQ17" s="94">
        <f ca="1">IFERROR(VLOOKUP($BN17,'Regresion Q1'!$Z$6:$AB$10,2,1)*$BN17+VLOOKUP($BN17,'Regresion Q1'!$Z$6:$AB$10,3,1),VLOOKUP(MIN(DatosHoy[Puntos]),'Regresion Q1'!$Z$6:$AB$10,2,1)*$BN17+VLOOKUP(MIN(DatosHoy[Puntos]),'Regresion Q1'!$Z$6:$AB$10,3,1))</f>
        <v>2678030.3958445853</v>
      </c>
      <c r="BR17" s="94">
        <f ca="1">IFERROR(VLOOKUP($BN17,'Regresion Md'!$T$6:$V$10,2,1)*$BN17+VLOOKUP($BN17,'Regresion Md'!$T$6:$V$10,3,1),VLOOKUP(MIN(DatosHoy[Puntos]),'Regresion Md'!$T$6:$V$10,2,1)*$BN17+VLOOKUP(MIN(DatosHoy[Puntos]),'Regresion Md'!$T$6:$V$10,3,1))</f>
        <v>2626692.8742026472</v>
      </c>
      <c r="BS17" s="94">
        <f ca="1">IFERROR(VLOOKUP($BN17,'Regresion Md'!$W$6:$Y$10,2,1)*$BN17+VLOOKUP($BN17,'Regresion Md'!$W$6:$Y$10,3,1),VLOOKUP(MIN(DatosHoy[Puntos]),'Regresion Md'!$W$6:$Y$10,2,1)*$BN17+VLOOKUP(MIN(DatosHoy[Puntos]),'Regresion Md'!$W$6:$Y$10,3,1))</f>
        <v>2657318.3231702531</v>
      </c>
      <c r="BT17" s="94">
        <f ca="1">IFERROR(VLOOKUP($BN17,'Regresion Md'!$Z$6:$AB$10,2,1)*$BN17+VLOOKUP($BN17,'Regresion Md'!$Z$6:$AB$10,3,1),VLOOKUP(MIN(DatosHoy[Puntos]),'Regresion Md'!$Z$6:$AB$10,2,1)*$BN17+VLOOKUP(MIN(DatosHoy[Puntos]),'Regresion Md'!$Z$6:$AB$10,3,1))</f>
        <v>2818113.6268918021</v>
      </c>
      <c r="BU17" s="94">
        <f ca="1">IFERROR(VLOOKUP($BN17,'Regresion Q3'!$T$6:$V$10,2,1)*$BN17+VLOOKUP($BN17,'Regresion Q3'!$T$6:$V$10,3,1),VLOOKUP(MIN(DatosHoy[Puntos]),'Regresion Q3'!$T$6:$V$10,2,1)*$BN17+VLOOKUP(MIN(DatosHoy[Puntos]),'Regresion Q3'!$T$6:$V$10,3,1))</f>
        <v>3962089.7176230913</v>
      </c>
      <c r="BV17" s="94">
        <f ca="1">IFERROR(VLOOKUP($BN17,'Regresion Q3'!$W$6:$Y$10,2,1)*$BN17+VLOOKUP($BN17,'Regresion Q3'!$W$6:$Y$10,3,1),VLOOKUP(MIN(DatosHoy[Puntos]),'Regresion Q3'!$W$6:$Y$10,2,1)*$BN17+VLOOKUP(MIN(DatosHoy[Puntos]),'Regresion Q3'!$W$6:$Y$10,3,1))</f>
        <v>4077961.9700662498</v>
      </c>
      <c r="BW17" s="94">
        <f ca="1">IFERROR(VLOOKUP($BN17,'Regresion Q3'!$Z$6:$AB$10,2,1)*$BN17+VLOOKUP($BN17,'Regresion Q3'!$Z$6:$AB$10,3,1),VLOOKUP(MIN(DatosHoy[Puntos]),'Regresion Q3'!$Z$6:$AB$10,2,1)*$BN17+VLOOKUP(MIN(DatosHoy[Puntos]),'Regresion Q3'!$Z$6:$AB$10,3,1))</f>
        <v>4191782.3056981228</v>
      </c>
      <c r="BX17" s="96">
        <f ca="1">DatosHoy[[#This Row],[CT Actual]]/DatosHoy[[#This Row],[CT ajus PM Md]]</f>
        <v>0.96033778559345051</v>
      </c>
      <c r="BY17" s="125" t="str">
        <f>VLOOKUP(DatosHoy[[#This Row],[Cargo Valorado]],Estadísticos[[Cargo]:[Nivel]],2,FALSE)</f>
        <v>Soporte</v>
      </c>
      <c r="BZ17" s="96">
        <f>(DatosHoy[[#This Row],[G+V Actual]]-DatosHoy[[#This Row],[G Actual]])/DatosHoy[[#This Row],[CT Actual]]</f>
        <v>0</v>
      </c>
      <c r="CA17" s="96">
        <f>(DatosHoy[[#This Row],[CT Actual]]-DatosHoy[[#This Row],[G+V Actual]])/DatosHoy[[#This Row],[CT Actual]]</f>
        <v>0</v>
      </c>
      <c r="CB17" s="139" t="s">
        <v>255</v>
      </c>
    </row>
    <row r="18" spans="2:80" x14ac:dyDescent="0.25">
      <c r="B18" s="73">
        <f t="shared" si="0"/>
        <v>13</v>
      </c>
      <c r="C18" s="74">
        <v>2706341.0000000005</v>
      </c>
      <c r="D18" s="74">
        <v>2706341.0000000005</v>
      </c>
      <c r="E18" s="74">
        <v>2706341.0000000005</v>
      </c>
      <c r="F18" s="94">
        <f>VLOOKUP(DatosHoy[[#This Row],[Cargo Valorado]],Estadísticos[],3,0)</f>
        <v>2638660.5002269493</v>
      </c>
      <c r="G18" s="94">
        <f>VLOOKUP(DatosHoy[[#This Row],[Cargo Valorado]],Estadísticos[],4,0)</f>
        <v>2638660.5002269493</v>
      </c>
      <c r="H18" s="94">
        <f>VLOOKUP(DatosHoy[[#This Row],[Cargo Valorado]],Estadísticos[],5,0)</f>
        <v>2721443.0767407464</v>
      </c>
      <c r="I18" s="94">
        <f>VLOOKUP(DatosHoy[[#This Row],[Cargo Valorado]],Estadísticos[],6,0)</f>
        <v>4297469.9864633391</v>
      </c>
      <c r="J18" s="94">
        <f>VLOOKUP(DatosHoy[[#This Row],[Cargo Valorado]],Estadísticos[],7,0)</f>
        <v>4297469.9864633391</v>
      </c>
      <c r="K18" s="94">
        <f>VLOOKUP(DatosHoy[[#This Row],[Cargo Valorado]],Estadísticos[],8,0)</f>
        <v>4297469.9864633391</v>
      </c>
      <c r="L18" s="94">
        <f>VLOOKUP(DatosHoy[[#This Row],[Cargo Valorado]],Estadísticos[],9,0)</f>
        <v>5022767.9353671987</v>
      </c>
      <c r="M18" s="94">
        <f>VLOOKUP(DatosHoy[[#This Row],[Cargo Valorado]],Estadísticos[],10,0)</f>
        <v>5042069.0103157777</v>
      </c>
      <c r="N18" s="94">
        <f>VLOOKUP(DatosHoy[[#This Row],[Cargo Valorado]],Estadísticos[],11,0)</f>
        <v>5271007.9182385728</v>
      </c>
      <c r="O18" s="75" t="s">
        <v>242</v>
      </c>
      <c r="P18" s="75">
        <v>192</v>
      </c>
      <c r="Q18" s="95" t="str">
        <f t="shared" si="4"/>
        <v>$P$18</v>
      </c>
      <c r="R18" s="95" t="str">
        <f t="shared" si="5"/>
        <v>$F$18</v>
      </c>
      <c r="S18" s="95" t="str">
        <f t="shared" si="6"/>
        <v>$G$18</v>
      </c>
      <c r="T18" s="95" t="str">
        <f t="shared" si="7"/>
        <v>$H$18</v>
      </c>
      <c r="U18" s="95" t="str">
        <f t="shared" si="8"/>
        <v>$I$18</v>
      </c>
      <c r="V18" s="95" t="str">
        <f t="shared" si="9"/>
        <v>$J$18</v>
      </c>
      <c r="W18" s="95" t="str">
        <f t="shared" si="10"/>
        <v>$K$18</v>
      </c>
      <c r="X18" s="95" t="str">
        <f t="shared" si="11"/>
        <v>$L$18</v>
      </c>
      <c r="Y18" s="95" t="str">
        <f t="shared" si="12"/>
        <v>$M$18</v>
      </c>
      <c r="Z18" s="95" t="str">
        <f t="shared" si="13"/>
        <v>$N$18</v>
      </c>
      <c r="AA18" s="94">
        <f ca="1">VLOOKUP($P18,'Regresion Q1'!$E$6:$I$10,4,1)*$P18+VLOOKUP($P18,'Regresion Q1'!$E$6:$I$10,5,1)</f>
        <v>2460153.6217167065</v>
      </c>
      <c r="AB18" s="94">
        <f ca="1">VLOOKUP($P18,'Regresion Q1'!$J$6:$N$10,4,1)*$P18+VLOOKUP($P18,'Regresion Q1'!$J$6:$N$10,5,1)</f>
        <v>2510349.7521952195</v>
      </c>
      <c r="AC18" s="94">
        <f ca="1">VLOOKUP($P18,'Regresion Q1'!$O$6:$S$10,4,1)*$P18+VLOOKUP($P18,'Regresion Q1'!$O$6:$S$10,5,1)</f>
        <v>2669255.6222398737</v>
      </c>
      <c r="AD18" s="94">
        <f ca="1">VLOOKUP($P18,'Regresion Md'!$E$6:$I$10,4,1)*$P18+VLOOKUP($P18,'Regresion Md'!$E$6:$I$10,5,1)</f>
        <v>2796061.9864069521</v>
      </c>
      <c r="AE18" s="94">
        <f ca="1">VLOOKUP($P18,'Regresion Md'!$J$6:$N$10,4,1)*$P18+VLOOKUP($P18,'Regresion Md'!$J$6:$N$10,5,1)</f>
        <v>2888160.1859249687</v>
      </c>
      <c r="AF18" s="94">
        <f ca="1">VLOOKUP($P18,'Regresion Md'!$O$6:$S$10,4,1)*$P18+VLOOKUP($P18,'Regresion Md'!$O$6:$S$10,5,1)</f>
        <v>3063773.4477338674</v>
      </c>
      <c r="AG18" s="94">
        <f ca="1">VLOOKUP($P18,'Regresion Q3'!$E$6:$I$10,4,1)*$P18+VLOOKUP($P18,'Regresion Q3'!$E$6:$I$10,5,1)</f>
        <v>3263561.8580720257</v>
      </c>
      <c r="AH18" s="94">
        <f ca="1">VLOOKUP($P18,'Regresion Q3'!$J$6:$N$10,4,1)*$P18+VLOOKUP($P18,'Regresion Q3'!$J$6:$N$10,5,1)</f>
        <v>3319862.2893772637</v>
      </c>
      <c r="AI18" s="94">
        <f ca="1">VLOOKUP($P18,'Regresion Q3'!$O$6:$S$10,4,1)*$P18+VLOOKUP($P18,'Regresion Q3'!$O$6:$S$10,5,1)</f>
        <v>3514331.413852076</v>
      </c>
      <c r="AJ18" s="94">
        <f ca="1">VLOOKUP($P18,'Regresion Q1'!$T$6:$V$10,2,1)*$P18+VLOOKUP($P18,'Regresion Q1'!$T$6:$V$10,3,1)</f>
        <v>2511554.9327729703</v>
      </c>
      <c r="AK18" s="94">
        <f ca="1">VLOOKUP($P18,'Regresion Q1'!$W$6:$Y$10,2,1)*$P18+VLOOKUP($P18,'Regresion Q1'!$W$6:$Y$10,3,1)</f>
        <v>2607164.2360729692</v>
      </c>
      <c r="AL18" s="94">
        <f ca="1">VLOOKUP($P18,'Regresion Q1'!$Z$6:$AB$10,2,1)*$P18+VLOOKUP($P18,'Regresion Q1'!$Z$6:$AB$10,3,1)</f>
        <v>2709724.8292412013</v>
      </c>
      <c r="AM18" s="94">
        <f ca="1">VLOOKUP($P18,'Regresion Md'!$T$6:$V$10,2,1)*$P18+VLOOKUP($P18,'Regresion Md'!$T$6:$V$10,3,1)</f>
        <v>2656482.8185376679</v>
      </c>
      <c r="AN18" s="94">
        <f ca="1">VLOOKUP($P18,'Regresion Md'!$W$6:$Y$10,2,1)*$P18+VLOOKUP($P18,'Regresion Md'!$W$6:$Y$10,3,1)</f>
        <v>2685757.9836932328</v>
      </c>
      <c r="AO18" s="94">
        <f ca="1">VLOOKUP($P18,'Regresion Md'!$Z$6:$AB$10,2,1)*$P18+VLOOKUP($P18,'Regresion Md'!$Z$6:$AB$10,3,1)</f>
        <v>2850057.8206276642</v>
      </c>
      <c r="AP18" s="94">
        <f ca="1">VLOOKUP($P18,'Regresion Q3'!$T$6:$V$10,2,1)*$P18+VLOOKUP($P18,'Regresion Q3'!$T$6:$V$10,3,1)</f>
        <v>4017470.852565242</v>
      </c>
      <c r="AQ18" s="94">
        <f ca="1">VLOOKUP($P18,'Regresion Q3'!$W$6:$Y$10,2,1)*$P18+VLOOKUP($P18,'Regresion Q3'!$W$6:$Y$10,3,1)</f>
        <v>4134647.3615161711</v>
      </c>
      <c r="AR18" s="94">
        <f ca="1">VLOOKUP($P18,'Regresion Q3'!$Z$6:$AB$10,2,1)*$P18+VLOOKUP($P18,'Regresion Q3'!$Z$6:$AB$10,3,1)</f>
        <v>4249534.4787056223</v>
      </c>
      <c r="AS18" s="94">
        <f>IF($BN18=$BN19,-1,DatosHoy[[#This Row],[G ajus PM Q1]]-BO19)</f>
        <v>-1</v>
      </c>
      <c r="AT18" s="94">
        <f>IF($BN18=$BN19,-1,DatosHoy[[#This Row],[G+V ajus PM Q1]]-BP19)</f>
        <v>-1</v>
      </c>
      <c r="AU18" s="94">
        <f>IF($BN18=$BN19,-1,DatosHoy[[#This Row],[CT ajus PM Q1]]-BQ19)</f>
        <v>-1</v>
      </c>
      <c r="AV18" s="94">
        <f ca="1">IF(DatosHoy[[#This Row],[G ajus PM Q1]]=DatosHoy[[#This Row],[G+V ajus PM Q1]],-1,DatosHoy[[#This Row],[G ajus PM Q1]]-DatosHoy[[#This Row],[G+V ajus PM Q1]])</f>
        <v>-95289.77304789098</v>
      </c>
      <c r="AW18" s="94">
        <f ca="1">IF(DatosHoy[[#This Row],[G+V ajus PM Q1]]=DatosHoy[[#This Row],[CT ajus PM Q1]],-1,DatosHoy[[#This Row],[G+V ajus PM Q1]]-DatosHoy[[#This Row],[CT ajus PM Q1]])</f>
        <v>-101195.94411507947</v>
      </c>
      <c r="AX18" s="94">
        <f>IF($BN18=$BN19,-1,DatosHoy[[#This Row],[G ajus PMd]]-BR19)</f>
        <v>-1</v>
      </c>
      <c r="AY18" s="94">
        <f>IF($BN18=$BN19,-1,DatosHoy[[#This Row],[G+V ajus PM Md]]-BS19)</f>
        <v>-1</v>
      </c>
      <c r="AZ18" s="94">
        <f>IF($BN18=$BN19,-1,DatosHoy[[#This Row],[CT ajus PM Md]]-BT19)</f>
        <v>-1</v>
      </c>
      <c r="BA18" s="94">
        <f ca="1">IF(DatosHoy[[#This Row],[G ajus PMd]]=DatosHoy[[#This Row],[G+V ajus PM Md]],-1,DatosHoy[[#This Row],[G ajus PMd]]-DatosHoy[[#This Row],[G+V ajus PM Md]])</f>
        <v>-30625.448967605829</v>
      </c>
      <c r="BB18" s="94">
        <f ca="1">IF(DatosHoy[[#This Row],[G+V ajus PM Md]]=DatosHoy[[#This Row],[CT ajus PM Md]],-1,DatosHoy[[#This Row],[G+V ajus PM Md]]-DatosHoy[[#This Row],[CT ajus PM Md]])</f>
        <v>-160795.30372154899</v>
      </c>
      <c r="BC18" s="94">
        <f>IF($BN18=$BN19,-1,DatosHoy[[#This Row],[G ajus PM Q3]]-BU19)</f>
        <v>-1</v>
      </c>
      <c r="BD18" s="94">
        <f>IF($BN18=$BN19,-1,DatosHoy[[#This Row],[G+V ajus PM Q3]]-BV19)</f>
        <v>-1</v>
      </c>
      <c r="BE18" s="94">
        <f>IF($BN18=$BN19,-1,DatosHoy[[#This Row],[CT ajus PM Q3]]-BW19)</f>
        <v>-1</v>
      </c>
      <c r="BF18" s="94">
        <f ca="1">IF(DatosHoy[[#This Row],[G ajus PM Q3]]=DatosHoy[[#This Row],[G+V ajus PM Q3]],-1,DatosHoy[[#This Row],[G ajus PM Q3]]-DatosHoy[[#This Row],[G+V ajus PM Q3]])</f>
        <v>-115872.25244315853</v>
      </c>
      <c r="BG18" s="94">
        <f ca="1">IF(DatosHoy[[#This Row],[G+V ajus PM Q3]]=DatosHoy[[#This Row],[CT ajus PM Q3]],-1,DatosHoy[[#This Row],[G+V ajus PM Q3]]-DatosHoy[[#This Row],[CT ajus PM Q3]])</f>
        <v>-113820.33563187299</v>
      </c>
      <c r="BH18" s="94">
        <f ca="1">IF(DatosHoy[[#This Row],[G ajus PM Q1]]=DatosHoy[[#This Row],[G ajus PMd]],-1,DatosHoy[[#This Row],[G ajus PM Q1]]-DatosHoy[[#This Row],[G ajus PMd]])</f>
        <v>-145148.19552103244</v>
      </c>
      <c r="BI18" s="94">
        <f ca="1">IF(DatosHoy[[#This Row],[G+V ajus PM Q1]]=DatosHoy[[#This Row],[G+V ajus PM Md]],-1,DatosHoy[[#This Row],[G+V ajus PM Q1]]-DatosHoy[[#This Row],[G+V ajus PM Md]])</f>
        <v>-80483.871440747287</v>
      </c>
      <c r="BJ18" s="94">
        <f ca="1">IF(DatosHoy[[#This Row],[CT ajus PM Q1]]=DatosHoy[[#This Row],[CT ajus PM Md]],-1,DatosHoy[[#This Row],[CT ajus PM Q1]]-DatosHoy[[#This Row],[CT ajus PM Md]])</f>
        <v>-140083.2310472168</v>
      </c>
      <c r="BK18" s="94">
        <f ca="1">IF(DatosHoy[[#This Row],[G ajus PMd]]=DatosHoy[[#This Row],[G ajus PM Q3]],-1,DatosHoy[[#This Row],[G ajus PMd]]-DatosHoy[[#This Row],[G ajus PM Q3]])</f>
        <v>-1335396.8434204441</v>
      </c>
      <c r="BL18" s="94">
        <f ca="1">IF(DatosHoy[[#This Row],[G+V ajus PM Md]]=DatosHoy[[#This Row],[G+V ajus PM Q3]],-1,DatosHoy[[#This Row],[G+V ajus PM Md]]-DatosHoy[[#This Row],[G+V ajus PM Q3]])</f>
        <v>-1420643.6468959968</v>
      </c>
      <c r="BM18" s="94">
        <f ca="1">IF(DatosHoy[[#This Row],[CT ajus PM Md]]=DatosHoy[[#This Row],[CT ajus PM Q3]],-1,DatosHoy[[#This Row],[CT ajus PM Md]]-DatosHoy[[#This Row],[CT ajus PM Q3]])</f>
        <v>-1373668.6788063208</v>
      </c>
      <c r="BN18" s="74">
        <v>189</v>
      </c>
      <c r="BO18" s="94">
        <f ca="1">IFERROR(VLOOKUP($BN18,'Regresion Q1'!$T$6:$V$10,2,1)*$BN18+VLOOKUP($BN18,'Regresion Q1'!$T$6:$V$10,3,1),VLOOKUP(MIN(DatosHoy[Puntos]),'Regresion Q1'!$T$6:$V$10,2,1)*$BN18+VLOOKUP(MIN(DatosHoy[Puntos]),'Regresion Q1'!$T$6:$V$10,3,1))</f>
        <v>2481544.6786816148</v>
      </c>
      <c r="BP18" s="94">
        <f ca="1">IFERROR(VLOOKUP($BN18,'Regresion Q1'!$W$6:$Y$10,2,1)*$BN18+VLOOKUP($BN18,'Regresion Q1'!$W$6:$Y$10,3,1),VLOOKUP(MIN(DatosHoy[Puntos]),'Regresion Q1'!$W$6:$Y$10,2,1)*$BN18+VLOOKUP(MIN(DatosHoy[Puntos]),'Regresion Q1'!$W$6:$Y$10,3,1))</f>
        <v>2576834.4517295058</v>
      </c>
      <c r="BQ18" s="94">
        <f ca="1">IFERROR(VLOOKUP($BN18,'Regresion Q1'!$Z$6:$AB$10,2,1)*$BN18+VLOOKUP($BN18,'Regresion Q1'!$Z$6:$AB$10,3,1),VLOOKUP(MIN(DatosHoy[Puntos]),'Regresion Q1'!$Z$6:$AB$10,2,1)*$BN18+VLOOKUP(MIN(DatosHoy[Puntos]),'Regresion Q1'!$Z$6:$AB$10,3,1))</f>
        <v>2678030.3958445853</v>
      </c>
      <c r="BR18" s="94">
        <f ca="1">IFERROR(VLOOKUP($BN18,'Regresion Md'!$T$6:$V$10,2,1)*$BN18+VLOOKUP($BN18,'Regresion Md'!$T$6:$V$10,3,1),VLOOKUP(MIN(DatosHoy[Puntos]),'Regresion Md'!$T$6:$V$10,2,1)*$BN18+VLOOKUP(MIN(DatosHoy[Puntos]),'Regresion Md'!$T$6:$V$10,3,1))</f>
        <v>2626692.8742026472</v>
      </c>
      <c r="BS18" s="94">
        <f ca="1">IFERROR(VLOOKUP($BN18,'Regresion Md'!$W$6:$Y$10,2,1)*$BN18+VLOOKUP($BN18,'Regresion Md'!$W$6:$Y$10,3,1),VLOOKUP(MIN(DatosHoy[Puntos]),'Regresion Md'!$W$6:$Y$10,2,1)*$BN18+VLOOKUP(MIN(DatosHoy[Puntos]),'Regresion Md'!$W$6:$Y$10,3,1))</f>
        <v>2657318.3231702531</v>
      </c>
      <c r="BT18" s="94">
        <f ca="1">IFERROR(VLOOKUP($BN18,'Regresion Md'!$Z$6:$AB$10,2,1)*$BN18+VLOOKUP($BN18,'Regresion Md'!$Z$6:$AB$10,3,1),VLOOKUP(MIN(DatosHoy[Puntos]),'Regresion Md'!$Z$6:$AB$10,2,1)*$BN18+VLOOKUP(MIN(DatosHoy[Puntos]),'Regresion Md'!$Z$6:$AB$10,3,1))</f>
        <v>2818113.6268918021</v>
      </c>
      <c r="BU18" s="94">
        <f ca="1">IFERROR(VLOOKUP($BN18,'Regresion Q3'!$T$6:$V$10,2,1)*$BN18+VLOOKUP($BN18,'Regresion Q3'!$T$6:$V$10,3,1),VLOOKUP(MIN(DatosHoy[Puntos]),'Regresion Q3'!$T$6:$V$10,2,1)*$BN18+VLOOKUP(MIN(DatosHoy[Puntos]),'Regresion Q3'!$T$6:$V$10,3,1))</f>
        <v>3962089.7176230913</v>
      </c>
      <c r="BV18" s="94">
        <f ca="1">IFERROR(VLOOKUP($BN18,'Regresion Q3'!$W$6:$Y$10,2,1)*$BN18+VLOOKUP($BN18,'Regresion Q3'!$W$6:$Y$10,3,1),VLOOKUP(MIN(DatosHoy[Puntos]),'Regresion Q3'!$W$6:$Y$10,2,1)*$BN18+VLOOKUP(MIN(DatosHoy[Puntos]),'Regresion Q3'!$W$6:$Y$10,3,1))</f>
        <v>4077961.9700662498</v>
      </c>
      <c r="BW18" s="94">
        <f ca="1">IFERROR(VLOOKUP($BN18,'Regresion Q3'!$Z$6:$AB$10,2,1)*$BN18+VLOOKUP($BN18,'Regresion Q3'!$Z$6:$AB$10,3,1),VLOOKUP(MIN(DatosHoy[Puntos]),'Regresion Q3'!$Z$6:$AB$10,2,1)*$BN18+VLOOKUP(MIN(DatosHoy[Puntos]),'Regresion Q3'!$Z$6:$AB$10,3,1))</f>
        <v>4191782.3056981228</v>
      </c>
      <c r="BX18" s="96">
        <f ca="1">DatosHoy[[#This Row],[CT Actual]]/DatosHoy[[#This Row],[CT ajus PM Md]]</f>
        <v>0.96033778559345051</v>
      </c>
      <c r="BY18" s="125" t="str">
        <f>VLOOKUP(DatosHoy[[#This Row],[Cargo Valorado]],Estadísticos[[Cargo]:[Nivel]],2,FALSE)</f>
        <v>Soporte</v>
      </c>
      <c r="BZ18" s="96">
        <f>(DatosHoy[[#This Row],[G+V Actual]]-DatosHoy[[#This Row],[G Actual]])/DatosHoy[[#This Row],[CT Actual]]</f>
        <v>0</v>
      </c>
      <c r="CA18" s="96">
        <f>(DatosHoy[[#This Row],[CT Actual]]-DatosHoy[[#This Row],[G+V Actual]])/DatosHoy[[#This Row],[CT Actual]]</f>
        <v>0</v>
      </c>
      <c r="CB18" s="139" t="s">
        <v>255</v>
      </c>
    </row>
    <row r="19" spans="2:80" x14ac:dyDescent="0.25">
      <c r="B19" s="73">
        <f t="shared" si="0"/>
        <v>14</v>
      </c>
      <c r="C19" s="74">
        <v>2295683.1700000004</v>
      </c>
      <c r="D19" s="74">
        <v>2295683.1700000004</v>
      </c>
      <c r="E19" s="74">
        <v>2295683.1700000004</v>
      </c>
      <c r="F19" s="94">
        <f>VLOOKUP(DatosHoy[[#This Row],[Cargo Valorado]],Estadísticos[],3,0)</f>
        <v>3246516.5749886646</v>
      </c>
      <c r="G19" s="94">
        <f>VLOOKUP(DatosHoy[[#This Row],[Cargo Valorado]],Estadísticos[],4,0)</f>
        <v>3246516.5749886646</v>
      </c>
      <c r="H19" s="94">
        <f>VLOOKUP(DatosHoy[[#This Row],[Cargo Valorado]],Estadísticos[],5,0)</f>
        <v>3358576.4916553311</v>
      </c>
      <c r="I19" s="94">
        <f>VLOOKUP(DatosHoy[[#This Row],[Cargo Valorado]],Estadísticos[],6,0)</f>
        <v>3646844.6489131674</v>
      </c>
      <c r="J19" s="94">
        <f>VLOOKUP(DatosHoy[[#This Row],[Cargo Valorado]],Estadísticos[],7,0)</f>
        <v>3646844.6489131674</v>
      </c>
      <c r="K19" s="94">
        <f>VLOOKUP(DatosHoy[[#This Row],[Cargo Valorado]],Estadísticos[],8,0)</f>
        <v>3870964.4822465004</v>
      </c>
      <c r="L19" s="94">
        <f>VLOOKUP(DatosHoy[[#This Row],[Cargo Valorado]],Estadísticos[],9,0)</f>
        <v>4047172.7228376707</v>
      </c>
      <c r="M19" s="94">
        <f>VLOOKUP(DatosHoy[[#This Row],[Cargo Valorado]],Estadísticos[],10,0)</f>
        <v>4047172.7228376707</v>
      </c>
      <c r="N19" s="94">
        <f>VLOOKUP(DatosHoy[[#This Row],[Cargo Valorado]],Estadísticos[],11,0)</f>
        <v>4383352.4728376698</v>
      </c>
      <c r="O19" s="75" t="s">
        <v>241</v>
      </c>
      <c r="P19" s="75">
        <v>193</v>
      </c>
      <c r="Q19" s="95" t="str">
        <f t="shared" si="4"/>
        <v>$P$19</v>
      </c>
      <c r="R19" s="95" t="str">
        <f t="shared" si="5"/>
        <v>$F$19</v>
      </c>
      <c r="S19" s="95" t="str">
        <f t="shared" si="6"/>
        <v>$G$19</v>
      </c>
      <c r="T19" s="95" t="str">
        <f t="shared" si="7"/>
        <v>$H$19</v>
      </c>
      <c r="U19" s="95" t="str">
        <f t="shared" si="8"/>
        <v>$I$19</v>
      </c>
      <c r="V19" s="95" t="str">
        <f t="shared" si="9"/>
        <v>$J$19</v>
      </c>
      <c r="W19" s="95" t="str">
        <f t="shared" si="10"/>
        <v>$K$19</v>
      </c>
      <c r="X19" s="95" t="str">
        <f t="shared" si="11"/>
        <v>$L$19</v>
      </c>
      <c r="Y19" s="95" t="str">
        <f t="shared" si="12"/>
        <v>$M$19</v>
      </c>
      <c r="Z19" s="95" t="str">
        <f t="shared" si="13"/>
        <v>$N$19</v>
      </c>
      <c r="AA19" s="94">
        <f ca="1">VLOOKUP($P19,'Regresion Q1'!$E$6:$I$10,4,1)*$P19+VLOOKUP($P19,'Regresion Q1'!$E$6:$I$10,5,1)</f>
        <v>2473605.8930756934</v>
      </c>
      <c r="AB19" s="94">
        <f ca="1">VLOOKUP($P19,'Regresion Q1'!$J$6:$N$10,4,1)*$P19+VLOOKUP($P19,'Regresion Q1'!$J$6:$N$10,5,1)</f>
        <v>2524188.0525856595</v>
      </c>
      <c r="AC19" s="94">
        <f ca="1">VLOOKUP($P19,'Regresion Q1'!$O$6:$S$10,4,1)*$P19+VLOOKUP($P19,'Regresion Q1'!$O$6:$S$10,5,1)</f>
        <v>2683535.7261900092</v>
      </c>
      <c r="AD19" s="94">
        <f ca="1">VLOOKUP($P19,'Regresion Md'!$E$6:$I$10,4,1)*$P19+VLOOKUP($P19,'Regresion Md'!$E$6:$I$10,5,1)</f>
        <v>2809767.7177155968</v>
      </c>
      <c r="AE19" s="94">
        <f ca="1">VLOOKUP($P19,'Regresion Md'!$J$6:$N$10,4,1)*$P19+VLOOKUP($P19,'Regresion Md'!$J$6:$N$10,5,1)</f>
        <v>2902793.7105728202</v>
      </c>
      <c r="AF19" s="94">
        <f ca="1">VLOOKUP($P19,'Regresion Md'!$O$6:$S$10,4,1)*$P19+VLOOKUP($P19,'Regresion Md'!$O$6:$S$10,5,1)</f>
        <v>3081186.6492890827</v>
      </c>
      <c r="AG19" s="94">
        <f ca="1">VLOOKUP($P19,'Regresion Q3'!$E$6:$I$10,4,1)*$P19+VLOOKUP($P19,'Regresion Q3'!$E$6:$I$10,5,1)</f>
        <v>3288454.6459213886</v>
      </c>
      <c r="AH19" s="94">
        <f ca="1">VLOOKUP($P19,'Regresion Q3'!$J$6:$N$10,4,1)*$P19+VLOOKUP($P19,'Regresion Q3'!$J$6:$N$10,5,1)</f>
        <v>3345069.141198351</v>
      </c>
      <c r="AI19" s="94">
        <f ca="1">VLOOKUP($P19,'Regresion Q3'!$O$6:$S$10,4,1)*$P19+VLOOKUP($P19,'Regresion Q3'!$O$6:$S$10,5,1)</f>
        <v>3539389.1242846223</v>
      </c>
      <c r="AJ19" s="94">
        <f ca="1">VLOOKUP($P19,'Regresion Q1'!$T$6:$V$10,2,1)*$P19+VLOOKUP($P19,'Regresion Q1'!$T$6:$V$10,3,1)</f>
        <v>2521558.3508034218</v>
      </c>
      <c r="AK19" s="94">
        <f ca="1">VLOOKUP($P19,'Regresion Q1'!$W$6:$Y$10,2,1)*$P19+VLOOKUP($P19,'Regresion Q1'!$W$6:$Y$10,3,1)</f>
        <v>2617274.1641874574</v>
      </c>
      <c r="AL19" s="94">
        <f ca="1">VLOOKUP($P19,'Regresion Q1'!$Z$6:$AB$10,2,1)*$P19+VLOOKUP($P19,'Regresion Q1'!$Z$6:$AB$10,3,1)</f>
        <v>2720289.6403734069</v>
      </c>
      <c r="AM19" s="94">
        <f ca="1">VLOOKUP($P19,'Regresion Md'!$T$6:$V$10,2,1)*$P19+VLOOKUP($P19,'Regresion Md'!$T$6:$V$10,3,1)</f>
        <v>2666412.7999826744</v>
      </c>
      <c r="AN19" s="94">
        <f ca="1">VLOOKUP($P19,'Regresion Md'!$W$6:$Y$10,2,1)*$P19+VLOOKUP($P19,'Regresion Md'!$W$6:$Y$10,3,1)</f>
        <v>2695237.8705342254</v>
      </c>
      <c r="AO19" s="94">
        <f ca="1">VLOOKUP($P19,'Regresion Md'!$Z$6:$AB$10,2,1)*$P19+VLOOKUP($P19,'Regresion Md'!$Z$6:$AB$10,3,1)</f>
        <v>2860705.8852062849</v>
      </c>
      <c r="AP19" s="94">
        <f ca="1">VLOOKUP($P19,'Regresion Q3'!$T$6:$V$10,2,1)*$P19+VLOOKUP($P19,'Regresion Q3'!$T$6:$V$10,3,1)</f>
        <v>4035931.2308792924</v>
      </c>
      <c r="AQ19" s="94">
        <f ca="1">VLOOKUP($P19,'Regresion Q3'!$W$6:$Y$10,2,1)*$P19+VLOOKUP($P19,'Regresion Q3'!$W$6:$Y$10,3,1)</f>
        <v>4153542.4919994781</v>
      </c>
      <c r="AR19" s="94">
        <f ca="1">VLOOKUP($P19,'Regresion Q3'!$Z$6:$AB$10,2,1)*$P19+VLOOKUP($P19,'Regresion Q3'!$Z$6:$AB$10,3,1)</f>
        <v>4268785.2030414548</v>
      </c>
      <c r="AS19" s="94">
        <f>IF($BN19=$BN20,-1,DatosHoy[[#This Row],[G ajus PM Q1]]-BO20)</f>
        <v>-1</v>
      </c>
      <c r="AT19" s="94">
        <f>IF($BN19=$BN20,-1,DatosHoy[[#This Row],[G+V ajus PM Q1]]-BP20)</f>
        <v>-1</v>
      </c>
      <c r="AU19" s="94">
        <f>IF($BN19=$BN20,-1,DatosHoy[[#This Row],[CT ajus PM Q1]]-BQ20)</f>
        <v>-1</v>
      </c>
      <c r="AV19" s="94">
        <f ca="1">IF(DatosHoy[[#This Row],[G ajus PM Q1]]=DatosHoy[[#This Row],[G+V ajus PM Q1]],-1,DatosHoy[[#This Row],[G ajus PM Q1]]-DatosHoy[[#This Row],[G+V ajus PM Q1]])</f>
        <v>-95289.77304789098</v>
      </c>
      <c r="AW19" s="94">
        <f ca="1">IF(DatosHoy[[#This Row],[G+V ajus PM Q1]]=DatosHoy[[#This Row],[CT ajus PM Q1]],-1,DatosHoy[[#This Row],[G+V ajus PM Q1]]-DatosHoy[[#This Row],[CT ajus PM Q1]])</f>
        <v>-101195.94411507947</v>
      </c>
      <c r="AX19" s="94">
        <f>IF($BN19=$BN20,-1,DatosHoy[[#This Row],[G ajus PMd]]-BR20)</f>
        <v>-1</v>
      </c>
      <c r="AY19" s="94">
        <f>IF($BN19=$BN20,-1,DatosHoy[[#This Row],[G+V ajus PM Md]]-BS20)</f>
        <v>-1</v>
      </c>
      <c r="AZ19" s="94">
        <f>IF($BN19=$BN20,-1,DatosHoy[[#This Row],[CT ajus PM Md]]-BT20)</f>
        <v>-1</v>
      </c>
      <c r="BA19" s="94">
        <f ca="1">IF(DatosHoy[[#This Row],[G ajus PMd]]=DatosHoy[[#This Row],[G+V ajus PM Md]],-1,DatosHoy[[#This Row],[G ajus PMd]]-DatosHoy[[#This Row],[G+V ajus PM Md]])</f>
        <v>-30625.448967605829</v>
      </c>
      <c r="BB19" s="94">
        <f ca="1">IF(DatosHoy[[#This Row],[G+V ajus PM Md]]=DatosHoy[[#This Row],[CT ajus PM Md]],-1,DatosHoy[[#This Row],[G+V ajus PM Md]]-DatosHoy[[#This Row],[CT ajus PM Md]])</f>
        <v>-160795.30372154899</v>
      </c>
      <c r="BC19" s="94">
        <f>IF($BN19=$BN20,-1,DatosHoy[[#This Row],[G ajus PM Q3]]-BU20)</f>
        <v>-1</v>
      </c>
      <c r="BD19" s="94">
        <f>IF($BN19=$BN20,-1,DatosHoy[[#This Row],[G+V ajus PM Q3]]-BV20)</f>
        <v>-1</v>
      </c>
      <c r="BE19" s="94">
        <f>IF($BN19=$BN20,-1,DatosHoy[[#This Row],[CT ajus PM Q3]]-BW20)</f>
        <v>-1</v>
      </c>
      <c r="BF19" s="94">
        <f ca="1">IF(DatosHoy[[#This Row],[G ajus PM Q3]]=DatosHoy[[#This Row],[G+V ajus PM Q3]],-1,DatosHoy[[#This Row],[G ajus PM Q3]]-DatosHoy[[#This Row],[G+V ajus PM Q3]])</f>
        <v>-115872.25244315853</v>
      </c>
      <c r="BG19" s="94">
        <f ca="1">IF(DatosHoy[[#This Row],[G+V ajus PM Q3]]=DatosHoy[[#This Row],[CT ajus PM Q3]],-1,DatosHoy[[#This Row],[G+V ajus PM Q3]]-DatosHoy[[#This Row],[CT ajus PM Q3]])</f>
        <v>-113820.33563187299</v>
      </c>
      <c r="BH19" s="94">
        <f ca="1">IF(DatosHoy[[#This Row],[G ajus PM Q1]]=DatosHoy[[#This Row],[G ajus PMd]],-1,DatosHoy[[#This Row],[G ajus PM Q1]]-DatosHoy[[#This Row],[G ajus PMd]])</f>
        <v>-145148.19552103244</v>
      </c>
      <c r="BI19" s="94">
        <f ca="1">IF(DatosHoy[[#This Row],[G+V ajus PM Q1]]=DatosHoy[[#This Row],[G+V ajus PM Md]],-1,DatosHoy[[#This Row],[G+V ajus PM Q1]]-DatosHoy[[#This Row],[G+V ajus PM Md]])</f>
        <v>-80483.871440747287</v>
      </c>
      <c r="BJ19" s="94">
        <f ca="1">IF(DatosHoy[[#This Row],[CT ajus PM Q1]]=DatosHoy[[#This Row],[CT ajus PM Md]],-1,DatosHoy[[#This Row],[CT ajus PM Q1]]-DatosHoy[[#This Row],[CT ajus PM Md]])</f>
        <v>-140083.2310472168</v>
      </c>
      <c r="BK19" s="94">
        <f ca="1">IF(DatosHoy[[#This Row],[G ajus PMd]]=DatosHoy[[#This Row],[G ajus PM Q3]],-1,DatosHoy[[#This Row],[G ajus PMd]]-DatosHoy[[#This Row],[G ajus PM Q3]])</f>
        <v>-1335396.8434204441</v>
      </c>
      <c r="BL19" s="94">
        <f ca="1">IF(DatosHoy[[#This Row],[G+V ajus PM Md]]=DatosHoy[[#This Row],[G+V ajus PM Q3]],-1,DatosHoy[[#This Row],[G+V ajus PM Md]]-DatosHoy[[#This Row],[G+V ajus PM Q3]])</f>
        <v>-1420643.6468959968</v>
      </c>
      <c r="BM19" s="94">
        <f ca="1">IF(DatosHoy[[#This Row],[CT ajus PM Md]]=DatosHoy[[#This Row],[CT ajus PM Q3]],-1,DatosHoy[[#This Row],[CT ajus PM Md]]-DatosHoy[[#This Row],[CT ajus PM Q3]])</f>
        <v>-1373668.6788063208</v>
      </c>
      <c r="BN19" s="74">
        <v>189</v>
      </c>
      <c r="BO19" s="94">
        <f ca="1">IFERROR(VLOOKUP($BN19,'Regresion Q1'!$T$6:$V$10,2,1)*$BN19+VLOOKUP($BN19,'Regresion Q1'!$T$6:$V$10,3,1),VLOOKUP(MIN(DatosHoy[Puntos]),'Regresion Q1'!$T$6:$V$10,2,1)*$BN19+VLOOKUP(MIN(DatosHoy[Puntos]),'Regresion Q1'!$T$6:$V$10,3,1))</f>
        <v>2481544.6786816148</v>
      </c>
      <c r="BP19" s="94">
        <f ca="1">IFERROR(VLOOKUP($BN19,'Regresion Q1'!$W$6:$Y$10,2,1)*$BN19+VLOOKUP($BN19,'Regresion Q1'!$W$6:$Y$10,3,1),VLOOKUP(MIN(DatosHoy[Puntos]),'Regresion Q1'!$W$6:$Y$10,2,1)*$BN19+VLOOKUP(MIN(DatosHoy[Puntos]),'Regresion Q1'!$W$6:$Y$10,3,1))</f>
        <v>2576834.4517295058</v>
      </c>
      <c r="BQ19" s="94">
        <f ca="1">IFERROR(VLOOKUP($BN19,'Regresion Q1'!$Z$6:$AB$10,2,1)*$BN19+VLOOKUP($BN19,'Regresion Q1'!$Z$6:$AB$10,3,1),VLOOKUP(MIN(DatosHoy[Puntos]),'Regresion Q1'!$Z$6:$AB$10,2,1)*$BN19+VLOOKUP(MIN(DatosHoy[Puntos]),'Regresion Q1'!$Z$6:$AB$10,3,1))</f>
        <v>2678030.3958445853</v>
      </c>
      <c r="BR19" s="94">
        <f ca="1">IFERROR(VLOOKUP($BN19,'Regresion Md'!$T$6:$V$10,2,1)*$BN19+VLOOKUP($BN19,'Regresion Md'!$T$6:$V$10,3,1),VLOOKUP(MIN(DatosHoy[Puntos]),'Regresion Md'!$T$6:$V$10,2,1)*$BN19+VLOOKUP(MIN(DatosHoy[Puntos]),'Regresion Md'!$T$6:$V$10,3,1))</f>
        <v>2626692.8742026472</v>
      </c>
      <c r="BS19" s="94">
        <f ca="1">IFERROR(VLOOKUP($BN19,'Regresion Md'!$W$6:$Y$10,2,1)*$BN19+VLOOKUP($BN19,'Regresion Md'!$W$6:$Y$10,3,1),VLOOKUP(MIN(DatosHoy[Puntos]),'Regresion Md'!$W$6:$Y$10,2,1)*$BN19+VLOOKUP(MIN(DatosHoy[Puntos]),'Regresion Md'!$W$6:$Y$10,3,1))</f>
        <v>2657318.3231702531</v>
      </c>
      <c r="BT19" s="94">
        <f ca="1">IFERROR(VLOOKUP($BN19,'Regresion Md'!$Z$6:$AB$10,2,1)*$BN19+VLOOKUP($BN19,'Regresion Md'!$Z$6:$AB$10,3,1),VLOOKUP(MIN(DatosHoy[Puntos]),'Regresion Md'!$Z$6:$AB$10,2,1)*$BN19+VLOOKUP(MIN(DatosHoy[Puntos]),'Regresion Md'!$Z$6:$AB$10,3,1))</f>
        <v>2818113.6268918021</v>
      </c>
      <c r="BU19" s="94">
        <f ca="1">IFERROR(VLOOKUP($BN19,'Regresion Q3'!$T$6:$V$10,2,1)*$BN19+VLOOKUP($BN19,'Regresion Q3'!$T$6:$V$10,3,1),VLOOKUP(MIN(DatosHoy[Puntos]),'Regresion Q3'!$T$6:$V$10,2,1)*$BN19+VLOOKUP(MIN(DatosHoy[Puntos]),'Regresion Q3'!$T$6:$V$10,3,1))</f>
        <v>3962089.7176230913</v>
      </c>
      <c r="BV19" s="94">
        <f ca="1">IFERROR(VLOOKUP($BN19,'Regresion Q3'!$W$6:$Y$10,2,1)*$BN19+VLOOKUP($BN19,'Regresion Q3'!$W$6:$Y$10,3,1),VLOOKUP(MIN(DatosHoy[Puntos]),'Regresion Q3'!$W$6:$Y$10,2,1)*$BN19+VLOOKUP(MIN(DatosHoy[Puntos]),'Regresion Q3'!$W$6:$Y$10,3,1))</f>
        <v>4077961.9700662498</v>
      </c>
      <c r="BW19" s="94">
        <f ca="1">IFERROR(VLOOKUP($BN19,'Regresion Q3'!$Z$6:$AB$10,2,1)*$BN19+VLOOKUP($BN19,'Regresion Q3'!$Z$6:$AB$10,3,1),VLOOKUP(MIN(DatosHoy[Puntos]),'Regresion Q3'!$Z$6:$AB$10,2,1)*$BN19+VLOOKUP(MIN(DatosHoy[Puntos]),'Regresion Q3'!$Z$6:$AB$10,3,1))</f>
        <v>4191782.3056981228</v>
      </c>
      <c r="BX19" s="96">
        <f ca="1">DatosHoy[[#This Row],[CT Actual]]/DatosHoy[[#This Row],[CT ajus PM Md]]</f>
        <v>0.81461696508383563</v>
      </c>
      <c r="BY19" s="125" t="str">
        <f>VLOOKUP(DatosHoy[[#This Row],[Cargo Valorado]],Estadísticos[[Cargo]:[Nivel]],2,FALSE)</f>
        <v>Soporte</v>
      </c>
      <c r="BZ19" s="96">
        <f>(DatosHoy[[#This Row],[G+V Actual]]-DatosHoy[[#This Row],[G Actual]])/DatosHoy[[#This Row],[CT Actual]]</f>
        <v>0</v>
      </c>
      <c r="CA19" s="96">
        <f>(DatosHoy[[#This Row],[CT Actual]]-DatosHoy[[#This Row],[G+V Actual]])/DatosHoy[[#This Row],[CT Actual]]</f>
        <v>0</v>
      </c>
      <c r="CB19" s="139" t="s">
        <v>255</v>
      </c>
    </row>
    <row r="20" spans="2:80" x14ac:dyDescent="0.25">
      <c r="B20" s="73">
        <f t="shared" si="0"/>
        <v>15</v>
      </c>
      <c r="C20" s="74">
        <v>3177009.0000000005</v>
      </c>
      <c r="D20" s="74">
        <v>3177009.0000000005</v>
      </c>
      <c r="E20" s="74">
        <v>3177009.0000000005</v>
      </c>
      <c r="F20" s="94">
        <f>VLOOKUP(DatosHoy[[#This Row],[Cargo Valorado]],Estadísticos[],3,0)</f>
        <v>2104912.9808767801</v>
      </c>
      <c r="G20" s="94">
        <f>VLOOKUP(DatosHoy[[#This Row],[Cargo Valorado]],Estadísticos[],4,0)</f>
        <v>2467274.724345916</v>
      </c>
      <c r="H20" s="94">
        <f>VLOOKUP(DatosHoy[[#This Row],[Cargo Valorado]],Estadísticos[],5,0)</f>
        <v>2493290.1318597868</v>
      </c>
      <c r="I20" s="94">
        <f>VLOOKUP(DatosHoy[[#This Row],[Cargo Valorado]],Estadísticos[],6,0)</f>
        <v>2238837.3660477223</v>
      </c>
      <c r="J20" s="94">
        <f>VLOOKUP(DatosHoy[[#This Row],[Cargo Valorado]],Estadísticos[],7,0)</f>
        <v>2604586.9158314327</v>
      </c>
      <c r="K20" s="94">
        <f>VLOOKUP(DatosHoy[[#This Row],[Cargo Valorado]],Estadísticos[],8,0)</f>
        <v>2705935.171174543</v>
      </c>
      <c r="L20" s="94">
        <f>VLOOKUP(DatosHoy[[#This Row],[Cargo Valorado]],Estadísticos[],9,0)</f>
        <v>2466322.9815507103</v>
      </c>
      <c r="M20" s="94">
        <f>VLOOKUP(DatosHoy[[#This Row],[Cargo Valorado]],Estadísticos[],10,0)</f>
        <v>2808062.3592790142</v>
      </c>
      <c r="N20" s="94">
        <f>VLOOKUP(DatosHoy[[#This Row],[Cargo Valorado]],Estadísticos[],11,0)</f>
        <v>2934069.3347798092</v>
      </c>
      <c r="O20" s="75" t="s">
        <v>240</v>
      </c>
      <c r="P20" s="75">
        <v>199</v>
      </c>
      <c r="Q20" s="95" t="str">
        <f t="shared" si="4"/>
        <v>$P$20</v>
      </c>
      <c r="R20" s="95" t="str">
        <f t="shared" si="5"/>
        <v>$F$20</v>
      </c>
      <c r="S20" s="95" t="str">
        <f t="shared" si="6"/>
        <v>$G$20</v>
      </c>
      <c r="T20" s="95" t="str">
        <f t="shared" si="7"/>
        <v>$H$20</v>
      </c>
      <c r="U20" s="95" t="str">
        <f t="shared" si="8"/>
        <v>$I$20</v>
      </c>
      <c r="V20" s="95" t="str">
        <f t="shared" si="9"/>
        <v>$J$20</v>
      </c>
      <c r="W20" s="95" t="str">
        <f t="shared" si="10"/>
        <v>$K$20</v>
      </c>
      <c r="X20" s="95" t="str">
        <f t="shared" si="11"/>
        <v>$L$20</v>
      </c>
      <c r="Y20" s="95" t="str">
        <f t="shared" si="12"/>
        <v>$M$20</v>
      </c>
      <c r="Z20" s="95" t="str">
        <f t="shared" si="13"/>
        <v>$N$20</v>
      </c>
      <c r="AA20" s="94">
        <f ca="1">VLOOKUP($P20,'Regresion Q1'!$E$6:$I$10,4,1)*$P20+VLOOKUP($P20,'Regresion Q1'!$E$6:$I$10,5,1)</f>
        <v>2554319.521229614</v>
      </c>
      <c r="AB20" s="94">
        <f ca="1">VLOOKUP($P20,'Regresion Q1'!$J$6:$N$10,4,1)*$P20+VLOOKUP($P20,'Regresion Q1'!$J$6:$N$10,5,1)</f>
        <v>2607217.8549282979</v>
      </c>
      <c r="AC20" s="94">
        <f ca="1">VLOOKUP($P20,'Regresion Q1'!$O$6:$S$10,4,1)*$P20+VLOOKUP($P20,'Regresion Q1'!$O$6:$S$10,5,1)</f>
        <v>2769216.3498908198</v>
      </c>
      <c r="AD20" s="94">
        <f ca="1">VLOOKUP($P20,'Regresion Md'!$E$6:$I$10,4,1)*$P20+VLOOKUP($P20,'Regresion Md'!$E$6:$I$10,5,1)</f>
        <v>2892002.1055674665</v>
      </c>
      <c r="AE20" s="94">
        <f ca="1">VLOOKUP($P20,'Regresion Md'!$J$6:$N$10,4,1)*$P20+VLOOKUP($P20,'Regresion Md'!$J$6:$N$10,5,1)</f>
        <v>2990594.8584599281</v>
      </c>
      <c r="AF20" s="94">
        <f ca="1">VLOOKUP($P20,'Regresion Md'!$O$6:$S$10,4,1)*$P20+VLOOKUP($P20,'Regresion Md'!$O$6:$S$10,5,1)</f>
        <v>3185665.8586203754</v>
      </c>
      <c r="AG20" s="94">
        <f ca="1">VLOOKUP($P20,'Regresion Q3'!$E$6:$I$10,4,1)*$P20+VLOOKUP($P20,'Regresion Q3'!$E$6:$I$10,5,1)</f>
        <v>3437811.3730175635</v>
      </c>
      <c r="AH20" s="94">
        <f ca="1">VLOOKUP($P20,'Regresion Q3'!$J$6:$N$10,4,1)*$P20+VLOOKUP($P20,'Regresion Q3'!$J$6:$N$10,5,1)</f>
        <v>3496310.2521248786</v>
      </c>
      <c r="AI20" s="94">
        <f ca="1">VLOOKUP($P20,'Regresion Q3'!$O$6:$S$10,4,1)*$P20+VLOOKUP($P20,'Regresion Q3'!$O$6:$S$10,5,1)</f>
        <v>3689735.3868799023</v>
      </c>
      <c r="AJ20" s="94">
        <f ca="1">VLOOKUP($P20,'Regresion Q1'!$T$6:$V$10,2,1)*$P20+VLOOKUP($P20,'Regresion Q1'!$T$6:$V$10,3,1)</f>
        <v>2581578.8589861328</v>
      </c>
      <c r="AK20" s="94">
        <f ca="1">VLOOKUP($P20,'Regresion Q1'!$W$6:$Y$10,2,1)*$P20+VLOOKUP($P20,'Regresion Q1'!$W$6:$Y$10,3,1)</f>
        <v>2677933.7328743841</v>
      </c>
      <c r="AL20" s="94">
        <f ca="1">VLOOKUP($P20,'Regresion Q1'!$Z$6:$AB$10,2,1)*$P20+VLOOKUP($P20,'Regresion Q1'!$Z$6:$AB$10,3,1)</f>
        <v>2783678.507166639</v>
      </c>
      <c r="AM20" s="94">
        <f ca="1">VLOOKUP($P20,'Regresion Md'!$T$6:$V$10,2,1)*$P20+VLOOKUP($P20,'Regresion Md'!$T$6:$V$10,3,1)</f>
        <v>2725992.6886527156</v>
      </c>
      <c r="AN20" s="94">
        <f ca="1">VLOOKUP($P20,'Regresion Md'!$W$6:$Y$10,2,1)*$P20+VLOOKUP($P20,'Regresion Md'!$W$6:$Y$10,3,1)</f>
        <v>2752117.1915801838</v>
      </c>
      <c r="AO20" s="94">
        <f ca="1">VLOOKUP($P20,'Regresion Md'!$Z$6:$AB$10,2,1)*$P20+VLOOKUP($P20,'Regresion Md'!$Z$6:$AB$10,3,1)</f>
        <v>2924594.2726780088</v>
      </c>
      <c r="AP20" s="94">
        <f ca="1">VLOOKUP($P20,'Regresion Q3'!$T$6:$V$10,2,1)*$P20+VLOOKUP($P20,'Regresion Q3'!$T$6:$V$10,3,1)</f>
        <v>4146693.5007635937</v>
      </c>
      <c r="AQ20" s="94">
        <f ca="1">VLOOKUP($P20,'Regresion Q3'!$W$6:$Y$10,2,1)*$P20+VLOOKUP($P20,'Regresion Q3'!$W$6:$Y$10,3,1)</f>
        <v>4266913.2748993207</v>
      </c>
      <c r="AR20" s="94">
        <f ca="1">VLOOKUP($P20,'Regresion Q3'!$Z$6:$AB$10,2,1)*$P20+VLOOKUP($P20,'Regresion Q3'!$Z$6:$AB$10,3,1)</f>
        <v>4384289.5490564536</v>
      </c>
      <c r="AS20" s="94">
        <f>IF($BN20=$BN21,-1,DatosHoy[[#This Row],[G ajus PM Q1]]-BO21)</f>
        <v>-1</v>
      </c>
      <c r="AT20" s="94">
        <f>IF($BN20=$BN21,-1,DatosHoy[[#This Row],[G+V ajus PM Q1]]-BP21)</f>
        <v>-1</v>
      </c>
      <c r="AU20" s="94">
        <f>IF($BN20=$BN21,-1,DatosHoy[[#This Row],[CT ajus PM Q1]]-BQ21)</f>
        <v>-1</v>
      </c>
      <c r="AV20" s="94">
        <f ca="1">IF(DatosHoy[[#This Row],[G ajus PM Q1]]=DatosHoy[[#This Row],[G+V ajus PM Q1]],-1,DatosHoy[[#This Row],[G ajus PM Q1]]-DatosHoy[[#This Row],[G+V ajus PM Q1]])</f>
        <v>-95289.77304789098</v>
      </c>
      <c r="AW20" s="94">
        <f ca="1">IF(DatosHoy[[#This Row],[G+V ajus PM Q1]]=DatosHoy[[#This Row],[CT ajus PM Q1]],-1,DatosHoy[[#This Row],[G+V ajus PM Q1]]-DatosHoy[[#This Row],[CT ajus PM Q1]])</f>
        <v>-101195.94411507947</v>
      </c>
      <c r="AX20" s="94">
        <f>IF($BN20=$BN21,-1,DatosHoy[[#This Row],[G ajus PMd]]-BR21)</f>
        <v>-1</v>
      </c>
      <c r="AY20" s="94">
        <f>IF($BN20=$BN21,-1,DatosHoy[[#This Row],[G+V ajus PM Md]]-BS21)</f>
        <v>-1</v>
      </c>
      <c r="AZ20" s="94">
        <f>IF($BN20=$BN21,-1,DatosHoy[[#This Row],[CT ajus PM Md]]-BT21)</f>
        <v>-1</v>
      </c>
      <c r="BA20" s="94">
        <f ca="1">IF(DatosHoy[[#This Row],[G ajus PMd]]=DatosHoy[[#This Row],[G+V ajus PM Md]],-1,DatosHoy[[#This Row],[G ajus PMd]]-DatosHoy[[#This Row],[G+V ajus PM Md]])</f>
        <v>-30625.448967605829</v>
      </c>
      <c r="BB20" s="94">
        <f ca="1">IF(DatosHoy[[#This Row],[G+V ajus PM Md]]=DatosHoy[[#This Row],[CT ajus PM Md]],-1,DatosHoy[[#This Row],[G+V ajus PM Md]]-DatosHoy[[#This Row],[CT ajus PM Md]])</f>
        <v>-160795.30372154899</v>
      </c>
      <c r="BC20" s="94">
        <f>IF($BN20=$BN21,-1,DatosHoy[[#This Row],[G ajus PM Q3]]-BU21)</f>
        <v>-1</v>
      </c>
      <c r="BD20" s="94">
        <f>IF($BN20=$BN21,-1,DatosHoy[[#This Row],[G+V ajus PM Q3]]-BV21)</f>
        <v>-1</v>
      </c>
      <c r="BE20" s="94">
        <f>IF($BN20=$BN21,-1,DatosHoy[[#This Row],[CT ajus PM Q3]]-BW21)</f>
        <v>-1</v>
      </c>
      <c r="BF20" s="94">
        <f ca="1">IF(DatosHoy[[#This Row],[G ajus PM Q3]]=DatosHoy[[#This Row],[G+V ajus PM Q3]],-1,DatosHoy[[#This Row],[G ajus PM Q3]]-DatosHoy[[#This Row],[G+V ajus PM Q3]])</f>
        <v>-115872.25244315853</v>
      </c>
      <c r="BG20" s="94">
        <f ca="1">IF(DatosHoy[[#This Row],[G+V ajus PM Q3]]=DatosHoy[[#This Row],[CT ajus PM Q3]],-1,DatosHoy[[#This Row],[G+V ajus PM Q3]]-DatosHoy[[#This Row],[CT ajus PM Q3]])</f>
        <v>-113820.33563187299</v>
      </c>
      <c r="BH20" s="94">
        <f ca="1">IF(DatosHoy[[#This Row],[G ajus PM Q1]]=DatosHoy[[#This Row],[G ajus PMd]],-1,DatosHoy[[#This Row],[G ajus PM Q1]]-DatosHoy[[#This Row],[G ajus PMd]])</f>
        <v>-145148.19552103244</v>
      </c>
      <c r="BI20" s="94">
        <f ca="1">IF(DatosHoy[[#This Row],[G+V ajus PM Q1]]=DatosHoy[[#This Row],[G+V ajus PM Md]],-1,DatosHoy[[#This Row],[G+V ajus PM Q1]]-DatosHoy[[#This Row],[G+V ajus PM Md]])</f>
        <v>-80483.871440747287</v>
      </c>
      <c r="BJ20" s="94">
        <f ca="1">IF(DatosHoy[[#This Row],[CT ajus PM Q1]]=DatosHoy[[#This Row],[CT ajus PM Md]],-1,DatosHoy[[#This Row],[CT ajus PM Q1]]-DatosHoy[[#This Row],[CT ajus PM Md]])</f>
        <v>-140083.2310472168</v>
      </c>
      <c r="BK20" s="94">
        <f ca="1">IF(DatosHoy[[#This Row],[G ajus PMd]]=DatosHoy[[#This Row],[G ajus PM Q3]],-1,DatosHoy[[#This Row],[G ajus PMd]]-DatosHoy[[#This Row],[G ajus PM Q3]])</f>
        <v>-1335396.8434204441</v>
      </c>
      <c r="BL20" s="94">
        <f ca="1">IF(DatosHoy[[#This Row],[G+V ajus PM Md]]=DatosHoy[[#This Row],[G+V ajus PM Q3]],-1,DatosHoy[[#This Row],[G+V ajus PM Md]]-DatosHoy[[#This Row],[G+V ajus PM Q3]])</f>
        <v>-1420643.6468959968</v>
      </c>
      <c r="BM20" s="94">
        <f ca="1">IF(DatosHoy[[#This Row],[CT ajus PM Md]]=DatosHoy[[#This Row],[CT ajus PM Q3]],-1,DatosHoy[[#This Row],[CT ajus PM Md]]-DatosHoy[[#This Row],[CT ajus PM Q3]])</f>
        <v>-1373668.6788063208</v>
      </c>
      <c r="BN20" s="74">
        <v>189</v>
      </c>
      <c r="BO20" s="94">
        <f ca="1">IFERROR(VLOOKUP($BN20,'Regresion Q1'!$T$6:$V$10,2,1)*$BN20+VLOOKUP($BN20,'Regresion Q1'!$T$6:$V$10,3,1),VLOOKUP(MIN(DatosHoy[Puntos]),'Regresion Q1'!$T$6:$V$10,2,1)*$BN20+VLOOKUP(MIN(DatosHoy[Puntos]),'Regresion Q1'!$T$6:$V$10,3,1))</f>
        <v>2481544.6786816148</v>
      </c>
      <c r="BP20" s="94">
        <f ca="1">IFERROR(VLOOKUP($BN20,'Regresion Q1'!$W$6:$Y$10,2,1)*$BN20+VLOOKUP($BN20,'Regresion Q1'!$W$6:$Y$10,3,1),VLOOKUP(MIN(DatosHoy[Puntos]),'Regresion Q1'!$W$6:$Y$10,2,1)*$BN20+VLOOKUP(MIN(DatosHoy[Puntos]),'Regresion Q1'!$W$6:$Y$10,3,1))</f>
        <v>2576834.4517295058</v>
      </c>
      <c r="BQ20" s="94">
        <f ca="1">IFERROR(VLOOKUP($BN20,'Regresion Q1'!$Z$6:$AB$10,2,1)*$BN20+VLOOKUP($BN20,'Regresion Q1'!$Z$6:$AB$10,3,1),VLOOKUP(MIN(DatosHoy[Puntos]),'Regresion Q1'!$Z$6:$AB$10,2,1)*$BN20+VLOOKUP(MIN(DatosHoy[Puntos]),'Regresion Q1'!$Z$6:$AB$10,3,1))</f>
        <v>2678030.3958445853</v>
      </c>
      <c r="BR20" s="94">
        <f ca="1">IFERROR(VLOOKUP($BN20,'Regresion Md'!$T$6:$V$10,2,1)*$BN20+VLOOKUP($BN20,'Regresion Md'!$T$6:$V$10,3,1),VLOOKUP(MIN(DatosHoy[Puntos]),'Regresion Md'!$T$6:$V$10,2,1)*$BN20+VLOOKUP(MIN(DatosHoy[Puntos]),'Regresion Md'!$T$6:$V$10,3,1))</f>
        <v>2626692.8742026472</v>
      </c>
      <c r="BS20" s="94">
        <f ca="1">IFERROR(VLOOKUP($BN20,'Regresion Md'!$W$6:$Y$10,2,1)*$BN20+VLOOKUP($BN20,'Regresion Md'!$W$6:$Y$10,3,1),VLOOKUP(MIN(DatosHoy[Puntos]),'Regresion Md'!$W$6:$Y$10,2,1)*$BN20+VLOOKUP(MIN(DatosHoy[Puntos]),'Regresion Md'!$W$6:$Y$10,3,1))</f>
        <v>2657318.3231702531</v>
      </c>
      <c r="BT20" s="94">
        <f ca="1">IFERROR(VLOOKUP($BN20,'Regresion Md'!$Z$6:$AB$10,2,1)*$BN20+VLOOKUP($BN20,'Regresion Md'!$Z$6:$AB$10,3,1),VLOOKUP(MIN(DatosHoy[Puntos]),'Regresion Md'!$Z$6:$AB$10,2,1)*$BN20+VLOOKUP(MIN(DatosHoy[Puntos]),'Regresion Md'!$Z$6:$AB$10,3,1))</f>
        <v>2818113.6268918021</v>
      </c>
      <c r="BU20" s="94">
        <f ca="1">IFERROR(VLOOKUP($BN20,'Regresion Q3'!$T$6:$V$10,2,1)*$BN20+VLOOKUP($BN20,'Regresion Q3'!$T$6:$V$10,3,1),VLOOKUP(MIN(DatosHoy[Puntos]),'Regresion Q3'!$T$6:$V$10,2,1)*$BN20+VLOOKUP(MIN(DatosHoy[Puntos]),'Regresion Q3'!$T$6:$V$10,3,1))</f>
        <v>3962089.7176230913</v>
      </c>
      <c r="BV20" s="94">
        <f ca="1">IFERROR(VLOOKUP($BN20,'Regresion Q3'!$W$6:$Y$10,2,1)*$BN20+VLOOKUP($BN20,'Regresion Q3'!$W$6:$Y$10,3,1),VLOOKUP(MIN(DatosHoy[Puntos]),'Regresion Q3'!$W$6:$Y$10,2,1)*$BN20+VLOOKUP(MIN(DatosHoy[Puntos]),'Regresion Q3'!$W$6:$Y$10,3,1))</f>
        <v>4077961.9700662498</v>
      </c>
      <c r="BW20" s="94">
        <f ca="1">IFERROR(VLOOKUP($BN20,'Regresion Q3'!$Z$6:$AB$10,2,1)*$BN20+VLOOKUP($BN20,'Regresion Q3'!$Z$6:$AB$10,3,1),VLOOKUP(MIN(DatosHoy[Puntos]),'Regresion Q3'!$Z$6:$AB$10,2,1)*$BN20+VLOOKUP(MIN(DatosHoy[Puntos]),'Regresion Q3'!$Z$6:$AB$10,3,1))</f>
        <v>4191782.3056981228</v>
      </c>
      <c r="BX20" s="96">
        <f ca="1">DatosHoy[[#This Row],[CT Actual]]/DatosHoy[[#This Row],[CT ajus PM Md]]</f>
        <v>1.127353052653181</v>
      </c>
      <c r="BY20" s="125" t="str">
        <f>VLOOKUP(DatosHoy[[#This Row],[Cargo Valorado]],Estadísticos[[Cargo]:[Nivel]],2,FALSE)</f>
        <v>Soporte</v>
      </c>
      <c r="BZ20" s="96">
        <f>(DatosHoy[[#This Row],[G+V Actual]]-DatosHoy[[#This Row],[G Actual]])/DatosHoy[[#This Row],[CT Actual]]</f>
        <v>0</v>
      </c>
      <c r="CA20" s="96">
        <f>(DatosHoy[[#This Row],[CT Actual]]-DatosHoy[[#This Row],[G+V Actual]])/DatosHoy[[#This Row],[CT Actual]]</f>
        <v>0</v>
      </c>
      <c r="CB20" s="139" t="s">
        <v>255</v>
      </c>
    </row>
    <row r="21" spans="2:80" x14ac:dyDescent="0.25">
      <c r="B21" s="73">
        <f t="shared" si="0"/>
        <v>16</v>
      </c>
      <c r="C21" s="74">
        <v>3177009.0000000005</v>
      </c>
      <c r="D21" s="74">
        <v>3177009.0000000005</v>
      </c>
      <c r="E21" s="74">
        <v>3177009.0000000005</v>
      </c>
      <c r="F21" s="94">
        <f>VLOOKUP(DatosHoy[[#This Row],[Cargo Valorado]],Estadísticos[],3,0)</f>
        <v>2104912.9808767801</v>
      </c>
      <c r="G21" s="94">
        <f>VLOOKUP(DatosHoy[[#This Row],[Cargo Valorado]],Estadísticos[],4,0)</f>
        <v>2467274.724345916</v>
      </c>
      <c r="H21" s="94">
        <f>VLOOKUP(DatosHoy[[#This Row],[Cargo Valorado]],Estadísticos[],5,0)</f>
        <v>2493290.1318597868</v>
      </c>
      <c r="I21" s="94">
        <f>VLOOKUP(DatosHoy[[#This Row],[Cargo Valorado]],Estadísticos[],6,0)</f>
        <v>2238837.3660477223</v>
      </c>
      <c r="J21" s="94">
        <f>VLOOKUP(DatosHoy[[#This Row],[Cargo Valorado]],Estadísticos[],7,0)</f>
        <v>2604586.9158314327</v>
      </c>
      <c r="K21" s="94">
        <f>VLOOKUP(DatosHoy[[#This Row],[Cargo Valorado]],Estadísticos[],8,0)</f>
        <v>2705935.171174543</v>
      </c>
      <c r="L21" s="94">
        <f>VLOOKUP(DatosHoy[[#This Row],[Cargo Valorado]],Estadísticos[],9,0)</f>
        <v>2466322.9815507103</v>
      </c>
      <c r="M21" s="94">
        <f>VLOOKUP(DatosHoy[[#This Row],[Cargo Valorado]],Estadísticos[],10,0)</f>
        <v>2808062.3592790142</v>
      </c>
      <c r="N21" s="94">
        <f>VLOOKUP(DatosHoy[[#This Row],[Cargo Valorado]],Estadísticos[],11,0)</f>
        <v>2934069.3347798092</v>
      </c>
      <c r="O21" s="75" t="s">
        <v>240</v>
      </c>
      <c r="P21" s="75">
        <v>199</v>
      </c>
      <c r="Q21" s="95" t="str">
        <f t="shared" si="4"/>
        <v>$P$21</v>
      </c>
      <c r="R21" s="95" t="str">
        <f t="shared" si="5"/>
        <v>$F$21</v>
      </c>
      <c r="S21" s="95" t="str">
        <f t="shared" si="6"/>
        <v>$G$21</v>
      </c>
      <c r="T21" s="95" t="str">
        <f t="shared" si="7"/>
        <v>$H$21</v>
      </c>
      <c r="U21" s="95" t="str">
        <f t="shared" si="8"/>
        <v>$I$21</v>
      </c>
      <c r="V21" s="95" t="str">
        <f t="shared" si="9"/>
        <v>$J$21</v>
      </c>
      <c r="W21" s="95" t="str">
        <f t="shared" si="10"/>
        <v>$K$21</v>
      </c>
      <c r="X21" s="95" t="str">
        <f t="shared" si="11"/>
        <v>$L$21</v>
      </c>
      <c r="Y21" s="95" t="str">
        <f t="shared" si="12"/>
        <v>$M$21</v>
      </c>
      <c r="Z21" s="95" t="str">
        <f t="shared" si="13"/>
        <v>$N$21</v>
      </c>
      <c r="AA21" s="94">
        <f ca="1">VLOOKUP($P21,'Regresion Q1'!$E$6:$I$10,4,1)*$P21+VLOOKUP($P21,'Regresion Q1'!$E$6:$I$10,5,1)</f>
        <v>2554319.521229614</v>
      </c>
      <c r="AB21" s="94">
        <f ca="1">VLOOKUP($P21,'Regresion Q1'!$J$6:$N$10,4,1)*$P21+VLOOKUP($P21,'Regresion Q1'!$J$6:$N$10,5,1)</f>
        <v>2607217.8549282979</v>
      </c>
      <c r="AC21" s="94">
        <f ca="1">VLOOKUP($P21,'Regresion Q1'!$O$6:$S$10,4,1)*$P21+VLOOKUP($P21,'Regresion Q1'!$O$6:$S$10,5,1)</f>
        <v>2769216.3498908198</v>
      </c>
      <c r="AD21" s="94">
        <f ca="1">VLOOKUP($P21,'Regresion Md'!$E$6:$I$10,4,1)*$P21+VLOOKUP($P21,'Regresion Md'!$E$6:$I$10,5,1)</f>
        <v>2892002.1055674665</v>
      </c>
      <c r="AE21" s="94">
        <f ca="1">VLOOKUP($P21,'Regresion Md'!$J$6:$N$10,4,1)*$P21+VLOOKUP($P21,'Regresion Md'!$J$6:$N$10,5,1)</f>
        <v>2990594.8584599281</v>
      </c>
      <c r="AF21" s="94">
        <f ca="1">VLOOKUP($P21,'Regresion Md'!$O$6:$S$10,4,1)*$P21+VLOOKUP($P21,'Regresion Md'!$O$6:$S$10,5,1)</f>
        <v>3185665.8586203754</v>
      </c>
      <c r="AG21" s="94">
        <f ca="1">VLOOKUP($P21,'Regresion Q3'!$E$6:$I$10,4,1)*$P21+VLOOKUP($P21,'Regresion Q3'!$E$6:$I$10,5,1)</f>
        <v>3437811.3730175635</v>
      </c>
      <c r="AH21" s="94">
        <f ca="1">VLOOKUP($P21,'Regresion Q3'!$J$6:$N$10,4,1)*$P21+VLOOKUP($P21,'Regresion Q3'!$J$6:$N$10,5,1)</f>
        <v>3496310.2521248786</v>
      </c>
      <c r="AI21" s="94">
        <f ca="1">VLOOKUP($P21,'Regresion Q3'!$O$6:$S$10,4,1)*$P21+VLOOKUP($P21,'Regresion Q3'!$O$6:$S$10,5,1)</f>
        <v>3689735.3868799023</v>
      </c>
      <c r="AJ21" s="94">
        <f ca="1">VLOOKUP($P21,'Regresion Q1'!$T$6:$V$10,2,1)*$P21+VLOOKUP($P21,'Regresion Q1'!$T$6:$V$10,3,1)</f>
        <v>2581578.8589861328</v>
      </c>
      <c r="AK21" s="94">
        <f ca="1">VLOOKUP($P21,'Regresion Q1'!$W$6:$Y$10,2,1)*$P21+VLOOKUP($P21,'Regresion Q1'!$W$6:$Y$10,3,1)</f>
        <v>2677933.7328743841</v>
      </c>
      <c r="AL21" s="94">
        <f ca="1">VLOOKUP($P21,'Regresion Q1'!$Z$6:$AB$10,2,1)*$P21+VLOOKUP($P21,'Regresion Q1'!$Z$6:$AB$10,3,1)</f>
        <v>2783678.507166639</v>
      </c>
      <c r="AM21" s="94">
        <f ca="1">VLOOKUP($P21,'Regresion Md'!$T$6:$V$10,2,1)*$P21+VLOOKUP($P21,'Regresion Md'!$T$6:$V$10,3,1)</f>
        <v>2725992.6886527156</v>
      </c>
      <c r="AN21" s="94">
        <f ca="1">VLOOKUP($P21,'Regresion Md'!$W$6:$Y$10,2,1)*$P21+VLOOKUP($P21,'Regresion Md'!$W$6:$Y$10,3,1)</f>
        <v>2752117.1915801838</v>
      </c>
      <c r="AO21" s="94">
        <f ca="1">VLOOKUP($P21,'Regresion Md'!$Z$6:$AB$10,2,1)*$P21+VLOOKUP($P21,'Regresion Md'!$Z$6:$AB$10,3,1)</f>
        <v>2924594.2726780088</v>
      </c>
      <c r="AP21" s="94">
        <f ca="1">VLOOKUP($P21,'Regresion Q3'!$T$6:$V$10,2,1)*$P21+VLOOKUP($P21,'Regresion Q3'!$T$6:$V$10,3,1)</f>
        <v>4146693.5007635937</v>
      </c>
      <c r="AQ21" s="94">
        <f ca="1">VLOOKUP($P21,'Regresion Q3'!$W$6:$Y$10,2,1)*$P21+VLOOKUP($P21,'Regresion Q3'!$W$6:$Y$10,3,1)</f>
        <v>4266913.2748993207</v>
      </c>
      <c r="AR21" s="94">
        <f ca="1">VLOOKUP($P21,'Regresion Q3'!$Z$6:$AB$10,2,1)*$P21+VLOOKUP($P21,'Regresion Q3'!$Z$6:$AB$10,3,1)</f>
        <v>4384289.5490564536</v>
      </c>
      <c r="AS21" s="94">
        <f>IF($BN21=$BN22,-1,DatosHoy[[#This Row],[G ajus PM Q1]]-BO22)</f>
        <v>-1</v>
      </c>
      <c r="AT21" s="94">
        <f>IF($BN21=$BN22,-1,DatosHoy[[#This Row],[G+V ajus PM Q1]]-BP22)</f>
        <v>-1</v>
      </c>
      <c r="AU21" s="94">
        <f>IF($BN21=$BN22,-1,DatosHoy[[#This Row],[CT ajus PM Q1]]-BQ22)</f>
        <v>-1</v>
      </c>
      <c r="AV21" s="94">
        <f ca="1">IF(DatosHoy[[#This Row],[G ajus PM Q1]]=DatosHoy[[#This Row],[G+V ajus PM Q1]],-1,DatosHoy[[#This Row],[G ajus PM Q1]]-DatosHoy[[#This Row],[G+V ajus PM Q1]])</f>
        <v>-95289.77304789098</v>
      </c>
      <c r="AW21" s="94">
        <f ca="1">IF(DatosHoy[[#This Row],[G+V ajus PM Q1]]=DatosHoy[[#This Row],[CT ajus PM Q1]],-1,DatosHoy[[#This Row],[G+V ajus PM Q1]]-DatosHoy[[#This Row],[CT ajus PM Q1]])</f>
        <v>-101195.94411507947</v>
      </c>
      <c r="AX21" s="94">
        <f>IF($BN21=$BN22,-1,DatosHoy[[#This Row],[G ajus PMd]]-BR22)</f>
        <v>-1</v>
      </c>
      <c r="AY21" s="94">
        <f>IF($BN21=$BN22,-1,DatosHoy[[#This Row],[G+V ajus PM Md]]-BS22)</f>
        <v>-1</v>
      </c>
      <c r="AZ21" s="94">
        <f>IF($BN21=$BN22,-1,DatosHoy[[#This Row],[CT ajus PM Md]]-BT22)</f>
        <v>-1</v>
      </c>
      <c r="BA21" s="94">
        <f ca="1">IF(DatosHoy[[#This Row],[G ajus PMd]]=DatosHoy[[#This Row],[G+V ajus PM Md]],-1,DatosHoy[[#This Row],[G ajus PMd]]-DatosHoy[[#This Row],[G+V ajus PM Md]])</f>
        <v>-30625.448967605829</v>
      </c>
      <c r="BB21" s="94">
        <f ca="1">IF(DatosHoy[[#This Row],[G+V ajus PM Md]]=DatosHoy[[#This Row],[CT ajus PM Md]],-1,DatosHoy[[#This Row],[G+V ajus PM Md]]-DatosHoy[[#This Row],[CT ajus PM Md]])</f>
        <v>-160795.30372154899</v>
      </c>
      <c r="BC21" s="94">
        <f>IF($BN21=$BN22,-1,DatosHoy[[#This Row],[G ajus PM Q3]]-BU22)</f>
        <v>-1</v>
      </c>
      <c r="BD21" s="94">
        <f>IF($BN21=$BN22,-1,DatosHoy[[#This Row],[G+V ajus PM Q3]]-BV22)</f>
        <v>-1</v>
      </c>
      <c r="BE21" s="94">
        <f>IF($BN21=$BN22,-1,DatosHoy[[#This Row],[CT ajus PM Q3]]-BW22)</f>
        <v>-1</v>
      </c>
      <c r="BF21" s="94">
        <f ca="1">IF(DatosHoy[[#This Row],[G ajus PM Q3]]=DatosHoy[[#This Row],[G+V ajus PM Q3]],-1,DatosHoy[[#This Row],[G ajus PM Q3]]-DatosHoy[[#This Row],[G+V ajus PM Q3]])</f>
        <v>-115872.25244315853</v>
      </c>
      <c r="BG21" s="94">
        <f ca="1">IF(DatosHoy[[#This Row],[G+V ajus PM Q3]]=DatosHoy[[#This Row],[CT ajus PM Q3]],-1,DatosHoy[[#This Row],[G+V ajus PM Q3]]-DatosHoy[[#This Row],[CT ajus PM Q3]])</f>
        <v>-113820.33563187299</v>
      </c>
      <c r="BH21" s="94">
        <f ca="1">IF(DatosHoy[[#This Row],[G ajus PM Q1]]=DatosHoy[[#This Row],[G ajus PMd]],-1,DatosHoy[[#This Row],[G ajus PM Q1]]-DatosHoy[[#This Row],[G ajus PMd]])</f>
        <v>-145148.19552103244</v>
      </c>
      <c r="BI21" s="94">
        <f ca="1">IF(DatosHoy[[#This Row],[G+V ajus PM Q1]]=DatosHoy[[#This Row],[G+V ajus PM Md]],-1,DatosHoy[[#This Row],[G+V ajus PM Q1]]-DatosHoy[[#This Row],[G+V ajus PM Md]])</f>
        <v>-80483.871440747287</v>
      </c>
      <c r="BJ21" s="94">
        <f ca="1">IF(DatosHoy[[#This Row],[CT ajus PM Q1]]=DatosHoy[[#This Row],[CT ajus PM Md]],-1,DatosHoy[[#This Row],[CT ajus PM Q1]]-DatosHoy[[#This Row],[CT ajus PM Md]])</f>
        <v>-140083.2310472168</v>
      </c>
      <c r="BK21" s="94">
        <f ca="1">IF(DatosHoy[[#This Row],[G ajus PMd]]=DatosHoy[[#This Row],[G ajus PM Q3]],-1,DatosHoy[[#This Row],[G ajus PMd]]-DatosHoy[[#This Row],[G ajus PM Q3]])</f>
        <v>-1335396.8434204441</v>
      </c>
      <c r="BL21" s="94">
        <f ca="1">IF(DatosHoy[[#This Row],[G+V ajus PM Md]]=DatosHoy[[#This Row],[G+V ajus PM Q3]],-1,DatosHoy[[#This Row],[G+V ajus PM Md]]-DatosHoy[[#This Row],[G+V ajus PM Q3]])</f>
        <v>-1420643.6468959968</v>
      </c>
      <c r="BM21" s="94">
        <f ca="1">IF(DatosHoy[[#This Row],[CT ajus PM Md]]=DatosHoy[[#This Row],[CT ajus PM Q3]],-1,DatosHoy[[#This Row],[CT ajus PM Md]]-DatosHoy[[#This Row],[CT ajus PM Q3]])</f>
        <v>-1373668.6788063208</v>
      </c>
      <c r="BN21" s="74">
        <v>189</v>
      </c>
      <c r="BO21" s="94">
        <f ca="1">IFERROR(VLOOKUP($BN21,'Regresion Q1'!$T$6:$V$10,2,1)*$BN21+VLOOKUP($BN21,'Regresion Q1'!$T$6:$V$10,3,1),VLOOKUP(MIN(DatosHoy[Puntos]),'Regresion Q1'!$T$6:$V$10,2,1)*$BN21+VLOOKUP(MIN(DatosHoy[Puntos]),'Regresion Q1'!$T$6:$V$10,3,1))</f>
        <v>2481544.6786816148</v>
      </c>
      <c r="BP21" s="94">
        <f ca="1">IFERROR(VLOOKUP($BN21,'Regresion Q1'!$W$6:$Y$10,2,1)*$BN21+VLOOKUP($BN21,'Regresion Q1'!$W$6:$Y$10,3,1),VLOOKUP(MIN(DatosHoy[Puntos]),'Regresion Q1'!$W$6:$Y$10,2,1)*$BN21+VLOOKUP(MIN(DatosHoy[Puntos]),'Regresion Q1'!$W$6:$Y$10,3,1))</f>
        <v>2576834.4517295058</v>
      </c>
      <c r="BQ21" s="94">
        <f ca="1">IFERROR(VLOOKUP($BN21,'Regresion Q1'!$Z$6:$AB$10,2,1)*$BN21+VLOOKUP($BN21,'Regresion Q1'!$Z$6:$AB$10,3,1),VLOOKUP(MIN(DatosHoy[Puntos]),'Regresion Q1'!$Z$6:$AB$10,2,1)*$BN21+VLOOKUP(MIN(DatosHoy[Puntos]),'Regresion Q1'!$Z$6:$AB$10,3,1))</f>
        <v>2678030.3958445853</v>
      </c>
      <c r="BR21" s="94">
        <f ca="1">IFERROR(VLOOKUP($BN21,'Regresion Md'!$T$6:$V$10,2,1)*$BN21+VLOOKUP($BN21,'Regresion Md'!$T$6:$V$10,3,1),VLOOKUP(MIN(DatosHoy[Puntos]),'Regresion Md'!$T$6:$V$10,2,1)*$BN21+VLOOKUP(MIN(DatosHoy[Puntos]),'Regresion Md'!$T$6:$V$10,3,1))</f>
        <v>2626692.8742026472</v>
      </c>
      <c r="BS21" s="94">
        <f ca="1">IFERROR(VLOOKUP($BN21,'Regresion Md'!$W$6:$Y$10,2,1)*$BN21+VLOOKUP($BN21,'Regresion Md'!$W$6:$Y$10,3,1),VLOOKUP(MIN(DatosHoy[Puntos]),'Regresion Md'!$W$6:$Y$10,2,1)*$BN21+VLOOKUP(MIN(DatosHoy[Puntos]),'Regresion Md'!$W$6:$Y$10,3,1))</f>
        <v>2657318.3231702531</v>
      </c>
      <c r="BT21" s="94">
        <f ca="1">IFERROR(VLOOKUP($BN21,'Regresion Md'!$Z$6:$AB$10,2,1)*$BN21+VLOOKUP($BN21,'Regresion Md'!$Z$6:$AB$10,3,1),VLOOKUP(MIN(DatosHoy[Puntos]),'Regresion Md'!$Z$6:$AB$10,2,1)*$BN21+VLOOKUP(MIN(DatosHoy[Puntos]),'Regresion Md'!$Z$6:$AB$10,3,1))</f>
        <v>2818113.6268918021</v>
      </c>
      <c r="BU21" s="94">
        <f ca="1">IFERROR(VLOOKUP($BN21,'Regresion Q3'!$T$6:$V$10,2,1)*$BN21+VLOOKUP($BN21,'Regresion Q3'!$T$6:$V$10,3,1),VLOOKUP(MIN(DatosHoy[Puntos]),'Regresion Q3'!$T$6:$V$10,2,1)*$BN21+VLOOKUP(MIN(DatosHoy[Puntos]),'Regresion Q3'!$T$6:$V$10,3,1))</f>
        <v>3962089.7176230913</v>
      </c>
      <c r="BV21" s="94">
        <f ca="1">IFERROR(VLOOKUP($BN21,'Regresion Q3'!$W$6:$Y$10,2,1)*$BN21+VLOOKUP($BN21,'Regresion Q3'!$W$6:$Y$10,3,1),VLOOKUP(MIN(DatosHoy[Puntos]),'Regresion Q3'!$W$6:$Y$10,2,1)*$BN21+VLOOKUP(MIN(DatosHoy[Puntos]),'Regresion Q3'!$W$6:$Y$10,3,1))</f>
        <v>4077961.9700662498</v>
      </c>
      <c r="BW21" s="94">
        <f ca="1">IFERROR(VLOOKUP($BN21,'Regresion Q3'!$Z$6:$AB$10,2,1)*$BN21+VLOOKUP($BN21,'Regresion Q3'!$Z$6:$AB$10,3,1),VLOOKUP(MIN(DatosHoy[Puntos]),'Regresion Q3'!$Z$6:$AB$10,2,1)*$BN21+VLOOKUP(MIN(DatosHoy[Puntos]),'Regresion Q3'!$Z$6:$AB$10,3,1))</f>
        <v>4191782.3056981228</v>
      </c>
      <c r="BX21" s="96">
        <f ca="1">DatosHoy[[#This Row],[CT Actual]]/DatosHoy[[#This Row],[CT ajus PM Md]]</f>
        <v>1.127353052653181</v>
      </c>
      <c r="BY21" s="125" t="str">
        <f>VLOOKUP(DatosHoy[[#This Row],[Cargo Valorado]],Estadísticos[[Cargo]:[Nivel]],2,FALSE)</f>
        <v>Soporte</v>
      </c>
      <c r="BZ21" s="96">
        <f>(DatosHoy[[#This Row],[G+V Actual]]-DatosHoy[[#This Row],[G Actual]])/DatosHoy[[#This Row],[CT Actual]]</f>
        <v>0</v>
      </c>
      <c r="CA21" s="96">
        <f>(DatosHoy[[#This Row],[CT Actual]]-DatosHoy[[#This Row],[G+V Actual]])/DatosHoy[[#This Row],[CT Actual]]</f>
        <v>0</v>
      </c>
      <c r="CB21" s="139" t="s">
        <v>255</v>
      </c>
    </row>
    <row r="22" spans="2:80" x14ac:dyDescent="0.25">
      <c r="B22" s="73">
        <f t="shared" si="0"/>
        <v>17</v>
      </c>
      <c r="C22" s="74">
        <v>3177009.0000000005</v>
      </c>
      <c r="D22" s="74">
        <v>3177009.0000000005</v>
      </c>
      <c r="E22" s="74">
        <v>3177009.0000000005</v>
      </c>
      <c r="F22" s="94">
        <f>VLOOKUP(DatosHoy[[#This Row],[Cargo Valorado]],Estadísticos[],3,0)</f>
        <v>2104912.9808767801</v>
      </c>
      <c r="G22" s="94">
        <f>VLOOKUP(DatosHoy[[#This Row],[Cargo Valorado]],Estadísticos[],4,0)</f>
        <v>2467274.724345916</v>
      </c>
      <c r="H22" s="94">
        <f>VLOOKUP(DatosHoy[[#This Row],[Cargo Valorado]],Estadísticos[],5,0)</f>
        <v>2493290.1318597868</v>
      </c>
      <c r="I22" s="94">
        <f>VLOOKUP(DatosHoy[[#This Row],[Cargo Valorado]],Estadísticos[],6,0)</f>
        <v>2238837.3660477223</v>
      </c>
      <c r="J22" s="94">
        <f>VLOOKUP(DatosHoy[[#This Row],[Cargo Valorado]],Estadísticos[],7,0)</f>
        <v>2604586.9158314327</v>
      </c>
      <c r="K22" s="94">
        <f>VLOOKUP(DatosHoy[[#This Row],[Cargo Valorado]],Estadísticos[],8,0)</f>
        <v>2705935.171174543</v>
      </c>
      <c r="L22" s="94">
        <f>VLOOKUP(DatosHoy[[#This Row],[Cargo Valorado]],Estadísticos[],9,0)</f>
        <v>2466322.9815507103</v>
      </c>
      <c r="M22" s="94">
        <f>VLOOKUP(DatosHoy[[#This Row],[Cargo Valorado]],Estadísticos[],10,0)</f>
        <v>2808062.3592790142</v>
      </c>
      <c r="N22" s="94">
        <f>VLOOKUP(DatosHoy[[#This Row],[Cargo Valorado]],Estadísticos[],11,0)</f>
        <v>2934069.3347798092</v>
      </c>
      <c r="O22" s="75" t="s">
        <v>240</v>
      </c>
      <c r="P22" s="75">
        <v>199</v>
      </c>
      <c r="Q22" s="95" t="str">
        <f t="shared" si="4"/>
        <v>$P$22</v>
      </c>
      <c r="R22" s="95" t="str">
        <f t="shared" si="5"/>
        <v>$F$22</v>
      </c>
      <c r="S22" s="95" t="str">
        <f t="shared" si="6"/>
        <v>$G$22</v>
      </c>
      <c r="T22" s="95" t="str">
        <f t="shared" si="7"/>
        <v>$H$22</v>
      </c>
      <c r="U22" s="95" t="str">
        <f t="shared" si="8"/>
        <v>$I$22</v>
      </c>
      <c r="V22" s="95" t="str">
        <f t="shared" si="9"/>
        <v>$J$22</v>
      </c>
      <c r="W22" s="95" t="str">
        <f t="shared" si="10"/>
        <v>$K$22</v>
      </c>
      <c r="X22" s="95" t="str">
        <f t="shared" si="11"/>
        <v>$L$22</v>
      </c>
      <c r="Y22" s="95" t="str">
        <f t="shared" si="12"/>
        <v>$M$22</v>
      </c>
      <c r="Z22" s="95" t="str">
        <f t="shared" si="13"/>
        <v>$N$22</v>
      </c>
      <c r="AA22" s="94">
        <f ca="1">VLOOKUP($P22,'Regresion Q1'!$E$6:$I$10,4,1)*$P22+VLOOKUP($P22,'Regresion Q1'!$E$6:$I$10,5,1)</f>
        <v>2554319.521229614</v>
      </c>
      <c r="AB22" s="94">
        <f ca="1">VLOOKUP($P22,'Regresion Q1'!$J$6:$N$10,4,1)*$P22+VLOOKUP($P22,'Regresion Q1'!$J$6:$N$10,5,1)</f>
        <v>2607217.8549282979</v>
      </c>
      <c r="AC22" s="94">
        <f ca="1">VLOOKUP($P22,'Regresion Q1'!$O$6:$S$10,4,1)*$P22+VLOOKUP($P22,'Regresion Q1'!$O$6:$S$10,5,1)</f>
        <v>2769216.3498908198</v>
      </c>
      <c r="AD22" s="94">
        <f ca="1">VLOOKUP($P22,'Regresion Md'!$E$6:$I$10,4,1)*$P22+VLOOKUP($P22,'Regresion Md'!$E$6:$I$10,5,1)</f>
        <v>2892002.1055674665</v>
      </c>
      <c r="AE22" s="94">
        <f ca="1">VLOOKUP($P22,'Regresion Md'!$J$6:$N$10,4,1)*$P22+VLOOKUP($P22,'Regresion Md'!$J$6:$N$10,5,1)</f>
        <v>2990594.8584599281</v>
      </c>
      <c r="AF22" s="94">
        <f ca="1">VLOOKUP($P22,'Regresion Md'!$O$6:$S$10,4,1)*$P22+VLOOKUP($P22,'Regresion Md'!$O$6:$S$10,5,1)</f>
        <v>3185665.8586203754</v>
      </c>
      <c r="AG22" s="94">
        <f ca="1">VLOOKUP($P22,'Regresion Q3'!$E$6:$I$10,4,1)*$P22+VLOOKUP($P22,'Regresion Q3'!$E$6:$I$10,5,1)</f>
        <v>3437811.3730175635</v>
      </c>
      <c r="AH22" s="94">
        <f ca="1">VLOOKUP($P22,'Regresion Q3'!$J$6:$N$10,4,1)*$P22+VLOOKUP($P22,'Regresion Q3'!$J$6:$N$10,5,1)</f>
        <v>3496310.2521248786</v>
      </c>
      <c r="AI22" s="94">
        <f ca="1">VLOOKUP($P22,'Regresion Q3'!$O$6:$S$10,4,1)*$P22+VLOOKUP($P22,'Regresion Q3'!$O$6:$S$10,5,1)</f>
        <v>3689735.3868799023</v>
      </c>
      <c r="AJ22" s="94">
        <f ca="1">VLOOKUP($P22,'Regresion Q1'!$T$6:$V$10,2,1)*$P22+VLOOKUP($P22,'Regresion Q1'!$T$6:$V$10,3,1)</f>
        <v>2581578.8589861328</v>
      </c>
      <c r="AK22" s="94">
        <f ca="1">VLOOKUP($P22,'Regresion Q1'!$W$6:$Y$10,2,1)*$P22+VLOOKUP($P22,'Regresion Q1'!$W$6:$Y$10,3,1)</f>
        <v>2677933.7328743841</v>
      </c>
      <c r="AL22" s="94">
        <f ca="1">VLOOKUP($P22,'Regresion Q1'!$Z$6:$AB$10,2,1)*$P22+VLOOKUP($P22,'Regresion Q1'!$Z$6:$AB$10,3,1)</f>
        <v>2783678.507166639</v>
      </c>
      <c r="AM22" s="94">
        <f ca="1">VLOOKUP($P22,'Regresion Md'!$T$6:$V$10,2,1)*$P22+VLOOKUP($P22,'Regresion Md'!$T$6:$V$10,3,1)</f>
        <v>2725992.6886527156</v>
      </c>
      <c r="AN22" s="94">
        <f ca="1">VLOOKUP($P22,'Regresion Md'!$W$6:$Y$10,2,1)*$P22+VLOOKUP($P22,'Regresion Md'!$W$6:$Y$10,3,1)</f>
        <v>2752117.1915801838</v>
      </c>
      <c r="AO22" s="94">
        <f ca="1">VLOOKUP($P22,'Regresion Md'!$Z$6:$AB$10,2,1)*$P22+VLOOKUP($P22,'Regresion Md'!$Z$6:$AB$10,3,1)</f>
        <v>2924594.2726780088</v>
      </c>
      <c r="AP22" s="94">
        <f ca="1">VLOOKUP($P22,'Regresion Q3'!$T$6:$V$10,2,1)*$P22+VLOOKUP($P22,'Regresion Q3'!$T$6:$V$10,3,1)</f>
        <v>4146693.5007635937</v>
      </c>
      <c r="AQ22" s="94">
        <f ca="1">VLOOKUP($P22,'Regresion Q3'!$W$6:$Y$10,2,1)*$P22+VLOOKUP($P22,'Regresion Q3'!$W$6:$Y$10,3,1)</f>
        <v>4266913.2748993207</v>
      </c>
      <c r="AR22" s="94">
        <f ca="1">VLOOKUP($P22,'Regresion Q3'!$Z$6:$AB$10,2,1)*$P22+VLOOKUP($P22,'Regresion Q3'!$Z$6:$AB$10,3,1)</f>
        <v>4384289.5490564536</v>
      </c>
      <c r="AS22" s="94">
        <f>IF($BN22=$BN23,-1,DatosHoy[[#This Row],[G ajus PM Q1]]-BO23)</f>
        <v>-1</v>
      </c>
      <c r="AT22" s="94">
        <f>IF($BN22=$BN23,-1,DatosHoy[[#This Row],[G+V ajus PM Q1]]-BP23)</f>
        <v>-1</v>
      </c>
      <c r="AU22" s="94">
        <f>IF($BN22=$BN23,-1,DatosHoy[[#This Row],[CT ajus PM Q1]]-BQ23)</f>
        <v>-1</v>
      </c>
      <c r="AV22" s="94">
        <f ca="1">IF(DatosHoy[[#This Row],[G ajus PM Q1]]=DatosHoy[[#This Row],[G+V ajus PM Q1]],-1,DatosHoy[[#This Row],[G ajus PM Q1]]-DatosHoy[[#This Row],[G+V ajus PM Q1]])</f>
        <v>-95289.77304789098</v>
      </c>
      <c r="AW22" s="94">
        <f ca="1">IF(DatosHoy[[#This Row],[G+V ajus PM Q1]]=DatosHoy[[#This Row],[CT ajus PM Q1]],-1,DatosHoy[[#This Row],[G+V ajus PM Q1]]-DatosHoy[[#This Row],[CT ajus PM Q1]])</f>
        <v>-101195.94411507947</v>
      </c>
      <c r="AX22" s="94">
        <f>IF($BN22=$BN23,-1,DatosHoy[[#This Row],[G ajus PMd]]-BR23)</f>
        <v>-1</v>
      </c>
      <c r="AY22" s="94">
        <f>IF($BN22=$BN23,-1,DatosHoy[[#This Row],[G+V ajus PM Md]]-BS23)</f>
        <v>-1</v>
      </c>
      <c r="AZ22" s="94">
        <f>IF($BN22=$BN23,-1,DatosHoy[[#This Row],[CT ajus PM Md]]-BT23)</f>
        <v>-1</v>
      </c>
      <c r="BA22" s="94">
        <f ca="1">IF(DatosHoy[[#This Row],[G ajus PMd]]=DatosHoy[[#This Row],[G+V ajus PM Md]],-1,DatosHoy[[#This Row],[G ajus PMd]]-DatosHoy[[#This Row],[G+V ajus PM Md]])</f>
        <v>-30625.448967605829</v>
      </c>
      <c r="BB22" s="94">
        <f ca="1">IF(DatosHoy[[#This Row],[G+V ajus PM Md]]=DatosHoy[[#This Row],[CT ajus PM Md]],-1,DatosHoy[[#This Row],[G+V ajus PM Md]]-DatosHoy[[#This Row],[CT ajus PM Md]])</f>
        <v>-160795.30372154899</v>
      </c>
      <c r="BC22" s="94">
        <f>IF($BN22=$BN23,-1,DatosHoy[[#This Row],[G ajus PM Q3]]-BU23)</f>
        <v>-1</v>
      </c>
      <c r="BD22" s="94">
        <f>IF($BN22=$BN23,-1,DatosHoy[[#This Row],[G+V ajus PM Q3]]-BV23)</f>
        <v>-1</v>
      </c>
      <c r="BE22" s="94">
        <f>IF($BN22=$BN23,-1,DatosHoy[[#This Row],[CT ajus PM Q3]]-BW23)</f>
        <v>-1</v>
      </c>
      <c r="BF22" s="94">
        <f ca="1">IF(DatosHoy[[#This Row],[G ajus PM Q3]]=DatosHoy[[#This Row],[G+V ajus PM Q3]],-1,DatosHoy[[#This Row],[G ajus PM Q3]]-DatosHoy[[#This Row],[G+V ajus PM Q3]])</f>
        <v>-115872.25244315853</v>
      </c>
      <c r="BG22" s="94">
        <f ca="1">IF(DatosHoy[[#This Row],[G+V ajus PM Q3]]=DatosHoy[[#This Row],[CT ajus PM Q3]],-1,DatosHoy[[#This Row],[G+V ajus PM Q3]]-DatosHoy[[#This Row],[CT ajus PM Q3]])</f>
        <v>-113820.33563187299</v>
      </c>
      <c r="BH22" s="94">
        <f ca="1">IF(DatosHoy[[#This Row],[G ajus PM Q1]]=DatosHoy[[#This Row],[G ajus PMd]],-1,DatosHoy[[#This Row],[G ajus PM Q1]]-DatosHoy[[#This Row],[G ajus PMd]])</f>
        <v>-145148.19552103244</v>
      </c>
      <c r="BI22" s="94">
        <f ca="1">IF(DatosHoy[[#This Row],[G+V ajus PM Q1]]=DatosHoy[[#This Row],[G+V ajus PM Md]],-1,DatosHoy[[#This Row],[G+V ajus PM Q1]]-DatosHoy[[#This Row],[G+V ajus PM Md]])</f>
        <v>-80483.871440747287</v>
      </c>
      <c r="BJ22" s="94">
        <f ca="1">IF(DatosHoy[[#This Row],[CT ajus PM Q1]]=DatosHoy[[#This Row],[CT ajus PM Md]],-1,DatosHoy[[#This Row],[CT ajus PM Q1]]-DatosHoy[[#This Row],[CT ajus PM Md]])</f>
        <v>-140083.2310472168</v>
      </c>
      <c r="BK22" s="94">
        <f ca="1">IF(DatosHoy[[#This Row],[G ajus PMd]]=DatosHoy[[#This Row],[G ajus PM Q3]],-1,DatosHoy[[#This Row],[G ajus PMd]]-DatosHoy[[#This Row],[G ajus PM Q3]])</f>
        <v>-1335396.8434204441</v>
      </c>
      <c r="BL22" s="94">
        <f ca="1">IF(DatosHoy[[#This Row],[G+V ajus PM Md]]=DatosHoy[[#This Row],[G+V ajus PM Q3]],-1,DatosHoy[[#This Row],[G+V ajus PM Md]]-DatosHoy[[#This Row],[G+V ajus PM Q3]])</f>
        <v>-1420643.6468959968</v>
      </c>
      <c r="BM22" s="94">
        <f ca="1">IF(DatosHoy[[#This Row],[CT ajus PM Md]]=DatosHoy[[#This Row],[CT ajus PM Q3]],-1,DatosHoy[[#This Row],[CT ajus PM Md]]-DatosHoy[[#This Row],[CT ajus PM Q3]])</f>
        <v>-1373668.6788063208</v>
      </c>
      <c r="BN22" s="74">
        <v>189</v>
      </c>
      <c r="BO22" s="94">
        <f ca="1">IFERROR(VLOOKUP($BN22,'Regresion Q1'!$T$6:$V$10,2,1)*$BN22+VLOOKUP($BN22,'Regresion Q1'!$T$6:$V$10,3,1),VLOOKUP(MIN(DatosHoy[Puntos]),'Regresion Q1'!$T$6:$V$10,2,1)*$BN22+VLOOKUP(MIN(DatosHoy[Puntos]),'Regresion Q1'!$T$6:$V$10,3,1))</f>
        <v>2481544.6786816148</v>
      </c>
      <c r="BP22" s="94">
        <f ca="1">IFERROR(VLOOKUP($BN22,'Regresion Q1'!$W$6:$Y$10,2,1)*$BN22+VLOOKUP($BN22,'Regresion Q1'!$W$6:$Y$10,3,1),VLOOKUP(MIN(DatosHoy[Puntos]),'Regresion Q1'!$W$6:$Y$10,2,1)*$BN22+VLOOKUP(MIN(DatosHoy[Puntos]),'Regresion Q1'!$W$6:$Y$10,3,1))</f>
        <v>2576834.4517295058</v>
      </c>
      <c r="BQ22" s="94">
        <f ca="1">IFERROR(VLOOKUP($BN22,'Regresion Q1'!$Z$6:$AB$10,2,1)*$BN22+VLOOKUP($BN22,'Regresion Q1'!$Z$6:$AB$10,3,1),VLOOKUP(MIN(DatosHoy[Puntos]),'Regresion Q1'!$Z$6:$AB$10,2,1)*$BN22+VLOOKUP(MIN(DatosHoy[Puntos]),'Regresion Q1'!$Z$6:$AB$10,3,1))</f>
        <v>2678030.3958445853</v>
      </c>
      <c r="BR22" s="94">
        <f ca="1">IFERROR(VLOOKUP($BN22,'Regresion Md'!$T$6:$V$10,2,1)*$BN22+VLOOKUP($BN22,'Regresion Md'!$T$6:$V$10,3,1),VLOOKUP(MIN(DatosHoy[Puntos]),'Regresion Md'!$T$6:$V$10,2,1)*$BN22+VLOOKUP(MIN(DatosHoy[Puntos]),'Regresion Md'!$T$6:$V$10,3,1))</f>
        <v>2626692.8742026472</v>
      </c>
      <c r="BS22" s="94">
        <f ca="1">IFERROR(VLOOKUP($BN22,'Regresion Md'!$W$6:$Y$10,2,1)*$BN22+VLOOKUP($BN22,'Regresion Md'!$W$6:$Y$10,3,1),VLOOKUP(MIN(DatosHoy[Puntos]),'Regresion Md'!$W$6:$Y$10,2,1)*$BN22+VLOOKUP(MIN(DatosHoy[Puntos]),'Regresion Md'!$W$6:$Y$10,3,1))</f>
        <v>2657318.3231702531</v>
      </c>
      <c r="BT22" s="94">
        <f ca="1">IFERROR(VLOOKUP($BN22,'Regresion Md'!$Z$6:$AB$10,2,1)*$BN22+VLOOKUP($BN22,'Regresion Md'!$Z$6:$AB$10,3,1),VLOOKUP(MIN(DatosHoy[Puntos]),'Regresion Md'!$Z$6:$AB$10,2,1)*$BN22+VLOOKUP(MIN(DatosHoy[Puntos]),'Regresion Md'!$Z$6:$AB$10,3,1))</f>
        <v>2818113.6268918021</v>
      </c>
      <c r="BU22" s="94">
        <f ca="1">IFERROR(VLOOKUP($BN22,'Regresion Q3'!$T$6:$V$10,2,1)*$BN22+VLOOKUP($BN22,'Regresion Q3'!$T$6:$V$10,3,1),VLOOKUP(MIN(DatosHoy[Puntos]),'Regresion Q3'!$T$6:$V$10,2,1)*$BN22+VLOOKUP(MIN(DatosHoy[Puntos]),'Regresion Q3'!$T$6:$V$10,3,1))</f>
        <v>3962089.7176230913</v>
      </c>
      <c r="BV22" s="94">
        <f ca="1">IFERROR(VLOOKUP($BN22,'Regresion Q3'!$W$6:$Y$10,2,1)*$BN22+VLOOKUP($BN22,'Regresion Q3'!$W$6:$Y$10,3,1),VLOOKUP(MIN(DatosHoy[Puntos]),'Regresion Q3'!$W$6:$Y$10,2,1)*$BN22+VLOOKUP(MIN(DatosHoy[Puntos]),'Regresion Q3'!$W$6:$Y$10,3,1))</f>
        <v>4077961.9700662498</v>
      </c>
      <c r="BW22" s="94">
        <f ca="1">IFERROR(VLOOKUP($BN22,'Regresion Q3'!$Z$6:$AB$10,2,1)*$BN22+VLOOKUP($BN22,'Regresion Q3'!$Z$6:$AB$10,3,1),VLOOKUP(MIN(DatosHoy[Puntos]),'Regresion Q3'!$Z$6:$AB$10,2,1)*$BN22+VLOOKUP(MIN(DatosHoy[Puntos]),'Regresion Q3'!$Z$6:$AB$10,3,1))</f>
        <v>4191782.3056981228</v>
      </c>
      <c r="BX22" s="96">
        <f ca="1">DatosHoy[[#This Row],[CT Actual]]/DatosHoy[[#This Row],[CT ajus PM Md]]</f>
        <v>1.127353052653181</v>
      </c>
      <c r="BY22" s="125" t="str">
        <f>VLOOKUP(DatosHoy[[#This Row],[Cargo Valorado]],Estadísticos[[Cargo]:[Nivel]],2,FALSE)</f>
        <v>Soporte</v>
      </c>
      <c r="BZ22" s="96">
        <f>(DatosHoy[[#This Row],[G+V Actual]]-DatosHoy[[#This Row],[G Actual]])/DatosHoy[[#This Row],[CT Actual]]</f>
        <v>0</v>
      </c>
      <c r="CA22" s="96">
        <f>(DatosHoy[[#This Row],[CT Actual]]-DatosHoy[[#This Row],[G+V Actual]])/DatosHoy[[#This Row],[CT Actual]]</f>
        <v>0</v>
      </c>
      <c r="CB22" s="139" t="s">
        <v>255</v>
      </c>
    </row>
    <row r="23" spans="2:80" x14ac:dyDescent="0.25">
      <c r="B23" s="73">
        <f t="shared" si="0"/>
        <v>18</v>
      </c>
      <c r="C23" s="74">
        <v>3177009.0000000005</v>
      </c>
      <c r="D23" s="74">
        <v>3177009.0000000005</v>
      </c>
      <c r="E23" s="74">
        <v>3177009.0000000005</v>
      </c>
      <c r="F23" s="94">
        <f>VLOOKUP(DatosHoy[[#This Row],[Cargo Valorado]],Estadísticos[],3,0)</f>
        <v>2104912.9808767801</v>
      </c>
      <c r="G23" s="94">
        <f>VLOOKUP(DatosHoy[[#This Row],[Cargo Valorado]],Estadísticos[],4,0)</f>
        <v>2467274.724345916</v>
      </c>
      <c r="H23" s="94">
        <f>VLOOKUP(DatosHoy[[#This Row],[Cargo Valorado]],Estadísticos[],5,0)</f>
        <v>2493290.1318597868</v>
      </c>
      <c r="I23" s="94">
        <f>VLOOKUP(DatosHoy[[#This Row],[Cargo Valorado]],Estadísticos[],6,0)</f>
        <v>2238837.3660477223</v>
      </c>
      <c r="J23" s="94">
        <f>VLOOKUP(DatosHoy[[#This Row],[Cargo Valorado]],Estadísticos[],7,0)</f>
        <v>2604586.9158314327</v>
      </c>
      <c r="K23" s="94">
        <f>VLOOKUP(DatosHoy[[#This Row],[Cargo Valorado]],Estadísticos[],8,0)</f>
        <v>2705935.171174543</v>
      </c>
      <c r="L23" s="94">
        <f>VLOOKUP(DatosHoy[[#This Row],[Cargo Valorado]],Estadísticos[],9,0)</f>
        <v>2466322.9815507103</v>
      </c>
      <c r="M23" s="94">
        <f>VLOOKUP(DatosHoy[[#This Row],[Cargo Valorado]],Estadísticos[],10,0)</f>
        <v>2808062.3592790142</v>
      </c>
      <c r="N23" s="94">
        <f>VLOOKUP(DatosHoy[[#This Row],[Cargo Valorado]],Estadísticos[],11,0)</f>
        <v>2934069.3347798092</v>
      </c>
      <c r="O23" s="75" t="s">
        <v>240</v>
      </c>
      <c r="P23" s="75">
        <v>199</v>
      </c>
      <c r="Q23" s="95" t="str">
        <f t="shared" ref="Q23:Q36" si="14">"$"&amp;"P"&amp;"$"&amp;ROW()</f>
        <v>$P$23</v>
      </c>
      <c r="R23" s="95" t="str">
        <f t="shared" ref="R23:R36" si="15">"$"&amp;"F"&amp;"$"&amp;ROW()</f>
        <v>$F$23</v>
      </c>
      <c r="S23" s="95" t="str">
        <f t="shared" ref="S23:S36" si="16">"$"&amp;"G"&amp;"$"&amp;ROW()</f>
        <v>$G$23</v>
      </c>
      <c r="T23" s="95" t="str">
        <f t="shared" ref="T23:T36" si="17">"$"&amp;"H"&amp;"$"&amp;ROW()</f>
        <v>$H$23</v>
      </c>
      <c r="U23" s="95" t="str">
        <f t="shared" ref="U23:U36" si="18">"$"&amp;"I"&amp;"$"&amp;ROW()</f>
        <v>$I$23</v>
      </c>
      <c r="V23" s="95" t="str">
        <f t="shared" ref="V23:V36" si="19">"$"&amp;"J"&amp;"$"&amp;ROW()</f>
        <v>$J$23</v>
      </c>
      <c r="W23" s="95" t="str">
        <f t="shared" ref="W23:W36" si="20">"$"&amp;"K"&amp;"$"&amp;ROW()</f>
        <v>$K$23</v>
      </c>
      <c r="X23" s="95" t="str">
        <f t="shared" ref="X23:X36" si="21">"$"&amp;"L"&amp;"$"&amp;ROW()</f>
        <v>$L$23</v>
      </c>
      <c r="Y23" s="95" t="str">
        <f t="shared" ref="Y23:Y36" si="22">"$"&amp;"M"&amp;"$"&amp;ROW()</f>
        <v>$M$23</v>
      </c>
      <c r="Z23" s="95" t="str">
        <f t="shared" ref="Z23:Z36" si="23">"$"&amp;"N"&amp;"$"&amp;ROW()</f>
        <v>$N$23</v>
      </c>
      <c r="AA23" s="94">
        <f ca="1">VLOOKUP($P23,'Regresion Q1'!$E$6:$I$10,4,1)*$P23+VLOOKUP($P23,'Regresion Q1'!$E$6:$I$10,5,1)</f>
        <v>2554319.521229614</v>
      </c>
      <c r="AB23" s="94">
        <f ca="1">VLOOKUP($P23,'Regresion Q1'!$J$6:$N$10,4,1)*$P23+VLOOKUP($P23,'Regresion Q1'!$J$6:$N$10,5,1)</f>
        <v>2607217.8549282979</v>
      </c>
      <c r="AC23" s="94">
        <f ca="1">VLOOKUP($P23,'Regresion Q1'!$O$6:$S$10,4,1)*$P23+VLOOKUP($P23,'Regresion Q1'!$O$6:$S$10,5,1)</f>
        <v>2769216.3498908198</v>
      </c>
      <c r="AD23" s="94">
        <f ca="1">VLOOKUP($P23,'Regresion Md'!$E$6:$I$10,4,1)*$P23+VLOOKUP($P23,'Regresion Md'!$E$6:$I$10,5,1)</f>
        <v>2892002.1055674665</v>
      </c>
      <c r="AE23" s="94">
        <f ca="1">VLOOKUP($P23,'Regresion Md'!$J$6:$N$10,4,1)*$P23+VLOOKUP($P23,'Regresion Md'!$J$6:$N$10,5,1)</f>
        <v>2990594.8584599281</v>
      </c>
      <c r="AF23" s="94">
        <f ca="1">VLOOKUP($P23,'Regresion Md'!$O$6:$S$10,4,1)*$P23+VLOOKUP($P23,'Regresion Md'!$O$6:$S$10,5,1)</f>
        <v>3185665.8586203754</v>
      </c>
      <c r="AG23" s="94">
        <f ca="1">VLOOKUP($P23,'Regresion Q3'!$E$6:$I$10,4,1)*$P23+VLOOKUP($P23,'Regresion Q3'!$E$6:$I$10,5,1)</f>
        <v>3437811.3730175635</v>
      </c>
      <c r="AH23" s="94">
        <f ca="1">VLOOKUP($P23,'Regresion Q3'!$J$6:$N$10,4,1)*$P23+VLOOKUP($P23,'Regresion Q3'!$J$6:$N$10,5,1)</f>
        <v>3496310.2521248786</v>
      </c>
      <c r="AI23" s="94">
        <f ca="1">VLOOKUP($P23,'Regresion Q3'!$O$6:$S$10,4,1)*$P23+VLOOKUP($P23,'Regresion Q3'!$O$6:$S$10,5,1)</f>
        <v>3689735.3868799023</v>
      </c>
      <c r="AJ23" s="94">
        <f ca="1">VLOOKUP($P23,'Regresion Q1'!$T$6:$V$10,2,1)*$P23+VLOOKUP($P23,'Regresion Q1'!$T$6:$V$10,3,1)</f>
        <v>2581578.8589861328</v>
      </c>
      <c r="AK23" s="94">
        <f ca="1">VLOOKUP($P23,'Regresion Q1'!$W$6:$Y$10,2,1)*$P23+VLOOKUP($P23,'Regresion Q1'!$W$6:$Y$10,3,1)</f>
        <v>2677933.7328743841</v>
      </c>
      <c r="AL23" s="94">
        <f ca="1">VLOOKUP($P23,'Regresion Q1'!$Z$6:$AB$10,2,1)*$P23+VLOOKUP($P23,'Regresion Q1'!$Z$6:$AB$10,3,1)</f>
        <v>2783678.507166639</v>
      </c>
      <c r="AM23" s="94">
        <f ca="1">VLOOKUP($P23,'Regresion Md'!$T$6:$V$10,2,1)*$P23+VLOOKUP($P23,'Regresion Md'!$T$6:$V$10,3,1)</f>
        <v>2725992.6886527156</v>
      </c>
      <c r="AN23" s="94">
        <f ca="1">VLOOKUP($P23,'Regresion Md'!$W$6:$Y$10,2,1)*$P23+VLOOKUP($P23,'Regresion Md'!$W$6:$Y$10,3,1)</f>
        <v>2752117.1915801838</v>
      </c>
      <c r="AO23" s="94">
        <f ca="1">VLOOKUP($P23,'Regresion Md'!$Z$6:$AB$10,2,1)*$P23+VLOOKUP($P23,'Regresion Md'!$Z$6:$AB$10,3,1)</f>
        <v>2924594.2726780088</v>
      </c>
      <c r="AP23" s="94">
        <f ca="1">VLOOKUP($P23,'Regresion Q3'!$T$6:$V$10,2,1)*$P23+VLOOKUP($P23,'Regresion Q3'!$T$6:$V$10,3,1)</f>
        <v>4146693.5007635937</v>
      </c>
      <c r="AQ23" s="94">
        <f ca="1">VLOOKUP($P23,'Regresion Q3'!$W$6:$Y$10,2,1)*$P23+VLOOKUP($P23,'Regresion Q3'!$W$6:$Y$10,3,1)</f>
        <v>4266913.2748993207</v>
      </c>
      <c r="AR23" s="94">
        <f ca="1">VLOOKUP($P23,'Regresion Q3'!$Z$6:$AB$10,2,1)*$P23+VLOOKUP($P23,'Regresion Q3'!$Z$6:$AB$10,3,1)</f>
        <v>4384289.5490564536</v>
      </c>
      <c r="AS23" s="94">
        <f>IF($BN23=$BN24,-1,DatosHoy[[#This Row],[G ajus PM Q1]]-BO24)</f>
        <v>-1</v>
      </c>
      <c r="AT23" s="94">
        <f>IF($BN23=$BN24,-1,DatosHoy[[#This Row],[G+V ajus PM Q1]]-BP24)</f>
        <v>-1</v>
      </c>
      <c r="AU23" s="94">
        <f>IF($BN23=$BN24,-1,DatosHoy[[#This Row],[CT ajus PM Q1]]-BQ24)</f>
        <v>-1</v>
      </c>
      <c r="AV23" s="94">
        <f ca="1">IF(DatosHoy[[#This Row],[G ajus PM Q1]]=DatosHoy[[#This Row],[G+V ajus PM Q1]],-1,DatosHoy[[#This Row],[G ajus PM Q1]]-DatosHoy[[#This Row],[G+V ajus PM Q1]])</f>
        <v>-95289.77304789098</v>
      </c>
      <c r="AW23" s="94">
        <f ca="1">IF(DatosHoy[[#This Row],[G+V ajus PM Q1]]=DatosHoy[[#This Row],[CT ajus PM Q1]],-1,DatosHoy[[#This Row],[G+V ajus PM Q1]]-DatosHoy[[#This Row],[CT ajus PM Q1]])</f>
        <v>-101195.94411507947</v>
      </c>
      <c r="AX23" s="94">
        <f>IF($BN23=$BN24,-1,DatosHoy[[#This Row],[G ajus PMd]]-BR24)</f>
        <v>-1</v>
      </c>
      <c r="AY23" s="94">
        <f>IF($BN23=$BN24,-1,DatosHoy[[#This Row],[G+V ajus PM Md]]-BS24)</f>
        <v>-1</v>
      </c>
      <c r="AZ23" s="94">
        <f>IF($BN23=$BN24,-1,DatosHoy[[#This Row],[CT ajus PM Md]]-BT24)</f>
        <v>-1</v>
      </c>
      <c r="BA23" s="94">
        <f ca="1">IF(DatosHoy[[#This Row],[G ajus PMd]]=DatosHoy[[#This Row],[G+V ajus PM Md]],-1,DatosHoy[[#This Row],[G ajus PMd]]-DatosHoy[[#This Row],[G+V ajus PM Md]])</f>
        <v>-30625.448967605829</v>
      </c>
      <c r="BB23" s="94">
        <f ca="1">IF(DatosHoy[[#This Row],[G+V ajus PM Md]]=DatosHoy[[#This Row],[CT ajus PM Md]],-1,DatosHoy[[#This Row],[G+V ajus PM Md]]-DatosHoy[[#This Row],[CT ajus PM Md]])</f>
        <v>-160795.30372154899</v>
      </c>
      <c r="BC23" s="94">
        <f>IF($BN23=$BN24,-1,DatosHoy[[#This Row],[G ajus PM Q3]]-BU24)</f>
        <v>-1</v>
      </c>
      <c r="BD23" s="94">
        <f>IF($BN23=$BN24,-1,DatosHoy[[#This Row],[G+V ajus PM Q3]]-BV24)</f>
        <v>-1</v>
      </c>
      <c r="BE23" s="94">
        <f>IF($BN23=$BN24,-1,DatosHoy[[#This Row],[CT ajus PM Q3]]-BW24)</f>
        <v>-1</v>
      </c>
      <c r="BF23" s="94">
        <f ca="1">IF(DatosHoy[[#This Row],[G ajus PM Q3]]=DatosHoy[[#This Row],[G+V ajus PM Q3]],-1,DatosHoy[[#This Row],[G ajus PM Q3]]-DatosHoy[[#This Row],[G+V ajus PM Q3]])</f>
        <v>-115872.25244315853</v>
      </c>
      <c r="BG23" s="94">
        <f ca="1">IF(DatosHoy[[#This Row],[G+V ajus PM Q3]]=DatosHoy[[#This Row],[CT ajus PM Q3]],-1,DatosHoy[[#This Row],[G+V ajus PM Q3]]-DatosHoy[[#This Row],[CT ajus PM Q3]])</f>
        <v>-113820.33563187299</v>
      </c>
      <c r="BH23" s="94">
        <f ca="1">IF(DatosHoy[[#This Row],[G ajus PM Q1]]=DatosHoy[[#This Row],[G ajus PMd]],-1,DatosHoy[[#This Row],[G ajus PM Q1]]-DatosHoy[[#This Row],[G ajus PMd]])</f>
        <v>-145148.19552103244</v>
      </c>
      <c r="BI23" s="94">
        <f ca="1">IF(DatosHoy[[#This Row],[G+V ajus PM Q1]]=DatosHoy[[#This Row],[G+V ajus PM Md]],-1,DatosHoy[[#This Row],[G+V ajus PM Q1]]-DatosHoy[[#This Row],[G+V ajus PM Md]])</f>
        <v>-80483.871440747287</v>
      </c>
      <c r="BJ23" s="94">
        <f ca="1">IF(DatosHoy[[#This Row],[CT ajus PM Q1]]=DatosHoy[[#This Row],[CT ajus PM Md]],-1,DatosHoy[[#This Row],[CT ajus PM Q1]]-DatosHoy[[#This Row],[CT ajus PM Md]])</f>
        <v>-140083.2310472168</v>
      </c>
      <c r="BK23" s="94">
        <f ca="1">IF(DatosHoy[[#This Row],[G ajus PMd]]=DatosHoy[[#This Row],[G ajus PM Q3]],-1,DatosHoy[[#This Row],[G ajus PMd]]-DatosHoy[[#This Row],[G ajus PM Q3]])</f>
        <v>-1335396.8434204441</v>
      </c>
      <c r="BL23" s="94">
        <f ca="1">IF(DatosHoy[[#This Row],[G+V ajus PM Md]]=DatosHoy[[#This Row],[G+V ajus PM Q3]],-1,DatosHoy[[#This Row],[G+V ajus PM Md]]-DatosHoy[[#This Row],[G+V ajus PM Q3]])</f>
        <v>-1420643.6468959968</v>
      </c>
      <c r="BM23" s="94">
        <f ca="1">IF(DatosHoy[[#This Row],[CT ajus PM Md]]=DatosHoy[[#This Row],[CT ajus PM Q3]],-1,DatosHoy[[#This Row],[CT ajus PM Md]]-DatosHoy[[#This Row],[CT ajus PM Q3]])</f>
        <v>-1373668.6788063208</v>
      </c>
      <c r="BN23" s="74">
        <v>189</v>
      </c>
      <c r="BO23" s="94">
        <f ca="1">IFERROR(VLOOKUP($BN23,'Regresion Q1'!$T$6:$V$10,2,1)*$BN23+VLOOKUP($BN23,'Regresion Q1'!$T$6:$V$10,3,1),VLOOKUP(MIN(DatosHoy[Puntos]),'Regresion Q1'!$T$6:$V$10,2,1)*$BN23+VLOOKUP(MIN(DatosHoy[Puntos]),'Regresion Q1'!$T$6:$V$10,3,1))</f>
        <v>2481544.6786816148</v>
      </c>
      <c r="BP23" s="94">
        <f ca="1">IFERROR(VLOOKUP($BN23,'Regresion Q1'!$W$6:$Y$10,2,1)*$BN23+VLOOKUP($BN23,'Regresion Q1'!$W$6:$Y$10,3,1),VLOOKUP(MIN(DatosHoy[Puntos]),'Regresion Q1'!$W$6:$Y$10,2,1)*$BN23+VLOOKUP(MIN(DatosHoy[Puntos]),'Regresion Q1'!$W$6:$Y$10,3,1))</f>
        <v>2576834.4517295058</v>
      </c>
      <c r="BQ23" s="94">
        <f ca="1">IFERROR(VLOOKUP($BN23,'Regresion Q1'!$Z$6:$AB$10,2,1)*$BN23+VLOOKUP($BN23,'Regresion Q1'!$Z$6:$AB$10,3,1),VLOOKUP(MIN(DatosHoy[Puntos]),'Regresion Q1'!$Z$6:$AB$10,2,1)*$BN23+VLOOKUP(MIN(DatosHoy[Puntos]),'Regresion Q1'!$Z$6:$AB$10,3,1))</f>
        <v>2678030.3958445853</v>
      </c>
      <c r="BR23" s="94">
        <f ca="1">IFERROR(VLOOKUP($BN23,'Regresion Md'!$T$6:$V$10,2,1)*$BN23+VLOOKUP($BN23,'Regresion Md'!$T$6:$V$10,3,1),VLOOKUP(MIN(DatosHoy[Puntos]),'Regresion Md'!$T$6:$V$10,2,1)*$BN23+VLOOKUP(MIN(DatosHoy[Puntos]),'Regresion Md'!$T$6:$V$10,3,1))</f>
        <v>2626692.8742026472</v>
      </c>
      <c r="BS23" s="94">
        <f ca="1">IFERROR(VLOOKUP($BN23,'Regresion Md'!$W$6:$Y$10,2,1)*$BN23+VLOOKUP($BN23,'Regresion Md'!$W$6:$Y$10,3,1),VLOOKUP(MIN(DatosHoy[Puntos]),'Regresion Md'!$W$6:$Y$10,2,1)*$BN23+VLOOKUP(MIN(DatosHoy[Puntos]),'Regresion Md'!$W$6:$Y$10,3,1))</f>
        <v>2657318.3231702531</v>
      </c>
      <c r="BT23" s="94">
        <f ca="1">IFERROR(VLOOKUP($BN23,'Regresion Md'!$Z$6:$AB$10,2,1)*$BN23+VLOOKUP($BN23,'Regresion Md'!$Z$6:$AB$10,3,1),VLOOKUP(MIN(DatosHoy[Puntos]),'Regresion Md'!$Z$6:$AB$10,2,1)*$BN23+VLOOKUP(MIN(DatosHoy[Puntos]),'Regresion Md'!$Z$6:$AB$10,3,1))</f>
        <v>2818113.6268918021</v>
      </c>
      <c r="BU23" s="94">
        <f ca="1">IFERROR(VLOOKUP($BN23,'Regresion Q3'!$T$6:$V$10,2,1)*$BN23+VLOOKUP($BN23,'Regresion Q3'!$T$6:$V$10,3,1),VLOOKUP(MIN(DatosHoy[Puntos]),'Regresion Q3'!$T$6:$V$10,2,1)*$BN23+VLOOKUP(MIN(DatosHoy[Puntos]),'Regresion Q3'!$T$6:$V$10,3,1))</f>
        <v>3962089.7176230913</v>
      </c>
      <c r="BV23" s="94">
        <f ca="1">IFERROR(VLOOKUP($BN23,'Regresion Q3'!$W$6:$Y$10,2,1)*$BN23+VLOOKUP($BN23,'Regresion Q3'!$W$6:$Y$10,3,1),VLOOKUP(MIN(DatosHoy[Puntos]),'Regresion Q3'!$W$6:$Y$10,2,1)*$BN23+VLOOKUP(MIN(DatosHoy[Puntos]),'Regresion Q3'!$W$6:$Y$10,3,1))</f>
        <v>4077961.9700662498</v>
      </c>
      <c r="BW23" s="94">
        <f ca="1">IFERROR(VLOOKUP($BN23,'Regresion Q3'!$Z$6:$AB$10,2,1)*$BN23+VLOOKUP($BN23,'Regresion Q3'!$Z$6:$AB$10,3,1),VLOOKUP(MIN(DatosHoy[Puntos]),'Regresion Q3'!$Z$6:$AB$10,2,1)*$BN23+VLOOKUP(MIN(DatosHoy[Puntos]),'Regresion Q3'!$Z$6:$AB$10,3,1))</f>
        <v>4191782.3056981228</v>
      </c>
      <c r="BX23" s="96">
        <f ca="1">DatosHoy[[#This Row],[CT Actual]]/DatosHoy[[#This Row],[CT ajus PM Md]]</f>
        <v>1.127353052653181</v>
      </c>
      <c r="BY23" s="125" t="str">
        <f>VLOOKUP(DatosHoy[[#This Row],[Cargo Valorado]],Estadísticos[[Cargo]:[Nivel]],2,FALSE)</f>
        <v>Soporte</v>
      </c>
      <c r="BZ23" s="96">
        <f>(DatosHoy[[#This Row],[G+V Actual]]-DatosHoy[[#This Row],[G Actual]])/DatosHoy[[#This Row],[CT Actual]]</f>
        <v>0</v>
      </c>
      <c r="CA23" s="96">
        <f>(DatosHoy[[#This Row],[CT Actual]]-DatosHoy[[#This Row],[G+V Actual]])/DatosHoy[[#This Row],[CT Actual]]</f>
        <v>0</v>
      </c>
      <c r="CB23" s="139" t="s">
        <v>255</v>
      </c>
    </row>
    <row r="24" spans="2:80" x14ac:dyDescent="0.25">
      <c r="B24" s="73">
        <f t="shared" si="0"/>
        <v>19</v>
      </c>
      <c r="C24" s="74">
        <v>3177009.0000000005</v>
      </c>
      <c r="D24" s="74">
        <v>3177009.0000000005</v>
      </c>
      <c r="E24" s="74">
        <v>3177009.0000000005</v>
      </c>
      <c r="F24" s="94">
        <f>VLOOKUP(DatosHoy[[#This Row],[Cargo Valorado]],Estadísticos[],3,0)</f>
        <v>2104912.9808767801</v>
      </c>
      <c r="G24" s="94">
        <f>VLOOKUP(DatosHoy[[#This Row],[Cargo Valorado]],Estadísticos[],4,0)</f>
        <v>2467274.724345916</v>
      </c>
      <c r="H24" s="94">
        <f>VLOOKUP(DatosHoy[[#This Row],[Cargo Valorado]],Estadísticos[],5,0)</f>
        <v>2493290.1318597868</v>
      </c>
      <c r="I24" s="94">
        <f>VLOOKUP(DatosHoy[[#This Row],[Cargo Valorado]],Estadísticos[],6,0)</f>
        <v>2238837.3660477223</v>
      </c>
      <c r="J24" s="94">
        <f>VLOOKUP(DatosHoy[[#This Row],[Cargo Valorado]],Estadísticos[],7,0)</f>
        <v>2604586.9158314327</v>
      </c>
      <c r="K24" s="94">
        <f>VLOOKUP(DatosHoy[[#This Row],[Cargo Valorado]],Estadísticos[],8,0)</f>
        <v>2705935.171174543</v>
      </c>
      <c r="L24" s="94">
        <f>VLOOKUP(DatosHoy[[#This Row],[Cargo Valorado]],Estadísticos[],9,0)</f>
        <v>2466322.9815507103</v>
      </c>
      <c r="M24" s="94">
        <f>VLOOKUP(DatosHoy[[#This Row],[Cargo Valorado]],Estadísticos[],10,0)</f>
        <v>2808062.3592790142</v>
      </c>
      <c r="N24" s="94">
        <f>VLOOKUP(DatosHoy[[#This Row],[Cargo Valorado]],Estadísticos[],11,0)</f>
        <v>2934069.3347798092</v>
      </c>
      <c r="O24" s="75" t="s">
        <v>240</v>
      </c>
      <c r="P24" s="75">
        <v>199</v>
      </c>
      <c r="Q24" s="95" t="str">
        <f t="shared" si="14"/>
        <v>$P$24</v>
      </c>
      <c r="R24" s="95" t="str">
        <f t="shared" si="15"/>
        <v>$F$24</v>
      </c>
      <c r="S24" s="95" t="str">
        <f t="shared" si="16"/>
        <v>$G$24</v>
      </c>
      <c r="T24" s="95" t="str">
        <f t="shared" si="17"/>
        <v>$H$24</v>
      </c>
      <c r="U24" s="95" t="str">
        <f t="shared" si="18"/>
        <v>$I$24</v>
      </c>
      <c r="V24" s="95" t="str">
        <f t="shared" si="19"/>
        <v>$J$24</v>
      </c>
      <c r="W24" s="95" t="str">
        <f t="shared" si="20"/>
        <v>$K$24</v>
      </c>
      <c r="X24" s="95" t="str">
        <f t="shared" si="21"/>
        <v>$L$24</v>
      </c>
      <c r="Y24" s="95" t="str">
        <f t="shared" si="22"/>
        <v>$M$24</v>
      </c>
      <c r="Z24" s="95" t="str">
        <f t="shared" si="23"/>
        <v>$N$24</v>
      </c>
      <c r="AA24" s="94">
        <f ca="1">VLOOKUP($P24,'Regresion Q1'!$E$6:$I$10,4,1)*$P24+VLOOKUP($P24,'Regresion Q1'!$E$6:$I$10,5,1)</f>
        <v>2554319.521229614</v>
      </c>
      <c r="AB24" s="94">
        <f ca="1">VLOOKUP($P24,'Regresion Q1'!$J$6:$N$10,4,1)*$P24+VLOOKUP($P24,'Regresion Q1'!$J$6:$N$10,5,1)</f>
        <v>2607217.8549282979</v>
      </c>
      <c r="AC24" s="94">
        <f ca="1">VLOOKUP($P24,'Regresion Q1'!$O$6:$S$10,4,1)*$P24+VLOOKUP($P24,'Regresion Q1'!$O$6:$S$10,5,1)</f>
        <v>2769216.3498908198</v>
      </c>
      <c r="AD24" s="94">
        <f ca="1">VLOOKUP($P24,'Regresion Md'!$E$6:$I$10,4,1)*$P24+VLOOKUP($P24,'Regresion Md'!$E$6:$I$10,5,1)</f>
        <v>2892002.1055674665</v>
      </c>
      <c r="AE24" s="94">
        <f ca="1">VLOOKUP($P24,'Regresion Md'!$J$6:$N$10,4,1)*$P24+VLOOKUP($P24,'Regresion Md'!$J$6:$N$10,5,1)</f>
        <v>2990594.8584599281</v>
      </c>
      <c r="AF24" s="94">
        <f ca="1">VLOOKUP($P24,'Regresion Md'!$O$6:$S$10,4,1)*$P24+VLOOKUP($P24,'Regresion Md'!$O$6:$S$10,5,1)</f>
        <v>3185665.8586203754</v>
      </c>
      <c r="AG24" s="94">
        <f ca="1">VLOOKUP($P24,'Regresion Q3'!$E$6:$I$10,4,1)*$P24+VLOOKUP($P24,'Regresion Q3'!$E$6:$I$10,5,1)</f>
        <v>3437811.3730175635</v>
      </c>
      <c r="AH24" s="94">
        <f ca="1">VLOOKUP($P24,'Regresion Q3'!$J$6:$N$10,4,1)*$P24+VLOOKUP($P24,'Regresion Q3'!$J$6:$N$10,5,1)</f>
        <v>3496310.2521248786</v>
      </c>
      <c r="AI24" s="94">
        <f ca="1">VLOOKUP($P24,'Regresion Q3'!$O$6:$S$10,4,1)*$P24+VLOOKUP($P24,'Regresion Q3'!$O$6:$S$10,5,1)</f>
        <v>3689735.3868799023</v>
      </c>
      <c r="AJ24" s="94">
        <f ca="1">VLOOKUP($P24,'Regresion Q1'!$T$6:$V$10,2,1)*$P24+VLOOKUP($P24,'Regresion Q1'!$T$6:$V$10,3,1)</f>
        <v>2581578.8589861328</v>
      </c>
      <c r="AK24" s="94">
        <f ca="1">VLOOKUP($P24,'Regresion Q1'!$W$6:$Y$10,2,1)*$P24+VLOOKUP($P24,'Regresion Q1'!$W$6:$Y$10,3,1)</f>
        <v>2677933.7328743841</v>
      </c>
      <c r="AL24" s="94">
        <f ca="1">VLOOKUP($P24,'Regresion Q1'!$Z$6:$AB$10,2,1)*$P24+VLOOKUP($P24,'Regresion Q1'!$Z$6:$AB$10,3,1)</f>
        <v>2783678.507166639</v>
      </c>
      <c r="AM24" s="94">
        <f ca="1">VLOOKUP($P24,'Regresion Md'!$T$6:$V$10,2,1)*$P24+VLOOKUP($P24,'Regresion Md'!$T$6:$V$10,3,1)</f>
        <v>2725992.6886527156</v>
      </c>
      <c r="AN24" s="94">
        <f ca="1">VLOOKUP($P24,'Regresion Md'!$W$6:$Y$10,2,1)*$P24+VLOOKUP($P24,'Regresion Md'!$W$6:$Y$10,3,1)</f>
        <v>2752117.1915801838</v>
      </c>
      <c r="AO24" s="94">
        <f ca="1">VLOOKUP($P24,'Regresion Md'!$Z$6:$AB$10,2,1)*$P24+VLOOKUP($P24,'Regresion Md'!$Z$6:$AB$10,3,1)</f>
        <v>2924594.2726780088</v>
      </c>
      <c r="AP24" s="94">
        <f ca="1">VLOOKUP($P24,'Regresion Q3'!$T$6:$V$10,2,1)*$P24+VLOOKUP($P24,'Regresion Q3'!$T$6:$V$10,3,1)</f>
        <v>4146693.5007635937</v>
      </c>
      <c r="AQ24" s="94">
        <f ca="1">VLOOKUP($P24,'Regresion Q3'!$W$6:$Y$10,2,1)*$P24+VLOOKUP($P24,'Regresion Q3'!$W$6:$Y$10,3,1)</f>
        <v>4266913.2748993207</v>
      </c>
      <c r="AR24" s="94">
        <f ca="1">VLOOKUP($P24,'Regresion Q3'!$Z$6:$AB$10,2,1)*$P24+VLOOKUP($P24,'Regresion Q3'!$Z$6:$AB$10,3,1)</f>
        <v>4384289.5490564536</v>
      </c>
      <c r="AS24" s="94">
        <f>IF($BN24=$BN25,-1,DatosHoy[[#This Row],[G ajus PM Q1]]-BO25)</f>
        <v>-1</v>
      </c>
      <c r="AT24" s="94">
        <f>IF($BN24=$BN25,-1,DatosHoy[[#This Row],[G+V ajus PM Q1]]-BP25)</f>
        <v>-1</v>
      </c>
      <c r="AU24" s="94">
        <f>IF($BN24=$BN25,-1,DatosHoy[[#This Row],[CT ajus PM Q1]]-BQ25)</f>
        <v>-1</v>
      </c>
      <c r="AV24" s="94">
        <f ca="1">IF(DatosHoy[[#This Row],[G ajus PM Q1]]=DatosHoy[[#This Row],[G+V ajus PM Q1]],-1,DatosHoy[[#This Row],[G ajus PM Q1]]-DatosHoy[[#This Row],[G+V ajus PM Q1]])</f>
        <v>-95289.77304789098</v>
      </c>
      <c r="AW24" s="94">
        <f ca="1">IF(DatosHoy[[#This Row],[G+V ajus PM Q1]]=DatosHoy[[#This Row],[CT ajus PM Q1]],-1,DatosHoy[[#This Row],[G+V ajus PM Q1]]-DatosHoy[[#This Row],[CT ajus PM Q1]])</f>
        <v>-101195.94411507947</v>
      </c>
      <c r="AX24" s="94">
        <f>IF($BN24=$BN25,-1,DatosHoy[[#This Row],[G ajus PMd]]-BR25)</f>
        <v>-1</v>
      </c>
      <c r="AY24" s="94">
        <f>IF($BN24=$BN25,-1,DatosHoy[[#This Row],[G+V ajus PM Md]]-BS25)</f>
        <v>-1</v>
      </c>
      <c r="AZ24" s="94">
        <f>IF($BN24=$BN25,-1,DatosHoy[[#This Row],[CT ajus PM Md]]-BT25)</f>
        <v>-1</v>
      </c>
      <c r="BA24" s="94">
        <f ca="1">IF(DatosHoy[[#This Row],[G ajus PMd]]=DatosHoy[[#This Row],[G+V ajus PM Md]],-1,DatosHoy[[#This Row],[G ajus PMd]]-DatosHoy[[#This Row],[G+V ajus PM Md]])</f>
        <v>-30625.448967605829</v>
      </c>
      <c r="BB24" s="94">
        <f ca="1">IF(DatosHoy[[#This Row],[G+V ajus PM Md]]=DatosHoy[[#This Row],[CT ajus PM Md]],-1,DatosHoy[[#This Row],[G+V ajus PM Md]]-DatosHoy[[#This Row],[CT ajus PM Md]])</f>
        <v>-160795.30372154899</v>
      </c>
      <c r="BC24" s="94">
        <f>IF($BN24=$BN25,-1,DatosHoy[[#This Row],[G ajus PM Q3]]-BU25)</f>
        <v>-1</v>
      </c>
      <c r="BD24" s="94">
        <f>IF($BN24=$BN25,-1,DatosHoy[[#This Row],[G+V ajus PM Q3]]-BV25)</f>
        <v>-1</v>
      </c>
      <c r="BE24" s="94">
        <f>IF($BN24=$BN25,-1,DatosHoy[[#This Row],[CT ajus PM Q3]]-BW25)</f>
        <v>-1</v>
      </c>
      <c r="BF24" s="94">
        <f ca="1">IF(DatosHoy[[#This Row],[G ajus PM Q3]]=DatosHoy[[#This Row],[G+V ajus PM Q3]],-1,DatosHoy[[#This Row],[G ajus PM Q3]]-DatosHoy[[#This Row],[G+V ajus PM Q3]])</f>
        <v>-115872.25244315853</v>
      </c>
      <c r="BG24" s="94">
        <f ca="1">IF(DatosHoy[[#This Row],[G+V ajus PM Q3]]=DatosHoy[[#This Row],[CT ajus PM Q3]],-1,DatosHoy[[#This Row],[G+V ajus PM Q3]]-DatosHoy[[#This Row],[CT ajus PM Q3]])</f>
        <v>-113820.33563187299</v>
      </c>
      <c r="BH24" s="94">
        <f ca="1">IF(DatosHoy[[#This Row],[G ajus PM Q1]]=DatosHoy[[#This Row],[G ajus PMd]],-1,DatosHoy[[#This Row],[G ajus PM Q1]]-DatosHoy[[#This Row],[G ajus PMd]])</f>
        <v>-145148.19552103244</v>
      </c>
      <c r="BI24" s="94">
        <f ca="1">IF(DatosHoy[[#This Row],[G+V ajus PM Q1]]=DatosHoy[[#This Row],[G+V ajus PM Md]],-1,DatosHoy[[#This Row],[G+V ajus PM Q1]]-DatosHoy[[#This Row],[G+V ajus PM Md]])</f>
        <v>-80483.871440747287</v>
      </c>
      <c r="BJ24" s="94">
        <f ca="1">IF(DatosHoy[[#This Row],[CT ajus PM Q1]]=DatosHoy[[#This Row],[CT ajus PM Md]],-1,DatosHoy[[#This Row],[CT ajus PM Q1]]-DatosHoy[[#This Row],[CT ajus PM Md]])</f>
        <v>-140083.2310472168</v>
      </c>
      <c r="BK24" s="94">
        <f ca="1">IF(DatosHoy[[#This Row],[G ajus PMd]]=DatosHoy[[#This Row],[G ajus PM Q3]],-1,DatosHoy[[#This Row],[G ajus PMd]]-DatosHoy[[#This Row],[G ajus PM Q3]])</f>
        <v>-1335396.8434204441</v>
      </c>
      <c r="BL24" s="94">
        <f ca="1">IF(DatosHoy[[#This Row],[G+V ajus PM Md]]=DatosHoy[[#This Row],[G+V ajus PM Q3]],-1,DatosHoy[[#This Row],[G+V ajus PM Md]]-DatosHoy[[#This Row],[G+V ajus PM Q3]])</f>
        <v>-1420643.6468959968</v>
      </c>
      <c r="BM24" s="94">
        <f ca="1">IF(DatosHoy[[#This Row],[CT ajus PM Md]]=DatosHoy[[#This Row],[CT ajus PM Q3]],-1,DatosHoy[[#This Row],[CT ajus PM Md]]-DatosHoy[[#This Row],[CT ajus PM Q3]])</f>
        <v>-1373668.6788063208</v>
      </c>
      <c r="BN24" s="74">
        <v>189</v>
      </c>
      <c r="BO24" s="94">
        <f ca="1">IFERROR(VLOOKUP($BN24,'Regresion Q1'!$T$6:$V$10,2,1)*$BN24+VLOOKUP($BN24,'Regresion Q1'!$T$6:$V$10,3,1),VLOOKUP(MIN(DatosHoy[Puntos]),'Regresion Q1'!$T$6:$V$10,2,1)*$BN24+VLOOKUP(MIN(DatosHoy[Puntos]),'Regresion Q1'!$T$6:$V$10,3,1))</f>
        <v>2481544.6786816148</v>
      </c>
      <c r="BP24" s="94">
        <f ca="1">IFERROR(VLOOKUP($BN24,'Regresion Q1'!$W$6:$Y$10,2,1)*$BN24+VLOOKUP($BN24,'Regresion Q1'!$W$6:$Y$10,3,1),VLOOKUP(MIN(DatosHoy[Puntos]),'Regresion Q1'!$W$6:$Y$10,2,1)*$BN24+VLOOKUP(MIN(DatosHoy[Puntos]),'Regresion Q1'!$W$6:$Y$10,3,1))</f>
        <v>2576834.4517295058</v>
      </c>
      <c r="BQ24" s="94">
        <f ca="1">IFERROR(VLOOKUP($BN24,'Regresion Q1'!$Z$6:$AB$10,2,1)*$BN24+VLOOKUP($BN24,'Regresion Q1'!$Z$6:$AB$10,3,1),VLOOKUP(MIN(DatosHoy[Puntos]),'Regresion Q1'!$Z$6:$AB$10,2,1)*$BN24+VLOOKUP(MIN(DatosHoy[Puntos]),'Regresion Q1'!$Z$6:$AB$10,3,1))</f>
        <v>2678030.3958445853</v>
      </c>
      <c r="BR24" s="94">
        <f ca="1">IFERROR(VLOOKUP($BN24,'Regresion Md'!$T$6:$V$10,2,1)*$BN24+VLOOKUP($BN24,'Regresion Md'!$T$6:$V$10,3,1),VLOOKUP(MIN(DatosHoy[Puntos]),'Regresion Md'!$T$6:$V$10,2,1)*$BN24+VLOOKUP(MIN(DatosHoy[Puntos]),'Regresion Md'!$T$6:$V$10,3,1))</f>
        <v>2626692.8742026472</v>
      </c>
      <c r="BS24" s="94">
        <f ca="1">IFERROR(VLOOKUP($BN24,'Regresion Md'!$W$6:$Y$10,2,1)*$BN24+VLOOKUP($BN24,'Regresion Md'!$W$6:$Y$10,3,1),VLOOKUP(MIN(DatosHoy[Puntos]),'Regresion Md'!$W$6:$Y$10,2,1)*$BN24+VLOOKUP(MIN(DatosHoy[Puntos]),'Regresion Md'!$W$6:$Y$10,3,1))</f>
        <v>2657318.3231702531</v>
      </c>
      <c r="BT24" s="94">
        <f ca="1">IFERROR(VLOOKUP($BN24,'Regresion Md'!$Z$6:$AB$10,2,1)*$BN24+VLOOKUP($BN24,'Regresion Md'!$Z$6:$AB$10,3,1),VLOOKUP(MIN(DatosHoy[Puntos]),'Regresion Md'!$Z$6:$AB$10,2,1)*$BN24+VLOOKUP(MIN(DatosHoy[Puntos]),'Regresion Md'!$Z$6:$AB$10,3,1))</f>
        <v>2818113.6268918021</v>
      </c>
      <c r="BU24" s="94">
        <f ca="1">IFERROR(VLOOKUP($BN24,'Regresion Q3'!$T$6:$V$10,2,1)*$BN24+VLOOKUP($BN24,'Regresion Q3'!$T$6:$V$10,3,1),VLOOKUP(MIN(DatosHoy[Puntos]),'Regresion Q3'!$T$6:$V$10,2,1)*$BN24+VLOOKUP(MIN(DatosHoy[Puntos]),'Regresion Q3'!$T$6:$V$10,3,1))</f>
        <v>3962089.7176230913</v>
      </c>
      <c r="BV24" s="94">
        <f ca="1">IFERROR(VLOOKUP($BN24,'Regresion Q3'!$W$6:$Y$10,2,1)*$BN24+VLOOKUP($BN24,'Regresion Q3'!$W$6:$Y$10,3,1),VLOOKUP(MIN(DatosHoy[Puntos]),'Regresion Q3'!$W$6:$Y$10,2,1)*$BN24+VLOOKUP(MIN(DatosHoy[Puntos]),'Regresion Q3'!$W$6:$Y$10,3,1))</f>
        <v>4077961.9700662498</v>
      </c>
      <c r="BW24" s="94">
        <f ca="1">IFERROR(VLOOKUP($BN24,'Regresion Q3'!$Z$6:$AB$10,2,1)*$BN24+VLOOKUP($BN24,'Regresion Q3'!$Z$6:$AB$10,3,1),VLOOKUP(MIN(DatosHoy[Puntos]),'Regresion Q3'!$Z$6:$AB$10,2,1)*$BN24+VLOOKUP(MIN(DatosHoy[Puntos]),'Regresion Q3'!$Z$6:$AB$10,3,1))</f>
        <v>4191782.3056981228</v>
      </c>
      <c r="BX24" s="96">
        <f ca="1">DatosHoy[[#This Row],[CT Actual]]/DatosHoy[[#This Row],[CT ajus PM Md]]</f>
        <v>1.127353052653181</v>
      </c>
      <c r="BY24" s="125" t="str">
        <f>VLOOKUP(DatosHoy[[#This Row],[Cargo Valorado]],Estadísticos[[Cargo]:[Nivel]],2,FALSE)</f>
        <v>Soporte</v>
      </c>
      <c r="BZ24" s="96">
        <f>(DatosHoy[[#This Row],[G+V Actual]]-DatosHoy[[#This Row],[G Actual]])/DatosHoy[[#This Row],[CT Actual]]</f>
        <v>0</v>
      </c>
      <c r="CA24" s="96">
        <f>(DatosHoy[[#This Row],[CT Actual]]-DatosHoy[[#This Row],[G+V Actual]])/DatosHoy[[#This Row],[CT Actual]]</f>
        <v>0</v>
      </c>
      <c r="CB24" s="139" t="s">
        <v>255</v>
      </c>
    </row>
    <row r="25" spans="2:80" x14ac:dyDescent="0.25">
      <c r="B25" s="73">
        <f t="shared" si="0"/>
        <v>20</v>
      </c>
      <c r="C25" s="74">
        <v>3177009.0000000005</v>
      </c>
      <c r="D25" s="74">
        <v>3177009.0000000005</v>
      </c>
      <c r="E25" s="74">
        <v>3177009.0000000005</v>
      </c>
      <c r="F25" s="94">
        <f>VLOOKUP(DatosHoy[[#This Row],[Cargo Valorado]],Estadísticos[],3,0)</f>
        <v>2104912.9808767801</v>
      </c>
      <c r="G25" s="94">
        <f>VLOOKUP(DatosHoy[[#This Row],[Cargo Valorado]],Estadísticos[],4,0)</f>
        <v>2467274.724345916</v>
      </c>
      <c r="H25" s="94">
        <f>VLOOKUP(DatosHoy[[#This Row],[Cargo Valorado]],Estadísticos[],5,0)</f>
        <v>2493290.1318597868</v>
      </c>
      <c r="I25" s="94">
        <f>VLOOKUP(DatosHoy[[#This Row],[Cargo Valorado]],Estadísticos[],6,0)</f>
        <v>2238837.3660477223</v>
      </c>
      <c r="J25" s="94">
        <f>VLOOKUP(DatosHoy[[#This Row],[Cargo Valorado]],Estadísticos[],7,0)</f>
        <v>2604586.9158314327</v>
      </c>
      <c r="K25" s="94">
        <f>VLOOKUP(DatosHoy[[#This Row],[Cargo Valorado]],Estadísticos[],8,0)</f>
        <v>2705935.171174543</v>
      </c>
      <c r="L25" s="94">
        <f>VLOOKUP(DatosHoy[[#This Row],[Cargo Valorado]],Estadísticos[],9,0)</f>
        <v>2466322.9815507103</v>
      </c>
      <c r="M25" s="94">
        <f>VLOOKUP(DatosHoy[[#This Row],[Cargo Valorado]],Estadísticos[],10,0)</f>
        <v>2808062.3592790142</v>
      </c>
      <c r="N25" s="94">
        <f>VLOOKUP(DatosHoy[[#This Row],[Cargo Valorado]],Estadísticos[],11,0)</f>
        <v>2934069.3347798092</v>
      </c>
      <c r="O25" s="75" t="s">
        <v>240</v>
      </c>
      <c r="P25" s="75">
        <v>199</v>
      </c>
      <c r="Q25" s="95" t="str">
        <f t="shared" si="14"/>
        <v>$P$25</v>
      </c>
      <c r="R25" s="95" t="str">
        <f t="shared" si="15"/>
        <v>$F$25</v>
      </c>
      <c r="S25" s="95" t="str">
        <f t="shared" si="16"/>
        <v>$G$25</v>
      </c>
      <c r="T25" s="95" t="str">
        <f t="shared" si="17"/>
        <v>$H$25</v>
      </c>
      <c r="U25" s="95" t="str">
        <f t="shared" si="18"/>
        <v>$I$25</v>
      </c>
      <c r="V25" s="95" t="str">
        <f t="shared" si="19"/>
        <v>$J$25</v>
      </c>
      <c r="W25" s="95" t="str">
        <f t="shared" si="20"/>
        <v>$K$25</v>
      </c>
      <c r="X25" s="95" t="str">
        <f t="shared" si="21"/>
        <v>$L$25</v>
      </c>
      <c r="Y25" s="95" t="str">
        <f t="shared" si="22"/>
        <v>$M$25</v>
      </c>
      <c r="Z25" s="95" t="str">
        <f t="shared" si="23"/>
        <v>$N$25</v>
      </c>
      <c r="AA25" s="94">
        <f ca="1">VLOOKUP($P25,'Regresion Q1'!$E$6:$I$10,4,1)*$P25+VLOOKUP($P25,'Regresion Q1'!$E$6:$I$10,5,1)</f>
        <v>2554319.521229614</v>
      </c>
      <c r="AB25" s="94">
        <f ca="1">VLOOKUP($P25,'Regresion Q1'!$J$6:$N$10,4,1)*$P25+VLOOKUP($P25,'Regresion Q1'!$J$6:$N$10,5,1)</f>
        <v>2607217.8549282979</v>
      </c>
      <c r="AC25" s="94">
        <f ca="1">VLOOKUP($P25,'Regresion Q1'!$O$6:$S$10,4,1)*$P25+VLOOKUP($P25,'Regresion Q1'!$O$6:$S$10,5,1)</f>
        <v>2769216.3498908198</v>
      </c>
      <c r="AD25" s="94">
        <f ca="1">VLOOKUP($P25,'Regresion Md'!$E$6:$I$10,4,1)*$P25+VLOOKUP($P25,'Regresion Md'!$E$6:$I$10,5,1)</f>
        <v>2892002.1055674665</v>
      </c>
      <c r="AE25" s="94">
        <f ca="1">VLOOKUP($P25,'Regresion Md'!$J$6:$N$10,4,1)*$P25+VLOOKUP($P25,'Regresion Md'!$J$6:$N$10,5,1)</f>
        <v>2990594.8584599281</v>
      </c>
      <c r="AF25" s="94">
        <f ca="1">VLOOKUP($P25,'Regresion Md'!$O$6:$S$10,4,1)*$P25+VLOOKUP($P25,'Regresion Md'!$O$6:$S$10,5,1)</f>
        <v>3185665.8586203754</v>
      </c>
      <c r="AG25" s="94">
        <f ca="1">VLOOKUP($P25,'Regresion Q3'!$E$6:$I$10,4,1)*$P25+VLOOKUP($P25,'Regresion Q3'!$E$6:$I$10,5,1)</f>
        <v>3437811.3730175635</v>
      </c>
      <c r="AH25" s="94">
        <f ca="1">VLOOKUP($P25,'Regresion Q3'!$J$6:$N$10,4,1)*$P25+VLOOKUP($P25,'Regresion Q3'!$J$6:$N$10,5,1)</f>
        <v>3496310.2521248786</v>
      </c>
      <c r="AI25" s="94">
        <f ca="1">VLOOKUP($P25,'Regresion Q3'!$O$6:$S$10,4,1)*$P25+VLOOKUP($P25,'Regresion Q3'!$O$6:$S$10,5,1)</f>
        <v>3689735.3868799023</v>
      </c>
      <c r="AJ25" s="94">
        <f ca="1">VLOOKUP($P25,'Regresion Q1'!$T$6:$V$10,2,1)*$P25+VLOOKUP($P25,'Regresion Q1'!$T$6:$V$10,3,1)</f>
        <v>2581578.8589861328</v>
      </c>
      <c r="AK25" s="94">
        <f ca="1">VLOOKUP($P25,'Regresion Q1'!$W$6:$Y$10,2,1)*$P25+VLOOKUP($P25,'Regresion Q1'!$W$6:$Y$10,3,1)</f>
        <v>2677933.7328743841</v>
      </c>
      <c r="AL25" s="94">
        <f ca="1">VLOOKUP($P25,'Regresion Q1'!$Z$6:$AB$10,2,1)*$P25+VLOOKUP($P25,'Regresion Q1'!$Z$6:$AB$10,3,1)</f>
        <v>2783678.507166639</v>
      </c>
      <c r="AM25" s="94">
        <f ca="1">VLOOKUP($P25,'Regresion Md'!$T$6:$V$10,2,1)*$P25+VLOOKUP($P25,'Regresion Md'!$T$6:$V$10,3,1)</f>
        <v>2725992.6886527156</v>
      </c>
      <c r="AN25" s="94">
        <f ca="1">VLOOKUP($P25,'Regresion Md'!$W$6:$Y$10,2,1)*$P25+VLOOKUP($P25,'Regresion Md'!$W$6:$Y$10,3,1)</f>
        <v>2752117.1915801838</v>
      </c>
      <c r="AO25" s="94">
        <f ca="1">VLOOKUP($P25,'Regresion Md'!$Z$6:$AB$10,2,1)*$P25+VLOOKUP($P25,'Regresion Md'!$Z$6:$AB$10,3,1)</f>
        <v>2924594.2726780088</v>
      </c>
      <c r="AP25" s="94">
        <f ca="1">VLOOKUP($P25,'Regresion Q3'!$T$6:$V$10,2,1)*$P25+VLOOKUP($P25,'Regresion Q3'!$T$6:$V$10,3,1)</f>
        <v>4146693.5007635937</v>
      </c>
      <c r="AQ25" s="94">
        <f ca="1">VLOOKUP($P25,'Regresion Q3'!$W$6:$Y$10,2,1)*$P25+VLOOKUP($P25,'Regresion Q3'!$W$6:$Y$10,3,1)</f>
        <v>4266913.2748993207</v>
      </c>
      <c r="AR25" s="94">
        <f ca="1">VLOOKUP($P25,'Regresion Q3'!$Z$6:$AB$10,2,1)*$P25+VLOOKUP($P25,'Regresion Q3'!$Z$6:$AB$10,3,1)</f>
        <v>4384289.5490564536</v>
      </c>
      <c r="AS25" s="94">
        <f>IF($BN25=$BN26,-1,DatosHoy[[#This Row],[G ajus PM Q1]]-BO26)</f>
        <v>-1</v>
      </c>
      <c r="AT25" s="94">
        <f>IF($BN25=$BN26,-1,DatosHoy[[#This Row],[G+V ajus PM Q1]]-BP26)</f>
        <v>-1</v>
      </c>
      <c r="AU25" s="94">
        <f>IF($BN25=$BN26,-1,DatosHoy[[#This Row],[CT ajus PM Q1]]-BQ26)</f>
        <v>-1</v>
      </c>
      <c r="AV25" s="94">
        <f ca="1">IF(DatosHoy[[#This Row],[G ajus PM Q1]]=DatosHoy[[#This Row],[G+V ajus PM Q1]],-1,DatosHoy[[#This Row],[G ajus PM Q1]]-DatosHoy[[#This Row],[G+V ajus PM Q1]])</f>
        <v>-95289.77304789098</v>
      </c>
      <c r="AW25" s="94">
        <f ca="1">IF(DatosHoy[[#This Row],[G+V ajus PM Q1]]=DatosHoy[[#This Row],[CT ajus PM Q1]],-1,DatosHoy[[#This Row],[G+V ajus PM Q1]]-DatosHoy[[#This Row],[CT ajus PM Q1]])</f>
        <v>-101195.94411507947</v>
      </c>
      <c r="AX25" s="94">
        <f>IF($BN25=$BN26,-1,DatosHoy[[#This Row],[G ajus PMd]]-BR26)</f>
        <v>-1</v>
      </c>
      <c r="AY25" s="94">
        <f>IF($BN25=$BN26,-1,DatosHoy[[#This Row],[G+V ajus PM Md]]-BS26)</f>
        <v>-1</v>
      </c>
      <c r="AZ25" s="94">
        <f>IF($BN25=$BN26,-1,DatosHoy[[#This Row],[CT ajus PM Md]]-BT26)</f>
        <v>-1</v>
      </c>
      <c r="BA25" s="94">
        <f ca="1">IF(DatosHoy[[#This Row],[G ajus PMd]]=DatosHoy[[#This Row],[G+V ajus PM Md]],-1,DatosHoy[[#This Row],[G ajus PMd]]-DatosHoy[[#This Row],[G+V ajus PM Md]])</f>
        <v>-30625.448967605829</v>
      </c>
      <c r="BB25" s="94">
        <f ca="1">IF(DatosHoy[[#This Row],[G+V ajus PM Md]]=DatosHoy[[#This Row],[CT ajus PM Md]],-1,DatosHoy[[#This Row],[G+V ajus PM Md]]-DatosHoy[[#This Row],[CT ajus PM Md]])</f>
        <v>-160795.30372154899</v>
      </c>
      <c r="BC25" s="94">
        <f>IF($BN25=$BN26,-1,DatosHoy[[#This Row],[G ajus PM Q3]]-BU26)</f>
        <v>-1</v>
      </c>
      <c r="BD25" s="94">
        <f>IF($BN25=$BN26,-1,DatosHoy[[#This Row],[G+V ajus PM Q3]]-BV26)</f>
        <v>-1</v>
      </c>
      <c r="BE25" s="94">
        <f>IF($BN25=$BN26,-1,DatosHoy[[#This Row],[CT ajus PM Q3]]-BW26)</f>
        <v>-1</v>
      </c>
      <c r="BF25" s="94">
        <f ca="1">IF(DatosHoy[[#This Row],[G ajus PM Q3]]=DatosHoy[[#This Row],[G+V ajus PM Q3]],-1,DatosHoy[[#This Row],[G ajus PM Q3]]-DatosHoy[[#This Row],[G+V ajus PM Q3]])</f>
        <v>-115872.25244315853</v>
      </c>
      <c r="BG25" s="94">
        <f ca="1">IF(DatosHoy[[#This Row],[G+V ajus PM Q3]]=DatosHoy[[#This Row],[CT ajus PM Q3]],-1,DatosHoy[[#This Row],[G+V ajus PM Q3]]-DatosHoy[[#This Row],[CT ajus PM Q3]])</f>
        <v>-113820.33563187299</v>
      </c>
      <c r="BH25" s="94">
        <f ca="1">IF(DatosHoy[[#This Row],[G ajus PM Q1]]=DatosHoy[[#This Row],[G ajus PMd]],-1,DatosHoy[[#This Row],[G ajus PM Q1]]-DatosHoy[[#This Row],[G ajus PMd]])</f>
        <v>-145148.19552103244</v>
      </c>
      <c r="BI25" s="94">
        <f ca="1">IF(DatosHoy[[#This Row],[G+V ajus PM Q1]]=DatosHoy[[#This Row],[G+V ajus PM Md]],-1,DatosHoy[[#This Row],[G+V ajus PM Q1]]-DatosHoy[[#This Row],[G+V ajus PM Md]])</f>
        <v>-80483.871440747287</v>
      </c>
      <c r="BJ25" s="94">
        <f ca="1">IF(DatosHoy[[#This Row],[CT ajus PM Q1]]=DatosHoy[[#This Row],[CT ajus PM Md]],-1,DatosHoy[[#This Row],[CT ajus PM Q1]]-DatosHoy[[#This Row],[CT ajus PM Md]])</f>
        <v>-140083.2310472168</v>
      </c>
      <c r="BK25" s="94">
        <f ca="1">IF(DatosHoy[[#This Row],[G ajus PMd]]=DatosHoy[[#This Row],[G ajus PM Q3]],-1,DatosHoy[[#This Row],[G ajus PMd]]-DatosHoy[[#This Row],[G ajus PM Q3]])</f>
        <v>-1335396.8434204441</v>
      </c>
      <c r="BL25" s="94">
        <f ca="1">IF(DatosHoy[[#This Row],[G+V ajus PM Md]]=DatosHoy[[#This Row],[G+V ajus PM Q3]],-1,DatosHoy[[#This Row],[G+V ajus PM Md]]-DatosHoy[[#This Row],[G+V ajus PM Q3]])</f>
        <v>-1420643.6468959968</v>
      </c>
      <c r="BM25" s="94">
        <f ca="1">IF(DatosHoy[[#This Row],[CT ajus PM Md]]=DatosHoy[[#This Row],[CT ajus PM Q3]],-1,DatosHoy[[#This Row],[CT ajus PM Md]]-DatosHoy[[#This Row],[CT ajus PM Q3]])</f>
        <v>-1373668.6788063208</v>
      </c>
      <c r="BN25" s="74">
        <v>189</v>
      </c>
      <c r="BO25" s="94">
        <f ca="1">IFERROR(VLOOKUP($BN25,'Regresion Q1'!$T$6:$V$10,2,1)*$BN25+VLOOKUP($BN25,'Regresion Q1'!$T$6:$V$10,3,1),VLOOKUP(MIN(DatosHoy[Puntos]),'Regresion Q1'!$T$6:$V$10,2,1)*$BN25+VLOOKUP(MIN(DatosHoy[Puntos]),'Regresion Q1'!$T$6:$V$10,3,1))</f>
        <v>2481544.6786816148</v>
      </c>
      <c r="BP25" s="94">
        <f ca="1">IFERROR(VLOOKUP($BN25,'Regresion Q1'!$W$6:$Y$10,2,1)*$BN25+VLOOKUP($BN25,'Regresion Q1'!$W$6:$Y$10,3,1),VLOOKUP(MIN(DatosHoy[Puntos]),'Regresion Q1'!$W$6:$Y$10,2,1)*$BN25+VLOOKUP(MIN(DatosHoy[Puntos]),'Regresion Q1'!$W$6:$Y$10,3,1))</f>
        <v>2576834.4517295058</v>
      </c>
      <c r="BQ25" s="94">
        <f ca="1">IFERROR(VLOOKUP($BN25,'Regresion Q1'!$Z$6:$AB$10,2,1)*$BN25+VLOOKUP($BN25,'Regresion Q1'!$Z$6:$AB$10,3,1),VLOOKUP(MIN(DatosHoy[Puntos]),'Regresion Q1'!$Z$6:$AB$10,2,1)*$BN25+VLOOKUP(MIN(DatosHoy[Puntos]),'Regresion Q1'!$Z$6:$AB$10,3,1))</f>
        <v>2678030.3958445853</v>
      </c>
      <c r="BR25" s="94">
        <f ca="1">IFERROR(VLOOKUP($BN25,'Regresion Md'!$T$6:$V$10,2,1)*$BN25+VLOOKUP($BN25,'Regresion Md'!$T$6:$V$10,3,1),VLOOKUP(MIN(DatosHoy[Puntos]),'Regresion Md'!$T$6:$V$10,2,1)*$BN25+VLOOKUP(MIN(DatosHoy[Puntos]),'Regresion Md'!$T$6:$V$10,3,1))</f>
        <v>2626692.8742026472</v>
      </c>
      <c r="BS25" s="94">
        <f ca="1">IFERROR(VLOOKUP($BN25,'Regresion Md'!$W$6:$Y$10,2,1)*$BN25+VLOOKUP($BN25,'Regresion Md'!$W$6:$Y$10,3,1),VLOOKUP(MIN(DatosHoy[Puntos]),'Regresion Md'!$W$6:$Y$10,2,1)*$BN25+VLOOKUP(MIN(DatosHoy[Puntos]),'Regresion Md'!$W$6:$Y$10,3,1))</f>
        <v>2657318.3231702531</v>
      </c>
      <c r="BT25" s="94">
        <f ca="1">IFERROR(VLOOKUP($BN25,'Regresion Md'!$Z$6:$AB$10,2,1)*$BN25+VLOOKUP($BN25,'Regresion Md'!$Z$6:$AB$10,3,1),VLOOKUP(MIN(DatosHoy[Puntos]),'Regresion Md'!$Z$6:$AB$10,2,1)*$BN25+VLOOKUP(MIN(DatosHoy[Puntos]),'Regresion Md'!$Z$6:$AB$10,3,1))</f>
        <v>2818113.6268918021</v>
      </c>
      <c r="BU25" s="94">
        <f ca="1">IFERROR(VLOOKUP($BN25,'Regresion Q3'!$T$6:$V$10,2,1)*$BN25+VLOOKUP($BN25,'Regresion Q3'!$T$6:$V$10,3,1),VLOOKUP(MIN(DatosHoy[Puntos]),'Regresion Q3'!$T$6:$V$10,2,1)*$BN25+VLOOKUP(MIN(DatosHoy[Puntos]),'Regresion Q3'!$T$6:$V$10,3,1))</f>
        <v>3962089.7176230913</v>
      </c>
      <c r="BV25" s="94">
        <f ca="1">IFERROR(VLOOKUP($BN25,'Regresion Q3'!$W$6:$Y$10,2,1)*$BN25+VLOOKUP($BN25,'Regresion Q3'!$W$6:$Y$10,3,1),VLOOKUP(MIN(DatosHoy[Puntos]),'Regresion Q3'!$W$6:$Y$10,2,1)*$BN25+VLOOKUP(MIN(DatosHoy[Puntos]),'Regresion Q3'!$W$6:$Y$10,3,1))</f>
        <v>4077961.9700662498</v>
      </c>
      <c r="BW25" s="94">
        <f ca="1">IFERROR(VLOOKUP($BN25,'Regresion Q3'!$Z$6:$AB$10,2,1)*$BN25+VLOOKUP($BN25,'Regresion Q3'!$Z$6:$AB$10,3,1),VLOOKUP(MIN(DatosHoy[Puntos]),'Regresion Q3'!$Z$6:$AB$10,2,1)*$BN25+VLOOKUP(MIN(DatosHoy[Puntos]),'Regresion Q3'!$Z$6:$AB$10,3,1))</f>
        <v>4191782.3056981228</v>
      </c>
      <c r="BX25" s="96">
        <f ca="1">DatosHoy[[#This Row],[CT Actual]]/DatosHoy[[#This Row],[CT ajus PM Md]]</f>
        <v>1.127353052653181</v>
      </c>
      <c r="BY25" s="125" t="str">
        <f>VLOOKUP(DatosHoy[[#This Row],[Cargo Valorado]],Estadísticos[[Cargo]:[Nivel]],2,FALSE)</f>
        <v>Soporte</v>
      </c>
      <c r="BZ25" s="96">
        <f>(DatosHoy[[#This Row],[G+V Actual]]-DatosHoy[[#This Row],[G Actual]])/DatosHoy[[#This Row],[CT Actual]]</f>
        <v>0</v>
      </c>
      <c r="CA25" s="96">
        <f>(DatosHoy[[#This Row],[CT Actual]]-DatosHoy[[#This Row],[G+V Actual]])/DatosHoy[[#This Row],[CT Actual]]</f>
        <v>0</v>
      </c>
      <c r="CB25" s="139" t="s">
        <v>255</v>
      </c>
    </row>
    <row r="26" spans="2:80" x14ac:dyDescent="0.25">
      <c r="B26" s="73">
        <f t="shared" si="0"/>
        <v>21</v>
      </c>
      <c r="C26" s="74">
        <v>2828714.68</v>
      </c>
      <c r="D26" s="74">
        <v>2828714.68</v>
      </c>
      <c r="E26" s="74">
        <v>2828714.68</v>
      </c>
      <c r="F26" s="94">
        <f>VLOOKUP(DatosHoy[[#This Row],[Cargo Valorado]],Estadísticos[],3,0)</f>
        <v>2038242.9928654672</v>
      </c>
      <c r="G26" s="94">
        <f>VLOOKUP(DatosHoy[[#This Row],[Cargo Valorado]],Estadísticos[],4,0)</f>
        <v>2067113.7578606559</v>
      </c>
      <c r="H26" s="94">
        <f>VLOOKUP(DatosHoy[[#This Row],[Cargo Valorado]],Estadísticos[],5,0)</f>
        <v>2067113.7578606559</v>
      </c>
      <c r="I26" s="94">
        <f>VLOOKUP(DatosHoy[[#This Row],[Cargo Valorado]],Estadísticos[],6,0)</f>
        <v>2367827.1476484928</v>
      </c>
      <c r="J26" s="94">
        <f>VLOOKUP(DatosHoy[[#This Row],[Cargo Valorado]],Estadísticos[],7,0)</f>
        <v>2382437.6686204169</v>
      </c>
      <c r="K26" s="94">
        <f>VLOOKUP(DatosHoy[[#This Row],[Cargo Valorado]],Estadísticos[],8,0)</f>
        <v>2489715.3956425395</v>
      </c>
      <c r="L26" s="94">
        <f>VLOOKUP(DatosHoy[[#This Row],[Cargo Valorado]],Estadísticos[],9,0)</f>
        <v>2798608.1728554582</v>
      </c>
      <c r="M26" s="94">
        <f>VLOOKUP(DatosHoy[[#This Row],[Cargo Valorado]],Estadísticos[],10,0)</f>
        <v>2798608.1728554582</v>
      </c>
      <c r="N26" s="94">
        <f>VLOOKUP(DatosHoy[[#This Row],[Cargo Valorado]],Estadísticos[],11,0)</f>
        <v>2959524.7633886426</v>
      </c>
      <c r="O26" s="75" t="s">
        <v>195</v>
      </c>
      <c r="P26" s="75">
        <v>200</v>
      </c>
      <c r="Q26" s="95" t="str">
        <f t="shared" si="14"/>
        <v>$P$26</v>
      </c>
      <c r="R26" s="95" t="str">
        <f t="shared" si="15"/>
        <v>$F$26</v>
      </c>
      <c r="S26" s="95" t="str">
        <f t="shared" si="16"/>
        <v>$G$26</v>
      </c>
      <c r="T26" s="95" t="str">
        <f t="shared" si="17"/>
        <v>$H$26</v>
      </c>
      <c r="U26" s="95" t="str">
        <f t="shared" si="18"/>
        <v>$I$26</v>
      </c>
      <c r="V26" s="95" t="str">
        <f t="shared" si="19"/>
        <v>$J$26</v>
      </c>
      <c r="W26" s="95" t="str">
        <f t="shared" si="20"/>
        <v>$K$26</v>
      </c>
      <c r="X26" s="95" t="str">
        <f t="shared" si="21"/>
        <v>$L$26</v>
      </c>
      <c r="Y26" s="95" t="str">
        <f t="shared" si="22"/>
        <v>$M$26</v>
      </c>
      <c r="Z26" s="95" t="str">
        <f t="shared" si="23"/>
        <v>$N$26</v>
      </c>
      <c r="AA26" s="94">
        <f ca="1">VLOOKUP($P26,'Regresion Q1'!$E$6:$I$10,4,1)*$P26+VLOOKUP($P26,'Regresion Q1'!$E$6:$I$10,5,1)</f>
        <v>2567771.7925886004</v>
      </c>
      <c r="AB26" s="94">
        <f ca="1">VLOOKUP($P26,'Regresion Q1'!$J$6:$N$10,4,1)*$P26+VLOOKUP($P26,'Regresion Q1'!$J$6:$N$10,5,1)</f>
        <v>2621056.155318738</v>
      </c>
      <c r="AC26" s="94">
        <f ca="1">VLOOKUP($P26,'Regresion Q1'!$O$6:$S$10,4,1)*$P26+VLOOKUP($P26,'Regresion Q1'!$O$6:$S$10,5,1)</f>
        <v>2783496.4538409547</v>
      </c>
      <c r="AD26" s="94">
        <f ca="1">VLOOKUP($P26,'Regresion Md'!$E$6:$I$10,4,1)*$P26+VLOOKUP($P26,'Regresion Md'!$E$6:$I$10,5,1)</f>
        <v>2905707.8368761116</v>
      </c>
      <c r="AE26" s="94">
        <f ca="1">VLOOKUP($P26,'Regresion Md'!$J$6:$N$10,4,1)*$P26+VLOOKUP($P26,'Regresion Md'!$J$6:$N$10,5,1)</f>
        <v>3005228.3831077795</v>
      </c>
      <c r="AF26" s="94">
        <f ca="1">VLOOKUP($P26,'Regresion Md'!$O$6:$S$10,4,1)*$P26+VLOOKUP($P26,'Regresion Md'!$O$6:$S$10,5,1)</f>
        <v>3203079.0601755911</v>
      </c>
      <c r="AG26" s="94">
        <f ca="1">VLOOKUP($P26,'Regresion Q3'!$E$6:$I$10,4,1)*$P26+VLOOKUP($P26,'Regresion Q3'!$E$6:$I$10,5,1)</f>
        <v>3462704.1608669264</v>
      </c>
      <c r="AH26" s="94">
        <f ca="1">VLOOKUP($P26,'Regresion Q3'!$J$6:$N$10,4,1)*$P26+VLOOKUP($P26,'Regresion Q3'!$J$6:$N$10,5,1)</f>
        <v>3521517.1039459668</v>
      </c>
      <c r="AI26" s="94">
        <f ca="1">VLOOKUP($P26,'Regresion Q3'!$O$6:$S$10,4,1)*$P26+VLOOKUP($P26,'Regresion Q3'!$O$6:$S$10,5,1)</f>
        <v>3714793.0973124495</v>
      </c>
      <c r="AJ26" s="94">
        <f ca="1">VLOOKUP($P26,'Regresion Q1'!$T$6:$V$10,2,1)*$P26+VLOOKUP($P26,'Regresion Q1'!$T$6:$V$10,3,1)</f>
        <v>2591582.2770165848</v>
      </c>
      <c r="AK26" s="94">
        <f ca="1">VLOOKUP($P26,'Regresion Q1'!$W$6:$Y$10,2,1)*$P26+VLOOKUP($P26,'Regresion Q1'!$W$6:$Y$10,3,1)</f>
        <v>2688043.6609888719</v>
      </c>
      <c r="AL26" s="94">
        <f ca="1">VLOOKUP($P26,'Regresion Q1'!$Z$6:$AB$10,2,1)*$P26+VLOOKUP($P26,'Regresion Q1'!$Z$6:$AB$10,3,1)</f>
        <v>2794243.3182988442</v>
      </c>
      <c r="AM26" s="94">
        <f ca="1">VLOOKUP($P26,'Regresion Md'!$T$6:$V$10,2,1)*$P26+VLOOKUP($P26,'Regresion Md'!$T$6:$V$10,3,1)</f>
        <v>2735922.6700977222</v>
      </c>
      <c r="AN26" s="94">
        <f ca="1">VLOOKUP($P26,'Regresion Md'!$W$6:$Y$10,2,1)*$P26+VLOOKUP($P26,'Regresion Md'!$W$6:$Y$10,3,1)</f>
        <v>2761597.0784211773</v>
      </c>
      <c r="AO26" s="94">
        <f ca="1">VLOOKUP($P26,'Regresion Md'!$Z$6:$AB$10,2,1)*$P26+VLOOKUP($P26,'Regresion Md'!$Z$6:$AB$10,3,1)</f>
        <v>2935242.3372566295</v>
      </c>
      <c r="AP26" s="94">
        <f ca="1">VLOOKUP($P26,'Regresion Q3'!$T$6:$V$10,2,1)*$P26+VLOOKUP($P26,'Regresion Q3'!$T$6:$V$10,3,1)</f>
        <v>4165153.8790776436</v>
      </c>
      <c r="AQ26" s="94">
        <f ca="1">VLOOKUP($P26,'Regresion Q3'!$W$6:$Y$10,2,1)*$P26+VLOOKUP($P26,'Regresion Q3'!$W$6:$Y$10,3,1)</f>
        <v>4285808.4053826276</v>
      </c>
      <c r="AR26" s="94">
        <f ca="1">VLOOKUP($P26,'Regresion Q3'!$Z$6:$AB$10,2,1)*$P26+VLOOKUP($P26,'Regresion Q3'!$Z$6:$AB$10,3,1)</f>
        <v>4403540.2733922862</v>
      </c>
      <c r="AS26" s="94">
        <f ca="1">IF($BN26=$BN27,-1,DatosHoy[[#This Row],[G ajus PM Q1]]-BO27)</f>
        <v>-280095.70485265087</v>
      </c>
      <c r="AT26" s="94">
        <f ca="1">IF($BN26=$BN27,-1,DatosHoy[[#This Row],[G+V ajus PM Q1]]-BP27)</f>
        <v>-283077.98720565904</v>
      </c>
      <c r="AU26" s="94">
        <f ca="1">IF($BN26=$BN27,-1,DatosHoy[[#This Row],[CT ajus PM Q1]]-BQ27)</f>
        <v>-295814.71170174936</v>
      </c>
      <c r="AV26" s="94">
        <f ca="1">IF(DatosHoy[[#This Row],[G ajus PM Q1]]=DatosHoy[[#This Row],[G+V ajus PM Q1]],-1,DatosHoy[[#This Row],[G ajus PM Q1]]-DatosHoy[[#This Row],[G+V ajus PM Q1]])</f>
        <v>-95289.77304789098</v>
      </c>
      <c r="AW26" s="94">
        <f ca="1">IF(DatosHoy[[#This Row],[G+V ajus PM Q1]]=DatosHoy[[#This Row],[CT ajus PM Q1]],-1,DatosHoy[[#This Row],[G+V ajus PM Q1]]-DatosHoy[[#This Row],[CT ajus PM Q1]])</f>
        <v>-101195.94411507947</v>
      </c>
      <c r="AX26" s="94">
        <f ca="1">IF($BN26=$BN27,-1,DatosHoy[[#This Row],[G ajus PMd]]-BR27)</f>
        <v>-278039.48046018928</v>
      </c>
      <c r="AY26" s="94">
        <f ca="1">IF($BN26=$BN27,-1,DatosHoy[[#This Row],[G+V ajus PM Md]]-BS27)</f>
        <v>-265436.8315478079</v>
      </c>
      <c r="AZ26" s="94">
        <f ca="1">IF($BN26=$BN27,-1,DatosHoy[[#This Row],[CT ajus PM Md]]-BT27)</f>
        <v>-298145.80820137728</v>
      </c>
      <c r="BA26" s="94">
        <f ca="1">IF(DatosHoy[[#This Row],[G ajus PMd]]=DatosHoy[[#This Row],[G+V ajus PM Md]],-1,DatosHoy[[#This Row],[G ajus PMd]]-DatosHoy[[#This Row],[G+V ajus PM Md]])</f>
        <v>-30625.448967605829</v>
      </c>
      <c r="BB26" s="94">
        <f ca="1">IF(DatosHoy[[#This Row],[G+V ajus PM Md]]=DatosHoy[[#This Row],[CT ajus PM Md]],-1,DatosHoy[[#This Row],[G+V ajus PM Md]]-DatosHoy[[#This Row],[CT ajus PM Md]])</f>
        <v>-160795.30372154899</v>
      </c>
      <c r="BC26" s="94">
        <f ca="1">IF($BN26=$BN27,-1,DatosHoy[[#This Row],[G ajus PM Q3]]-BU27)</f>
        <v>-516890.59279340599</v>
      </c>
      <c r="BD26" s="94">
        <f ca="1">IF($BN26=$BN27,-1,DatosHoy[[#This Row],[G+V ajus PM Q3]]-BV27)</f>
        <v>-529063.6535325977</v>
      </c>
      <c r="BE26" s="94">
        <f ca="1">IF($BN26=$BN27,-1,DatosHoy[[#This Row],[CT ajus PM Q3]]-BW27)</f>
        <v>-539020.2814033255</v>
      </c>
      <c r="BF26" s="94">
        <f ca="1">IF(DatosHoy[[#This Row],[G ajus PM Q3]]=DatosHoy[[#This Row],[G+V ajus PM Q3]],-1,DatosHoy[[#This Row],[G ajus PM Q3]]-DatosHoy[[#This Row],[G+V ajus PM Q3]])</f>
        <v>-115872.25244315853</v>
      </c>
      <c r="BG26" s="94">
        <f ca="1">IF(DatosHoy[[#This Row],[G+V ajus PM Q3]]=DatosHoy[[#This Row],[CT ajus PM Q3]],-1,DatosHoy[[#This Row],[G+V ajus PM Q3]]-DatosHoy[[#This Row],[CT ajus PM Q3]])</f>
        <v>-113820.33563187299</v>
      </c>
      <c r="BH26" s="94">
        <f ca="1">IF(DatosHoy[[#This Row],[G ajus PM Q1]]=DatosHoy[[#This Row],[G ajus PMd]],-1,DatosHoy[[#This Row],[G ajus PM Q1]]-DatosHoy[[#This Row],[G ajus PMd]])</f>
        <v>-145148.19552103244</v>
      </c>
      <c r="BI26" s="94">
        <f ca="1">IF(DatosHoy[[#This Row],[G+V ajus PM Q1]]=DatosHoy[[#This Row],[G+V ajus PM Md]],-1,DatosHoy[[#This Row],[G+V ajus PM Q1]]-DatosHoy[[#This Row],[G+V ajus PM Md]])</f>
        <v>-80483.871440747287</v>
      </c>
      <c r="BJ26" s="94">
        <f ca="1">IF(DatosHoy[[#This Row],[CT ajus PM Q1]]=DatosHoy[[#This Row],[CT ajus PM Md]],-1,DatosHoy[[#This Row],[CT ajus PM Q1]]-DatosHoy[[#This Row],[CT ajus PM Md]])</f>
        <v>-140083.2310472168</v>
      </c>
      <c r="BK26" s="94">
        <f ca="1">IF(DatosHoy[[#This Row],[G ajus PMd]]=DatosHoy[[#This Row],[G ajus PM Q3]],-1,DatosHoy[[#This Row],[G ajus PMd]]-DatosHoy[[#This Row],[G ajus PM Q3]])</f>
        <v>-1335396.8434204441</v>
      </c>
      <c r="BL26" s="94">
        <f ca="1">IF(DatosHoy[[#This Row],[G+V ajus PM Md]]=DatosHoy[[#This Row],[G+V ajus PM Q3]],-1,DatosHoy[[#This Row],[G+V ajus PM Md]]-DatosHoy[[#This Row],[G+V ajus PM Q3]])</f>
        <v>-1420643.6468959968</v>
      </c>
      <c r="BM26" s="94">
        <f ca="1">IF(DatosHoy[[#This Row],[CT ajus PM Md]]=DatosHoy[[#This Row],[CT ajus PM Q3]],-1,DatosHoy[[#This Row],[CT ajus PM Md]]-DatosHoy[[#This Row],[CT ajus PM Q3]])</f>
        <v>-1373668.6788063208</v>
      </c>
      <c r="BN26" s="74">
        <v>189</v>
      </c>
      <c r="BO26" s="94">
        <f ca="1">IFERROR(VLOOKUP($BN26,'Regresion Q1'!$T$6:$V$10,2,1)*$BN26+VLOOKUP($BN26,'Regresion Q1'!$T$6:$V$10,3,1),VLOOKUP(MIN(DatosHoy[Puntos]),'Regresion Q1'!$T$6:$V$10,2,1)*$BN26+VLOOKUP(MIN(DatosHoy[Puntos]),'Regresion Q1'!$T$6:$V$10,3,1))</f>
        <v>2481544.6786816148</v>
      </c>
      <c r="BP26" s="94">
        <f ca="1">IFERROR(VLOOKUP($BN26,'Regresion Q1'!$W$6:$Y$10,2,1)*$BN26+VLOOKUP($BN26,'Regresion Q1'!$W$6:$Y$10,3,1),VLOOKUP(MIN(DatosHoy[Puntos]),'Regresion Q1'!$W$6:$Y$10,2,1)*$BN26+VLOOKUP(MIN(DatosHoy[Puntos]),'Regresion Q1'!$W$6:$Y$10,3,1))</f>
        <v>2576834.4517295058</v>
      </c>
      <c r="BQ26" s="94">
        <f ca="1">IFERROR(VLOOKUP($BN26,'Regresion Q1'!$Z$6:$AB$10,2,1)*$BN26+VLOOKUP($BN26,'Regresion Q1'!$Z$6:$AB$10,3,1),VLOOKUP(MIN(DatosHoy[Puntos]),'Regresion Q1'!$Z$6:$AB$10,2,1)*$BN26+VLOOKUP(MIN(DatosHoy[Puntos]),'Regresion Q1'!$Z$6:$AB$10,3,1))</f>
        <v>2678030.3958445853</v>
      </c>
      <c r="BR26" s="94">
        <f ca="1">IFERROR(VLOOKUP($BN26,'Regresion Md'!$T$6:$V$10,2,1)*$BN26+VLOOKUP($BN26,'Regresion Md'!$T$6:$V$10,3,1),VLOOKUP(MIN(DatosHoy[Puntos]),'Regresion Md'!$T$6:$V$10,2,1)*$BN26+VLOOKUP(MIN(DatosHoy[Puntos]),'Regresion Md'!$T$6:$V$10,3,1))</f>
        <v>2626692.8742026472</v>
      </c>
      <c r="BS26" s="94">
        <f ca="1">IFERROR(VLOOKUP($BN26,'Regresion Md'!$W$6:$Y$10,2,1)*$BN26+VLOOKUP($BN26,'Regresion Md'!$W$6:$Y$10,3,1),VLOOKUP(MIN(DatosHoy[Puntos]),'Regresion Md'!$W$6:$Y$10,2,1)*$BN26+VLOOKUP(MIN(DatosHoy[Puntos]),'Regresion Md'!$W$6:$Y$10,3,1))</f>
        <v>2657318.3231702531</v>
      </c>
      <c r="BT26" s="94">
        <f ca="1">IFERROR(VLOOKUP($BN26,'Regresion Md'!$Z$6:$AB$10,2,1)*$BN26+VLOOKUP($BN26,'Regresion Md'!$Z$6:$AB$10,3,1),VLOOKUP(MIN(DatosHoy[Puntos]),'Regresion Md'!$Z$6:$AB$10,2,1)*$BN26+VLOOKUP(MIN(DatosHoy[Puntos]),'Regresion Md'!$Z$6:$AB$10,3,1))</f>
        <v>2818113.6268918021</v>
      </c>
      <c r="BU26" s="94">
        <f ca="1">IFERROR(VLOOKUP($BN26,'Regresion Q3'!$T$6:$V$10,2,1)*$BN26+VLOOKUP($BN26,'Regresion Q3'!$T$6:$V$10,3,1),VLOOKUP(MIN(DatosHoy[Puntos]),'Regresion Q3'!$T$6:$V$10,2,1)*$BN26+VLOOKUP(MIN(DatosHoy[Puntos]),'Regresion Q3'!$T$6:$V$10,3,1))</f>
        <v>3962089.7176230913</v>
      </c>
      <c r="BV26" s="94">
        <f ca="1">IFERROR(VLOOKUP($BN26,'Regresion Q3'!$W$6:$Y$10,2,1)*$BN26+VLOOKUP($BN26,'Regresion Q3'!$W$6:$Y$10,3,1),VLOOKUP(MIN(DatosHoy[Puntos]),'Regresion Q3'!$W$6:$Y$10,2,1)*$BN26+VLOOKUP(MIN(DatosHoy[Puntos]),'Regresion Q3'!$W$6:$Y$10,3,1))</f>
        <v>4077961.9700662498</v>
      </c>
      <c r="BW26" s="94">
        <f ca="1">IFERROR(VLOOKUP($BN26,'Regresion Q3'!$Z$6:$AB$10,2,1)*$BN26+VLOOKUP($BN26,'Regresion Q3'!$Z$6:$AB$10,3,1),VLOOKUP(MIN(DatosHoy[Puntos]),'Regresion Q3'!$Z$6:$AB$10,2,1)*$BN26+VLOOKUP(MIN(DatosHoy[Puntos]),'Regresion Q3'!$Z$6:$AB$10,3,1))</f>
        <v>4191782.3056981228</v>
      </c>
      <c r="BX26" s="96">
        <f ca="1">DatosHoy[[#This Row],[CT Actual]]/DatosHoy[[#This Row],[CT ajus PM Md]]</f>
        <v>1.0037617550289804</v>
      </c>
      <c r="BY26" s="125" t="str">
        <f>VLOOKUP(DatosHoy[[#This Row],[Cargo Valorado]],Estadísticos[[Cargo]:[Nivel]],2,FALSE)</f>
        <v>Soporte</v>
      </c>
      <c r="BZ26" s="96">
        <f>(DatosHoy[[#This Row],[G+V Actual]]-DatosHoy[[#This Row],[G Actual]])/DatosHoy[[#This Row],[CT Actual]]</f>
        <v>0</v>
      </c>
      <c r="CA26" s="96">
        <f>(DatosHoy[[#This Row],[CT Actual]]-DatosHoy[[#This Row],[G+V Actual]])/DatosHoy[[#This Row],[CT Actual]]</f>
        <v>0</v>
      </c>
      <c r="CB26" s="139" t="s">
        <v>255</v>
      </c>
    </row>
    <row r="27" spans="2:80" x14ac:dyDescent="0.25">
      <c r="B27" s="73">
        <f t="shared" si="0"/>
        <v>22</v>
      </c>
      <c r="C27" s="74">
        <v>2828714.68</v>
      </c>
      <c r="D27" s="74">
        <v>2828714.68</v>
      </c>
      <c r="E27" s="74">
        <v>2828714.68</v>
      </c>
      <c r="F27" s="94">
        <f>VLOOKUP(DatosHoy[[#This Row],[Cargo Valorado]],Estadísticos[],3,0)</f>
        <v>1993781.0346164661</v>
      </c>
      <c r="G27" s="94">
        <f>VLOOKUP(DatosHoy[[#This Row],[Cargo Valorado]],Estadísticos[],4,0)</f>
        <v>1993781.0346164661</v>
      </c>
      <c r="H27" s="94">
        <f>VLOOKUP(DatosHoy[[#This Row],[Cargo Valorado]],Estadísticos[],5,0)</f>
        <v>2809424.3817369542</v>
      </c>
      <c r="I27" s="94">
        <f>VLOOKUP(DatosHoy[[#This Row],[Cargo Valorado]],Estadísticos[],6,0)</f>
        <v>2647560.6093187998</v>
      </c>
      <c r="J27" s="94">
        <f>VLOOKUP(DatosHoy[[#This Row],[Cargo Valorado]],Estadísticos[],7,0)</f>
        <v>2775174.6215375336</v>
      </c>
      <c r="K27" s="94">
        <f>VLOOKUP(DatosHoy[[#This Row],[Cargo Valorado]],Estadísticos[],8,0)</f>
        <v>3236364.006076064</v>
      </c>
      <c r="L27" s="94">
        <f>VLOOKUP(DatosHoy[[#This Row],[Cargo Valorado]],Estadísticos[],9,0)</f>
        <v>3423352.1999761853</v>
      </c>
      <c r="M27" s="94">
        <f>VLOOKUP(DatosHoy[[#This Row],[Cargo Valorado]],Estadísticos[],10,0)</f>
        <v>3517586.3769204821</v>
      </c>
      <c r="N27" s="94">
        <f>VLOOKUP(DatosHoy[[#This Row],[Cargo Valorado]],Estadísticos[],11,0)</f>
        <v>3719201.4552458585</v>
      </c>
      <c r="O27" s="75" t="s">
        <v>238</v>
      </c>
      <c r="P27" s="75">
        <v>204</v>
      </c>
      <c r="Q27" s="95" t="str">
        <f t="shared" si="14"/>
        <v>$P$27</v>
      </c>
      <c r="R27" s="95" t="str">
        <f t="shared" si="15"/>
        <v>$F$27</v>
      </c>
      <c r="S27" s="95" t="str">
        <f t="shared" si="16"/>
        <v>$G$27</v>
      </c>
      <c r="T27" s="95" t="str">
        <f t="shared" si="17"/>
        <v>$H$27</v>
      </c>
      <c r="U27" s="95" t="str">
        <f t="shared" si="18"/>
        <v>$I$27</v>
      </c>
      <c r="V27" s="95" t="str">
        <f t="shared" si="19"/>
        <v>$J$27</v>
      </c>
      <c r="W27" s="95" t="str">
        <f t="shared" si="20"/>
        <v>$K$27</v>
      </c>
      <c r="X27" s="95" t="str">
        <f t="shared" si="21"/>
        <v>$L$27</v>
      </c>
      <c r="Y27" s="95" t="str">
        <f t="shared" si="22"/>
        <v>$M$27</v>
      </c>
      <c r="Z27" s="95" t="str">
        <f t="shared" si="23"/>
        <v>$N$27</v>
      </c>
      <c r="AA27" s="94">
        <f ca="1">VLOOKUP($P27,'Regresion Q1'!$E$6:$I$10,4,1)*$P27+VLOOKUP($P27,'Regresion Q1'!$E$6:$I$10,5,1)</f>
        <v>2621580.8780245478</v>
      </c>
      <c r="AB27" s="94">
        <f ca="1">VLOOKUP($P27,'Regresion Q1'!$J$6:$N$10,4,1)*$P27+VLOOKUP($P27,'Regresion Q1'!$J$6:$N$10,5,1)</f>
        <v>2676409.3568804967</v>
      </c>
      <c r="AC27" s="94">
        <f ca="1">VLOOKUP($P27,'Regresion Q1'!$O$6:$S$10,4,1)*$P27+VLOOKUP($P27,'Regresion Q1'!$O$6:$S$10,5,1)</f>
        <v>2840616.8696414954</v>
      </c>
      <c r="AD27" s="94">
        <f ca="1">VLOOKUP($P27,'Regresion Md'!$E$6:$I$10,4,1)*$P27+VLOOKUP($P27,'Regresion Md'!$E$6:$I$10,5,1)</f>
        <v>2960530.7621106915</v>
      </c>
      <c r="AE27" s="94">
        <f ca="1">VLOOKUP($P27,'Regresion Md'!$J$6:$N$10,4,1)*$P27+VLOOKUP($P27,'Regresion Md'!$J$6:$N$10,5,1)</f>
        <v>3063762.481699185</v>
      </c>
      <c r="AF27" s="94">
        <f ca="1">VLOOKUP($P27,'Regresion Md'!$O$6:$S$10,4,1)*$P27+VLOOKUP($P27,'Regresion Md'!$O$6:$S$10,5,1)</f>
        <v>3272731.8663964528</v>
      </c>
      <c r="AG27" s="94">
        <f ca="1">VLOOKUP($P27,'Regresion Q3'!$E$6:$I$10,4,1)*$P27+VLOOKUP($P27,'Regresion Q3'!$E$6:$I$10,5,1)</f>
        <v>3562275.3122643773</v>
      </c>
      <c r="AH27" s="94">
        <f ca="1">VLOOKUP($P27,'Regresion Q3'!$J$6:$N$10,4,1)*$P27+VLOOKUP($P27,'Regresion Q3'!$J$6:$N$10,5,1)</f>
        <v>3622344.5112303188</v>
      </c>
      <c r="AI27" s="94">
        <f ca="1">VLOOKUP($P27,'Regresion Q3'!$O$6:$S$10,4,1)*$P27+VLOOKUP($P27,'Regresion Q3'!$O$6:$S$10,5,1)</f>
        <v>3815023.9390426353</v>
      </c>
      <c r="AJ27" s="94">
        <f ca="1">VLOOKUP($P27,'Regresion Q1'!$T$6:$V$10,2,1)*$P27+VLOOKUP($P27,'Regresion Q1'!$T$6:$V$10,3,1)</f>
        <v>2631595.9491383918</v>
      </c>
      <c r="AK27" s="94">
        <f ca="1">VLOOKUP($P27,'Regresion Q1'!$W$6:$Y$10,2,1)*$P27+VLOOKUP($P27,'Regresion Q1'!$W$6:$Y$10,3,1)</f>
        <v>2728483.3734468231</v>
      </c>
      <c r="AL27" s="94">
        <f ca="1">VLOOKUP($P27,'Regresion Q1'!$Z$6:$AB$10,2,1)*$P27+VLOOKUP($P27,'Regresion Q1'!$Z$6:$AB$10,3,1)</f>
        <v>2836502.5628276654</v>
      </c>
      <c r="AM27" s="94">
        <f ca="1">VLOOKUP($P27,'Regresion Md'!$T$6:$V$10,2,1)*$P27+VLOOKUP($P27,'Regresion Md'!$T$6:$V$10,3,1)</f>
        <v>2775642.5958777494</v>
      </c>
      <c r="AN27" s="94">
        <f ca="1">VLOOKUP($P27,'Regresion Md'!$W$6:$Y$10,2,1)*$P27+VLOOKUP($P27,'Regresion Md'!$W$6:$Y$10,3,1)</f>
        <v>2799516.6257851496</v>
      </c>
      <c r="AO27" s="94">
        <f ca="1">VLOOKUP($P27,'Regresion Md'!$Z$6:$AB$10,2,1)*$P27+VLOOKUP($P27,'Regresion Md'!$Z$6:$AB$10,3,1)</f>
        <v>2977834.5955711119</v>
      </c>
      <c r="AP27" s="94">
        <f ca="1">VLOOKUP($P27,'Regresion Q3'!$T$6:$V$10,2,1)*$P27+VLOOKUP($P27,'Regresion Q3'!$T$6:$V$10,3,1)</f>
        <v>4238995.3923338447</v>
      </c>
      <c r="AQ27" s="94">
        <f ca="1">VLOOKUP($P27,'Regresion Q3'!$W$6:$Y$10,2,1)*$P27+VLOOKUP($P27,'Regresion Q3'!$W$6:$Y$10,3,1)</f>
        <v>4361388.9273158554</v>
      </c>
      <c r="AR27" s="94">
        <f ca="1">VLOOKUP($P27,'Regresion Q3'!$Z$6:$AB$10,2,1)*$P27+VLOOKUP($P27,'Regresion Q3'!$Z$6:$AB$10,3,1)</f>
        <v>4480543.1707356181</v>
      </c>
      <c r="AS27" s="94">
        <f>IF($BN27=$BN28,-1,DatosHoy[[#This Row],[G ajus PM Q1]]-BO28)</f>
        <v>-1</v>
      </c>
      <c r="AT27" s="94">
        <f>IF($BN27=$BN28,-1,DatosHoy[[#This Row],[G+V ajus PM Q1]]-BP28)</f>
        <v>-1</v>
      </c>
      <c r="AU27" s="94">
        <f>IF($BN27=$BN28,-1,DatosHoy[[#This Row],[CT ajus PM Q1]]-BQ28)</f>
        <v>-1</v>
      </c>
      <c r="AV27" s="94">
        <f ca="1">IF(DatosHoy[[#This Row],[G ajus PM Q1]]=DatosHoy[[#This Row],[G+V ajus PM Q1]],-1,DatosHoy[[#This Row],[G ajus PM Q1]]-DatosHoy[[#This Row],[G+V ajus PM Q1]])</f>
        <v>-98272.055400899146</v>
      </c>
      <c r="AW27" s="94">
        <f ca="1">IF(DatosHoy[[#This Row],[G+V ajus PM Q1]]=DatosHoy[[#This Row],[CT ajus PM Q1]],-1,DatosHoy[[#This Row],[G+V ajus PM Q1]]-DatosHoy[[#This Row],[CT ajus PM Q1]])</f>
        <v>-113932.66861116979</v>
      </c>
      <c r="AX27" s="94">
        <f>IF($BN27=$BN28,-1,DatosHoy[[#This Row],[G ajus PMd]]-BR28)</f>
        <v>-1</v>
      </c>
      <c r="AY27" s="94">
        <f>IF($BN27=$BN28,-1,DatosHoy[[#This Row],[G+V ajus PM Md]]-BS28)</f>
        <v>-1</v>
      </c>
      <c r="AZ27" s="94">
        <f>IF($BN27=$BN28,-1,DatosHoy[[#This Row],[CT ajus PM Md]]-BT28)</f>
        <v>-1</v>
      </c>
      <c r="BA27" s="94">
        <f ca="1">IF(DatosHoy[[#This Row],[G ajus PMd]]=DatosHoy[[#This Row],[G+V ajus PM Md]],-1,DatosHoy[[#This Row],[G ajus PMd]]-DatosHoy[[#This Row],[G+V ajus PM Md]])</f>
        <v>-18022.800055224448</v>
      </c>
      <c r="BB27" s="94">
        <f ca="1">IF(DatosHoy[[#This Row],[G+V ajus PM Md]]=DatosHoy[[#This Row],[CT ajus PM Md]],-1,DatosHoy[[#This Row],[G+V ajus PM Md]]-DatosHoy[[#This Row],[CT ajus PM Md]])</f>
        <v>-193504.28037511837</v>
      </c>
      <c r="BC27" s="94">
        <f>IF($BN27=$BN28,-1,DatosHoy[[#This Row],[G ajus PM Q3]]-BU28)</f>
        <v>-1</v>
      </c>
      <c r="BD27" s="94">
        <f>IF($BN27=$BN28,-1,DatosHoy[[#This Row],[G+V ajus PM Q3]]-BV28)</f>
        <v>-1</v>
      </c>
      <c r="BE27" s="94">
        <f>IF($BN27=$BN28,-1,DatosHoy[[#This Row],[CT ajus PM Q3]]-BW28)</f>
        <v>-1</v>
      </c>
      <c r="BF27" s="94">
        <f ca="1">IF(DatosHoy[[#This Row],[G ajus PM Q3]]=DatosHoy[[#This Row],[G+V ajus PM Q3]],-1,DatosHoy[[#This Row],[G ajus PM Q3]]-DatosHoy[[#This Row],[G+V ajus PM Q3]])</f>
        <v>-128045.31318235025</v>
      </c>
      <c r="BG27" s="94">
        <f ca="1">IF(DatosHoy[[#This Row],[G+V ajus PM Q3]]=DatosHoy[[#This Row],[CT ajus PM Q3]],-1,DatosHoy[[#This Row],[G+V ajus PM Q3]]-DatosHoy[[#This Row],[CT ajus PM Q3]])</f>
        <v>-123776.96350260079</v>
      </c>
      <c r="BH27" s="94">
        <f ca="1">IF(DatosHoy[[#This Row],[G ajus PM Q1]]=DatosHoy[[#This Row],[G ajus PMd]],-1,DatosHoy[[#This Row],[G ajus PM Q1]]-DatosHoy[[#This Row],[G ajus PMd]])</f>
        <v>-143091.97112857085</v>
      </c>
      <c r="BI27" s="94">
        <f ca="1">IF(DatosHoy[[#This Row],[G+V ajus PM Q1]]=DatosHoy[[#This Row],[G+V ajus PM Md]],-1,DatosHoy[[#This Row],[G+V ajus PM Q1]]-DatosHoy[[#This Row],[G+V ajus PM Md]])</f>
        <v>-62842.71578289615</v>
      </c>
      <c r="BJ27" s="94">
        <f ca="1">IF(DatosHoy[[#This Row],[CT ajus PM Q1]]=DatosHoy[[#This Row],[CT ajus PM Md]],-1,DatosHoy[[#This Row],[CT ajus PM Q1]]-DatosHoy[[#This Row],[CT ajus PM Md]])</f>
        <v>-142414.32754684472</v>
      </c>
      <c r="BK27" s="94">
        <f ca="1">IF(DatosHoy[[#This Row],[G ajus PMd]]=DatosHoy[[#This Row],[G ajus PM Q3]],-1,DatosHoy[[#This Row],[G ajus PMd]]-DatosHoy[[#This Row],[G ajus PM Q3]])</f>
        <v>-1574247.9557536608</v>
      </c>
      <c r="BL27" s="94">
        <f ca="1">IF(DatosHoy[[#This Row],[G+V ajus PM Md]]=DatosHoy[[#This Row],[G+V ajus PM Q3]],-1,DatosHoy[[#This Row],[G+V ajus PM Md]]-DatosHoy[[#This Row],[G+V ajus PM Q3]])</f>
        <v>-1684270.4688807866</v>
      </c>
      <c r="BM27" s="94">
        <f ca="1">IF(DatosHoy[[#This Row],[CT ajus PM Md]]=DatosHoy[[#This Row],[CT ajus PM Q3]],-1,DatosHoy[[#This Row],[CT ajus PM Md]]-DatosHoy[[#This Row],[CT ajus PM Q3]])</f>
        <v>-1614543.152008269</v>
      </c>
      <c r="BN27" s="74">
        <v>217</v>
      </c>
      <c r="BO27" s="94">
        <f ca="1">IFERROR(VLOOKUP($BN27,'Regresion Q1'!$T$6:$V$10,2,1)*$BN27+VLOOKUP($BN27,'Regresion Q1'!$T$6:$V$10,3,1),VLOOKUP(MIN(DatosHoy[Puntos]),'Regresion Q1'!$T$6:$V$10,2,1)*$BN27+VLOOKUP(MIN(DatosHoy[Puntos]),'Regresion Q1'!$T$6:$V$10,3,1))</f>
        <v>2761640.3835342657</v>
      </c>
      <c r="BP27" s="94">
        <f ca="1">IFERROR(VLOOKUP($BN27,'Regresion Q1'!$W$6:$Y$10,2,1)*$BN27+VLOOKUP($BN27,'Regresion Q1'!$W$6:$Y$10,3,1),VLOOKUP(MIN(DatosHoy[Puntos]),'Regresion Q1'!$W$6:$Y$10,2,1)*$BN27+VLOOKUP(MIN(DatosHoy[Puntos]),'Regresion Q1'!$W$6:$Y$10,3,1))</f>
        <v>2859912.4389351648</v>
      </c>
      <c r="BQ27" s="94">
        <f ca="1">IFERROR(VLOOKUP($BN27,'Regresion Q1'!$Z$6:$AB$10,2,1)*$BN27+VLOOKUP($BN27,'Regresion Q1'!$Z$6:$AB$10,3,1),VLOOKUP(MIN(DatosHoy[Puntos]),'Regresion Q1'!$Z$6:$AB$10,2,1)*$BN27+VLOOKUP(MIN(DatosHoy[Puntos]),'Regresion Q1'!$Z$6:$AB$10,3,1))</f>
        <v>2973845.1075463346</v>
      </c>
      <c r="BR27" s="94">
        <f ca="1">IFERROR(VLOOKUP($BN27,'Regresion Md'!$T$6:$V$10,2,1)*$BN27+VLOOKUP($BN27,'Regresion Md'!$T$6:$V$10,3,1),VLOOKUP(MIN(DatosHoy[Puntos]),'Regresion Md'!$T$6:$V$10,2,1)*$BN27+VLOOKUP(MIN(DatosHoy[Puntos]),'Regresion Md'!$T$6:$V$10,3,1))</f>
        <v>2904732.3546628365</v>
      </c>
      <c r="BS27" s="94">
        <f ca="1">IFERROR(VLOOKUP($BN27,'Regresion Md'!$W$6:$Y$10,2,1)*$BN27+VLOOKUP($BN27,'Regresion Md'!$W$6:$Y$10,3,1),VLOOKUP(MIN(DatosHoy[Puntos]),'Regresion Md'!$W$6:$Y$10,2,1)*$BN27+VLOOKUP(MIN(DatosHoy[Puntos]),'Regresion Md'!$W$6:$Y$10,3,1))</f>
        <v>2922755.154718061</v>
      </c>
      <c r="BT27" s="94">
        <f ca="1">IFERROR(VLOOKUP($BN27,'Regresion Md'!$Z$6:$AB$10,2,1)*$BN27+VLOOKUP($BN27,'Regresion Md'!$Z$6:$AB$10,3,1),VLOOKUP(MIN(DatosHoy[Puntos]),'Regresion Md'!$Z$6:$AB$10,2,1)*$BN27+VLOOKUP(MIN(DatosHoy[Puntos]),'Regresion Md'!$Z$6:$AB$10,3,1))</f>
        <v>3116259.4350931793</v>
      </c>
      <c r="BU27" s="94">
        <f ca="1">IFERROR(VLOOKUP($BN27,'Regresion Q3'!$T$6:$V$10,2,1)*$BN27+VLOOKUP($BN27,'Regresion Q3'!$T$6:$V$10,3,1),VLOOKUP(MIN(DatosHoy[Puntos]),'Regresion Q3'!$T$6:$V$10,2,1)*$BN27+VLOOKUP(MIN(DatosHoy[Puntos]),'Regresion Q3'!$T$6:$V$10,3,1))</f>
        <v>4478980.3104164973</v>
      </c>
      <c r="BV27" s="94">
        <f ca="1">IFERROR(VLOOKUP($BN27,'Regresion Q3'!$W$6:$Y$10,2,1)*$BN27+VLOOKUP($BN27,'Regresion Q3'!$W$6:$Y$10,3,1),VLOOKUP(MIN(DatosHoy[Puntos]),'Regresion Q3'!$W$6:$Y$10,2,1)*$BN27+VLOOKUP(MIN(DatosHoy[Puntos]),'Regresion Q3'!$W$6:$Y$10,3,1))</f>
        <v>4607025.6235988475</v>
      </c>
      <c r="BW27" s="94">
        <f ca="1">IFERROR(VLOOKUP($BN27,'Regresion Q3'!$Z$6:$AB$10,2,1)*$BN27+VLOOKUP($BN27,'Regresion Q3'!$Z$6:$AB$10,3,1),VLOOKUP(MIN(DatosHoy[Puntos]),'Regresion Q3'!$Z$6:$AB$10,2,1)*$BN27+VLOOKUP(MIN(DatosHoy[Puntos]),'Regresion Q3'!$Z$6:$AB$10,3,1))</f>
        <v>4730802.5871014483</v>
      </c>
      <c r="BX27" s="96">
        <f ca="1">DatosHoy[[#This Row],[CT Actual]]/DatosHoy[[#This Row],[CT ajus PM Md]]</f>
        <v>0.90772759422561322</v>
      </c>
      <c r="BY27" s="125" t="str">
        <f>VLOOKUP(DatosHoy[[#This Row],[Cargo Valorado]],Estadísticos[[Cargo]:[Nivel]],2,FALSE)</f>
        <v>Soporte</v>
      </c>
      <c r="BZ27" s="96">
        <f>(DatosHoy[[#This Row],[G+V Actual]]-DatosHoy[[#This Row],[G Actual]])/DatosHoy[[#This Row],[CT Actual]]</f>
        <v>0</v>
      </c>
      <c r="CA27" s="96">
        <f>(DatosHoy[[#This Row],[CT Actual]]-DatosHoy[[#This Row],[G+V Actual]])/DatosHoy[[#This Row],[CT Actual]]</f>
        <v>0</v>
      </c>
      <c r="CB27" s="139" t="s">
        <v>255</v>
      </c>
    </row>
    <row r="28" spans="2:80" x14ac:dyDescent="0.25">
      <c r="B28" s="73">
        <f t="shared" si="0"/>
        <v>23</v>
      </c>
      <c r="C28" s="74">
        <v>2828714.68</v>
      </c>
      <c r="D28" s="74">
        <v>2828714.68</v>
      </c>
      <c r="E28" s="74">
        <v>2828714.68</v>
      </c>
      <c r="F28" s="94">
        <f>VLOOKUP(DatosHoy[[#This Row],[Cargo Valorado]],Estadísticos[],3,0)</f>
        <v>1993781.0346164661</v>
      </c>
      <c r="G28" s="94">
        <f>VLOOKUP(DatosHoy[[#This Row],[Cargo Valorado]],Estadísticos[],4,0)</f>
        <v>1993781.0346164661</v>
      </c>
      <c r="H28" s="94">
        <f>VLOOKUP(DatosHoy[[#This Row],[Cargo Valorado]],Estadísticos[],5,0)</f>
        <v>2809424.3817369542</v>
      </c>
      <c r="I28" s="94">
        <f>VLOOKUP(DatosHoy[[#This Row],[Cargo Valorado]],Estadísticos[],6,0)</f>
        <v>2647560.6093187998</v>
      </c>
      <c r="J28" s="94">
        <f>VLOOKUP(DatosHoy[[#This Row],[Cargo Valorado]],Estadísticos[],7,0)</f>
        <v>2775174.6215375336</v>
      </c>
      <c r="K28" s="94">
        <f>VLOOKUP(DatosHoy[[#This Row],[Cargo Valorado]],Estadísticos[],8,0)</f>
        <v>3236364.006076064</v>
      </c>
      <c r="L28" s="94">
        <f>VLOOKUP(DatosHoy[[#This Row],[Cargo Valorado]],Estadísticos[],9,0)</f>
        <v>3423352.1999761853</v>
      </c>
      <c r="M28" s="94">
        <f>VLOOKUP(DatosHoy[[#This Row],[Cargo Valorado]],Estadísticos[],10,0)</f>
        <v>3517586.3769204821</v>
      </c>
      <c r="N28" s="94">
        <f>VLOOKUP(DatosHoy[[#This Row],[Cargo Valorado]],Estadísticos[],11,0)</f>
        <v>3719201.4552458585</v>
      </c>
      <c r="O28" s="75" t="s">
        <v>238</v>
      </c>
      <c r="P28" s="75">
        <v>204</v>
      </c>
      <c r="Q28" s="95" t="str">
        <f t="shared" si="14"/>
        <v>$P$28</v>
      </c>
      <c r="R28" s="95" t="str">
        <f t="shared" si="15"/>
        <v>$F$28</v>
      </c>
      <c r="S28" s="95" t="str">
        <f t="shared" si="16"/>
        <v>$G$28</v>
      </c>
      <c r="T28" s="95" t="str">
        <f t="shared" si="17"/>
        <v>$H$28</v>
      </c>
      <c r="U28" s="95" t="str">
        <f t="shared" si="18"/>
        <v>$I$28</v>
      </c>
      <c r="V28" s="95" t="str">
        <f t="shared" si="19"/>
        <v>$J$28</v>
      </c>
      <c r="W28" s="95" t="str">
        <f t="shared" si="20"/>
        <v>$K$28</v>
      </c>
      <c r="X28" s="95" t="str">
        <f t="shared" si="21"/>
        <v>$L$28</v>
      </c>
      <c r="Y28" s="95" t="str">
        <f t="shared" si="22"/>
        <v>$M$28</v>
      </c>
      <c r="Z28" s="95" t="str">
        <f t="shared" si="23"/>
        <v>$N$28</v>
      </c>
      <c r="AA28" s="94">
        <f ca="1">VLOOKUP($P28,'Regresion Q1'!$E$6:$I$10,4,1)*$P28+VLOOKUP($P28,'Regresion Q1'!$E$6:$I$10,5,1)</f>
        <v>2621580.8780245478</v>
      </c>
      <c r="AB28" s="94">
        <f ca="1">VLOOKUP($P28,'Regresion Q1'!$J$6:$N$10,4,1)*$P28+VLOOKUP($P28,'Regresion Q1'!$J$6:$N$10,5,1)</f>
        <v>2676409.3568804967</v>
      </c>
      <c r="AC28" s="94">
        <f ca="1">VLOOKUP($P28,'Regresion Q1'!$O$6:$S$10,4,1)*$P28+VLOOKUP($P28,'Regresion Q1'!$O$6:$S$10,5,1)</f>
        <v>2840616.8696414954</v>
      </c>
      <c r="AD28" s="94">
        <f ca="1">VLOOKUP($P28,'Regresion Md'!$E$6:$I$10,4,1)*$P28+VLOOKUP($P28,'Regresion Md'!$E$6:$I$10,5,1)</f>
        <v>2960530.7621106915</v>
      </c>
      <c r="AE28" s="94">
        <f ca="1">VLOOKUP($P28,'Regresion Md'!$J$6:$N$10,4,1)*$P28+VLOOKUP($P28,'Regresion Md'!$J$6:$N$10,5,1)</f>
        <v>3063762.481699185</v>
      </c>
      <c r="AF28" s="94">
        <f ca="1">VLOOKUP($P28,'Regresion Md'!$O$6:$S$10,4,1)*$P28+VLOOKUP($P28,'Regresion Md'!$O$6:$S$10,5,1)</f>
        <v>3272731.8663964528</v>
      </c>
      <c r="AG28" s="94">
        <f ca="1">VLOOKUP($P28,'Regresion Q3'!$E$6:$I$10,4,1)*$P28+VLOOKUP($P28,'Regresion Q3'!$E$6:$I$10,5,1)</f>
        <v>3562275.3122643773</v>
      </c>
      <c r="AH28" s="94">
        <f ca="1">VLOOKUP($P28,'Regresion Q3'!$J$6:$N$10,4,1)*$P28+VLOOKUP($P28,'Regresion Q3'!$J$6:$N$10,5,1)</f>
        <v>3622344.5112303188</v>
      </c>
      <c r="AI28" s="94">
        <f ca="1">VLOOKUP($P28,'Regresion Q3'!$O$6:$S$10,4,1)*$P28+VLOOKUP($P28,'Regresion Q3'!$O$6:$S$10,5,1)</f>
        <v>3815023.9390426353</v>
      </c>
      <c r="AJ28" s="94">
        <f ca="1">VLOOKUP($P28,'Regresion Q1'!$T$6:$V$10,2,1)*$P28+VLOOKUP($P28,'Regresion Q1'!$T$6:$V$10,3,1)</f>
        <v>2631595.9491383918</v>
      </c>
      <c r="AK28" s="94">
        <f ca="1">VLOOKUP($P28,'Regresion Q1'!$W$6:$Y$10,2,1)*$P28+VLOOKUP($P28,'Regresion Q1'!$W$6:$Y$10,3,1)</f>
        <v>2728483.3734468231</v>
      </c>
      <c r="AL28" s="94">
        <f ca="1">VLOOKUP($P28,'Regresion Q1'!$Z$6:$AB$10,2,1)*$P28+VLOOKUP($P28,'Regresion Q1'!$Z$6:$AB$10,3,1)</f>
        <v>2836502.5628276654</v>
      </c>
      <c r="AM28" s="94">
        <f ca="1">VLOOKUP($P28,'Regresion Md'!$T$6:$V$10,2,1)*$P28+VLOOKUP($P28,'Regresion Md'!$T$6:$V$10,3,1)</f>
        <v>2775642.5958777494</v>
      </c>
      <c r="AN28" s="94">
        <f ca="1">VLOOKUP($P28,'Regresion Md'!$W$6:$Y$10,2,1)*$P28+VLOOKUP($P28,'Regresion Md'!$W$6:$Y$10,3,1)</f>
        <v>2799516.6257851496</v>
      </c>
      <c r="AO28" s="94">
        <f ca="1">VLOOKUP($P28,'Regresion Md'!$Z$6:$AB$10,2,1)*$P28+VLOOKUP($P28,'Regresion Md'!$Z$6:$AB$10,3,1)</f>
        <v>2977834.5955711119</v>
      </c>
      <c r="AP28" s="94">
        <f ca="1">VLOOKUP($P28,'Regresion Q3'!$T$6:$V$10,2,1)*$P28+VLOOKUP($P28,'Regresion Q3'!$T$6:$V$10,3,1)</f>
        <v>4238995.3923338447</v>
      </c>
      <c r="AQ28" s="94">
        <f ca="1">VLOOKUP($P28,'Regresion Q3'!$W$6:$Y$10,2,1)*$P28+VLOOKUP($P28,'Regresion Q3'!$W$6:$Y$10,3,1)</f>
        <v>4361388.9273158554</v>
      </c>
      <c r="AR28" s="94">
        <f ca="1">VLOOKUP($P28,'Regresion Q3'!$Z$6:$AB$10,2,1)*$P28+VLOOKUP($P28,'Regresion Q3'!$Z$6:$AB$10,3,1)</f>
        <v>4480543.1707356181</v>
      </c>
      <c r="AS28" s="94">
        <f>IF($BN28=$BN29,-1,DatosHoy[[#This Row],[G ajus PM Q1]]-BO29)</f>
        <v>-1</v>
      </c>
      <c r="AT28" s="94">
        <f>IF($BN28=$BN29,-1,DatosHoy[[#This Row],[G+V ajus PM Q1]]-BP29)</f>
        <v>-1</v>
      </c>
      <c r="AU28" s="94">
        <f>IF($BN28=$BN29,-1,DatosHoy[[#This Row],[CT ajus PM Q1]]-BQ29)</f>
        <v>-1</v>
      </c>
      <c r="AV28" s="94">
        <f ca="1">IF(DatosHoy[[#This Row],[G ajus PM Q1]]=DatosHoy[[#This Row],[G+V ajus PM Q1]],-1,DatosHoy[[#This Row],[G ajus PM Q1]]-DatosHoy[[#This Row],[G+V ajus PM Q1]])</f>
        <v>-98272.055400899146</v>
      </c>
      <c r="AW28" s="94">
        <f ca="1">IF(DatosHoy[[#This Row],[G+V ajus PM Q1]]=DatosHoy[[#This Row],[CT ajus PM Q1]],-1,DatosHoy[[#This Row],[G+V ajus PM Q1]]-DatosHoy[[#This Row],[CT ajus PM Q1]])</f>
        <v>-113932.66861116979</v>
      </c>
      <c r="AX28" s="94">
        <f>IF($BN28=$BN29,-1,DatosHoy[[#This Row],[G ajus PMd]]-BR29)</f>
        <v>-1</v>
      </c>
      <c r="AY28" s="94">
        <f>IF($BN28=$BN29,-1,DatosHoy[[#This Row],[G+V ajus PM Md]]-BS29)</f>
        <v>-1</v>
      </c>
      <c r="AZ28" s="94">
        <f>IF($BN28=$BN29,-1,DatosHoy[[#This Row],[CT ajus PM Md]]-BT29)</f>
        <v>-1</v>
      </c>
      <c r="BA28" s="94">
        <f ca="1">IF(DatosHoy[[#This Row],[G ajus PMd]]=DatosHoy[[#This Row],[G+V ajus PM Md]],-1,DatosHoy[[#This Row],[G ajus PMd]]-DatosHoy[[#This Row],[G+V ajus PM Md]])</f>
        <v>-18022.800055224448</v>
      </c>
      <c r="BB28" s="94">
        <f ca="1">IF(DatosHoy[[#This Row],[G+V ajus PM Md]]=DatosHoy[[#This Row],[CT ajus PM Md]],-1,DatosHoy[[#This Row],[G+V ajus PM Md]]-DatosHoy[[#This Row],[CT ajus PM Md]])</f>
        <v>-193504.28037511837</v>
      </c>
      <c r="BC28" s="94">
        <f>IF($BN28=$BN29,-1,DatosHoy[[#This Row],[G ajus PM Q3]]-BU29)</f>
        <v>-1</v>
      </c>
      <c r="BD28" s="94">
        <f>IF($BN28=$BN29,-1,DatosHoy[[#This Row],[G+V ajus PM Q3]]-BV29)</f>
        <v>-1</v>
      </c>
      <c r="BE28" s="94">
        <f>IF($BN28=$BN29,-1,DatosHoy[[#This Row],[CT ajus PM Q3]]-BW29)</f>
        <v>-1</v>
      </c>
      <c r="BF28" s="94">
        <f ca="1">IF(DatosHoy[[#This Row],[G ajus PM Q3]]=DatosHoy[[#This Row],[G+V ajus PM Q3]],-1,DatosHoy[[#This Row],[G ajus PM Q3]]-DatosHoy[[#This Row],[G+V ajus PM Q3]])</f>
        <v>-128045.31318235025</v>
      </c>
      <c r="BG28" s="94">
        <f ca="1">IF(DatosHoy[[#This Row],[G+V ajus PM Q3]]=DatosHoy[[#This Row],[CT ajus PM Q3]],-1,DatosHoy[[#This Row],[G+V ajus PM Q3]]-DatosHoy[[#This Row],[CT ajus PM Q3]])</f>
        <v>-123776.96350260079</v>
      </c>
      <c r="BH28" s="94">
        <f ca="1">IF(DatosHoy[[#This Row],[G ajus PM Q1]]=DatosHoy[[#This Row],[G ajus PMd]],-1,DatosHoy[[#This Row],[G ajus PM Q1]]-DatosHoy[[#This Row],[G ajus PMd]])</f>
        <v>-143091.97112857085</v>
      </c>
      <c r="BI28" s="94">
        <f ca="1">IF(DatosHoy[[#This Row],[G+V ajus PM Q1]]=DatosHoy[[#This Row],[G+V ajus PM Md]],-1,DatosHoy[[#This Row],[G+V ajus PM Q1]]-DatosHoy[[#This Row],[G+V ajus PM Md]])</f>
        <v>-62842.71578289615</v>
      </c>
      <c r="BJ28" s="94">
        <f ca="1">IF(DatosHoy[[#This Row],[CT ajus PM Q1]]=DatosHoy[[#This Row],[CT ajus PM Md]],-1,DatosHoy[[#This Row],[CT ajus PM Q1]]-DatosHoy[[#This Row],[CT ajus PM Md]])</f>
        <v>-142414.32754684472</v>
      </c>
      <c r="BK28" s="94">
        <f ca="1">IF(DatosHoy[[#This Row],[G ajus PMd]]=DatosHoy[[#This Row],[G ajus PM Q3]],-1,DatosHoy[[#This Row],[G ajus PMd]]-DatosHoy[[#This Row],[G ajus PM Q3]])</f>
        <v>-1574247.9557536608</v>
      </c>
      <c r="BL28" s="94">
        <f ca="1">IF(DatosHoy[[#This Row],[G+V ajus PM Md]]=DatosHoy[[#This Row],[G+V ajus PM Q3]],-1,DatosHoy[[#This Row],[G+V ajus PM Md]]-DatosHoy[[#This Row],[G+V ajus PM Q3]])</f>
        <v>-1684270.4688807866</v>
      </c>
      <c r="BM28" s="94">
        <f ca="1">IF(DatosHoy[[#This Row],[CT ajus PM Md]]=DatosHoy[[#This Row],[CT ajus PM Q3]],-1,DatosHoy[[#This Row],[CT ajus PM Md]]-DatosHoy[[#This Row],[CT ajus PM Q3]])</f>
        <v>-1614543.152008269</v>
      </c>
      <c r="BN28" s="74">
        <v>217</v>
      </c>
      <c r="BO28" s="94">
        <f ca="1">IFERROR(VLOOKUP($BN28,'Regresion Q1'!$T$6:$V$10,2,1)*$BN28+VLOOKUP($BN28,'Regresion Q1'!$T$6:$V$10,3,1),VLOOKUP(MIN(DatosHoy[Puntos]),'Regresion Q1'!$T$6:$V$10,2,1)*$BN28+VLOOKUP(MIN(DatosHoy[Puntos]),'Regresion Q1'!$T$6:$V$10,3,1))</f>
        <v>2761640.3835342657</v>
      </c>
      <c r="BP28" s="94">
        <f ca="1">IFERROR(VLOOKUP($BN28,'Regresion Q1'!$W$6:$Y$10,2,1)*$BN28+VLOOKUP($BN28,'Regresion Q1'!$W$6:$Y$10,3,1),VLOOKUP(MIN(DatosHoy[Puntos]),'Regresion Q1'!$W$6:$Y$10,2,1)*$BN28+VLOOKUP(MIN(DatosHoy[Puntos]),'Regresion Q1'!$W$6:$Y$10,3,1))</f>
        <v>2859912.4389351648</v>
      </c>
      <c r="BQ28" s="94">
        <f ca="1">IFERROR(VLOOKUP($BN28,'Regresion Q1'!$Z$6:$AB$10,2,1)*$BN28+VLOOKUP($BN28,'Regresion Q1'!$Z$6:$AB$10,3,1),VLOOKUP(MIN(DatosHoy[Puntos]),'Regresion Q1'!$Z$6:$AB$10,2,1)*$BN28+VLOOKUP(MIN(DatosHoy[Puntos]),'Regresion Q1'!$Z$6:$AB$10,3,1))</f>
        <v>2973845.1075463346</v>
      </c>
      <c r="BR28" s="94">
        <f ca="1">IFERROR(VLOOKUP($BN28,'Regresion Md'!$T$6:$V$10,2,1)*$BN28+VLOOKUP($BN28,'Regresion Md'!$T$6:$V$10,3,1),VLOOKUP(MIN(DatosHoy[Puntos]),'Regresion Md'!$T$6:$V$10,2,1)*$BN28+VLOOKUP(MIN(DatosHoy[Puntos]),'Regresion Md'!$T$6:$V$10,3,1))</f>
        <v>2904732.3546628365</v>
      </c>
      <c r="BS28" s="94">
        <f ca="1">IFERROR(VLOOKUP($BN28,'Regresion Md'!$W$6:$Y$10,2,1)*$BN28+VLOOKUP($BN28,'Regresion Md'!$W$6:$Y$10,3,1),VLOOKUP(MIN(DatosHoy[Puntos]),'Regresion Md'!$W$6:$Y$10,2,1)*$BN28+VLOOKUP(MIN(DatosHoy[Puntos]),'Regresion Md'!$W$6:$Y$10,3,1))</f>
        <v>2922755.154718061</v>
      </c>
      <c r="BT28" s="94">
        <f ca="1">IFERROR(VLOOKUP($BN28,'Regresion Md'!$Z$6:$AB$10,2,1)*$BN28+VLOOKUP($BN28,'Regresion Md'!$Z$6:$AB$10,3,1),VLOOKUP(MIN(DatosHoy[Puntos]),'Regresion Md'!$Z$6:$AB$10,2,1)*$BN28+VLOOKUP(MIN(DatosHoy[Puntos]),'Regresion Md'!$Z$6:$AB$10,3,1))</f>
        <v>3116259.4350931793</v>
      </c>
      <c r="BU28" s="94">
        <f ca="1">IFERROR(VLOOKUP($BN28,'Regresion Q3'!$T$6:$V$10,2,1)*$BN28+VLOOKUP($BN28,'Regresion Q3'!$T$6:$V$10,3,1),VLOOKUP(MIN(DatosHoy[Puntos]),'Regresion Q3'!$T$6:$V$10,2,1)*$BN28+VLOOKUP(MIN(DatosHoy[Puntos]),'Regresion Q3'!$T$6:$V$10,3,1))</f>
        <v>4478980.3104164973</v>
      </c>
      <c r="BV28" s="94">
        <f ca="1">IFERROR(VLOOKUP($BN28,'Regresion Q3'!$W$6:$Y$10,2,1)*$BN28+VLOOKUP($BN28,'Regresion Q3'!$W$6:$Y$10,3,1),VLOOKUP(MIN(DatosHoy[Puntos]),'Regresion Q3'!$W$6:$Y$10,2,1)*$BN28+VLOOKUP(MIN(DatosHoy[Puntos]),'Regresion Q3'!$W$6:$Y$10,3,1))</f>
        <v>4607025.6235988475</v>
      </c>
      <c r="BW28" s="94">
        <f ca="1">IFERROR(VLOOKUP($BN28,'Regresion Q3'!$Z$6:$AB$10,2,1)*$BN28+VLOOKUP($BN28,'Regresion Q3'!$Z$6:$AB$10,3,1),VLOOKUP(MIN(DatosHoy[Puntos]),'Regresion Q3'!$Z$6:$AB$10,2,1)*$BN28+VLOOKUP(MIN(DatosHoy[Puntos]),'Regresion Q3'!$Z$6:$AB$10,3,1))</f>
        <v>4730802.5871014483</v>
      </c>
      <c r="BX28" s="96">
        <f ca="1">DatosHoy[[#This Row],[CT Actual]]/DatosHoy[[#This Row],[CT ajus PM Md]]</f>
        <v>0.90772759422561322</v>
      </c>
      <c r="BY28" s="125" t="str">
        <f>VLOOKUP(DatosHoy[[#This Row],[Cargo Valorado]],Estadísticos[[Cargo]:[Nivel]],2,FALSE)</f>
        <v>Soporte</v>
      </c>
      <c r="BZ28" s="96">
        <f>(DatosHoy[[#This Row],[G+V Actual]]-DatosHoy[[#This Row],[G Actual]])/DatosHoy[[#This Row],[CT Actual]]</f>
        <v>0</v>
      </c>
      <c r="CA28" s="96">
        <f>(DatosHoy[[#This Row],[CT Actual]]-DatosHoy[[#This Row],[G+V Actual]])/DatosHoy[[#This Row],[CT Actual]]</f>
        <v>0</v>
      </c>
      <c r="CB28" s="139" t="s">
        <v>255</v>
      </c>
    </row>
    <row r="29" spans="2:80" x14ac:dyDescent="0.25">
      <c r="B29" s="73">
        <f t="shared" si="0"/>
        <v>24</v>
      </c>
      <c r="C29" s="74">
        <v>2828714.68</v>
      </c>
      <c r="D29" s="74">
        <v>2828714.68</v>
      </c>
      <c r="E29" s="74">
        <v>2828714.68</v>
      </c>
      <c r="F29" s="94">
        <f>VLOOKUP(DatosHoy[[#This Row],[Cargo Valorado]],Estadísticos[],3,0)</f>
        <v>1993781.0346164661</v>
      </c>
      <c r="G29" s="94">
        <f>VLOOKUP(DatosHoy[[#This Row],[Cargo Valorado]],Estadísticos[],4,0)</f>
        <v>1993781.0346164661</v>
      </c>
      <c r="H29" s="94">
        <f>VLOOKUP(DatosHoy[[#This Row],[Cargo Valorado]],Estadísticos[],5,0)</f>
        <v>2809424.3817369542</v>
      </c>
      <c r="I29" s="94">
        <f>VLOOKUP(DatosHoy[[#This Row],[Cargo Valorado]],Estadísticos[],6,0)</f>
        <v>2647560.6093187998</v>
      </c>
      <c r="J29" s="94">
        <f>VLOOKUP(DatosHoy[[#This Row],[Cargo Valorado]],Estadísticos[],7,0)</f>
        <v>2775174.6215375336</v>
      </c>
      <c r="K29" s="94">
        <f>VLOOKUP(DatosHoy[[#This Row],[Cargo Valorado]],Estadísticos[],8,0)</f>
        <v>3236364.006076064</v>
      </c>
      <c r="L29" s="94">
        <f>VLOOKUP(DatosHoy[[#This Row],[Cargo Valorado]],Estadísticos[],9,0)</f>
        <v>3423352.1999761853</v>
      </c>
      <c r="M29" s="94">
        <f>VLOOKUP(DatosHoy[[#This Row],[Cargo Valorado]],Estadísticos[],10,0)</f>
        <v>3517586.3769204821</v>
      </c>
      <c r="N29" s="94">
        <f>VLOOKUP(DatosHoy[[#This Row],[Cargo Valorado]],Estadísticos[],11,0)</f>
        <v>3719201.4552458585</v>
      </c>
      <c r="O29" s="75" t="s">
        <v>238</v>
      </c>
      <c r="P29" s="75">
        <v>204</v>
      </c>
      <c r="Q29" s="95" t="str">
        <f t="shared" si="14"/>
        <v>$P$29</v>
      </c>
      <c r="R29" s="95" t="str">
        <f t="shared" si="15"/>
        <v>$F$29</v>
      </c>
      <c r="S29" s="95" t="str">
        <f t="shared" si="16"/>
        <v>$G$29</v>
      </c>
      <c r="T29" s="95" t="str">
        <f t="shared" si="17"/>
        <v>$H$29</v>
      </c>
      <c r="U29" s="95" t="str">
        <f t="shared" si="18"/>
        <v>$I$29</v>
      </c>
      <c r="V29" s="95" t="str">
        <f t="shared" si="19"/>
        <v>$J$29</v>
      </c>
      <c r="W29" s="95" t="str">
        <f t="shared" si="20"/>
        <v>$K$29</v>
      </c>
      <c r="X29" s="95" t="str">
        <f t="shared" si="21"/>
        <v>$L$29</v>
      </c>
      <c r="Y29" s="95" t="str">
        <f t="shared" si="22"/>
        <v>$M$29</v>
      </c>
      <c r="Z29" s="95" t="str">
        <f t="shared" si="23"/>
        <v>$N$29</v>
      </c>
      <c r="AA29" s="94">
        <f ca="1">VLOOKUP($P29,'Regresion Q1'!$E$6:$I$10,4,1)*$P29+VLOOKUP($P29,'Regresion Q1'!$E$6:$I$10,5,1)</f>
        <v>2621580.8780245478</v>
      </c>
      <c r="AB29" s="94">
        <f ca="1">VLOOKUP($P29,'Regresion Q1'!$J$6:$N$10,4,1)*$P29+VLOOKUP($P29,'Regresion Q1'!$J$6:$N$10,5,1)</f>
        <v>2676409.3568804967</v>
      </c>
      <c r="AC29" s="94">
        <f ca="1">VLOOKUP($P29,'Regresion Q1'!$O$6:$S$10,4,1)*$P29+VLOOKUP($P29,'Regresion Q1'!$O$6:$S$10,5,1)</f>
        <v>2840616.8696414954</v>
      </c>
      <c r="AD29" s="94">
        <f ca="1">VLOOKUP($P29,'Regresion Md'!$E$6:$I$10,4,1)*$P29+VLOOKUP($P29,'Regresion Md'!$E$6:$I$10,5,1)</f>
        <v>2960530.7621106915</v>
      </c>
      <c r="AE29" s="94">
        <f ca="1">VLOOKUP($P29,'Regresion Md'!$J$6:$N$10,4,1)*$P29+VLOOKUP($P29,'Regresion Md'!$J$6:$N$10,5,1)</f>
        <v>3063762.481699185</v>
      </c>
      <c r="AF29" s="94">
        <f ca="1">VLOOKUP($P29,'Regresion Md'!$O$6:$S$10,4,1)*$P29+VLOOKUP($P29,'Regresion Md'!$O$6:$S$10,5,1)</f>
        <v>3272731.8663964528</v>
      </c>
      <c r="AG29" s="94">
        <f ca="1">VLOOKUP($P29,'Regresion Q3'!$E$6:$I$10,4,1)*$P29+VLOOKUP($P29,'Regresion Q3'!$E$6:$I$10,5,1)</f>
        <v>3562275.3122643773</v>
      </c>
      <c r="AH29" s="94">
        <f ca="1">VLOOKUP($P29,'Regresion Q3'!$J$6:$N$10,4,1)*$P29+VLOOKUP($P29,'Regresion Q3'!$J$6:$N$10,5,1)</f>
        <v>3622344.5112303188</v>
      </c>
      <c r="AI29" s="94">
        <f ca="1">VLOOKUP($P29,'Regresion Q3'!$O$6:$S$10,4,1)*$P29+VLOOKUP($P29,'Regresion Q3'!$O$6:$S$10,5,1)</f>
        <v>3815023.9390426353</v>
      </c>
      <c r="AJ29" s="94">
        <f ca="1">VLOOKUP($P29,'Regresion Q1'!$T$6:$V$10,2,1)*$P29+VLOOKUP($P29,'Regresion Q1'!$T$6:$V$10,3,1)</f>
        <v>2631595.9491383918</v>
      </c>
      <c r="AK29" s="94">
        <f ca="1">VLOOKUP($P29,'Regresion Q1'!$W$6:$Y$10,2,1)*$P29+VLOOKUP($P29,'Regresion Q1'!$W$6:$Y$10,3,1)</f>
        <v>2728483.3734468231</v>
      </c>
      <c r="AL29" s="94">
        <f ca="1">VLOOKUP($P29,'Regresion Q1'!$Z$6:$AB$10,2,1)*$P29+VLOOKUP($P29,'Regresion Q1'!$Z$6:$AB$10,3,1)</f>
        <v>2836502.5628276654</v>
      </c>
      <c r="AM29" s="94">
        <f ca="1">VLOOKUP($P29,'Regresion Md'!$T$6:$V$10,2,1)*$P29+VLOOKUP($P29,'Regresion Md'!$T$6:$V$10,3,1)</f>
        <v>2775642.5958777494</v>
      </c>
      <c r="AN29" s="94">
        <f ca="1">VLOOKUP($P29,'Regresion Md'!$W$6:$Y$10,2,1)*$P29+VLOOKUP($P29,'Regresion Md'!$W$6:$Y$10,3,1)</f>
        <v>2799516.6257851496</v>
      </c>
      <c r="AO29" s="94">
        <f ca="1">VLOOKUP($P29,'Regresion Md'!$Z$6:$AB$10,2,1)*$P29+VLOOKUP($P29,'Regresion Md'!$Z$6:$AB$10,3,1)</f>
        <v>2977834.5955711119</v>
      </c>
      <c r="AP29" s="94">
        <f ca="1">VLOOKUP($P29,'Regresion Q3'!$T$6:$V$10,2,1)*$P29+VLOOKUP($P29,'Regresion Q3'!$T$6:$V$10,3,1)</f>
        <v>4238995.3923338447</v>
      </c>
      <c r="AQ29" s="94">
        <f ca="1">VLOOKUP($P29,'Regresion Q3'!$W$6:$Y$10,2,1)*$P29+VLOOKUP($P29,'Regresion Q3'!$W$6:$Y$10,3,1)</f>
        <v>4361388.9273158554</v>
      </c>
      <c r="AR29" s="94">
        <f ca="1">VLOOKUP($P29,'Regresion Q3'!$Z$6:$AB$10,2,1)*$P29+VLOOKUP($P29,'Regresion Q3'!$Z$6:$AB$10,3,1)</f>
        <v>4480543.1707356181</v>
      </c>
      <c r="AS29" s="94">
        <f>IF($BN29=$BN30,-1,DatosHoy[[#This Row],[G ajus PM Q1]]-BO30)</f>
        <v>-1</v>
      </c>
      <c r="AT29" s="94">
        <f>IF($BN29=$BN30,-1,DatosHoy[[#This Row],[G+V ajus PM Q1]]-BP30)</f>
        <v>-1</v>
      </c>
      <c r="AU29" s="94">
        <f>IF($BN29=$BN30,-1,DatosHoy[[#This Row],[CT ajus PM Q1]]-BQ30)</f>
        <v>-1</v>
      </c>
      <c r="AV29" s="94">
        <f ca="1">IF(DatosHoy[[#This Row],[G ajus PM Q1]]=DatosHoy[[#This Row],[G+V ajus PM Q1]],-1,DatosHoy[[#This Row],[G ajus PM Q1]]-DatosHoy[[#This Row],[G+V ajus PM Q1]])</f>
        <v>-98272.055400899146</v>
      </c>
      <c r="AW29" s="94">
        <f ca="1">IF(DatosHoy[[#This Row],[G+V ajus PM Q1]]=DatosHoy[[#This Row],[CT ajus PM Q1]],-1,DatosHoy[[#This Row],[G+V ajus PM Q1]]-DatosHoy[[#This Row],[CT ajus PM Q1]])</f>
        <v>-113932.66861116979</v>
      </c>
      <c r="AX29" s="94">
        <f>IF($BN29=$BN30,-1,DatosHoy[[#This Row],[G ajus PMd]]-BR30)</f>
        <v>-1</v>
      </c>
      <c r="AY29" s="94">
        <f>IF($BN29=$BN30,-1,DatosHoy[[#This Row],[G+V ajus PM Md]]-BS30)</f>
        <v>-1</v>
      </c>
      <c r="AZ29" s="94">
        <f>IF($BN29=$BN30,-1,DatosHoy[[#This Row],[CT ajus PM Md]]-BT30)</f>
        <v>-1</v>
      </c>
      <c r="BA29" s="94">
        <f ca="1">IF(DatosHoy[[#This Row],[G ajus PMd]]=DatosHoy[[#This Row],[G+V ajus PM Md]],-1,DatosHoy[[#This Row],[G ajus PMd]]-DatosHoy[[#This Row],[G+V ajus PM Md]])</f>
        <v>-18022.800055224448</v>
      </c>
      <c r="BB29" s="94">
        <f ca="1">IF(DatosHoy[[#This Row],[G+V ajus PM Md]]=DatosHoy[[#This Row],[CT ajus PM Md]],-1,DatosHoy[[#This Row],[G+V ajus PM Md]]-DatosHoy[[#This Row],[CT ajus PM Md]])</f>
        <v>-193504.28037511837</v>
      </c>
      <c r="BC29" s="94">
        <f>IF($BN29=$BN30,-1,DatosHoy[[#This Row],[G ajus PM Q3]]-BU30)</f>
        <v>-1</v>
      </c>
      <c r="BD29" s="94">
        <f>IF($BN29=$BN30,-1,DatosHoy[[#This Row],[G+V ajus PM Q3]]-BV30)</f>
        <v>-1</v>
      </c>
      <c r="BE29" s="94">
        <f>IF($BN29=$BN30,-1,DatosHoy[[#This Row],[CT ajus PM Q3]]-BW30)</f>
        <v>-1</v>
      </c>
      <c r="BF29" s="94">
        <f ca="1">IF(DatosHoy[[#This Row],[G ajus PM Q3]]=DatosHoy[[#This Row],[G+V ajus PM Q3]],-1,DatosHoy[[#This Row],[G ajus PM Q3]]-DatosHoy[[#This Row],[G+V ajus PM Q3]])</f>
        <v>-128045.31318235025</v>
      </c>
      <c r="BG29" s="94">
        <f ca="1">IF(DatosHoy[[#This Row],[G+V ajus PM Q3]]=DatosHoy[[#This Row],[CT ajus PM Q3]],-1,DatosHoy[[#This Row],[G+V ajus PM Q3]]-DatosHoy[[#This Row],[CT ajus PM Q3]])</f>
        <v>-123776.96350260079</v>
      </c>
      <c r="BH29" s="94">
        <f ca="1">IF(DatosHoy[[#This Row],[G ajus PM Q1]]=DatosHoy[[#This Row],[G ajus PMd]],-1,DatosHoy[[#This Row],[G ajus PM Q1]]-DatosHoy[[#This Row],[G ajus PMd]])</f>
        <v>-143091.97112857085</v>
      </c>
      <c r="BI29" s="94">
        <f ca="1">IF(DatosHoy[[#This Row],[G+V ajus PM Q1]]=DatosHoy[[#This Row],[G+V ajus PM Md]],-1,DatosHoy[[#This Row],[G+V ajus PM Q1]]-DatosHoy[[#This Row],[G+V ajus PM Md]])</f>
        <v>-62842.71578289615</v>
      </c>
      <c r="BJ29" s="94">
        <f ca="1">IF(DatosHoy[[#This Row],[CT ajus PM Q1]]=DatosHoy[[#This Row],[CT ajus PM Md]],-1,DatosHoy[[#This Row],[CT ajus PM Q1]]-DatosHoy[[#This Row],[CT ajus PM Md]])</f>
        <v>-142414.32754684472</v>
      </c>
      <c r="BK29" s="94">
        <f ca="1">IF(DatosHoy[[#This Row],[G ajus PMd]]=DatosHoy[[#This Row],[G ajus PM Q3]],-1,DatosHoy[[#This Row],[G ajus PMd]]-DatosHoy[[#This Row],[G ajus PM Q3]])</f>
        <v>-1574247.9557536608</v>
      </c>
      <c r="BL29" s="94">
        <f ca="1">IF(DatosHoy[[#This Row],[G+V ajus PM Md]]=DatosHoy[[#This Row],[G+V ajus PM Q3]],-1,DatosHoy[[#This Row],[G+V ajus PM Md]]-DatosHoy[[#This Row],[G+V ajus PM Q3]])</f>
        <v>-1684270.4688807866</v>
      </c>
      <c r="BM29" s="94">
        <f ca="1">IF(DatosHoy[[#This Row],[CT ajus PM Md]]=DatosHoy[[#This Row],[CT ajus PM Q3]],-1,DatosHoy[[#This Row],[CT ajus PM Md]]-DatosHoy[[#This Row],[CT ajus PM Q3]])</f>
        <v>-1614543.152008269</v>
      </c>
      <c r="BN29" s="74">
        <v>217</v>
      </c>
      <c r="BO29" s="94">
        <f ca="1">IFERROR(VLOOKUP($BN29,'Regresion Q1'!$T$6:$V$10,2,1)*$BN29+VLOOKUP($BN29,'Regresion Q1'!$T$6:$V$10,3,1),VLOOKUP(MIN(DatosHoy[Puntos]),'Regresion Q1'!$T$6:$V$10,2,1)*$BN29+VLOOKUP(MIN(DatosHoy[Puntos]),'Regresion Q1'!$T$6:$V$10,3,1))</f>
        <v>2761640.3835342657</v>
      </c>
      <c r="BP29" s="94">
        <f ca="1">IFERROR(VLOOKUP($BN29,'Regresion Q1'!$W$6:$Y$10,2,1)*$BN29+VLOOKUP($BN29,'Regresion Q1'!$W$6:$Y$10,3,1),VLOOKUP(MIN(DatosHoy[Puntos]),'Regresion Q1'!$W$6:$Y$10,2,1)*$BN29+VLOOKUP(MIN(DatosHoy[Puntos]),'Regresion Q1'!$W$6:$Y$10,3,1))</f>
        <v>2859912.4389351648</v>
      </c>
      <c r="BQ29" s="94">
        <f ca="1">IFERROR(VLOOKUP($BN29,'Regresion Q1'!$Z$6:$AB$10,2,1)*$BN29+VLOOKUP($BN29,'Regresion Q1'!$Z$6:$AB$10,3,1),VLOOKUP(MIN(DatosHoy[Puntos]),'Regresion Q1'!$Z$6:$AB$10,2,1)*$BN29+VLOOKUP(MIN(DatosHoy[Puntos]),'Regresion Q1'!$Z$6:$AB$10,3,1))</f>
        <v>2973845.1075463346</v>
      </c>
      <c r="BR29" s="94">
        <f ca="1">IFERROR(VLOOKUP($BN29,'Regresion Md'!$T$6:$V$10,2,1)*$BN29+VLOOKUP($BN29,'Regresion Md'!$T$6:$V$10,3,1),VLOOKUP(MIN(DatosHoy[Puntos]),'Regresion Md'!$T$6:$V$10,2,1)*$BN29+VLOOKUP(MIN(DatosHoy[Puntos]),'Regresion Md'!$T$6:$V$10,3,1))</f>
        <v>2904732.3546628365</v>
      </c>
      <c r="BS29" s="94">
        <f ca="1">IFERROR(VLOOKUP($BN29,'Regresion Md'!$W$6:$Y$10,2,1)*$BN29+VLOOKUP($BN29,'Regresion Md'!$W$6:$Y$10,3,1),VLOOKUP(MIN(DatosHoy[Puntos]),'Regresion Md'!$W$6:$Y$10,2,1)*$BN29+VLOOKUP(MIN(DatosHoy[Puntos]),'Regresion Md'!$W$6:$Y$10,3,1))</f>
        <v>2922755.154718061</v>
      </c>
      <c r="BT29" s="94">
        <f ca="1">IFERROR(VLOOKUP($BN29,'Regresion Md'!$Z$6:$AB$10,2,1)*$BN29+VLOOKUP($BN29,'Regresion Md'!$Z$6:$AB$10,3,1),VLOOKUP(MIN(DatosHoy[Puntos]),'Regresion Md'!$Z$6:$AB$10,2,1)*$BN29+VLOOKUP(MIN(DatosHoy[Puntos]),'Regresion Md'!$Z$6:$AB$10,3,1))</f>
        <v>3116259.4350931793</v>
      </c>
      <c r="BU29" s="94">
        <f ca="1">IFERROR(VLOOKUP($BN29,'Regresion Q3'!$T$6:$V$10,2,1)*$BN29+VLOOKUP($BN29,'Regresion Q3'!$T$6:$V$10,3,1),VLOOKUP(MIN(DatosHoy[Puntos]),'Regresion Q3'!$T$6:$V$10,2,1)*$BN29+VLOOKUP(MIN(DatosHoy[Puntos]),'Regresion Q3'!$T$6:$V$10,3,1))</f>
        <v>4478980.3104164973</v>
      </c>
      <c r="BV29" s="94">
        <f ca="1">IFERROR(VLOOKUP($BN29,'Regresion Q3'!$W$6:$Y$10,2,1)*$BN29+VLOOKUP($BN29,'Regresion Q3'!$W$6:$Y$10,3,1),VLOOKUP(MIN(DatosHoy[Puntos]),'Regresion Q3'!$W$6:$Y$10,2,1)*$BN29+VLOOKUP(MIN(DatosHoy[Puntos]),'Regresion Q3'!$W$6:$Y$10,3,1))</f>
        <v>4607025.6235988475</v>
      </c>
      <c r="BW29" s="94">
        <f ca="1">IFERROR(VLOOKUP($BN29,'Regresion Q3'!$Z$6:$AB$10,2,1)*$BN29+VLOOKUP($BN29,'Regresion Q3'!$Z$6:$AB$10,3,1),VLOOKUP(MIN(DatosHoy[Puntos]),'Regresion Q3'!$Z$6:$AB$10,2,1)*$BN29+VLOOKUP(MIN(DatosHoy[Puntos]),'Regresion Q3'!$Z$6:$AB$10,3,1))</f>
        <v>4730802.5871014483</v>
      </c>
      <c r="BX29" s="96">
        <f ca="1">DatosHoy[[#This Row],[CT Actual]]/DatosHoy[[#This Row],[CT ajus PM Md]]</f>
        <v>0.90772759422561322</v>
      </c>
      <c r="BY29" s="125" t="str">
        <f>VLOOKUP(DatosHoy[[#This Row],[Cargo Valorado]],Estadísticos[[Cargo]:[Nivel]],2,FALSE)</f>
        <v>Soporte</v>
      </c>
      <c r="BZ29" s="96">
        <f>(DatosHoy[[#This Row],[G+V Actual]]-DatosHoy[[#This Row],[G Actual]])/DatosHoy[[#This Row],[CT Actual]]</f>
        <v>0</v>
      </c>
      <c r="CA29" s="96">
        <f>(DatosHoy[[#This Row],[CT Actual]]-DatosHoy[[#This Row],[G+V Actual]])/DatosHoy[[#This Row],[CT Actual]]</f>
        <v>0</v>
      </c>
      <c r="CB29" s="139" t="s">
        <v>255</v>
      </c>
    </row>
    <row r="30" spans="2:80" x14ac:dyDescent="0.25">
      <c r="B30" s="73">
        <f t="shared" si="0"/>
        <v>25</v>
      </c>
      <c r="C30" s="74">
        <v>2295683.1700000004</v>
      </c>
      <c r="D30" s="74">
        <v>2295683.1700000004</v>
      </c>
      <c r="E30" s="74">
        <v>2295683.1700000004</v>
      </c>
      <c r="F30" s="94">
        <f>VLOOKUP(DatosHoy[[#This Row],[Cargo Valorado]],Estadísticos[],3,0)</f>
        <v>3711718.1983558233</v>
      </c>
      <c r="G30" s="94">
        <f>VLOOKUP(DatosHoy[[#This Row],[Cargo Valorado]],Estadísticos[],4,0)</f>
        <v>3711718.1983558233</v>
      </c>
      <c r="H30" s="94">
        <f>VLOOKUP(DatosHoy[[#This Row],[Cargo Valorado]],Estadísticos[],5,0)</f>
        <v>3808702.0957755586</v>
      </c>
      <c r="I30" s="94">
        <f>VLOOKUP(DatosHoy[[#This Row],[Cargo Valorado]],Estadísticos[],6,0)</f>
        <v>3711718.1983558233</v>
      </c>
      <c r="J30" s="94">
        <f>VLOOKUP(DatosHoy[[#This Row],[Cargo Valorado]],Estadísticos[],7,0)</f>
        <v>3711718.1983558233</v>
      </c>
      <c r="K30" s="94">
        <f>VLOOKUP(DatosHoy[[#This Row],[Cargo Valorado]],Estadísticos[],8,0)</f>
        <v>3808702.0957755586</v>
      </c>
      <c r="L30" s="94">
        <f>VLOOKUP(DatosHoy[[#This Row],[Cargo Valorado]],Estadísticos[],9,0)</f>
        <v>3711718.1983558233</v>
      </c>
      <c r="M30" s="94">
        <f>VLOOKUP(DatosHoy[[#This Row],[Cargo Valorado]],Estadísticos[],10,0)</f>
        <v>3711718.1983558233</v>
      </c>
      <c r="N30" s="94">
        <f>VLOOKUP(DatosHoy[[#This Row],[Cargo Valorado]],Estadísticos[],11,0)</f>
        <v>3808702.0957755586</v>
      </c>
      <c r="O30" s="75" t="s">
        <v>239</v>
      </c>
      <c r="P30" s="75">
        <v>204</v>
      </c>
      <c r="Q30" s="95" t="str">
        <f t="shared" si="14"/>
        <v>$P$30</v>
      </c>
      <c r="R30" s="95" t="str">
        <f t="shared" si="15"/>
        <v>$F$30</v>
      </c>
      <c r="S30" s="95" t="str">
        <f t="shared" si="16"/>
        <v>$G$30</v>
      </c>
      <c r="T30" s="95" t="str">
        <f t="shared" si="17"/>
        <v>$H$30</v>
      </c>
      <c r="U30" s="95" t="str">
        <f t="shared" si="18"/>
        <v>$I$30</v>
      </c>
      <c r="V30" s="95" t="str">
        <f t="shared" si="19"/>
        <v>$J$30</v>
      </c>
      <c r="W30" s="95" t="str">
        <f t="shared" si="20"/>
        <v>$K$30</v>
      </c>
      <c r="X30" s="95" t="str">
        <f t="shared" si="21"/>
        <v>$L$30</v>
      </c>
      <c r="Y30" s="95" t="str">
        <f t="shared" si="22"/>
        <v>$M$30</v>
      </c>
      <c r="Z30" s="95" t="str">
        <f t="shared" si="23"/>
        <v>$N$30</v>
      </c>
      <c r="AA30" s="94">
        <f ca="1">VLOOKUP($P30,'Regresion Q1'!$E$6:$I$10,4,1)*$P30+VLOOKUP($P30,'Regresion Q1'!$E$6:$I$10,5,1)</f>
        <v>2621580.8780245478</v>
      </c>
      <c r="AB30" s="94">
        <f ca="1">VLOOKUP($P30,'Regresion Q1'!$J$6:$N$10,4,1)*$P30+VLOOKUP($P30,'Regresion Q1'!$J$6:$N$10,5,1)</f>
        <v>2676409.3568804967</v>
      </c>
      <c r="AC30" s="94">
        <f ca="1">VLOOKUP($P30,'Regresion Q1'!$O$6:$S$10,4,1)*$P30+VLOOKUP($P30,'Regresion Q1'!$O$6:$S$10,5,1)</f>
        <v>2840616.8696414954</v>
      </c>
      <c r="AD30" s="94">
        <f ca="1">VLOOKUP($P30,'Regresion Md'!$E$6:$I$10,4,1)*$P30+VLOOKUP($P30,'Regresion Md'!$E$6:$I$10,5,1)</f>
        <v>2960530.7621106915</v>
      </c>
      <c r="AE30" s="94">
        <f ca="1">VLOOKUP($P30,'Regresion Md'!$J$6:$N$10,4,1)*$P30+VLOOKUP($P30,'Regresion Md'!$J$6:$N$10,5,1)</f>
        <v>3063762.481699185</v>
      </c>
      <c r="AF30" s="94">
        <f ca="1">VLOOKUP($P30,'Regresion Md'!$O$6:$S$10,4,1)*$P30+VLOOKUP($P30,'Regresion Md'!$O$6:$S$10,5,1)</f>
        <v>3272731.8663964528</v>
      </c>
      <c r="AG30" s="94">
        <f ca="1">VLOOKUP($P30,'Regresion Q3'!$E$6:$I$10,4,1)*$P30+VLOOKUP($P30,'Regresion Q3'!$E$6:$I$10,5,1)</f>
        <v>3562275.3122643773</v>
      </c>
      <c r="AH30" s="94">
        <f ca="1">VLOOKUP($P30,'Regresion Q3'!$J$6:$N$10,4,1)*$P30+VLOOKUP($P30,'Regresion Q3'!$J$6:$N$10,5,1)</f>
        <v>3622344.5112303188</v>
      </c>
      <c r="AI30" s="94">
        <f ca="1">VLOOKUP($P30,'Regresion Q3'!$O$6:$S$10,4,1)*$P30+VLOOKUP($P30,'Regresion Q3'!$O$6:$S$10,5,1)</f>
        <v>3815023.9390426353</v>
      </c>
      <c r="AJ30" s="94">
        <f ca="1">VLOOKUP($P30,'Regresion Q1'!$T$6:$V$10,2,1)*$P30+VLOOKUP($P30,'Regresion Q1'!$T$6:$V$10,3,1)</f>
        <v>2631595.9491383918</v>
      </c>
      <c r="AK30" s="94">
        <f ca="1">VLOOKUP($P30,'Regresion Q1'!$W$6:$Y$10,2,1)*$P30+VLOOKUP($P30,'Regresion Q1'!$W$6:$Y$10,3,1)</f>
        <v>2728483.3734468231</v>
      </c>
      <c r="AL30" s="94">
        <f ca="1">VLOOKUP($P30,'Regresion Q1'!$Z$6:$AB$10,2,1)*$P30+VLOOKUP($P30,'Regresion Q1'!$Z$6:$AB$10,3,1)</f>
        <v>2836502.5628276654</v>
      </c>
      <c r="AM30" s="94">
        <f ca="1">VLOOKUP($P30,'Regresion Md'!$T$6:$V$10,2,1)*$P30+VLOOKUP($P30,'Regresion Md'!$T$6:$V$10,3,1)</f>
        <v>2775642.5958777494</v>
      </c>
      <c r="AN30" s="94">
        <f ca="1">VLOOKUP($P30,'Regresion Md'!$W$6:$Y$10,2,1)*$P30+VLOOKUP($P30,'Regresion Md'!$W$6:$Y$10,3,1)</f>
        <v>2799516.6257851496</v>
      </c>
      <c r="AO30" s="94">
        <f ca="1">VLOOKUP($P30,'Regresion Md'!$Z$6:$AB$10,2,1)*$P30+VLOOKUP($P30,'Regresion Md'!$Z$6:$AB$10,3,1)</f>
        <v>2977834.5955711119</v>
      </c>
      <c r="AP30" s="94">
        <f ca="1">VLOOKUP($P30,'Regresion Q3'!$T$6:$V$10,2,1)*$P30+VLOOKUP($P30,'Regresion Q3'!$T$6:$V$10,3,1)</f>
        <v>4238995.3923338447</v>
      </c>
      <c r="AQ30" s="94">
        <f ca="1">VLOOKUP($P30,'Regresion Q3'!$W$6:$Y$10,2,1)*$P30+VLOOKUP($P30,'Regresion Q3'!$W$6:$Y$10,3,1)</f>
        <v>4361388.9273158554</v>
      </c>
      <c r="AR30" s="94">
        <f ca="1">VLOOKUP($P30,'Regresion Q3'!$Z$6:$AB$10,2,1)*$P30+VLOOKUP($P30,'Regresion Q3'!$Z$6:$AB$10,3,1)</f>
        <v>4480543.1707356181</v>
      </c>
      <c r="AS30" s="94">
        <f>IF($BN30=$BN31,-1,DatosHoy[[#This Row],[G ajus PM Q1]]-BO31)</f>
        <v>-1</v>
      </c>
      <c r="AT30" s="94">
        <f>IF($BN30=$BN31,-1,DatosHoy[[#This Row],[G+V ajus PM Q1]]-BP31)</f>
        <v>-1</v>
      </c>
      <c r="AU30" s="94">
        <f>IF($BN30=$BN31,-1,DatosHoy[[#This Row],[CT ajus PM Q1]]-BQ31)</f>
        <v>-1</v>
      </c>
      <c r="AV30" s="94">
        <f ca="1">IF(DatosHoy[[#This Row],[G ajus PM Q1]]=DatosHoy[[#This Row],[G+V ajus PM Q1]],-1,DatosHoy[[#This Row],[G ajus PM Q1]]-DatosHoy[[#This Row],[G+V ajus PM Q1]])</f>
        <v>-98272.055400899146</v>
      </c>
      <c r="AW30" s="94">
        <f ca="1">IF(DatosHoy[[#This Row],[G+V ajus PM Q1]]=DatosHoy[[#This Row],[CT ajus PM Q1]],-1,DatosHoy[[#This Row],[G+V ajus PM Q1]]-DatosHoy[[#This Row],[CT ajus PM Q1]])</f>
        <v>-113932.66861116979</v>
      </c>
      <c r="AX30" s="94">
        <f>IF($BN30=$BN31,-1,DatosHoy[[#This Row],[G ajus PMd]]-BR31)</f>
        <v>-1</v>
      </c>
      <c r="AY30" s="94">
        <f>IF($BN30=$BN31,-1,DatosHoy[[#This Row],[G+V ajus PM Md]]-BS31)</f>
        <v>-1</v>
      </c>
      <c r="AZ30" s="94">
        <f>IF($BN30=$BN31,-1,DatosHoy[[#This Row],[CT ajus PM Md]]-BT31)</f>
        <v>-1</v>
      </c>
      <c r="BA30" s="94">
        <f ca="1">IF(DatosHoy[[#This Row],[G ajus PMd]]=DatosHoy[[#This Row],[G+V ajus PM Md]],-1,DatosHoy[[#This Row],[G ajus PMd]]-DatosHoy[[#This Row],[G+V ajus PM Md]])</f>
        <v>-18022.800055224448</v>
      </c>
      <c r="BB30" s="94">
        <f ca="1">IF(DatosHoy[[#This Row],[G+V ajus PM Md]]=DatosHoy[[#This Row],[CT ajus PM Md]],-1,DatosHoy[[#This Row],[G+V ajus PM Md]]-DatosHoy[[#This Row],[CT ajus PM Md]])</f>
        <v>-193504.28037511837</v>
      </c>
      <c r="BC30" s="94">
        <f>IF($BN30=$BN31,-1,DatosHoy[[#This Row],[G ajus PM Q3]]-BU31)</f>
        <v>-1</v>
      </c>
      <c r="BD30" s="94">
        <f>IF($BN30=$BN31,-1,DatosHoy[[#This Row],[G+V ajus PM Q3]]-BV31)</f>
        <v>-1</v>
      </c>
      <c r="BE30" s="94">
        <f>IF($BN30=$BN31,-1,DatosHoy[[#This Row],[CT ajus PM Q3]]-BW31)</f>
        <v>-1</v>
      </c>
      <c r="BF30" s="94">
        <f ca="1">IF(DatosHoy[[#This Row],[G ajus PM Q3]]=DatosHoy[[#This Row],[G+V ajus PM Q3]],-1,DatosHoy[[#This Row],[G ajus PM Q3]]-DatosHoy[[#This Row],[G+V ajus PM Q3]])</f>
        <v>-128045.31318235025</v>
      </c>
      <c r="BG30" s="94">
        <f ca="1">IF(DatosHoy[[#This Row],[G+V ajus PM Q3]]=DatosHoy[[#This Row],[CT ajus PM Q3]],-1,DatosHoy[[#This Row],[G+V ajus PM Q3]]-DatosHoy[[#This Row],[CT ajus PM Q3]])</f>
        <v>-123776.96350260079</v>
      </c>
      <c r="BH30" s="94">
        <f ca="1">IF(DatosHoy[[#This Row],[G ajus PM Q1]]=DatosHoy[[#This Row],[G ajus PMd]],-1,DatosHoy[[#This Row],[G ajus PM Q1]]-DatosHoy[[#This Row],[G ajus PMd]])</f>
        <v>-143091.97112857085</v>
      </c>
      <c r="BI30" s="94">
        <f ca="1">IF(DatosHoy[[#This Row],[G+V ajus PM Q1]]=DatosHoy[[#This Row],[G+V ajus PM Md]],-1,DatosHoy[[#This Row],[G+V ajus PM Q1]]-DatosHoy[[#This Row],[G+V ajus PM Md]])</f>
        <v>-62842.71578289615</v>
      </c>
      <c r="BJ30" s="94">
        <f ca="1">IF(DatosHoy[[#This Row],[CT ajus PM Q1]]=DatosHoy[[#This Row],[CT ajus PM Md]],-1,DatosHoy[[#This Row],[CT ajus PM Q1]]-DatosHoy[[#This Row],[CT ajus PM Md]])</f>
        <v>-142414.32754684472</v>
      </c>
      <c r="BK30" s="94">
        <f ca="1">IF(DatosHoy[[#This Row],[G ajus PMd]]=DatosHoy[[#This Row],[G ajus PM Q3]],-1,DatosHoy[[#This Row],[G ajus PMd]]-DatosHoy[[#This Row],[G ajus PM Q3]])</f>
        <v>-1574247.9557536608</v>
      </c>
      <c r="BL30" s="94">
        <f ca="1">IF(DatosHoy[[#This Row],[G+V ajus PM Md]]=DatosHoy[[#This Row],[G+V ajus PM Q3]],-1,DatosHoy[[#This Row],[G+V ajus PM Md]]-DatosHoy[[#This Row],[G+V ajus PM Q3]])</f>
        <v>-1684270.4688807866</v>
      </c>
      <c r="BM30" s="94">
        <f ca="1">IF(DatosHoy[[#This Row],[CT ajus PM Md]]=DatosHoy[[#This Row],[CT ajus PM Q3]],-1,DatosHoy[[#This Row],[CT ajus PM Md]]-DatosHoy[[#This Row],[CT ajus PM Q3]])</f>
        <v>-1614543.152008269</v>
      </c>
      <c r="BN30" s="74">
        <v>217</v>
      </c>
      <c r="BO30" s="94">
        <f ca="1">IFERROR(VLOOKUP($BN30,'Regresion Q1'!$T$6:$V$10,2,1)*$BN30+VLOOKUP($BN30,'Regresion Q1'!$T$6:$V$10,3,1),VLOOKUP(MIN(DatosHoy[Puntos]),'Regresion Q1'!$T$6:$V$10,2,1)*$BN30+VLOOKUP(MIN(DatosHoy[Puntos]),'Regresion Q1'!$T$6:$V$10,3,1))</f>
        <v>2761640.3835342657</v>
      </c>
      <c r="BP30" s="94">
        <f ca="1">IFERROR(VLOOKUP($BN30,'Regresion Q1'!$W$6:$Y$10,2,1)*$BN30+VLOOKUP($BN30,'Regresion Q1'!$W$6:$Y$10,3,1),VLOOKUP(MIN(DatosHoy[Puntos]),'Regresion Q1'!$W$6:$Y$10,2,1)*$BN30+VLOOKUP(MIN(DatosHoy[Puntos]),'Regresion Q1'!$W$6:$Y$10,3,1))</f>
        <v>2859912.4389351648</v>
      </c>
      <c r="BQ30" s="94">
        <f ca="1">IFERROR(VLOOKUP($BN30,'Regresion Q1'!$Z$6:$AB$10,2,1)*$BN30+VLOOKUP($BN30,'Regresion Q1'!$Z$6:$AB$10,3,1),VLOOKUP(MIN(DatosHoy[Puntos]),'Regresion Q1'!$Z$6:$AB$10,2,1)*$BN30+VLOOKUP(MIN(DatosHoy[Puntos]),'Regresion Q1'!$Z$6:$AB$10,3,1))</f>
        <v>2973845.1075463346</v>
      </c>
      <c r="BR30" s="94">
        <f ca="1">IFERROR(VLOOKUP($BN30,'Regresion Md'!$T$6:$V$10,2,1)*$BN30+VLOOKUP($BN30,'Regresion Md'!$T$6:$V$10,3,1),VLOOKUP(MIN(DatosHoy[Puntos]),'Regresion Md'!$T$6:$V$10,2,1)*$BN30+VLOOKUP(MIN(DatosHoy[Puntos]),'Regresion Md'!$T$6:$V$10,3,1))</f>
        <v>2904732.3546628365</v>
      </c>
      <c r="BS30" s="94">
        <f ca="1">IFERROR(VLOOKUP($BN30,'Regresion Md'!$W$6:$Y$10,2,1)*$BN30+VLOOKUP($BN30,'Regresion Md'!$W$6:$Y$10,3,1),VLOOKUP(MIN(DatosHoy[Puntos]),'Regresion Md'!$W$6:$Y$10,2,1)*$BN30+VLOOKUP(MIN(DatosHoy[Puntos]),'Regresion Md'!$W$6:$Y$10,3,1))</f>
        <v>2922755.154718061</v>
      </c>
      <c r="BT30" s="94">
        <f ca="1">IFERROR(VLOOKUP($BN30,'Regresion Md'!$Z$6:$AB$10,2,1)*$BN30+VLOOKUP($BN30,'Regresion Md'!$Z$6:$AB$10,3,1),VLOOKUP(MIN(DatosHoy[Puntos]),'Regresion Md'!$Z$6:$AB$10,2,1)*$BN30+VLOOKUP(MIN(DatosHoy[Puntos]),'Regresion Md'!$Z$6:$AB$10,3,1))</f>
        <v>3116259.4350931793</v>
      </c>
      <c r="BU30" s="94">
        <f ca="1">IFERROR(VLOOKUP($BN30,'Regresion Q3'!$T$6:$V$10,2,1)*$BN30+VLOOKUP($BN30,'Regresion Q3'!$T$6:$V$10,3,1),VLOOKUP(MIN(DatosHoy[Puntos]),'Regresion Q3'!$T$6:$V$10,2,1)*$BN30+VLOOKUP(MIN(DatosHoy[Puntos]),'Regresion Q3'!$T$6:$V$10,3,1))</f>
        <v>4478980.3104164973</v>
      </c>
      <c r="BV30" s="94">
        <f ca="1">IFERROR(VLOOKUP($BN30,'Regresion Q3'!$W$6:$Y$10,2,1)*$BN30+VLOOKUP($BN30,'Regresion Q3'!$W$6:$Y$10,3,1),VLOOKUP(MIN(DatosHoy[Puntos]),'Regresion Q3'!$W$6:$Y$10,2,1)*$BN30+VLOOKUP(MIN(DatosHoy[Puntos]),'Regresion Q3'!$W$6:$Y$10,3,1))</f>
        <v>4607025.6235988475</v>
      </c>
      <c r="BW30" s="94">
        <f ca="1">IFERROR(VLOOKUP($BN30,'Regresion Q3'!$Z$6:$AB$10,2,1)*$BN30+VLOOKUP($BN30,'Regresion Q3'!$Z$6:$AB$10,3,1),VLOOKUP(MIN(DatosHoy[Puntos]),'Regresion Q3'!$Z$6:$AB$10,2,1)*$BN30+VLOOKUP(MIN(DatosHoy[Puntos]),'Regresion Q3'!$Z$6:$AB$10,3,1))</f>
        <v>4730802.5871014483</v>
      </c>
      <c r="BX30" s="96">
        <f ca="1">DatosHoy[[#This Row],[CT Actual]]/DatosHoy[[#This Row],[CT ajus PM Md]]</f>
        <v>0.7366790916531496</v>
      </c>
      <c r="BY30" s="125" t="str">
        <f>VLOOKUP(DatosHoy[[#This Row],[Cargo Valorado]],Estadísticos[[Cargo]:[Nivel]],2,FALSE)</f>
        <v>Soporte</v>
      </c>
      <c r="BZ30" s="96">
        <f>(DatosHoy[[#This Row],[G+V Actual]]-DatosHoy[[#This Row],[G Actual]])/DatosHoy[[#This Row],[CT Actual]]</f>
        <v>0</v>
      </c>
      <c r="CA30" s="96">
        <f>(DatosHoy[[#This Row],[CT Actual]]-DatosHoy[[#This Row],[G+V Actual]])/DatosHoy[[#This Row],[CT Actual]]</f>
        <v>0</v>
      </c>
      <c r="CB30" s="139" t="s">
        <v>255</v>
      </c>
    </row>
    <row r="31" spans="2:80" x14ac:dyDescent="0.25">
      <c r="B31" s="73">
        <f t="shared" si="0"/>
        <v>26</v>
      </c>
      <c r="C31" s="74">
        <v>2536900.52</v>
      </c>
      <c r="D31" s="74">
        <v>2536900.52</v>
      </c>
      <c r="E31" s="74">
        <v>2536900.52</v>
      </c>
      <c r="F31" s="94">
        <f>VLOOKUP(DatosHoy[[#This Row],[Cargo Valorado]],Estadísticos[],3,0)</f>
        <v>2127852.5029787393</v>
      </c>
      <c r="G31" s="94">
        <f>VLOOKUP(DatosHoy[[#This Row],[Cargo Valorado]],Estadísticos[],4,0)</f>
        <v>2127852.5029787393</v>
      </c>
      <c r="H31" s="94">
        <f>VLOOKUP(DatosHoy[[#This Row],[Cargo Valorado]],Estadísticos[],5,0)</f>
        <v>2127852.5029787393</v>
      </c>
      <c r="I31" s="94">
        <f>VLOOKUP(DatosHoy[[#This Row],[Cargo Valorado]],Estadísticos[],6,0)</f>
        <v>2169575.1819974277</v>
      </c>
      <c r="J31" s="94">
        <f>VLOOKUP(DatosHoy[[#This Row],[Cargo Valorado]],Estadísticos[],7,0)</f>
        <v>2169575.1819974277</v>
      </c>
      <c r="K31" s="94">
        <f>VLOOKUP(DatosHoy[[#This Row],[Cargo Valorado]],Estadísticos[],8,0)</f>
        <v>2169575.1819974277</v>
      </c>
      <c r="L31" s="94">
        <f>VLOOKUP(DatosHoy[[#This Row],[Cargo Valorado]],Estadísticos[],9,0)</f>
        <v>3249907.4660816966</v>
      </c>
      <c r="M31" s="94">
        <f>VLOOKUP(DatosHoy[[#This Row],[Cargo Valorado]],Estadísticos[],10,0)</f>
        <v>3249907.4660816966</v>
      </c>
      <c r="N31" s="94">
        <f>VLOOKUP(DatosHoy[[#This Row],[Cargo Valorado]],Estadísticos[],11,0)</f>
        <v>3249907.4660816966</v>
      </c>
      <c r="O31" s="75" t="s">
        <v>237</v>
      </c>
      <c r="P31" s="75">
        <v>208</v>
      </c>
      <c r="Q31" s="95" t="str">
        <f t="shared" si="14"/>
        <v>$P$31</v>
      </c>
      <c r="R31" s="95" t="str">
        <f t="shared" si="15"/>
        <v>$F$31</v>
      </c>
      <c r="S31" s="95" t="str">
        <f t="shared" si="16"/>
        <v>$G$31</v>
      </c>
      <c r="T31" s="95" t="str">
        <f t="shared" si="17"/>
        <v>$H$31</v>
      </c>
      <c r="U31" s="95" t="str">
        <f t="shared" si="18"/>
        <v>$I$31</v>
      </c>
      <c r="V31" s="95" t="str">
        <f t="shared" si="19"/>
        <v>$J$31</v>
      </c>
      <c r="W31" s="95" t="str">
        <f t="shared" si="20"/>
        <v>$K$31</v>
      </c>
      <c r="X31" s="95" t="str">
        <f t="shared" si="21"/>
        <v>$L$31</v>
      </c>
      <c r="Y31" s="95" t="str">
        <f t="shared" si="22"/>
        <v>$M$31</v>
      </c>
      <c r="Z31" s="95" t="str">
        <f t="shared" si="23"/>
        <v>$N$31</v>
      </c>
      <c r="AA31" s="94">
        <f ca="1">VLOOKUP($P31,'Regresion Q1'!$E$6:$I$10,4,1)*$P31+VLOOKUP($P31,'Regresion Q1'!$E$6:$I$10,5,1)</f>
        <v>2675389.9634604948</v>
      </c>
      <c r="AB31" s="94">
        <f ca="1">VLOOKUP($P31,'Regresion Q1'!$J$6:$N$10,4,1)*$P31+VLOOKUP($P31,'Regresion Q1'!$J$6:$N$10,5,1)</f>
        <v>2731762.5584422559</v>
      </c>
      <c r="AC31" s="94">
        <f ca="1">VLOOKUP($P31,'Regresion Q1'!$O$6:$S$10,4,1)*$P31+VLOOKUP($P31,'Regresion Q1'!$O$6:$S$10,5,1)</f>
        <v>2897737.2854420361</v>
      </c>
      <c r="AD31" s="94">
        <f ca="1">VLOOKUP($P31,'Regresion Md'!$E$6:$I$10,4,1)*$P31+VLOOKUP($P31,'Regresion Md'!$E$6:$I$10,5,1)</f>
        <v>3015353.6873452715</v>
      </c>
      <c r="AE31" s="94">
        <f ca="1">VLOOKUP($P31,'Regresion Md'!$J$6:$N$10,4,1)*$P31+VLOOKUP($P31,'Regresion Md'!$J$6:$N$10,5,1)</f>
        <v>3122296.5802905904</v>
      </c>
      <c r="AF31" s="94">
        <f ca="1">VLOOKUP($P31,'Regresion Md'!$O$6:$S$10,4,1)*$P31+VLOOKUP($P31,'Regresion Md'!$O$6:$S$10,5,1)</f>
        <v>3342384.6726173148</v>
      </c>
      <c r="AG31" s="94">
        <f ca="1">VLOOKUP($P31,'Regresion Q3'!$E$6:$I$10,4,1)*$P31+VLOOKUP($P31,'Regresion Q3'!$E$6:$I$10,5,1)</f>
        <v>3661846.4636618271</v>
      </c>
      <c r="AH31" s="94">
        <f ca="1">VLOOKUP($P31,'Regresion Q3'!$J$6:$N$10,4,1)*$P31+VLOOKUP($P31,'Regresion Q3'!$J$6:$N$10,5,1)</f>
        <v>3723171.9185146708</v>
      </c>
      <c r="AI31" s="94">
        <f ca="1">VLOOKUP($P31,'Regresion Q3'!$O$6:$S$10,4,1)*$P31+VLOOKUP($P31,'Regresion Q3'!$O$6:$S$10,5,1)</f>
        <v>3915254.780772822</v>
      </c>
      <c r="AJ31" s="94">
        <f ca="1">VLOOKUP($P31,'Regresion Q1'!$T$6:$V$10,2,1)*$P31+VLOOKUP($P31,'Regresion Q1'!$T$6:$V$10,3,1)</f>
        <v>2671609.6212601997</v>
      </c>
      <c r="AK31" s="94">
        <f ca="1">VLOOKUP($P31,'Regresion Q1'!$W$6:$Y$10,2,1)*$P31+VLOOKUP($P31,'Regresion Q1'!$W$6:$Y$10,3,1)</f>
        <v>2768923.0859047743</v>
      </c>
      <c r="AL31" s="94">
        <f ca="1">VLOOKUP($P31,'Regresion Q1'!$Z$6:$AB$10,2,1)*$P31+VLOOKUP($P31,'Regresion Q1'!$Z$6:$AB$10,3,1)</f>
        <v>2878761.8073564866</v>
      </c>
      <c r="AM31" s="94">
        <f ca="1">VLOOKUP($P31,'Regresion Md'!$T$6:$V$10,2,1)*$P31+VLOOKUP($P31,'Regresion Md'!$T$6:$V$10,3,1)</f>
        <v>2815362.5216577766</v>
      </c>
      <c r="AN31" s="94">
        <f ca="1">VLOOKUP($P31,'Regresion Md'!$W$6:$Y$10,2,1)*$P31+VLOOKUP($P31,'Regresion Md'!$W$6:$Y$10,3,1)</f>
        <v>2837436.1731491219</v>
      </c>
      <c r="AO31" s="94">
        <f ca="1">VLOOKUP($P31,'Regresion Md'!$Z$6:$AB$10,2,1)*$P31+VLOOKUP($P31,'Regresion Md'!$Z$6:$AB$10,3,1)</f>
        <v>3020426.8538855948</v>
      </c>
      <c r="AP31" s="94">
        <f ca="1">VLOOKUP($P31,'Regresion Q3'!$T$6:$V$10,2,1)*$P31+VLOOKUP($P31,'Regresion Q3'!$T$6:$V$10,3,1)</f>
        <v>4312836.9055900453</v>
      </c>
      <c r="AQ31" s="94">
        <f ca="1">VLOOKUP($P31,'Regresion Q3'!$W$6:$Y$10,2,1)*$P31+VLOOKUP($P31,'Regresion Q3'!$W$6:$Y$10,3,1)</f>
        <v>4436969.4492490841</v>
      </c>
      <c r="AR31" s="94">
        <f ca="1">VLOOKUP($P31,'Regresion Q3'!$Z$6:$AB$10,2,1)*$P31+VLOOKUP($P31,'Regresion Q3'!$Z$6:$AB$10,3,1)</f>
        <v>4557546.06807895</v>
      </c>
      <c r="AS31" s="94">
        <f>IF($BN31=$BN32,-1,DatosHoy[[#This Row],[G ajus PM Q1]]-BO32)</f>
        <v>-1</v>
      </c>
      <c r="AT31" s="94">
        <f>IF($BN31=$BN32,-1,DatosHoy[[#This Row],[G+V ajus PM Q1]]-BP32)</f>
        <v>-1</v>
      </c>
      <c r="AU31" s="94">
        <f>IF($BN31=$BN32,-1,DatosHoy[[#This Row],[CT ajus PM Q1]]-BQ32)</f>
        <v>-1</v>
      </c>
      <c r="AV31" s="94">
        <f ca="1">IF(DatosHoy[[#This Row],[G ajus PM Q1]]=DatosHoy[[#This Row],[G+V ajus PM Q1]],-1,DatosHoy[[#This Row],[G ajus PM Q1]]-DatosHoy[[#This Row],[G+V ajus PM Q1]])</f>
        <v>-98272.055400899146</v>
      </c>
      <c r="AW31" s="94">
        <f ca="1">IF(DatosHoy[[#This Row],[G+V ajus PM Q1]]=DatosHoy[[#This Row],[CT ajus PM Q1]],-1,DatosHoy[[#This Row],[G+V ajus PM Q1]]-DatosHoy[[#This Row],[CT ajus PM Q1]])</f>
        <v>-113932.66861116979</v>
      </c>
      <c r="AX31" s="94">
        <f>IF($BN31=$BN32,-1,DatosHoy[[#This Row],[G ajus PMd]]-BR32)</f>
        <v>-1</v>
      </c>
      <c r="AY31" s="94">
        <f>IF($BN31=$BN32,-1,DatosHoy[[#This Row],[G+V ajus PM Md]]-BS32)</f>
        <v>-1</v>
      </c>
      <c r="AZ31" s="94">
        <f>IF($BN31=$BN32,-1,DatosHoy[[#This Row],[CT ajus PM Md]]-BT32)</f>
        <v>-1</v>
      </c>
      <c r="BA31" s="94">
        <f ca="1">IF(DatosHoy[[#This Row],[G ajus PMd]]=DatosHoy[[#This Row],[G+V ajus PM Md]],-1,DatosHoy[[#This Row],[G ajus PMd]]-DatosHoy[[#This Row],[G+V ajus PM Md]])</f>
        <v>-18022.800055224448</v>
      </c>
      <c r="BB31" s="94">
        <f ca="1">IF(DatosHoy[[#This Row],[G+V ajus PM Md]]=DatosHoy[[#This Row],[CT ajus PM Md]],-1,DatosHoy[[#This Row],[G+V ajus PM Md]]-DatosHoy[[#This Row],[CT ajus PM Md]])</f>
        <v>-193504.28037511837</v>
      </c>
      <c r="BC31" s="94">
        <f>IF($BN31=$BN32,-1,DatosHoy[[#This Row],[G ajus PM Q3]]-BU32)</f>
        <v>-1</v>
      </c>
      <c r="BD31" s="94">
        <f>IF($BN31=$BN32,-1,DatosHoy[[#This Row],[G+V ajus PM Q3]]-BV32)</f>
        <v>-1</v>
      </c>
      <c r="BE31" s="94">
        <f>IF($BN31=$BN32,-1,DatosHoy[[#This Row],[CT ajus PM Q3]]-BW32)</f>
        <v>-1</v>
      </c>
      <c r="BF31" s="94">
        <f ca="1">IF(DatosHoy[[#This Row],[G ajus PM Q3]]=DatosHoy[[#This Row],[G+V ajus PM Q3]],-1,DatosHoy[[#This Row],[G ajus PM Q3]]-DatosHoy[[#This Row],[G+V ajus PM Q3]])</f>
        <v>-128045.31318235025</v>
      </c>
      <c r="BG31" s="94">
        <f ca="1">IF(DatosHoy[[#This Row],[G+V ajus PM Q3]]=DatosHoy[[#This Row],[CT ajus PM Q3]],-1,DatosHoy[[#This Row],[G+V ajus PM Q3]]-DatosHoy[[#This Row],[CT ajus PM Q3]])</f>
        <v>-123776.96350260079</v>
      </c>
      <c r="BH31" s="94">
        <f ca="1">IF(DatosHoy[[#This Row],[G ajus PM Q1]]=DatosHoy[[#This Row],[G ajus PMd]],-1,DatosHoy[[#This Row],[G ajus PM Q1]]-DatosHoy[[#This Row],[G ajus PMd]])</f>
        <v>-143091.97112857085</v>
      </c>
      <c r="BI31" s="94">
        <f ca="1">IF(DatosHoy[[#This Row],[G+V ajus PM Q1]]=DatosHoy[[#This Row],[G+V ajus PM Md]],-1,DatosHoy[[#This Row],[G+V ajus PM Q1]]-DatosHoy[[#This Row],[G+V ajus PM Md]])</f>
        <v>-62842.71578289615</v>
      </c>
      <c r="BJ31" s="94">
        <f ca="1">IF(DatosHoy[[#This Row],[CT ajus PM Q1]]=DatosHoy[[#This Row],[CT ajus PM Md]],-1,DatosHoy[[#This Row],[CT ajus PM Q1]]-DatosHoy[[#This Row],[CT ajus PM Md]])</f>
        <v>-142414.32754684472</v>
      </c>
      <c r="BK31" s="94">
        <f ca="1">IF(DatosHoy[[#This Row],[G ajus PMd]]=DatosHoy[[#This Row],[G ajus PM Q3]],-1,DatosHoy[[#This Row],[G ajus PMd]]-DatosHoy[[#This Row],[G ajus PM Q3]])</f>
        <v>-1574247.9557536608</v>
      </c>
      <c r="BL31" s="94">
        <f ca="1">IF(DatosHoy[[#This Row],[G+V ajus PM Md]]=DatosHoy[[#This Row],[G+V ajus PM Q3]],-1,DatosHoy[[#This Row],[G+V ajus PM Md]]-DatosHoy[[#This Row],[G+V ajus PM Q3]])</f>
        <v>-1684270.4688807866</v>
      </c>
      <c r="BM31" s="94">
        <f ca="1">IF(DatosHoy[[#This Row],[CT ajus PM Md]]=DatosHoy[[#This Row],[CT ajus PM Q3]],-1,DatosHoy[[#This Row],[CT ajus PM Md]]-DatosHoy[[#This Row],[CT ajus PM Q3]])</f>
        <v>-1614543.152008269</v>
      </c>
      <c r="BN31" s="74">
        <v>217</v>
      </c>
      <c r="BO31" s="94">
        <f ca="1">IFERROR(VLOOKUP($BN31,'Regresion Q1'!$T$6:$V$10,2,1)*$BN31+VLOOKUP($BN31,'Regresion Q1'!$T$6:$V$10,3,1),VLOOKUP(MIN(DatosHoy[Puntos]),'Regresion Q1'!$T$6:$V$10,2,1)*$BN31+VLOOKUP(MIN(DatosHoy[Puntos]),'Regresion Q1'!$T$6:$V$10,3,1))</f>
        <v>2761640.3835342657</v>
      </c>
      <c r="BP31" s="94">
        <f ca="1">IFERROR(VLOOKUP($BN31,'Regresion Q1'!$W$6:$Y$10,2,1)*$BN31+VLOOKUP($BN31,'Regresion Q1'!$W$6:$Y$10,3,1),VLOOKUP(MIN(DatosHoy[Puntos]),'Regresion Q1'!$W$6:$Y$10,2,1)*$BN31+VLOOKUP(MIN(DatosHoy[Puntos]),'Regresion Q1'!$W$6:$Y$10,3,1))</f>
        <v>2859912.4389351648</v>
      </c>
      <c r="BQ31" s="94">
        <f ca="1">IFERROR(VLOOKUP($BN31,'Regresion Q1'!$Z$6:$AB$10,2,1)*$BN31+VLOOKUP($BN31,'Regresion Q1'!$Z$6:$AB$10,3,1),VLOOKUP(MIN(DatosHoy[Puntos]),'Regresion Q1'!$Z$6:$AB$10,2,1)*$BN31+VLOOKUP(MIN(DatosHoy[Puntos]),'Regresion Q1'!$Z$6:$AB$10,3,1))</f>
        <v>2973845.1075463346</v>
      </c>
      <c r="BR31" s="94">
        <f ca="1">IFERROR(VLOOKUP($BN31,'Regresion Md'!$T$6:$V$10,2,1)*$BN31+VLOOKUP($BN31,'Regresion Md'!$T$6:$V$10,3,1),VLOOKUP(MIN(DatosHoy[Puntos]),'Regresion Md'!$T$6:$V$10,2,1)*$BN31+VLOOKUP(MIN(DatosHoy[Puntos]),'Regresion Md'!$T$6:$V$10,3,1))</f>
        <v>2904732.3546628365</v>
      </c>
      <c r="BS31" s="94">
        <f ca="1">IFERROR(VLOOKUP($BN31,'Regresion Md'!$W$6:$Y$10,2,1)*$BN31+VLOOKUP($BN31,'Regresion Md'!$W$6:$Y$10,3,1),VLOOKUP(MIN(DatosHoy[Puntos]),'Regresion Md'!$W$6:$Y$10,2,1)*$BN31+VLOOKUP(MIN(DatosHoy[Puntos]),'Regresion Md'!$W$6:$Y$10,3,1))</f>
        <v>2922755.154718061</v>
      </c>
      <c r="BT31" s="94">
        <f ca="1">IFERROR(VLOOKUP($BN31,'Regresion Md'!$Z$6:$AB$10,2,1)*$BN31+VLOOKUP($BN31,'Regresion Md'!$Z$6:$AB$10,3,1),VLOOKUP(MIN(DatosHoy[Puntos]),'Regresion Md'!$Z$6:$AB$10,2,1)*$BN31+VLOOKUP(MIN(DatosHoy[Puntos]),'Regresion Md'!$Z$6:$AB$10,3,1))</f>
        <v>3116259.4350931793</v>
      </c>
      <c r="BU31" s="94">
        <f ca="1">IFERROR(VLOOKUP($BN31,'Regresion Q3'!$T$6:$V$10,2,1)*$BN31+VLOOKUP($BN31,'Regresion Q3'!$T$6:$V$10,3,1),VLOOKUP(MIN(DatosHoy[Puntos]),'Regresion Q3'!$T$6:$V$10,2,1)*$BN31+VLOOKUP(MIN(DatosHoy[Puntos]),'Regresion Q3'!$T$6:$V$10,3,1))</f>
        <v>4478980.3104164973</v>
      </c>
      <c r="BV31" s="94">
        <f ca="1">IFERROR(VLOOKUP($BN31,'Regresion Q3'!$W$6:$Y$10,2,1)*$BN31+VLOOKUP($BN31,'Regresion Q3'!$W$6:$Y$10,3,1),VLOOKUP(MIN(DatosHoy[Puntos]),'Regresion Q3'!$W$6:$Y$10,2,1)*$BN31+VLOOKUP(MIN(DatosHoy[Puntos]),'Regresion Q3'!$W$6:$Y$10,3,1))</f>
        <v>4607025.6235988475</v>
      </c>
      <c r="BW31" s="94">
        <f ca="1">IFERROR(VLOOKUP($BN31,'Regresion Q3'!$Z$6:$AB$10,2,1)*$BN31+VLOOKUP($BN31,'Regresion Q3'!$Z$6:$AB$10,3,1),VLOOKUP(MIN(DatosHoy[Puntos]),'Regresion Q3'!$Z$6:$AB$10,2,1)*$BN31+VLOOKUP(MIN(DatosHoy[Puntos]),'Regresion Q3'!$Z$6:$AB$10,3,1))</f>
        <v>4730802.5871014483</v>
      </c>
      <c r="BX31" s="96">
        <f ca="1">DatosHoy[[#This Row],[CT Actual]]/DatosHoy[[#This Row],[CT ajus PM Md]]</f>
        <v>0.81408514690117384</v>
      </c>
      <c r="BY31" s="125" t="str">
        <f>VLOOKUP(DatosHoy[[#This Row],[Cargo Valorado]],Estadísticos[[Cargo]:[Nivel]],2,FALSE)</f>
        <v>Soporte</v>
      </c>
      <c r="BZ31" s="96">
        <f>(DatosHoy[[#This Row],[G+V Actual]]-DatosHoy[[#This Row],[G Actual]])/DatosHoy[[#This Row],[CT Actual]]</f>
        <v>0</v>
      </c>
      <c r="CA31" s="96">
        <f>(DatosHoy[[#This Row],[CT Actual]]-DatosHoy[[#This Row],[G+V Actual]])/DatosHoy[[#This Row],[CT Actual]]</f>
        <v>0</v>
      </c>
      <c r="CB31" s="139" t="s">
        <v>255</v>
      </c>
    </row>
    <row r="32" spans="2:80" x14ac:dyDescent="0.25">
      <c r="B32" s="73">
        <f t="shared" si="0"/>
        <v>27</v>
      </c>
      <c r="C32" s="74">
        <v>2828714.68</v>
      </c>
      <c r="D32" s="74">
        <v>2828714.68</v>
      </c>
      <c r="E32" s="74">
        <v>2828714.68</v>
      </c>
      <c r="F32" s="94">
        <f>VLOOKUP(DatosHoy[[#This Row],[Cargo Valorado]],Estadísticos[],3,0)</f>
        <v>3713356.6071760627</v>
      </c>
      <c r="G32" s="94">
        <f>VLOOKUP(DatosHoy[[#This Row],[Cargo Valorado]],Estadísticos[],4,0)</f>
        <v>3713356.6071760627</v>
      </c>
      <c r="H32" s="94">
        <f>VLOOKUP(DatosHoy[[#This Row],[Cargo Valorado]],Estadísticos[],5,0)</f>
        <v>3713356.6071760627</v>
      </c>
      <c r="I32" s="94">
        <f>VLOOKUP(DatosHoy[[#This Row],[Cargo Valorado]],Estadísticos[],6,0)</f>
        <v>3786166.7522921348</v>
      </c>
      <c r="J32" s="94">
        <f>VLOOKUP(DatosHoy[[#This Row],[Cargo Valorado]],Estadísticos[],7,0)</f>
        <v>3786166.7522921348</v>
      </c>
      <c r="K32" s="94">
        <f>VLOOKUP(DatosHoy[[#This Row],[Cargo Valorado]],Estadísticos[],8,0)</f>
        <v>3786166.7522921348</v>
      </c>
      <c r="L32" s="94">
        <f>VLOOKUP(DatosHoy[[#This Row],[Cargo Valorado]],Estadísticos[],9,0)</f>
        <v>4141467.2604893362</v>
      </c>
      <c r="M32" s="94">
        <f>VLOOKUP(DatosHoy[[#This Row],[Cargo Valorado]],Estadísticos[],10,0)</f>
        <v>4141467.2604893362</v>
      </c>
      <c r="N32" s="94">
        <f>VLOOKUP(DatosHoy[[#This Row],[Cargo Valorado]],Estadísticos[],11,0)</f>
        <v>4141467.2604893362</v>
      </c>
      <c r="O32" s="75" t="s">
        <v>194</v>
      </c>
      <c r="P32" s="75">
        <v>209</v>
      </c>
      <c r="Q32" s="95" t="str">
        <f t="shared" si="14"/>
        <v>$P$32</v>
      </c>
      <c r="R32" s="95" t="str">
        <f t="shared" si="15"/>
        <v>$F$32</v>
      </c>
      <c r="S32" s="95" t="str">
        <f t="shared" si="16"/>
        <v>$G$32</v>
      </c>
      <c r="T32" s="95" t="str">
        <f t="shared" si="17"/>
        <v>$H$32</v>
      </c>
      <c r="U32" s="95" t="str">
        <f t="shared" si="18"/>
        <v>$I$32</v>
      </c>
      <c r="V32" s="95" t="str">
        <f t="shared" si="19"/>
        <v>$J$32</v>
      </c>
      <c r="W32" s="95" t="str">
        <f t="shared" si="20"/>
        <v>$K$32</v>
      </c>
      <c r="X32" s="95" t="str">
        <f t="shared" si="21"/>
        <v>$L$32</v>
      </c>
      <c r="Y32" s="95" t="str">
        <f t="shared" si="22"/>
        <v>$M$32</v>
      </c>
      <c r="Z32" s="95" t="str">
        <f t="shared" si="23"/>
        <v>$N$32</v>
      </c>
      <c r="AA32" s="94">
        <f ca="1">VLOOKUP($P32,'Regresion Q1'!$E$6:$I$10,4,1)*$P32+VLOOKUP($P32,'Regresion Q1'!$E$6:$I$10,5,1)</f>
        <v>2688842.2348194816</v>
      </c>
      <c r="AB32" s="94">
        <f ca="1">VLOOKUP($P32,'Regresion Q1'!$J$6:$N$10,4,1)*$P32+VLOOKUP($P32,'Regresion Q1'!$J$6:$N$10,5,1)</f>
        <v>2745600.8588326955</v>
      </c>
      <c r="AC32" s="94">
        <f ca="1">VLOOKUP($P32,'Regresion Q1'!$O$6:$S$10,4,1)*$P32+VLOOKUP($P32,'Regresion Q1'!$O$6:$S$10,5,1)</f>
        <v>2912017.3893921711</v>
      </c>
      <c r="AD32" s="94">
        <f ca="1">VLOOKUP($P32,'Regresion Md'!$E$6:$I$10,4,1)*$P32+VLOOKUP($P32,'Regresion Md'!$E$6:$I$10,5,1)</f>
        <v>3029059.4186539161</v>
      </c>
      <c r="AE32" s="94">
        <f ca="1">VLOOKUP($P32,'Regresion Md'!$J$6:$N$10,4,1)*$P32+VLOOKUP($P32,'Regresion Md'!$J$6:$N$10,5,1)</f>
        <v>3136930.1049384414</v>
      </c>
      <c r="AF32" s="94">
        <f ca="1">VLOOKUP($P32,'Regresion Md'!$O$6:$S$10,4,1)*$P32+VLOOKUP($P32,'Regresion Md'!$O$6:$S$10,5,1)</f>
        <v>3359797.8741725301</v>
      </c>
      <c r="AG32" s="94">
        <f ca="1">VLOOKUP($P32,'Regresion Q3'!$E$6:$I$10,4,1)*$P32+VLOOKUP($P32,'Regresion Q3'!$E$6:$I$10,5,1)</f>
        <v>3686739.2515111901</v>
      </c>
      <c r="AH32" s="94">
        <f ca="1">VLOOKUP($P32,'Regresion Q3'!$J$6:$N$10,4,1)*$P32+VLOOKUP($P32,'Regresion Q3'!$J$6:$N$10,5,1)</f>
        <v>3748378.7703357581</v>
      </c>
      <c r="AI32" s="94">
        <f ca="1">VLOOKUP($P32,'Regresion Q3'!$O$6:$S$10,4,1)*$P32+VLOOKUP($P32,'Regresion Q3'!$O$6:$S$10,5,1)</f>
        <v>3940312.4912053691</v>
      </c>
      <c r="AJ32" s="94">
        <f ca="1">VLOOKUP($P32,'Regresion Q1'!$T$6:$V$10,2,1)*$P32+VLOOKUP($P32,'Regresion Q1'!$T$6:$V$10,3,1)</f>
        <v>2681613.0392906512</v>
      </c>
      <c r="AK32" s="94">
        <f ca="1">VLOOKUP($P32,'Regresion Q1'!$W$6:$Y$10,2,1)*$P32+VLOOKUP($P32,'Regresion Q1'!$W$6:$Y$10,3,1)</f>
        <v>2779033.014019262</v>
      </c>
      <c r="AL32" s="94">
        <f ca="1">VLOOKUP($P32,'Regresion Q1'!$Z$6:$AB$10,2,1)*$P32+VLOOKUP($P32,'Regresion Q1'!$Z$6:$AB$10,3,1)</f>
        <v>2889326.6184886922</v>
      </c>
      <c r="AM32" s="94">
        <f ca="1">VLOOKUP($P32,'Regresion Md'!$T$6:$V$10,2,1)*$P32+VLOOKUP($P32,'Regresion Md'!$T$6:$V$10,3,1)</f>
        <v>2825292.5031027831</v>
      </c>
      <c r="AN32" s="94">
        <f ca="1">VLOOKUP($P32,'Regresion Md'!$W$6:$Y$10,2,1)*$P32+VLOOKUP($P32,'Regresion Md'!$W$6:$Y$10,3,1)</f>
        <v>2846916.0599901155</v>
      </c>
      <c r="AO32" s="94">
        <f ca="1">VLOOKUP($P32,'Regresion Md'!$Z$6:$AB$10,2,1)*$P32+VLOOKUP($P32,'Regresion Md'!$Z$6:$AB$10,3,1)</f>
        <v>3031074.9184642155</v>
      </c>
      <c r="AP32" s="94">
        <f ca="1">VLOOKUP($P32,'Regresion Q3'!$T$6:$V$10,2,1)*$P32+VLOOKUP($P32,'Regresion Q3'!$T$6:$V$10,3,1)</f>
        <v>4331297.2839040961</v>
      </c>
      <c r="AQ32" s="94">
        <f ca="1">VLOOKUP($P32,'Regresion Q3'!$W$6:$Y$10,2,1)*$P32+VLOOKUP($P32,'Regresion Q3'!$W$6:$Y$10,3,1)</f>
        <v>4455864.5797323911</v>
      </c>
      <c r="AR32" s="94">
        <f ca="1">VLOOKUP($P32,'Regresion Q3'!$Z$6:$AB$10,2,1)*$P32+VLOOKUP($P32,'Regresion Q3'!$Z$6:$AB$10,3,1)</f>
        <v>4576796.7924147835</v>
      </c>
      <c r="AS32" s="94">
        <f>IF($BN32=$BN33,-1,DatosHoy[[#This Row],[G ajus PM Q1]]-BO33)</f>
        <v>-1</v>
      </c>
      <c r="AT32" s="94">
        <f>IF($BN32=$BN33,-1,DatosHoy[[#This Row],[G+V ajus PM Q1]]-BP33)</f>
        <v>-1</v>
      </c>
      <c r="AU32" s="94">
        <f>IF($BN32=$BN33,-1,DatosHoy[[#This Row],[CT ajus PM Q1]]-BQ33)</f>
        <v>-1</v>
      </c>
      <c r="AV32" s="94">
        <f ca="1">IF(DatosHoy[[#This Row],[G ajus PM Q1]]=DatosHoy[[#This Row],[G+V ajus PM Q1]],-1,DatosHoy[[#This Row],[G ajus PM Q1]]-DatosHoy[[#This Row],[G+V ajus PM Q1]])</f>
        <v>-98272.055400899146</v>
      </c>
      <c r="AW32" s="94">
        <f ca="1">IF(DatosHoy[[#This Row],[G+V ajus PM Q1]]=DatosHoy[[#This Row],[CT ajus PM Q1]],-1,DatosHoy[[#This Row],[G+V ajus PM Q1]]-DatosHoy[[#This Row],[CT ajus PM Q1]])</f>
        <v>-113932.66861116979</v>
      </c>
      <c r="AX32" s="94">
        <f>IF($BN32=$BN33,-1,DatosHoy[[#This Row],[G ajus PMd]]-BR33)</f>
        <v>-1</v>
      </c>
      <c r="AY32" s="94">
        <f>IF($BN32=$BN33,-1,DatosHoy[[#This Row],[G+V ajus PM Md]]-BS33)</f>
        <v>-1</v>
      </c>
      <c r="AZ32" s="94">
        <f>IF($BN32=$BN33,-1,DatosHoy[[#This Row],[CT ajus PM Md]]-BT33)</f>
        <v>-1</v>
      </c>
      <c r="BA32" s="94">
        <f ca="1">IF(DatosHoy[[#This Row],[G ajus PMd]]=DatosHoy[[#This Row],[G+V ajus PM Md]],-1,DatosHoy[[#This Row],[G ajus PMd]]-DatosHoy[[#This Row],[G+V ajus PM Md]])</f>
        <v>-18022.800055224448</v>
      </c>
      <c r="BB32" s="94">
        <f ca="1">IF(DatosHoy[[#This Row],[G+V ajus PM Md]]=DatosHoy[[#This Row],[CT ajus PM Md]],-1,DatosHoy[[#This Row],[G+V ajus PM Md]]-DatosHoy[[#This Row],[CT ajus PM Md]])</f>
        <v>-193504.28037511837</v>
      </c>
      <c r="BC32" s="94">
        <f>IF($BN32=$BN33,-1,DatosHoy[[#This Row],[G ajus PM Q3]]-BU33)</f>
        <v>-1</v>
      </c>
      <c r="BD32" s="94">
        <f>IF($BN32=$BN33,-1,DatosHoy[[#This Row],[G+V ajus PM Q3]]-BV33)</f>
        <v>-1</v>
      </c>
      <c r="BE32" s="94">
        <f>IF($BN32=$BN33,-1,DatosHoy[[#This Row],[CT ajus PM Q3]]-BW33)</f>
        <v>-1</v>
      </c>
      <c r="BF32" s="94">
        <f ca="1">IF(DatosHoy[[#This Row],[G ajus PM Q3]]=DatosHoy[[#This Row],[G+V ajus PM Q3]],-1,DatosHoy[[#This Row],[G ajus PM Q3]]-DatosHoy[[#This Row],[G+V ajus PM Q3]])</f>
        <v>-128045.31318235025</v>
      </c>
      <c r="BG32" s="94">
        <f ca="1">IF(DatosHoy[[#This Row],[G+V ajus PM Q3]]=DatosHoy[[#This Row],[CT ajus PM Q3]],-1,DatosHoy[[#This Row],[G+V ajus PM Q3]]-DatosHoy[[#This Row],[CT ajus PM Q3]])</f>
        <v>-123776.96350260079</v>
      </c>
      <c r="BH32" s="94">
        <f ca="1">IF(DatosHoy[[#This Row],[G ajus PM Q1]]=DatosHoy[[#This Row],[G ajus PMd]],-1,DatosHoy[[#This Row],[G ajus PM Q1]]-DatosHoy[[#This Row],[G ajus PMd]])</f>
        <v>-143091.97112857085</v>
      </c>
      <c r="BI32" s="94">
        <f ca="1">IF(DatosHoy[[#This Row],[G+V ajus PM Q1]]=DatosHoy[[#This Row],[G+V ajus PM Md]],-1,DatosHoy[[#This Row],[G+V ajus PM Q1]]-DatosHoy[[#This Row],[G+V ajus PM Md]])</f>
        <v>-62842.71578289615</v>
      </c>
      <c r="BJ32" s="94">
        <f ca="1">IF(DatosHoy[[#This Row],[CT ajus PM Q1]]=DatosHoy[[#This Row],[CT ajus PM Md]],-1,DatosHoy[[#This Row],[CT ajus PM Q1]]-DatosHoy[[#This Row],[CT ajus PM Md]])</f>
        <v>-142414.32754684472</v>
      </c>
      <c r="BK32" s="94">
        <f ca="1">IF(DatosHoy[[#This Row],[G ajus PMd]]=DatosHoy[[#This Row],[G ajus PM Q3]],-1,DatosHoy[[#This Row],[G ajus PMd]]-DatosHoy[[#This Row],[G ajus PM Q3]])</f>
        <v>-1574247.9557536608</v>
      </c>
      <c r="BL32" s="94">
        <f ca="1">IF(DatosHoy[[#This Row],[G+V ajus PM Md]]=DatosHoy[[#This Row],[G+V ajus PM Q3]],-1,DatosHoy[[#This Row],[G+V ajus PM Md]]-DatosHoy[[#This Row],[G+V ajus PM Q3]])</f>
        <v>-1684270.4688807866</v>
      </c>
      <c r="BM32" s="94">
        <f ca="1">IF(DatosHoy[[#This Row],[CT ajus PM Md]]=DatosHoy[[#This Row],[CT ajus PM Q3]],-1,DatosHoy[[#This Row],[CT ajus PM Md]]-DatosHoy[[#This Row],[CT ajus PM Q3]])</f>
        <v>-1614543.152008269</v>
      </c>
      <c r="BN32" s="74">
        <v>217</v>
      </c>
      <c r="BO32" s="94">
        <f ca="1">IFERROR(VLOOKUP($BN32,'Regresion Q1'!$T$6:$V$10,2,1)*$BN32+VLOOKUP($BN32,'Regresion Q1'!$T$6:$V$10,3,1),VLOOKUP(MIN(DatosHoy[Puntos]),'Regresion Q1'!$T$6:$V$10,2,1)*$BN32+VLOOKUP(MIN(DatosHoy[Puntos]),'Regresion Q1'!$T$6:$V$10,3,1))</f>
        <v>2761640.3835342657</v>
      </c>
      <c r="BP32" s="94">
        <f ca="1">IFERROR(VLOOKUP($BN32,'Regresion Q1'!$W$6:$Y$10,2,1)*$BN32+VLOOKUP($BN32,'Regresion Q1'!$W$6:$Y$10,3,1),VLOOKUP(MIN(DatosHoy[Puntos]),'Regresion Q1'!$W$6:$Y$10,2,1)*$BN32+VLOOKUP(MIN(DatosHoy[Puntos]),'Regresion Q1'!$W$6:$Y$10,3,1))</f>
        <v>2859912.4389351648</v>
      </c>
      <c r="BQ32" s="94">
        <f ca="1">IFERROR(VLOOKUP($BN32,'Regresion Q1'!$Z$6:$AB$10,2,1)*$BN32+VLOOKUP($BN32,'Regresion Q1'!$Z$6:$AB$10,3,1),VLOOKUP(MIN(DatosHoy[Puntos]),'Regresion Q1'!$Z$6:$AB$10,2,1)*$BN32+VLOOKUP(MIN(DatosHoy[Puntos]),'Regresion Q1'!$Z$6:$AB$10,3,1))</f>
        <v>2973845.1075463346</v>
      </c>
      <c r="BR32" s="94">
        <f ca="1">IFERROR(VLOOKUP($BN32,'Regresion Md'!$T$6:$V$10,2,1)*$BN32+VLOOKUP($BN32,'Regresion Md'!$T$6:$V$10,3,1),VLOOKUP(MIN(DatosHoy[Puntos]),'Regresion Md'!$T$6:$V$10,2,1)*$BN32+VLOOKUP(MIN(DatosHoy[Puntos]),'Regresion Md'!$T$6:$V$10,3,1))</f>
        <v>2904732.3546628365</v>
      </c>
      <c r="BS32" s="94">
        <f ca="1">IFERROR(VLOOKUP($BN32,'Regresion Md'!$W$6:$Y$10,2,1)*$BN32+VLOOKUP($BN32,'Regresion Md'!$W$6:$Y$10,3,1),VLOOKUP(MIN(DatosHoy[Puntos]),'Regresion Md'!$W$6:$Y$10,2,1)*$BN32+VLOOKUP(MIN(DatosHoy[Puntos]),'Regresion Md'!$W$6:$Y$10,3,1))</f>
        <v>2922755.154718061</v>
      </c>
      <c r="BT32" s="94">
        <f ca="1">IFERROR(VLOOKUP($BN32,'Regresion Md'!$Z$6:$AB$10,2,1)*$BN32+VLOOKUP($BN32,'Regresion Md'!$Z$6:$AB$10,3,1),VLOOKUP(MIN(DatosHoy[Puntos]),'Regresion Md'!$Z$6:$AB$10,2,1)*$BN32+VLOOKUP(MIN(DatosHoy[Puntos]),'Regresion Md'!$Z$6:$AB$10,3,1))</f>
        <v>3116259.4350931793</v>
      </c>
      <c r="BU32" s="94">
        <f ca="1">IFERROR(VLOOKUP($BN32,'Regresion Q3'!$T$6:$V$10,2,1)*$BN32+VLOOKUP($BN32,'Regresion Q3'!$T$6:$V$10,3,1),VLOOKUP(MIN(DatosHoy[Puntos]),'Regresion Q3'!$T$6:$V$10,2,1)*$BN32+VLOOKUP(MIN(DatosHoy[Puntos]),'Regresion Q3'!$T$6:$V$10,3,1))</f>
        <v>4478980.3104164973</v>
      </c>
      <c r="BV32" s="94">
        <f ca="1">IFERROR(VLOOKUP($BN32,'Regresion Q3'!$W$6:$Y$10,2,1)*$BN32+VLOOKUP($BN32,'Regresion Q3'!$W$6:$Y$10,3,1),VLOOKUP(MIN(DatosHoy[Puntos]),'Regresion Q3'!$W$6:$Y$10,2,1)*$BN32+VLOOKUP(MIN(DatosHoy[Puntos]),'Regresion Q3'!$W$6:$Y$10,3,1))</f>
        <v>4607025.6235988475</v>
      </c>
      <c r="BW32" s="94">
        <f ca="1">IFERROR(VLOOKUP($BN32,'Regresion Q3'!$Z$6:$AB$10,2,1)*$BN32+VLOOKUP($BN32,'Regresion Q3'!$Z$6:$AB$10,3,1),VLOOKUP(MIN(DatosHoy[Puntos]),'Regresion Q3'!$Z$6:$AB$10,2,1)*$BN32+VLOOKUP(MIN(DatosHoy[Puntos]),'Regresion Q3'!$Z$6:$AB$10,3,1))</f>
        <v>4730802.5871014483</v>
      </c>
      <c r="BX32" s="96">
        <f ca="1">DatosHoy[[#This Row],[CT Actual]]/DatosHoy[[#This Row],[CT ajus PM Md]]</f>
        <v>0.90772759422561322</v>
      </c>
      <c r="BY32" s="125" t="str">
        <f>VLOOKUP(DatosHoy[[#This Row],[Cargo Valorado]],Estadísticos[[Cargo]:[Nivel]],2,FALSE)</f>
        <v>Soporte</v>
      </c>
      <c r="BZ32" s="96">
        <f>(DatosHoy[[#This Row],[G+V Actual]]-DatosHoy[[#This Row],[G Actual]])/DatosHoy[[#This Row],[CT Actual]]</f>
        <v>0</v>
      </c>
      <c r="CA32" s="96">
        <f>(DatosHoy[[#This Row],[CT Actual]]-DatosHoy[[#This Row],[G+V Actual]])/DatosHoy[[#This Row],[CT Actual]]</f>
        <v>0</v>
      </c>
      <c r="CB32" s="139" t="s">
        <v>255</v>
      </c>
    </row>
    <row r="33" spans="2:80" x14ac:dyDescent="0.25">
      <c r="B33" s="73">
        <f t="shared" si="0"/>
        <v>28</v>
      </c>
      <c r="C33" s="74">
        <v>3112292.1500000004</v>
      </c>
      <c r="D33" s="74">
        <v>3112292.1500000004</v>
      </c>
      <c r="E33" s="74">
        <v>3112292.1500000004</v>
      </c>
      <c r="F33" s="94">
        <f>VLOOKUP(DatosHoy[[#This Row],[Cargo Valorado]],Estadísticos[],3,0)</f>
        <v>2672266.4310655463</v>
      </c>
      <c r="G33" s="94">
        <f>VLOOKUP(DatosHoy[[#This Row],[Cargo Valorado]],Estadísticos[],4,0)</f>
        <v>2672266.4310655463</v>
      </c>
      <c r="H33" s="94">
        <f>VLOOKUP(DatosHoy[[#This Row],[Cargo Valorado]],Estadísticos[],5,0)</f>
        <v>3408344.0373264486</v>
      </c>
      <c r="I33" s="94">
        <f>VLOOKUP(DatosHoy[[#This Row],[Cargo Valorado]],Estadísticos[],6,0)</f>
        <v>3218969.4440750172</v>
      </c>
      <c r="J33" s="94">
        <f>VLOOKUP(DatosHoy[[#This Row],[Cargo Valorado]],Estadísticos[],7,0)</f>
        <v>3218969.4440750172</v>
      </c>
      <c r="K33" s="94">
        <f>VLOOKUP(DatosHoy[[#This Row],[Cargo Valorado]],Estadísticos[],8,0)</f>
        <v>4092166.7819472561</v>
      </c>
      <c r="L33" s="94">
        <f>VLOOKUP(DatosHoy[[#This Row],[Cargo Valorado]],Estadísticos[],9,0)</f>
        <v>5266912.2552505052</v>
      </c>
      <c r="M33" s="94">
        <f>VLOOKUP(DatosHoy[[#This Row],[Cargo Valorado]],Estadísticos[],10,0)</f>
        <v>5266912.2552505052</v>
      </c>
      <c r="N33" s="94">
        <f>VLOOKUP(DatosHoy[[#This Row],[Cargo Valorado]],Estadísticos[],11,0)</f>
        <v>5952690.5724646263</v>
      </c>
      <c r="O33" s="75" t="s">
        <v>236</v>
      </c>
      <c r="P33" s="75">
        <v>211</v>
      </c>
      <c r="Q33" s="95" t="str">
        <f t="shared" si="14"/>
        <v>$P$33</v>
      </c>
      <c r="R33" s="95" t="str">
        <f t="shared" si="15"/>
        <v>$F$33</v>
      </c>
      <c r="S33" s="95" t="str">
        <f t="shared" si="16"/>
        <v>$G$33</v>
      </c>
      <c r="T33" s="95" t="str">
        <f t="shared" si="17"/>
        <v>$H$33</v>
      </c>
      <c r="U33" s="95" t="str">
        <f t="shared" si="18"/>
        <v>$I$33</v>
      </c>
      <c r="V33" s="95" t="str">
        <f t="shared" si="19"/>
        <v>$J$33</v>
      </c>
      <c r="W33" s="95" t="str">
        <f t="shared" si="20"/>
        <v>$K$33</v>
      </c>
      <c r="X33" s="95" t="str">
        <f t="shared" si="21"/>
        <v>$L$33</v>
      </c>
      <c r="Y33" s="95" t="str">
        <f t="shared" si="22"/>
        <v>$M$33</v>
      </c>
      <c r="Z33" s="95" t="str">
        <f t="shared" si="23"/>
        <v>$N$33</v>
      </c>
      <c r="AA33" s="94">
        <f ca="1">VLOOKUP($P33,'Regresion Q1'!$E$6:$I$10,4,1)*$P33+VLOOKUP($P33,'Regresion Q1'!$E$6:$I$10,5,1)</f>
        <v>2715746.7775374549</v>
      </c>
      <c r="AB33" s="94">
        <f ca="1">VLOOKUP($P33,'Regresion Q1'!$J$6:$N$10,4,1)*$P33+VLOOKUP($P33,'Regresion Q1'!$J$6:$N$10,5,1)</f>
        <v>2773277.4596135751</v>
      </c>
      <c r="AC33" s="94">
        <f ca="1">VLOOKUP($P33,'Regresion Q1'!$O$6:$S$10,4,1)*$P33+VLOOKUP($P33,'Regresion Q1'!$O$6:$S$10,5,1)</f>
        <v>2940577.5972924414</v>
      </c>
      <c r="AD33" s="94">
        <f ca="1">VLOOKUP($P33,'Regresion Md'!$E$6:$I$10,4,1)*$P33+VLOOKUP($P33,'Regresion Md'!$E$6:$I$10,5,1)</f>
        <v>3056470.8812712063</v>
      </c>
      <c r="AE33" s="94">
        <f ca="1">VLOOKUP($P33,'Regresion Md'!$J$6:$N$10,4,1)*$P33+VLOOKUP($P33,'Regresion Md'!$J$6:$N$10,5,1)</f>
        <v>3166197.1542341444</v>
      </c>
      <c r="AF33" s="94">
        <f ca="1">VLOOKUP($P33,'Regresion Md'!$O$6:$S$10,4,1)*$P33+VLOOKUP($P33,'Regresion Md'!$O$6:$S$10,5,1)</f>
        <v>3394624.2772829612</v>
      </c>
      <c r="AG33" s="94">
        <f ca="1">VLOOKUP($P33,'Regresion Q3'!$E$6:$I$10,4,1)*$P33+VLOOKUP($P33,'Regresion Q3'!$E$6:$I$10,5,1)</f>
        <v>3736524.827209915</v>
      </c>
      <c r="AH33" s="94">
        <f ca="1">VLOOKUP($P33,'Regresion Q3'!$J$6:$N$10,4,1)*$P33+VLOOKUP($P33,'Regresion Q3'!$J$6:$N$10,5,1)</f>
        <v>3798792.4739779346</v>
      </c>
      <c r="AI33" s="94">
        <f ca="1">VLOOKUP($P33,'Regresion Q3'!$O$6:$S$10,4,1)*$P33+VLOOKUP($P33,'Regresion Q3'!$O$6:$S$10,5,1)</f>
        <v>3990427.9120704625</v>
      </c>
      <c r="AJ33" s="94">
        <f ca="1">VLOOKUP($P33,'Regresion Q1'!$T$6:$V$10,2,1)*$P33+VLOOKUP($P33,'Regresion Q1'!$T$6:$V$10,3,1)</f>
        <v>2701619.8753515547</v>
      </c>
      <c r="AK33" s="94">
        <f ca="1">VLOOKUP($P33,'Regresion Q1'!$W$6:$Y$10,2,1)*$P33+VLOOKUP($P33,'Regresion Q1'!$W$6:$Y$10,3,1)</f>
        <v>2799252.8702482376</v>
      </c>
      <c r="AL33" s="94">
        <f ca="1">VLOOKUP($P33,'Regresion Q1'!$Z$6:$AB$10,2,1)*$P33+VLOOKUP($P33,'Regresion Q1'!$Z$6:$AB$10,3,1)</f>
        <v>2910456.2407531026</v>
      </c>
      <c r="AM33" s="94">
        <f ca="1">VLOOKUP($P33,'Regresion Md'!$T$6:$V$10,2,1)*$P33+VLOOKUP($P33,'Regresion Md'!$T$6:$V$10,3,1)</f>
        <v>2845152.4659927967</v>
      </c>
      <c r="AN33" s="94">
        <f ca="1">VLOOKUP($P33,'Regresion Md'!$W$6:$Y$10,2,1)*$P33+VLOOKUP($P33,'Regresion Md'!$W$6:$Y$10,3,1)</f>
        <v>2865875.8336721016</v>
      </c>
      <c r="AO33" s="94">
        <f ca="1">VLOOKUP($P33,'Regresion Md'!$Z$6:$AB$10,2,1)*$P33+VLOOKUP($P33,'Regresion Md'!$Z$6:$AB$10,3,1)</f>
        <v>3052371.0476214564</v>
      </c>
      <c r="AP33" s="94">
        <f ca="1">VLOOKUP($P33,'Regresion Q3'!$T$6:$V$10,2,1)*$P33+VLOOKUP($P33,'Regresion Q3'!$T$6:$V$10,3,1)</f>
        <v>4368218.0405321959</v>
      </c>
      <c r="AQ33" s="94">
        <f ca="1">VLOOKUP($P33,'Regresion Q3'!$W$6:$Y$10,2,1)*$P33+VLOOKUP($P33,'Regresion Q3'!$W$6:$Y$10,3,1)</f>
        <v>4493654.8406990049</v>
      </c>
      <c r="AR33" s="94">
        <f ca="1">VLOOKUP($P33,'Regresion Q3'!$Z$6:$AB$10,2,1)*$P33+VLOOKUP($P33,'Regresion Q3'!$Z$6:$AB$10,3,1)</f>
        <v>4615298.2410864495</v>
      </c>
      <c r="AS33" s="94">
        <f>IF($BN33=$BN34,-1,DatosHoy[[#This Row],[G ajus PM Q1]]-BO34)</f>
        <v>-1</v>
      </c>
      <c r="AT33" s="94">
        <f>IF($BN33=$BN34,-1,DatosHoy[[#This Row],[G+V ajus PM Q1]]-BP34)</f>
        <v>-1</v>
      </c>
      <c r="AU33" s="94">
        <f>IF($BN33=$BN34,-1,DatosHoy[[#This Row],[CT ajus PM Q1]]-BQ34)</f>
        <v>-1</v>
      </c>
      <c r="AV33" s="94">
        <f ca="1">IF(DatosHoy[[#This Row],[G ajus PM Q1]]=DatosHoy[[#This Row],[G+V ajus PM Q1]],-1,DatosHoy[[#This Row],[G ajus PM Q1]]-DatosHoy[[#This Row],[G+V ajus PM Q1]])</f>
        <v>-98272.055400899146</v>
      </c>
      <c r="AW33" s="94">
        <f ca="1">IF(DatosHoy[[#This Row],[G+V ajus PM Q1]]=DatosHoy[[#This Row],[CT ajus PM Q1]],-1,DatosHoy[[#This Row],[G+V ajus PM Q1]]-DatosHoy[[#This Row],[CT ajus PM Q1]])</f>
        <v>-113932.66861116979</v>
      </c>
      <c r="AX33" s="94">
        <f>IF($BN33=$BN34,-1,DatosHoy[[#This Row],[G ajus PMd]]-BR34)</f>
        <v>-1</v>
      </c>
      <c r="AY33" s="94">
        <f>IF($BN33=$BN34,-1,DatosHoy[[#This Row],[G+V ajus PM Md]]-BS34)</f>
        <v>-1</v>
      </c>
      <c r="AZ33" s="94">
        <f>IF($BN33=$BN34,-1,DatosHoy[[#This Row],[CT ajus PM Md]]-BT34)</f>
        <v>-1</v>
      </c>
      <c r="BA33" s="94">
        <f ca="1">IF(DatosHoy[[#This Row],[G ajus PMd]]=DatosHoy[[#This Row],[G+V ajus PM Md]],-1,DatosHoy[[#This Row],[G ajus PMd]]-DatosHoy[[#This Row],[G+V ajus PM Md]])</f>
        <v>-18022.800055224448</v>
      </c>
      <c r="BB33" s="94">
        <f ca="1">IF(DatosHoy[[#This Row],[G+V ajus PM Md]]=DatosHoy[[#This Row],[CT ajus PM Md]],-1,DatosHoy[[#This Row],[G+V ajus PM Md]]-DatosHoy[[#This Row],[CT ajus PM Md]])</f>
        <v>-193504.28037511837</v>
      </c>
      <c r="BC33" s="94">
        <f>IF($BN33=$BN34,-1,DatosHoy[[#This Row],[G ajus PM Q3]]-BU34)</f>
        <v>-1</v>
      </c>
      <c r="BD33" s="94">
        <f>IF($BN33=$BN34,-1,DatosHoy[[#This Row],[G+V ajus PM Q3]]-BV34)</f>
        <v>-1</v>
      </c>
      <c r="BE33" s="94">
        <f>IF($BN33=$BN34,-1,DatosHoy[[#This Row],[CT ajus PM Q3]]-BW34)</f>
        <v>-1</v>
      </c>
      <c r="BF33" s="94">
        <f ca="1">IF(DatosHoy[[#This Row],[G ajus PM Q3]]=DatosHoy[[#This Row],[G+V ajus PM Q3]],-1,DatosHoy[[#This Row],[G ajus PM Q3]]-DatosHoy[[#This Row],[G+V ajus PM Q3]])</f>
        <v>-128045.31318235025</v>
      </c>
      <c r="BG33" s="94">
        <f ca="1">IF(DatosHoy[[#This Row],[G+V ajus PM Q3]]=DatosHoy[[#This Row],[CT ajus PM Q3]],-1,DatosHoy[[#This Row],[G+V ajus PM Q3]]-DatosHoy[[#This Row],[CT ajus PM Q3]])</f>
        <v>-123776.96350260079</v>
      </c>
      <c r="BH33" s="94">
        <f ca="1">IF(DatosHoy[[#This Row],[G ajus PM Q1]]=DatosHoy[[#This Row],[G ajus PMd]],-1,DatosHoy[[#This Row],[G ajus PM Q1]]-DatosHoy[[#This Row],[G ajus PMd]])</f>
        <v>-143091.97112857085</v>
      </c>
      <c r="BI33" s="94">
        <f ca="1">IF(DatosHoy[[#This Row],[G+V ajus PM Q1]]=DatosHoy[[#This Row],[G+V ajus PM Md]],-1,DatosHoy[[#This Row],[G+V ajus PM Q1]]-DatosHoy[[#This Row],[G+V ajus PM Md]])</f>
        <v>-62842.71578289615</v>
      </c>
      <c r="BJ33" s="94">
        <f ca="1">IF(DatosHoy[[#This Row],[CT ajus PM Q1]]=DatosHoy[[#This Row],[CT ajus PM Md]],-1,DatosHoy[[#This Row],[CT ajus PM Q1]]-DatosHoy[[#This Row],[CT ajus PM Md]])</f>
        <v>-142414.32754684472</v>
      </c>
      <c r="BK33" s="94">
        <f ca="1">IF(DatosHoy[[#This Row],[G ajus PMd]]=DatosHoy[[#This Row],[G ajus PM Q3]],-1,DatosHoy[[#This Row],[G ajus PMd]]-DatosHoy[[#This Row],[G ajus PM Q3]])</f>
        <v>-1574247.9557536608</v>
      </c>
      <c r="BL33" s="94">
        <f ca="1">IF(DatosHoy[[#This Row],[G+V ajus PM Md]]=DatosHoy[[#This Row],[G+V ajus PM Q3]],-1,DatosHoy[[#This Row],[G+V ajus PM Md]]-DatosHoy[[#This Row],[G+V ajus PM Q3]])</f>
        <v>-1684270.4688807866</v>
      </c>
      <c r="BM33" s="94">
        <f ca="1">IF(DatosHoy[[#This Row],[CT ajus PM Md]]=DatosHoy[[#This Row],[CT ajus PM Q3]],-1,DatosHoy[[#This Row],[CT ajus PM Md]]-DatosHoy[[#This Row],[CT ajus PM Q3]])</f>
        <v>-1614543.152008269</v>
      </c>
      <c r="BN33" s="74">
        <v>217</v>
      </c>
      <c r="BO33" s="94">
        <f ca="1">IFERROR(VLOOKUP($BN33,'Regresion Q1'!$T$6:$V$10,2,1)*$BN33+VLOOKUP($BN33,'Regresion Q1'!$T$6:$V$10,3,1),VLOOKUP(MIN(DatosHoy[Puntos]),'Regresion Q1'!$T$6:$V$10,2,1)*$BN33+VLOOKUP(MIN(DatosHoy[Puntos]),'Regresion Q1'!$T$6:$V$10,3,1))</f>
        <v>2761640.3835342657</v>
      </c>
      <c r="BP33" s="94">
        <f ca="1">IFERROR(VLOOKUP($BN33,'Regresion Q1'!$W$6:$Y$10,2,1)*$BN33+VLOOKUP($BN33,'Regresion Q1'!$W$6:$Y$10,3,1),VLOOKUP(MIN(DatosHoy[Puntos]),'Regresion Q1'!$W$6:$Y$10,2,1)*$BN33+VLOOKUP(MIN(DatosHoy[Puntos]),'Regresion Q1'!$W$6:$Y$10,3,1))</f>
        <v>2859912.4389351648</v>
      </c>
      <c r="BQ33" s="94">
        <f ca="1">IFERROR(VLOOKUP($BN33,'Regresion Q1'!$Z$6:$AB$10,2,1)*$BN33+VLOOKUP($BN33,'Regresion Q1'!$Z$6:$AB$10,3,1),VLOOKUP(MIN(DatosHoy[Puntos]),'Regresion Q1'!$Z$6:$AB$10,2,1)*$BN33+VLOOKUP(MIN(DatosHoy[Puntos]),'Regresion Q1'!$Z$6:$AB$10,3,1))</f>
        <v>2973845.1075463346</v>
      </c>
      <c r="BR33" s="94">
        <f ca="1">IFERROR(VLOOKUP($BN33,'Regresion Md'!$T$6:$V$10,2,1)*$BN33+VLOOKUP($BN33,'Regresion Md'!$T$6:$V$10,3,1),VLOOKUP(MIN(DatosHoy[Puntos]),'Regresion Md'!$T$6:$V$10,2,1)*$BN33+VLOOKUP(MIN(DatosHoy[Puntos]),'Regresion Md'!$T$6:$V$10,3,1))</f>
        <v>2904732.3546628365</v>
      </c>
      <c r="BS33" s="94">
        <f ca="1">IFERROR(VLOOKUP($BN33,'Regresion Md'!$W$6:$Y$10,2,1)*$BN33+VLOOKUP($BN33,'Regresion Md'!$W$6:$Y$10,3,1),VLOOKUP(MIN(DatosHoy[Puntos]),'Regresion Md'!$W$6:$Y$10,2,1)*$BN33+VLOOKUP(MIN(DatosHoy[Puntos]),'Regresion Md'!$W$6:$Y$10,3,1))</f>
        <v>2922755.154718061</v>
      </c>
      <c r="BT33" s="94">
        <f ca="1">IFERROR(VLOOKUP($BN33,'Regresion Md'!$Z$6:$AB$10,2,1)*$BN33+VLOOKUP($BN33,'Regresion Md'!$Z$6:$AB$10,3,1),VLOOKUP(MIN(DatosHoy[Puntos]),'Regresion Md'!$Z$6:$AB$10,2,1)*$BN33+VLOOKUP(MIN(DatosHoy[Puntos]),'Regresion Md'!$Z$6:$AB$10,3,1))</f>
        <v>3116259.4350931793</v>
      </c>
      <c r="BU33" s="94">
        <f ca="1">IFERROR(VLOOKUP($BN33,'Regresion Q3'!$T$6:$V$10,2,1)*$BN33+VLOOKUP($BN33,'Regresion Q3'!$T$6:$V$10,3,1),VLOOKUP(MIN(DatosHoy[Puntos]),'Regresion Q3'!$T$6:$V$10,2,1)*$BN33+VLOOKUP(MIN(DatosHoy[Puntos]),'Regresion Q3'!$T$6:$V$10,3,1))</f>
        <v>4478980.3104164973</v>
      </c>
      <c r="BV33" s="94">
        <f ca="1">IFERROR(VLOOKUP($BN33,'Regresion Q3'!$W$6:$Y$10,2,1)*$BN33+VLOOKUP($BN33,'Regresion Q3'!$W$6:$Y$10,3,1),VLOOKUP(MIN(DatosHoy[Puntos]),'Regresion Q3'!$W$6:$Y$10,2,1)*$BN33+VLOOKUP(MIN(DatosHoy[Puntos]),'Regresion Q3'!$W$6:$Y$10,3,1))</f>
        <v>4607025.6235988475</v>
      </c>
      <c r="BW33" s="94">
        <f ca="1">IFERROR(VLOOKUP($BN33,'Regresion Q3'!$Z$6:$AB$10,2,1)*$BN33+VLOOKUP($BN33,'Regresion Q3'!$Z$6:$AB$10,3,1),VLOOKUP(MIN(DatosHoy[Puntos]),'Regresion Q3'!$Z$6:$AB$10,2,1)*$BN33+VLOOKUP(MIN(DatosHoy[Puntos]),'Regresion Q3'!$Z$6:$AB$10,3,1))</f>
        <v>4730802.5871014483</v>
      </c>
      <c r="BX33" s="96">
        <f ca="1">DatosHoy[[#This Row],[CT Actual]]/DatosHoy[[#This Row],[CT ajus PM Md]]</f>
        <v>0.99872690795621755</v>
      </c>
      <c r="BY33" s="125" t="str">
        <f>VLOOKUP(DatosHoy[[#This Row],[Cargo Valorado]],Estadísticos[[Cargo]:[Nivel]],2,FALSE)</f>
        <v>Soporte</v>
      </c>
      <c r="BZ33" s="96">
        <f>(DatosHoy[[#This Row],[G+V Actual]]-DatosHoy[[#This Row],[G Actual]])/DatosHoy[[#This Row],[CT Actual]]</f>
        <v>0</v>
      </c>
      <c r="CA33" s="96">
        <f>(DatosHoy[[#This Row],[CT Actual]]-DatosHoy[[#This Row],[G+V Actual]])/DatosHoy[[#This Row],[CT Actual]]</f>
        <v>0</v>
      </c>
      <c r="CB33" s="139" t="s">
        <v>255</v>
      </c>
    </row>
    <row r="34" spans="2:80" x14ac:dyDescent="0.25">
      <c r="B34" s="73">
        <f t="shared" si="0"/>
        <v>29</v>
      </c>
      <c r="C34" s="74">
        <v>2828714.68</v>
      </c>
      <c r="D34" s="74">
        <v>2828714.68</v>
      </c>
      <c r="E34" s="74">
        <v>2828714.68</v>
      </c>
      <c r="F34" s="94">
        <f>VLOOKUP(DatosHoy[[#This Row],[Cargo Valorado]],Estadísticos[],3,0)</f>
        <v>3027637.6350595648</v>
      </c>
      <c r="G34" s="94">
        <f>VLOOKUP(DatosHoy[[#This Row],[Cargo Valorado]],Estadísticos[],4,0)</f>
        <v>3027637.6350595648</v>
      </c>
      <c r="H34" s="94">
        <f>VLOOKUP(DatosHoy[[#This Row],[Cargo Valorado]],Estadísticos[],5,0)</f>
        <v>3027637.6350595648</v>
      </c>
      <c r="I34" s="94">
        <f>VLOOKUP(DatosHoy[[#This Row],[Cargo Valorado]],Estadísticos[],6,0)</f>
        <v>3164659.8900880129</v>
      </c>
      <c r="J34" s="94">
        <f>VLOOKUP(DatosHoy[[#This Row],[Cargo Valorado]],Estadísticos[],7,0)</f>
        <v>3164659.8900880129</v>
      </c>
      <c r="K34" s="94">
        <f>VLOOKUP(DatosHoy[[#This Row],[Cargo Valorado]],Estadísticos[],8,0)</f>
        <v>3164659.8900880129</v>
      </c>
      <c r="L34" s="94">
        <f>VLOOKUP(DatosHoy[[#This Row],[Cargo Valorado]],Estadísticos[],9,0)</f>
        <v>3301682.145116461</v>
      </c>
      <c r="M34" s="94">
        <f>VLOOKUP(DatosHoy[[#This Row],[Cargo Valorado]],Estadísticos[],10,0)</f>
        <v>3301682.145116461</v>
      </c>
      <c r="N34" s="94">
        <f>VLOOKUP(DatosHoy[[#This Row],[Cargo Valorado]],Estadísticos[],11,0)</f>
        <v>3301682.145116461</v>
      </c>
      <c r="O34" s="75" t="s">
        <v>235</v>
      </c>
      <c r="P34" s="75">
        <v>212</v>
      </c>
      <c r="Q34" s="95" t="str">
        <f t="shared" si="14"/>
        <v>$P$34</v>
      </c>
      <c r="R34" s="95" t="str">
        <f t="shared" si="15"/>
        <v>$F$34</v>
      </c>
      <c r="S34" s="95" t="str">
        <f t="shared" si="16"/>
        <v>$G$34</v>
      </c>
      <c r="T34" s="95" t="str">
        <f t="shared" si="17"/>
        <v>$H$34</v>
      </c>
      <c r="U34" s="95" t="str">
        <f t="shared" si="18"/>
        <v>$I$34</v>
      </c>
      <c r="V34" s="95" t="str">
        <f t="shared" si="19"/>
        <v>$J$34</v>
      </c>
      <c r="W34" s="95" t="str">
        <f t="shared" si="20"/>
        <v>$K$34</v>
      </c>
      <c r="X34" s="95" t="str">
        <f t="shared" si="21"/>
        <v>$L$34</v>
      </c>
      <c r="Y34" s="95" t="str">
        <f t="shared" si="22"/>
        <v>$M$34</v>
      </c>
      <c r="Z34" s="95" t="str">
        <f t="shared" si="23"/>
        <v>$N$34</v>
      </c>
      <c r="AA34" s="94">
        <f ca="1">VLOOKUP($P34,'Regresion Q1'!$E$6:$I$10,4,1)*$P34+VLOOKUP($P34,'Regresion Q1'!$E$6:$I$10,5,1)</f>
        <v>2729199.0488964417</v>
      </c>
      <c r="AB34" s="94">
        <f ca="1">VLOOKUP($P34,'Regresion Q1'!$J$6:$N$10,4,1)*$P34+VLOOKUP($P34,'Regresion Q1'!$J$6:$N$10,5,1)</f>
        <v>2787115.7600040152</v>
      </c>
      <c r="AC34" s="94">
        <f ca="1">VLOOKUP($P34,'Regresion Q1'!$O$6:$S$10,4,1)*$P34+VLOOKUP($P34,'Regresion Q1'!$O$6:$S$10,5,1)</f>
        <v>2954857.7012425764</v>
      </c>
      <c r="AD34" s="94">
        <f ca="1">VLOOKUP($P34,'Regresion Md'!$E$6:$I$10,4,1)*$P34+VLOOKUP($P34,'Regresion Md'!$E$6:$I$10,5,1)</f>
        <v>3070176.6125798509</v>
      </c>
      <c r="AE34" s="94">
        <f ca="1">VLOOKUP($P34,'Regresion Md'!$J$6:$N$10,4,1)*$P34+VLOOKUP($P34,'Regresion Md'!$J$6:$N$10,5,1)</f>
        <v>3180830.6788819958</v>
      </c>
      <c r="AF34" s="94">
        <f ca="1">VLOOKUP($P34,'Regresion Md'!$O$6:$S$10,4,1)*$P34+VLOOKUP($P34,'Regresion Md'!$O$6:$S$10,5,1)</f>
        <v>3412037.4788381765</v>
      </c>
      <c r="AG34" s="94">
        <f ca="1">VLOOKUP($P34,'Regresion Q3'!$E$6:$I$10,4,1)*$P34+VLOOKUP($P34,'Regresion Q3'!$E$6:$I$10,5,1)</f>
        <v>3761417.615059278</v>
      </c>
      <c r="AH34" s="94">
        <f ca="1">VLOOKUP($P34,'Regresion Q3'!$J$6:$N$10,4,1)*$P34+VLOOKUP($P34,'Regresion Q3'!$J$6:$N$10,5,1)</f>
        <v>3823999.3257990219</v>
      </c>
      <c r="AI34" s="94">
        <f ca="1">VLOOKUP($P34,'Regresion Q3'!$O$6:$S$10,4,1)*$P34+VLOOKUP($P34,'Regresion Q3'!$O$6:$S$10,5,1)</f>
        <v>4015485.6225030087</v>
      </c>
      <c r="AJ34" s="94">
        <f ca="1">VLOOKUP($P34,'Regresion Q1'!$T$6:$V$10,2,1)*$P34+VLOOKUP($P34,'Regresion Q1'!$T$6:$V$10,3,1)</f>
        <v>2711623.2933820067</v>
      </c>
      <c r="AK34" s="94">
        <f ca="1">VLOOKUP($P34,'Regresion Q1'!$W$6:$Y$10,2,1)*$P34+VLOOKUP($P34,'Regresion Q1'!$W$6:$Y$10,3,1)</f>
        <v>2809362.7983627254</v>
      </c>
      <c r="AL34" s="94">
        <f ca="1">VLOOKUP($P34,'Regresion Q1'!$Z$6:$AB$10,2,1)*$P34+VLOOKUP($P34,'Regresion Q1'!$Z$6:$AB$10,3,1)</f>
        <v>2921021.0518853082</v>
      </c>
      <c r="AM34" s="94">
        <f ca="1">VLOOKUP($P34,'Regresion Md'!$T$6:$V$10,2,1)*$P34+VLOOKUP($P34,'Regresion Md'!$T$6:$V$10,3,1)</f>
        <v>2855082.4474378037</v>
      </c>
      <c r="AN34" s="94">
        <f ca="1">VLOOKUP($P34,'Regresion Md'!$W$6:$Y$10,2,1)*$P34+VLOOKUP($P34,'Regresion Md'!$W$6:$Y$10,3,1)</f>
        <v>2875355.7205130942</v>
      </c>
      <c r="AO34" s="94">
        <f ca="1">VLOOKUP($P34,'Regresion Md'!$Z$6:$AB$10,2,1)*$P34+VLOOKUP($P34,'Regresion Md'!$Z$6:$AB$10,3,1)</f>
        <v>3063019.1122000772</v>
      </c>
      <c r="AP34" s="94">
        <f ca="1">VLOOKUP($P34,'Regresion Q3'!$T$6:$V$10,2,1)*$P34+VLOOKUP($P34,'Regresion Q3'!$T$6:$V$10,3,1)</f>
        <v>4386678.4188462459</v>
      </c>
      <c r="AQ34" s="94">
        <f ca="1">VLOOKUP($P34,'Regresion Q3'!$W$6:$Y$10,2,1)*$P34+VLOOKUP($P34,'Regresion Q3'!$W$6:$Y$10,3,1)</f>
        <v>4512549.9711823119</v>
      </c>
      <c r="AR34" s="94">
        <f ca="1">VLOOKUP($P34,'Regresion Q3'!$Z$6:$AB$10,2,1)*$P34+VLOOKUP($P34,'Regresion Q3'!$Z$6:$AB$10,3,1)</f>
        <v>4634548.9654222829</v>
      </c>
      <c r="AS34" s="94">
        <f>IF($BN34=$BN35,-1,DatosHoy[[#This Row],[G ajus PM Q1]]-BO35)</f>
        <v>-1</v>
      </c>
      <c r="AT34" s="94">
        <f>IF($BN34=$BN35,-1,DatosHoy[[#This Row],[G+V ajus PM Q1]]-BP35)</f>
        <v>-1</v>
      </c>
      <c r="AU34" s="94">
        <f>IF($BN34=$BN35,-1,DatosHoy[[#This Row],[CT ajus PM Q1]]-BQ35)</f>
        <v>-1</v>
      </c>
      <c r="AV34" s="94">
        <f ca="1">IF(DatosHoy[[#This Row],[G ajus PM Q1]]=DatosHoy[[#This Row],[G+V ajus PM Q1]],-1,DatosHoy[[#This Row],[G ajus PM Q1]]-DatosHoy[[#This Row],[G+V ajus PM Q1]])</f>
        <v>-98272.055400899146</v>
      </c>
      <c r="AW34" s="94">
        <f ca="1">IF(DatosHoy[[#This Row],[G+V ajus PM Q1]]=DatosHoy[[#This Row],[CT ajus PM Q1]],-1,DatosHoy[[#This Row],[G+V ajus PM Q1]]-DatosHoy[[#This Row],[CT ajus PM Q1]])</f>
        <v>-113932.66861116979</v>
      </c>
      <c r="AX34" s="94">
        <f>IF($BN34=$BN35,-1,DatosHoy[[#This Row],[G ajus PMd]]-BR35)</f>
        <v>-1</v>
      </c>
      <c r="AY34" s="94">
        <f>IF($BN34=$BN35,-1,DatosHoy[[#This Row],[G+V ajus PM Md]]-BS35)</f>
        <v>-1</v>
      </c>
      <c r="AZ34" s="94">
        <f>IF($BN34=$BN35,-1,DatosHoy[[#This Row],[CT ajus PM Md]]-BT35)</f>
        <v>-1</v>
      </c>
      <c r="BA34" s="94">
        <f ca="1">IF(DatosHoy[[#This Row],[G ajus PMd]]=DatosHoy[[#This Row],[G+V ajus PM Md]],-1,DatosHoy[[#This Row],[G ajus PMd]]-DatosHoy[[#This Row],[G+V ajus PM Md]])</f>
        <v>-18022.800055224448</v>
      </c>
      <c r="BB34" s="94">
        <f ca="1">IF(DatosHoy[[#This Row],[G+V ajus PM Md]]=DatosHoy[[#This Row],[CT ajus PM Md]],-1,DatosHoy[[#This Row],[G+V ajus PM Md]]-DatosHoy[[#This Row],[CT ajus PM Md]])</f>
        <v>-193504.28037511837</v>
      </c>
      <c r="BC34" s="94">
        <f>IF($BN34=$BN35,-1,DatosHoy[[#This Row],[G ajus PM Q3]]-BU35)</f>
        <v>-1</v>
      </c>
      <c r="BD34" s="94">
        <f>IF($BN34=$BN35,-1,DatosHoy[[#This Row],[G+V ajus PM Q3]]-BV35)</f>
        <v>-1</v>
      </c>
      <c r="BE34" s="94">
        <f>IF($BN34=$BN35,-1,DatosHoy[[#This Row],[CT ajus PM Q3]]-BW35)</f>
        <v>-1</v>
      </c>
      <c r="BF34" s="94">
        <f ca="1">IF(DatosHoy[[#This Row],[G ajus PM Q3]]=DatosHoy[[#This Row],[G+V ajus PM Q3]],-1,DatosHoy[[#This Row],[G ajus PM Q3]]-DatosHoy[[#This Row],[G+V ajus PM Q3]])</f>
        <v>-128045.31318235025</v>
      </c>
      <c r="BG34" s="94">
        <f ca="1">IF(DatosHoy[[#This Row],[G+V ajus PM Q3]]=DatosHoy[[#This Row],[CT ajus PM Q3]],-1,DatosHoy[[#This Row],[G+V ajus PM Q3]]-DatosHoy[[#This Row],[CT ajus PM Q3]])</f>
        <v>-123776.96350260079</v>
      </c>
      <c r="BH34" s="94">
        <f ca="1">IF(DatosHoy[[#This Row],[G ajus PM Q1]]=DatosHoy[[#This Row],[G ajus PMd]],-1,DatosHoy[[#This Row],[G ajus PM Q1]]-DatosHoy[[#This Row],[G ajus PMd]])</f>
        <v>-143091.97112857085</v>
      </c>
      <c r="BI34" s="94">
        <f ca="1">IF(DatosHoy[[#This Row],[G+V ajus PM Q1]]=DatosHoy[[#This Row],[G+V ajus PM Md]],-1,DatosHoy[[#This Row],[G+V ajus PM Q1]]-DatosHoy[[#This Row],[G+V ajus PM Md]])</f>
        <v>-62842.71578289615</v>
      </c>
      <c r="BJ34" s="94">
        <f ca="1">IF(DatosHoy[[#This Row],[CT ajus PM Q1]]=DatosHoy[[#This Row],[CT ajus PM Md]],-1,DatosHoy[[#This Row],[CT ajus PM Q1]]-DatosHoy[[#This Row],[CT ajus PM Md]])</f>
        <v>-142414.32754684472</v>
      </c>
      <c r="BK34" s="94">
        <f ca="1">IF(DatosHoy[[#This Row],[G ajus PMd]]=DatosHoy[[#This Row],[G ajus PM Q3]],-1,DatosHoy[[#This Row],[G ajus PMd]]-DatosHoy[[#This Row],[G ajus PM Q3]])</f>
        <v>-1574247.9557536608</v>
      </c>
      <c r="BL34" s="94">
        <f ca="1">IF(DatosHoy[[#This Row],[G+V ajus PM Md]]=DatosHoy[[#This Row],[G+V ajus PM Q3]],-1,DatosHoy[[#This Row],[G+V ajus PM Md]]-DatosHoy[[#This Row],[G+V ajus PM Q3]])</f>
        <v>-1684270.4688807866</v>
      </c>
      <c r="BM34" s="94">
        <f ca="1">IF(DatosHoy[[#This Row],[CT ajus PM Md]]=DatosHoy[[#This Row],[CT ajus PM Q3]],-1,DatosHoy[[#This Row],[CT ajus PM Md]]-DatosHoy[[#This Row],[CT ajus PM Q3]])</f>
        <v>-1614543.152008269</v>
      </c>
      <c r="BN34" s="74">
        <v>217</v>
      </c>
      <c r="BO34" s="94">
        <f ca="1">IFERROR(VLOOKUP($BN34,'Regresion Q1'!$T$6:$V$10,2,1)*$BN34+VLOOKUP($BN34,'Regresion Q1'!$T$6:$V$10,3,1),VLOOKUP(MIN(DatosHoy[Puntos]),'Regresion Q1'!$T$6:$V$10,2,1)*$BN34+VLOOKUP(MIN(DatosHoy[Puntos]),'Regresion Q1'!$T$6:$V$10,3,1))</f>
        <v>2761640.3835342657</v>
      </c>
      <c r="BP34" s="94">
        <f ca="1">IFERROR(VLOOKUP($BN34,'Regresion Q1'!$W$6:$Y$10,2,1)*$BN34+VLOOKUP($BN34,'Regresion Q1'!$W$6:$Y$10,3,1),VLOOKUP(MIN(DatosHoy[Puntos]),'Regresion Q1'!$W$6:$Y$10,2,1)*$BN34+VLOOKUP(MIN(DatosHoy[Puntos]),'Regresion Q1'!$W$6:$Y$10,3,1))</f>
        <v>2859912.4389351648</v>
      </c>
      <c r="BQ34" s="94">
        <f ca="1">IFERROR(VLOOKUP($BN34,'Regresion Q1'!$Z$6:$AB$10,2,1)*$BN34+VLOOKUP($BN34,'Regresion Q1'!$Z$6:$AB$10,3,1),VLOOKUP(MIN(DatosHoy[Puntos]),'Regresion Q1'!$Z$6:$AB$10,2,1)*$BN34+VLOOKUP(MIN(DatosHoy[Puntos]),'Regresion Q1'!$Z$6:$AB$10,3,1))</f>
        <v>2973845.1075463346</v>
      </c>
      <c r="BR34" s="94">
        <f ca="1">IFERROR(VLOOKUP($BN34,'Regresion Md'!$T$6:$V$10,2,1)*$BN34+VLOOKUP($BN34,'Regresion Md'!$T$6:$V$10,3,1),VLOOKUP(MIN(DatosHoy[Puntos]),'Regresion Md'!$T$6:$V$10,2,1)*$BN34+VLOOKUP(MIN(DatosHoy[Puntos]),'Regresion Md'!$T$6:$V$10,3,1))</f>
        <v>2904732.3546628365</v>
      </c>
      <c r="BS34" s="94">
        <f ca="1">IFERROR(VLOOKUP($BN34,'Regresion Md'!$W$6:$Y$10,2,1)*$BN34+VLOOKUP($BN34,'Regresion Md'!$W$6:$Y$10,3,1),VLOOKUP(MIN(DatosHoy[Puntos]),'Regresion Md'!$W$6:$Y$10,2,1)*$BN34+VLOOKUP(MIN(DatosHoy[Puntos]),'Regresion Md'!$W$6:$Y$10,3,1))</f>
        <v>2922755.154718061</v>
      </c>
      <c r="BT34" s="94">
        <f ca="1">IFERROR(VLOOKUP($BN34,'Regresion Md'!$Z$6:$AB$10,2,1)*$BN34+VLOOKUP($BN34,'Regresion Md'!$Z$6:$AB$10,3,1),VLOOKUP(MIN(DatosHoy[Puntos]),'Regresion Md'!$Z$6:$AB$10,2,1)*$BN34+VLOOKUP(MIN(DatosHoy[Puntos]),'Regresion Md'!$Z$6:$AB$10,3,1))</f>
        <v>3116259.4350931793</v>
      </c>
      <c r="BU34" s="94">
        <f ca="1">IFERROR(VLOOKUP($BN34,'Regresion Q3'!$T$6:$V$10,2,1)*$BN34+VLOOKUP($BN34,'Regresion Q3'!$T$6:$V$10,3,1),VLOOKUP(MIN(DatosHoy[Puntos]),'Regresion Q3'!$T$6:$V$10,2,1)*$BN34+VLOOKUP(MIN(DatosHoy[Puntos]),'Regresion Q3'!$T$6:$V$10,3,1))</f>
        <v>4478980.3104164973</v>
      </c>
      <c r="BV34" s="94">
        <f ca="1">IFERROR(VLOOKUP($BN34,'Regresion Q3'!$W$6:$Y$10,2,1)*$BN34+VLOOKUP($BN34,'Regresion Q3'!$W$6:$Y$10,3,1),VLOOKUP(MIN(DatosHoy[Puntos]),'Regresion Q3'!$W$6:$Y$10,2,1)*$BN34+VLOOKUP(MIN(DatosHoy[Puntos]),'Regresion Q3'!$W$6:$Y$10,3,1))</f>
        <v>4607025.6235988475</v>
      </c>
      <c r="BW34" s="94">
        <f ca="1">IFERROR(VLOOKUP($BN34,'Regresion Q3'!$Z$6:$AB$10,2,1)*$BN34+VLOOKUP($BN34,'Regresion Q3'!$Z$6:$AB$10,3,1),VLOOKUP(MIN(DatosHoy[Puntos]),'Regresion Q3'!$Z$6:$AB$10,2,1)*$BN34+VLOOKUP(MIN(DatosHoy[Puntos]),'Regresion Q3'!$Z$6:$AB$10,3,1))</f>
        <v>4730802.5871014483</v>
      </c>
      <c r="BX34" s="96">
        <f ca="1">DatosHoy[[#This Row],[CT Actual]]/DatosHoy[[#This Row],[CT ajus PM Md]]</f>
        <v>0.90772759422561322</v>
      </c>
      <c r="BY34" s="125" t="str">
        <f>VLOOKUP(DatosHoy[[#This Row],[Cargo Valorado]],Estadísticos[[Cargo]:[Nivel]],2,FALSE)</f>
        <v>Soporte</v>
      </c>
      <c r="BZ34" s="96">
        <f>(DatosHoy[[#This Row],[G+V Actual]]-DatosHoy[[#This Row],[G Actual]])/DatosHoy[[#This Row],[CT Actual]]</f>
        <v>0</v>
      </c>
      <c r="CA34" s="96">
        <f>(DatosHoy[[#This Row],[CT Actual]]-DatosHoy[[#This Row],[G+V Actual]])/DatosHoy[[#This Row],[CT Actual]]</f>
        <v>0</v>
      </c>
      <c r="CB34" s="139" t="s">
        <v>255</v>
      </c>
    </row>
    <row r="35" spans="2:80" x14ac:dyDescent="0.25">
      <c r="B35" s="73">
        <f t="shared" si="0"/>
        <v>30</v>
      </c>
      <c r="C35" s="74">
        <v>2828714.68</v>
      </c>
      <c r="D35" s="74">
        <v>2828714.68</v>
      </c>
      <c r="E35" s="74">
        <v>2828714.68</v>
      </c>
      <c r="F35" s="94">
        <f>VLOOKUP(DatosHoy[[#This Row],[Cargo Valorado]],Estadísticos[],3,0)</f>
        <v>3027637.6350595648</v>
      </c>
      <c r="G35" s="94">
        <f>VLOOKUP(DatosHoy[[#This Row],[Cargo Valorado]],Estadísticos[],4,0)</f>
        <v>3027637.6350595648</v>
      </c>
      <c r="H35" s="94">
        <f>VLOOKUP(DatosHoy[[#This Row],[Cargo Valorado]],Estadísticos[],5,0)</f>
        <v>3027637.6350595648</v>
      </c>
      <c r="I35" s="94">
        <f>VLOOKUP(DatosHoy[[#This Row],[Cargo Valorado]],Estadísticos[],6,0)</f>
        <v>3164659.8900880129</v>
      </c>
      <c r="J35" s="94">
        <f>VLOOKUP(DatosHoy[[#This Row],[Cargo Valorado]],Estadísticos[],7,0)</f>
        <v>3164659.8900880129</v>
      </c>
      <c r="K35" s="94">
        <f>VLOOKUP(DatosHoy[[#This Row],[Cargo Valorado]],Estadísticos[],8,0)</f>
        <v>3164659.8900880129</v>
      </c>
      <c r="L35" s="94">
        <f>VLOOKUP(DatosHoy[[#This Row],[Cargo Valorado]],Estadísticos[],9,0)</f>
        <v>3301682.145116461</v>
      </c>
      <c r="M35" s="94">
        <f>VLOOKUP(DatosHoy[[#This Row],[Cargo Valorado]],Estadísticos[],10,0)</f>
        <v>3301682.145116461</v>
      </c>
      <c r="N35" s="94">
        <f>VLOOKUP(DatosHoy[[#This Row],[Cargo Valorado]],Estadísticos[],11,0)</f>
        <v>3301682.145116461</v>
      </c>
      <c r="O35" s="75" t="s">
        <v>235</v>
      </c>
      <c r="P35" s="75">
        <v>212</v>
      </c>
      <c r="Q35" s="95" t="str">
        <f t="shared" si="14"/>
        <v>$P$35</v>
      </c>
      <c r="R35" s="95" t="str">
        <f t="shared" si="15"/>
        <v>$F$35</v>
      </c>
      <c r="S35" s="95" t="str">
        <f t="shared" si="16"/>
        <v>$G$35</v>
      </c>
      <c r="T35" s="95" t="str">
        <f t="shared" si="17"/>
        <v>$H$35</v>
      </c>
      <c r="U35" s="95" t="str">
        <f t="shared" si="18"/>
        <v>$I$35</v>
      </c>
      <c r="V35" s="95" t="str">
        <f t="shared" si="19"/>
        <v>$J$35</v>
      </c>
      <c r="W35" s="95" t="str">
        <f t="shared" si="20"/>
        <v>$K$35</v>
      </c>
      <c r="X35" s="95" t="str">
        <f t="shared" si="21"/>
        <v>$L$35</v>
      </c>
      <c r="Y35" s="95" t="str">
        <f t="shared" si="22"/>
        <v>$M$35</v>
      </c>
      <c r="Z35" s="95" t="str">
        <f t="shared" si="23"/>
        <v>$N$35</v>
      </c>
      <c r="AA35" s="94">
        <f ca="1">VLOOKUP($P35,'Regresion Q1'!$E$6:$I$10,4,1)*$P35+VLOOKUP($P35,'Regresion Q1'!$E$6:$I$10,5,1)</f>
        <v>2729199.0488964417</v>
      </c>
      <c r="AB35" s="94">
        <f ca="1">VLOOKUP($P35,'Regresion Q1'!$J$6:$N$10,4,1)*$P35+VLOOKUP($P35,'Regresion Q1'!$J$6:$N$10,5,1)</f>
        <v>2787115.7600040152</v>
      </c>
      <c r="AC35" s="94">
        <f ca="1">VLOOKUP($P35,'Regresion Q1'!$O$6:$S$10,4,1)*$P35+VLOOKUP($P35,'Regresion Q1'!$O$6:$S$10,5,1)</f>
        <v>2954857.7012425764</v>
      </c>
      <c r="AD35" s="94">
        <f ca="1">VLOOKUP($P35,'Regresion Md'!$E$6:$I$10,4,1)*$P35+VLOOKUP($P35,'Regresion Md'!$E$6:$I$10,5,1)</f>
        <v>3070176.6125798509</v>
      </c>
      <c r="AE35" s="94">
        <f ca="1">VLOOKUP($P35,'Regresion Md'!$J$6:$N$10,4,1)*$P35+VLOOKUP($P35,'Regresion Md'!$J$6:$N$10,5,1)</f>
        <v>3180830.6788819958</v>
      </c>
      <c r="AF35" s="94">
        <f ca="1">VLOOKUP($P35,'Regresion Md'!$O$6:$S$10,4,1)*$P35+VLOOKUP($P35,'Regresion Md'!$O$6:$S$10,5,1)</f>
        <v>3412037.4788381765</v>
      </c>
      <c r="AG35" s="94">
        <f ca="1">VLOOKUP($P35,'Regresion Q3'!$E$6:$I$10,4,1)*$P35+VLOOKUP($P35,'Regresion Q3'!$E$6:$I$10,5,1)</f>
        <v>3761417.615059278</v>
      </c>
      <c r="AH35" s="94">
        <f ca="1">VLOOKUP($P35,'Regresion Q3'!$J$6:$N$10,4,1)*$P35+VLOOKUP($P35,'Regresion Q3'!$J$6:$N$10,5,1)</f>
        <v>3823999.3257990219</v>
      </c>
      <c r="AI35" s="94">
        <f ca="1">VLOOKUP($P35,'Regresion Q3'!$O$6:$S$10,4,1)*$P35+VLOOKUP($P35,'Regresion Q3'!$O$6:$S$10,5,1)</f>
        <v>4015485.6225030087</v>
      </c>
      <c r="AJ35" s="94">
        <f ca="1">VLOOKUP($P35,'Regresion Q1'!$T$6:$V$10,2,1)*$P35+VLOOKUP($P35,'Regresion Q1'!$T$6:$V$10,3,1)</f>
        <v>2711623.2933820067</v>
      </c>
      <c r="AK35" s="94">
        <f ca="1">VLOOKUP($P35,'Regresion Q1'!$W$6:$Y$10,2,1)*$P35+VLOOKUP($P35,'Regresion Q1'!$W$6:$Y$10,3,1)</f>
        <v>2809362.7983627254</v>
      </c>
      <c r="AL35" s="94">
        <f ca="1">VLOOKUP($P35,'Regresion Q1'!$Z$6:$AB$10,2,1)*$P35+VLOOKUP($P35,'Regresion Q1'!$Z$6:$AB$10,3,1)</f>
        <v>2921021.0518853082</v>
      </c>
      <c r="AM35" s="94">
        <f ca="1">VLOOKUP($P35,'Regresion Md'!$T$6:$V$10,2,1)*$P35+VLOOKUP($P35,'Regresion Md'!$T$6:$V$10,3,1)</f>
        <v>2855082.4474378037</v>
      </c>
      <c r="AN35" s="94">
        <f ca="1">VLOOKUP($P35,'Regresion Md'!$W$6:$Y$10,2,1)*$P35+VLOOKUP($P35,'Regresion Md'!$W$6:$Y$10,3,1)</f>
        <v>2875355.7205130942</v>
      </c>
      <c r="AO35" s="94">
        <f ca="1">VLOOKUP($P35,'Regresion Md'!$Z$6:$AB$10,2,1)*$P35+VLOOKUP($P35,'Regresion Md'!$Z$6:$AB$10,3,1)</f>
        <v>3063019.1122000772</v>
      </c>
      <c r="AP35" s="94">
        <f ca="1">VLOOKUP($P35,'Regresion Q3'!$T$6:$V$10,2,1)*$P35+VLOOKUP($P35,'Regresion Q3'!$T$6:$V$10,3,1)</f>
        <v>4386678.4188462459</v>
      </c>
      <c r="AQ35" s="94">
        <f ca="1">VLOOKUP($P35,'Regresion Q3'!$W$6:$Y$10,2,1)*$P35+VLOOKUP($P35,'Regresion Q3'!$W$6:$Y$10,3,1)</f>
        <v>4512549.9711823119</v>
      </c>
      <c r="AR35" s="94">
        <f ca="1">VLOOKUP($P35,'Regresion Q3'!$Z$6:$AB$10,2,1)*$P35+VLOOKUP($P35,'Regresion Q3'!$Z$6:$AB$10,3,1)</f>
        <v>4634548.9654222829</v>
      </c>
      <c r="AS35" s="94">
        <f>IF($BN35=$BN36,-1,DatosHoy[[#This Row],[G ajus PM Q1]]-BO36)</f>
        <v>-1</v>
      </c>
      <c r="AT35" s="94">
        <f>IF($BN35=$BN36,-1,DatosHoy[[#This Row],[G+V ajus PM Q1]]-BP36)</f>
        <v>-1</v>
      </c>
      <c r="AU35" s="94">
        <f>IF($BN35=$BN36,-1,DatosHoy[[#This Row],[CT ajus PM Q1]]-BQ36)</f>
        <v>-1</v>
      </c>
      <c r="AV35" s="94">
        <f ca="1">IF(DatosHoy[[#This Row],[G ajus PM Q1]]=DatosHoy[[#This Row],[G+V ajus PM Q1]],-1,DatosHoy[[#This Row],[G ajus PM Q1]]-DatosHoy[[#This Row],[G+V ajus PM Q1]])</f>
        <v>-98272.055400899146</v>
      </c>
      <c r="AW35" s="94">
        <f ca="1">IF(DatosHoy[[#This Row],[G+V ajus PM Q1]]=DatosHoy[[#This Row],[CT ajus PM Q1]],-1,DatosHoy[[#This Row],[G+V ajus PM Q1]]-DatosHoy[[#This Row],[CT ajus PM Q1]])</f>
        <v>-113932.66861116979</v>
      </c>
      <c r="AX35" s="94">
        <f>IF($BN35=$BN36,-1,DatosHoy[[#This Row],[G ajus PMd]]-BR36)</f>
        <v>-1</v>
      </c>
      <c r="AY35" s="94">
        <f>IF($BN35=$BN36,-1,DatosHoy[[#This Row],[G+V ajus PM Md]]-BS36)</f>
        <v>-1</v>
      </c>
      <c r="AZ35" s="94">
        <f>IF($BN35=$BN36,-1,DatosHoy[[#This Row],[CT ajus PM Md]]-BT36)</f>
        <v>-1</v>
      </c>
      <c r="BA35" s="94">
        <f ca="1">IF(DatosHoy[[#This Row],[G ajus PMd]]=DatosHoy[[#This Row],[G+V ajus PM Md]],-1,DatosHoy[[#This Row],[G ajus PMd]]-DatosHoy[[#This Row],[G+V ajus PM Md]])</f>
        <v>-18022.800055224448</v>
      </c>
      <c r="BB35" s="94">
        <f ca="1">IF(DatosHoy[[#This Row],[G+V ajus PM Md]]=DatosHoy[[#This Row],[CT ajus PM Md]],-1,DatosHoy[[#This Row],[G+V ajus PM Md]]-DatosHoy[[#This Row],[CT ajus PM Md]])</f>
        <v>-193504.28037511837</v>
      </c>
      <c r="BC35" s="94">
        <f>IF($BN35=$BN36,-1,DatosHoy[[#This Row],[G ajus PM Q3]]-BU36)</f>
        <v>-1</v>
      </c>
      <c r="BD35" s="94">
        <f>IF($BN35=$BN36,-1,DatosHoy[[#This Row],[G+V ajus PM Q3]]-BV36)</f>
        <v>-1</v>
      </c>
      <c r="BE35" s="94">
        <f>IF($BN35=$BN36,-1,DatosHoy[[#This Row],[CT ajus PM Q3]]-BW36)</f>
        <v>-1</v>
      </c>
      <c r="BF35" s="94">
        <f ca="1">IF(DatosHoy[[#This Row],[G ajus PM Q3]]=DatosHoy[[#This Row],[G+V ajus PM Q3]],-1,DatosHoy[[#This Row],[G ajus PM Q3]]-DatosHoy[[#This Row],[G+V ajus PM Q3]])</f>
        <v>-128045.31318235025</v>
      </c>
      <c r="BG35" s="94">
        <f ca="1">IF(DatosHoy[[#This Row],[G+V ajus PM Q3]]=DatosHoy[[#This Row],[CT ajus PM Q3]],-1,DatosHoy[[#This Row],[G+V ajus PM Q3]]-DatosHoy[[#This Row],[CT ajus PM Q3]])</f>
        <v>-123776.96350260079</v>
      </c>
      <c r="BH35" s="94">
        <f ca="1">IF(DatosHoy[[#This Row],[G ajus PM Q1]]=DatosHoy[[#This Row],[G ajus PMd]],-1,DatosHoy[[#This Row],[G ajus PM Q1]]-DatosHoy[[#This Row],[G ajus PMd]])</f>
        <v>-143091.97112857085</v>
      </c>
      <c r="BI35" s="94">
        <f ca="1">IF(DatosHoy[[#This Row],[G+V ajus PM Q1]]=DatosHoy[[#This Row],[G+V ajus PM Md]],-1,DatosHoy[[#This Row],[G+V ajus PM Q1]]-DatosHoy[[#This Row],[G+V ajus PM Md]])</f>
        <v>-62842.71578289615</v>
      </c>
      <c r="BJ35" s="94">
        <f ca="1">IF(DatosHoy[[#This Row],[CT ajus PM Q1]]=DatosHoy[[#This Row],[CT ajus PM Md]],-1,DatosHoy[[#This Row],[CT ajus PM Q1]]-DatosHoy[[#This Row],[CT ajus PM Md]])</f>
        <v>-142414.32754684472</v>
      </c>
      <c r="BK35" s="94">
        <f ca="1">IF(DatosHoy[[#This Row],[G ajus PMd]]=DatosHoy[[#This Row],[G ajus PM Q3]],-1,DatosHoy[[#This Row],[G ajus PMd]]-DatosHoy[[#This Row],[G ajus PM Q3]])</f>
        <v>-1574247.9557536608</v>
      </c>
      <c r="BL35" s="94">
        <f ca="1">IF(DatosHoy[[#This Row],[G+V ajus PM Md]]=DatosHoy[[#This Row],[G+V ajus PM Q3]],-1,DatosHoy[[#This Row],[G+V ajus PM Md]]-DatosHoy[[#This Row],[G+V ajus PM Q3]])</f>
        <v>-1684270.4688807866</v>
      </c>
      <c r="BM35" s="94">
        <f ca="1">IF(DatosHoy[[#This Row],[CT ajus PM Md]]=DatosHoy[[#This Row],[CT ajus PM Q3]],-1,DatosHoy[[#This Row],[CT ajus PM Md]]-DatosHoy[[#This Row],[CT ajus PM Q3]])</f>
        <v>-1614543.152008269</v>
      </c>
      <c r="BN35" s="74">
        <v>217</v>
      </c>
      <c r="BO35" s="94">
        <f ca="1">IFERROR(VLOOKUP($BN35,'Regresion Q1'!$T$6:$V$10,2,1)*$BN35+VLOOKUP($BN35,'Regresion Q1'!$T$6:$V$10,3,1),VLOOKUP(MIN(DatosHoy[Puntos]),'Regresion Q1'!$T$6:$V$10,2,1)*$BN35+VLOOKUP(MIN(DatosHoy[Puntos]),'Regresion Q1'!$T$6:$V$10,3,1))</f>
        <v>2761640.3835342657</v>
      </c>
      <c r="BP35" s="94">
        <f ca="1">IFERROR(VLOOKUP($BN35,'Regresion Q1'!$W$6:$Y$10,2,1)*$BN35+VLOOKUP($BN35,'Regresion Q1'!$W$6:$Y$10,3,1),VLOOKUP(MIN(DatosHoy[Puntos]),'Regresion Q1'!$W$6:$Y$10,2,1)*$BN35+VLOOKUP(MIN(DatosHoy[Puntos]),'Regresion Q1'!$W$6:$Y$10,3,1))</f>
        <v>2859912.4389351648</v>
      </c>
      <c r="BQ35" s="94">
        <f ca="1">IFERROR(VLOOKUP($BN35,'Regresion Q1'!$Z$6:$AB$10,2,1)*$BN35+VLOOKUP($BN35,'Regresion Q1'!$Z$6:$AB$10,3,1),VLOOKUP(MIN(DatosHoy[Puntos]),'Regresion Q1'!$Z$6:$AB$10,2,1)*$BN35+VLOOKUP(MIN(DatosHoy[Puntos]),'Regresion Q1'!$Z$6:$AB$10,3,1))</f>
        <v>2973845.1075463346</v>
      </c>
      <c r="BR35" s="94">
        <f ca="1">IFERROR(VLOOKUP($BN35,'Regresion Md'!$T$6:$V$10,2,1)*$BN35+VLOOKUP($BN35,'Regresion Md'!$T$6:$V$10,3,1),VLOOKUP(MIN(DatosHoy[Puntos]),'Regresion Md'!$T$6:$V$10,2,1)*$BN35+VLOOKUP(MIN(DatosHoy[Puntos]),'Regresion Md'!$T$6:$V$10,3,1))</f>
        <v>2904732.3546628365</v>
      </c>
      <c r="BS35" s="94">
        <f ca="1">IFERROR(VLOOKUP($BN35,'Regresion Md'!$W$6:$Y$10,2,1)*$BN35+VLOOKUP($BN35,'Regresion Md'!$W$6:$Y$10,3,1),VLOOKUP(MIN(DatosHoy[Puntos]),'Regresion Md'!$W$6:$Y$10,2,1)*$BN35+VLOOKUP(MIN(DatosHoy[Puntos]),'Regresion Md'!$W$6:$Y$10,3,1))</f>
        <v>2922755.154718061</v>
      </c>
      <c r="BT35" s="94">
        <f ca="1">IFERROR(VLOOKUP($BN35,'Regresion Md'!$Z$6:$AB$10,2,1)*$BN35+VLOOKUP($BN35,'Regresion Md'!$Z$6:$AB$10,3,1),VLOOKUP(MIN(DatosHoy[Puntos]),'Regresion Md'!$Z$6:$AB$10,2,1)*$BN35+VLOOKUP(MIN(DatosHoy[Puntos]),'Regresion Md'!$Z$6:$AB$10,3,1))</f>
        <v>3116259.4350931793</v>
      </c>
      <c r="BU35" s="94">
        <f ca="1">IFERROR(VLOOKUP($BN35,'Regresion Q3'!$T$6:$V$10,2,1)*$BN35+VLOOKUP($BN35,'Regresion Q3'!$T$6:$V$10,3,1),VLOOKUP(MIN(DatosHoy[Puntos]),'Regresion Q3'!$T$6:$V$10,2,1)*$BN35+VLOOKUP(MIN(DatosHoy[Puntos]),'Regresion Q3'!$T$6:$V$10,3,1))</f>
        <v>4478980.3104164973</v>
      </c>
      <c r="BV35" s="94">
        <f ca="1">IFERROR(VLOOKUP($BN35,'Regresion Q3'!$W$6:$Y$10,2,1)*$BN35+VLOOKUP($BN35,'Regresion Q3'!$W$6:$Y$10,3,1),VLOOKUP(MIN(DatosHoy[Puntos]),'Regresion Q3'!$W$6:$Y$10,2,1)*$BN35+VLOOKUP(MIN(DatosHoy[Puntos]),'Regresion Q3'!$W$6:$Y$10,3,1))</f>
        <v>4607025.6235988475</v>
      </c>
      <c r="BW35" s="94">
        <f ca="1">IFERROR(VLOOKUP($BN35,'Regresion Q3'!$Z$6:$AB$10,2,1)*$BN35+VLOOKUP($BN35,'Regresion Q3'!$Z$6:$AB$10,3,1),VLOOKUP(MIN(DatosHoy[Puntos]),'Regresion Q3'!$Z$6:$AB$10,2,1)*$BN35+VLOOKUP(MIN(DatosHoy[Puntos]),'Regresion Q3'!$Z$6:$AB$10,3,1))</f>
        <v>4730802.5871014483</v>
      </c>
      <c r="BX35" s="96">
        <f ca="1">DatosHoy[[#This Row],[CT Actual]]/DatosHoy[[#This Row],[CT ajus PM Md]]</f>
        <v>0.90772759422561322</v>
      </c>
      <c r="BY35" s="125" t="str">
        <f>VLOOKUP(DatosHoy[[#This Row],[Cargo Valorado]],Estadísticos[[Cargo]:[Nivel]],2,FALSE)</f>
        <v>Soporte</v>
      </c>
      <c r="BZ35" s="96">
        <f>(DatosHoy[[#This Row],[G+V Actual]]-DatosHoy[[#This Row],[G Actual]])/DatosHoy[[#This Row],[CT Actual]]</f>
        <v>0</v>
      </c>
      <c r="CA35" s="96">
        <f>(DatosHoy[[#This Row],[CT Actual]]-DatosHoy[[#This Row],[G+V Actual]])/DatosHoy[[#This Row],[CT Actual]]</f>
        <v>0</v>
      </c>
      <c r="CB35" s="139" t="s">
        <v>255</v>
      </c>
    </row>
    <row r="36" spans="2:80" x14ac:dyDescent="0.25">
      <c r="B36" s="73">
        <f t="shared" si="0"/>
        <v>31</v>
      </c>
      <c r="C36" s="74">
        <v>2828714.68</v>
      </c>
      <c r="D36" s="74">
        <v>2828714.68</v>
      </c>
      <c r="E36" s="74">
        <v>2828714.68</v>
      </c>
      <c r="F36" s="94">
        <f>VLOOKUP(DatosHoy[[#This Row],[Cargo Valorado]],Estadísticos[],3,0)</f>
        <v>2035260.2221480156</v>
      </c>
      <c r="G36" s="94">
        <f>VLOOKUP(DatosHoy[[#This Row],[Cargo Valorado]],Estadísticos[],4,0)</f>
        <v>2060651.9477591687</v>
      </c>
      <c r="H36" s="94">
        <f>VLOOKUP(DatosHoy[[#This Row],[Cargo Valorado]],Estadísticos[],5,0)</f>
        <v>2060651.9477591687</v>
      </c>
      <c r="I36" s="94">
        <f>VLOOKUP(DatosHoy[[#This Row],[Cargo Valorado]],Estadísticos[],6,0)</f>
        <v>2575869.6996486955</v>
      </c>
      <c r="J36" s="94">
        <f>VLOOKUP(DatosHoy[[#This Row],[Cargo Valorado]],Estadísticos[],7,0)</f>
        <v>2575869.6996486955</v>
      </c>
      <c r="K36" s="94">
        <f>VLOOKUP(DatosHoy[[#This Row],[Cargo Valorado]],Estadísticos[],8,0)</f>
        <v>2690265.7971229656</v>
      </c>
      <c r="L36" s="94">
        <f>VLOOKUP(DatosHoy[[#This Row],[Cargo Valorado]],Estadísticos[],9,0)</f>
        <v>3997013.4801944345</v>
      </c>
      <c r="M36" s="94">
        <f>VLOOKUP(DatosHoy[[#This Row],[Cargo Valorado]],Estadísticos[],10,0)</f>
        <v>3997013.4801944345</v>
      </c>
      <c r="N36" s="94">
        <f>VLOOKUP(DatosHoy[[#This Row],[Cargo Valorado]],Estadísticos[],11,0)</f>
        <v>4222344.4436532948</v>
      </c>
      <c r="O36" s="75" t="s">
        <v>193</v>
      </c>
      <c r="P36" s="75">
        <v>213</v>
      </c>
      <c r="Q36" s="95" t="str">
        <f t="shared" si="14"/>
        <v>$P$36</v>
      </c>
      <c r="R36" s="95" t="str">
        <f t="shared" si="15"/>
        <v>$F$36</v>
      </c>
      <c r="S36" s="95" t="str">
        <f t="shared" si="16"/>
        <v>$G$36</v>
      </c>
      <c r="T36" s="95" t="str">
        <f t="shared" si="17"/>
        <v>$H$36</v>
      </c>
      <c r="U36" s="95" t="str">
        <f t="shared" si="18"/>
        <v>$I$36</v>
      </c>
      <c r="V36" s="95" t="str">
        <f t="shared" si="19"/>
        <v>$J$36</v>
      </c>
      <c r="W36" s="95" t="str">
        <f t="shared" si="20"/>
        <v>$K$36</v>
      </c>
      <c r="X36" s="95" t="str">
        <f t="shared" si="21"/>
        <v>$L$36</v>
      </c>
      <c r="Y36" s="95" t="str">
        <f t="shared" si="22"/>
        <v>$M$36</v>
      </c>
      <c r="Z36" s="95" t="str">
        <f t="shared" si="23"/>
        <v>$N$36</v>
      </c>
      <c r="AA36" s="94">
        <f ca="1">VLOOKUP($P36,'Regresion Q1'!$E$6:$I$10,4,1)*$P36+VLOOKUP($P36,'Regresion Q1'!$E$6:$I$10,5,1)</f>
        <v>2742651.3202554286</v>
      </c>
      <c r="AB36" s="94">
        <f ca="1">VLOOKUP($P36,'Regresion Q1'!$J$6:$N$10,4,1)*$P36+VLOOKUP($P36,'Regresion Q1'!$J$6:$N$10,5,1)</f>
        <v>2800954.0603944547</v>
      </c>
      <c r="AC36" s="94">
        <f ca="1">VLOOKUP($P36,'Regresion Q1'!$O$6:$S$10,4,1)*$P36+VLOOKUP($P36,'Regresion Q1'!$O$6:$S$10,5,1)</f>
        <v>2969137.8051927118</v>
      </c>
      <c r="AD36" s="94">
        <f ca="1">VLOOKUP($P36,'Regresion Md'!$E$6:$I$10,4,1)*$P36+VLOOKUP($P36,'Regresion Md'!$E$6:$I$10,5,1)</f>
        <v>3083882.343888496</v>
      </c>
      <c r="AE36" s="94">
        <f ca="1">VLOOKUP($P36,'Regresion Md'!$J$6:$N$10,4,1)*$P36+VLOOKUP($P36,'Regresion Md'!$J$6:$N$10,5,1)</f>
        <v>3195464.2035298469</v>
      </c>
      <c r="AF36" s="94">
        <f ca="1">VLOOKUP($P36,'Regresion Md'!$O$6:$S$10,4,1)*$P36+VLOOKUP($P36,'Regresion Md'!$O$6:$S$10,5,1)</f>
        <v>3429450.6803933918</v>
      </c>
      <c r="AG36" s="94">
        <f ca="1">VLOOKUP($P36,'Regresion Q3'!$E$6:$I$10,4,1)*$P36+VLOOKUP($P36,'Regresion Q3'!$E$6:$I$10,5,1)</f>
        <v>3786310.40290864</v>
      </c>
      <c r="AH36" s="94">
        <f ca="1">VLOOKUP($P36,'Regresion Q3'!$J$6:$N$10,4,1)*$P36+VLOOKUP($P36,'Regresion Q3'!$J$6:$N$10,5,1)</f>
        <v>3849206.1776201101</v>
      </c>
      <c r="AI36" s="94">
        <f ca="1">VLOOKUP($P36,'Regresion Q3'!$O$6:$S$10,4,1)*$P36+VLOOKUP($P36,'Regresion Q3'!$O$6:$S$10,5,1)</f>
        <v>4040543.3329355558</v>
      </c>
      <c r="AJ36" s="94">
        <f ca="1">VLOOKUP($P36,'Regresion Q1'!$T$6:$V$10,2,1)*$P36+VLOOKUP($P36,'Regresion Q1'!$T$6:$V$10,3,1)</f>
        <v>2721626.7114124587</v>
      </c>
      <c r="AK36" s="94">
        <f ca="1">VLOOKUP($P36,'Regresion Q1'!$W$6:$Y$10,2,1)*$P36+VLOOKUP($P36,'Regresion Q1'!$W$6:$Y$10,3,1)</f>
        <v>2819472.7264772132</v>
      </c>
      <c r="AL36" s="94">
        <f ca="1">VLOOKUP($P36,'Regresion Q1'!$Z$6:$AB$10,2,1)*$P36+VLOOKUP($P36,'Regresion Q1'!$Z$6:$AB$10,3,1)</f>
        <v>2931585.8630175134</v>
      </c>
      <c r="AM36" s="94">
        <f ca="1">VLOOKUP($P36,'Regresion Md'!$T$6:$V$10,2,1)*$P36+VLOOKUP($P36,'Regresion Md'!$T$6:$V$10,3,1)</f>
        <v>2865012.4288828103</v>
      </c>
      <c r="AN36" s="94">
        <f ca="1">VLOOKUP($P36,'Regresion Md'!$W$6:$Y$10,2,1)*$P36+VLOOKUP($P36,'Regresion Md'!$W$6:$Y$10,3,1)</f>
        <v>2884835.6073540878</v>
      </c>
      <c r="AO36" s="94">
        <f ca="1">VLOOKUP($P36,'Regresion Md'!$Z$6:$AB$10,2,1)*$P36+VLOOKUP($P36,'Regresion Md'!$Z$6:$AB$10,3,1)</f>
        <v>3073667.1767786979</v>
      </c>
      <c r="AP36" s="94">
        <f ca="1">VLOOKUP($P36,'Regresion Q3'!$T$6:$V$10,2,1)*$P36+VLOOKUP($P36,'Regresion Q3'!$T$6:$V$10,3,1)</f>
        <v>4405138.7971602967</v>
      </c>
      <c r="AQ36" s="94">
        <f ca="1">VLOOKUP($P36,'Regresion Q3'!$W$6:$Y$10,2,1)*$P36+VLOOKUP($P36,'Regresion Q3'!$W$6:$Y$10,3,1)</f>
        <v>4531445.1016656198</v>
      </c>
      <c r="AR36" s="94">
        <f ca="1">VLOOKUP($P36,'Regresion Q3'!$Z$6:$AB$10,2,1)*$P36+VLOOKUP($P36,'Regresion Q3'!$Z$6:$AB$10,3,1)</f>
        <v>4653799.6897581164</v>
      </c>
      <c r="AS36" s="94">
        <f>IF($BN36=$BN37,-1,DatosHoy[[#This Row],[G ajus PM Q1]]-BO37)</f>
        <v>-1</v>
      </c>
      <c r="AT36" s="94">
        <f>IF($BN36=$BN37,-1,DatosHoy[[#This Row],[G+V ajus PM Q1]]-BP37)</f>
        <v>-1</v>
      </c>
      <c r="AU36" s="94">
        <f>IF($BN36=$BN37,-1,DatosHoy[[#This Row],[CT ajus PM Q1]]-BQ37)</f>
        <v>-1</v>
      </c>
      <c r="AV36" s="94">
        <f ca="1">IF(DatosHoy[[#This Row],[G ajus PM Q1]]=DatosHoy[[#This Row],[G+V ajus PM Q1]],-1,DatosHoy[[#This Row],[G ajus PM Q1]]-DatosHoy[[#This Row],[G+V ajus PM Q1]])</f>
        <v>-98272.055400899146</v>
      </c>
      <c r="AW36" s="94">
        <f ca="1">IF(DatosHoy[[#This Row],[G+V ajus PM Q1]]=DatosHoy[[#This Row],[CT ajus PM Q1]],-1,DatosHoy[[#This Row],[G+V ajus PM Q1]]-DatosHoy[[#This Row],[CT ajus PM Q1]])</f>
        <v>-113932.66861116979</v>
      </c>
      <c r="AX36" s="94">
        <f>IF($BN36=$BN37,-1,DatosHoy[[#This Row],[G ajus PMd]]-BR37)</f>
        <v>-1</v>
      </c>
      <c r="AY36" s="94">
        <f>IF($BN36=$BN37,-1,DatosHoy[[#This Row],[G+V ajus PM Md]]-BS37)</f>
        <v>-1</v>
      </c>
      <c r="AZ36" s="94">
        <f>IF($BN36=$BN37,-1,DatosHoy[[#This Row],[CT ajus PM Md]]-BT37)</f>
        <v>-1</v>
      </c>
      <c r="BA36" s="94">
        <f ca="1">IF(DatosHoy[[#This Row],[G ajus PMd]]=DatosHoy[[#This Row],[G+V ajus PM Md]],-1,DatosHoy[[#This Row],[G ajus PMd]]-DatosHoy[[#This Row],[G+V ajus PM Md]])</f>
        <v>-18022.800055224448</v>
      </c>
      <c r="BB36" s="94">
        <f ca="1">IF(DatosHoy[[#This Row],[G+V ajus PM Md]]=DatosHoy[[#This Row],[CT ajus PM Md]],-1,DatosHoy[[#This Row],[G+V ajus PM Md]]-DatosHoy[[#This Row],[CT ajus PM Md]])</f>
        <v>-193504.28037511837</v>
      </c>
      <c r="BC36" s="94">
        <f>IF($BN36=$BN37,-1,DatosHoy[[#This Row],[G ajus PM Q3]]-BU37)</f>
        <v>-1</v>
      </c>
      <c r="BD36" s="94">
        <f>IF($BN36=$BN37,-1,DatosHoy[[#This Row],[G+V ajus PM Q3]]-BV37)</f>
        <v>-1</v>
      </c>
      <c r="BE36" s="94">
        <f>IF($BN36=$BN37,-1,DatosHoy[[#This Row],[CT ajus PM Q3]]-BW37)</f>
        <v>-1</v>
      </c>
      <c r="BF36" s="94">
        <f ca="1">IF(DatosHoy[[#This Row],[G ajus PM Q3]]=DatosHoy[[#This Row],[G+V ajus PM Q3]],-1,DatosHoy[[#This Row],[G ajus PM Q3]]-DatosHoy[[#This Row],[G+V ajus PM Q3]])</f>
        <v>-128045.31318235025</v>
      </c>
      <c r="BG36" s="94">
        <f ca="1">IF(DatosHoy[[#This Row],[G+V ajus PM Q3]]=DatosHoy[[#This Row],[CT ajus PM Q3]],-1,DatosHoy[[#This Row],[G+V ajus PM Q3]]-DatosHoy[[#This Row],[CT ajus PM Q3]])</f>
        <v>-123776.96350260079</v>
      </c>
      <c r="BH36" s="94">
        <f ca="1">IF(DatosHoy[[#This Row],[G ajus PM Q1]]=DatosHoy[[#This Row],[G ajus PMd]],-1,DatosHoy[[#This Row],[G ajus PM Q1]]-DatosHoy[[#This Row],[G ajus PMd]])</f>
        <v>-143091.97112857085</v>
      </c>
      <c r="BI36" s="94">
        <f ca="1">IF(DatosHoy[[#This Row],[G+V ajus PM Q1]]=DatosHoy[[#This Row],[G+V ajus PM Md]],-1,DatosHoy[[#This Row],[G+V ajus PM Q1]]-DatosHoy[[#This Row],[G+V ajus PM Md]])</f>
        <v>-62842.71578289615</v>
      </c>
      <c r="BJ36" s="94">
        <f ca="1">IF(DatosHoy[[#This Row],[CT ajus PM Q1]]=DatosHoy[[#This Row],[CT ajus PM Md]],-1,DatosHoy[[#This Row],[CT ajus PM Q1]]-DatosHoy[[#This Row],[CT ajus PM Md]])</f>
        <v>-142414.32754684472</v>
      </c>
      <c r="BK36" s="94">
        <f ca="1">IF(DatosHoy[[#This Row],[G ajus PMd]]=DatosHoy[[#This Row],[G ajus PM Q3]],-1,DatosHoy[[#This Row],[G ajus PMd]]-DatosHoy[[#This Row],[G ajus PM Q3]])</f>
        <v>-1574247.9557536608</v>
      </c>
      <c r="BL36" s="94">
        <f ca="1">IF(DatosHoy[[#This Row],[G+V ajus PM Md]]=DatosHoy[[#This Row],[G+V ajus PM Q3]],-1,DatosHoy[[#This Row],[G+V ajus PM Md]]-DatosHoy[[#This Row],[G+V ajus PM Q3]])</f>
        <v>-1684270.4688807866</v>
      </c>
      <c r="BM36" s="94">
        <f ca="1">IF(DatosHoy[[#This Row],[CT ajus PM Md]]=DatosHoy[[#This Row],[CT ajus PM Q3]],-1,DatosHoy[[#This Row],[CT ajus PM Md]]-DatosHoy[[#This Row],[CT ajus PM Q3]])</f>
        <v>-1614543.152008269</v>
      </c>
      <c r="BN36" s="74">
        <v>217</v>
      </c>
      <c r="BO36" s="94">
        <f ca="1">IFERROR(VLOOKUP($BN36,'Regresion Q1'!$T$6:$V$10,2,1)*$BN36+VLOOKUP($BN36,'Regresion Q1'!$T$6:$V$10,3,1),VLOOKUP(MIN(DatosHoy[Puntos]),'Regresion Q1'!$T$6:$V$10,2,1)*$BN36+VLOOKUP(MIN(DatosHoy[Puntos]),'Regresion Q1'!$T$6:$V$10,3,1))</f>
        <v>2761640.3835342657</v>
      </c>
      <c r="BP36" s="94">
        <f ca="1">IFERROR(VLOOKUP($BN36,'Regresion Q1'!$W$6:$Y$10,2,1)*$BN36+VLOOKUP($BN36,'Regresion Q1'!$W$6:$Y$10,3,1),VLOOKUP(MIN(DatosHoy[Puntos]),'Regresion Q1'!$W$6:$Y$10,2,1)*$BN36+VLOOKUP(MIN(DatosHoy[Puntos]),'Regresion Q1'!$W$6:$Y$10,3,1))</f>
        <v>2859912.4389351648</v>
      </c>
      <c r="BQ36" s="94">
        <f ca="1">IFERROR(VLOOKUP($BN36,'Regresion Q1'!$Z$6:$AB$10,2,1)*$BN36+VLOOKUP($BN36,'Regresion Q1'!$Z$6:$AB$10,3,1),VLOOKUP(MIN(DatosHoy[Puntos]),'Regresion Q1'!$Z$6:$AB$10,2,1)*$BN36+VLOOKUP(MIN(DatosHoy[Puntos]),'Regresion Q1'!$Z$6:$AB$10,3,1))</f>
        <v>2973845.1075463346</v>
      </c>
      <c r="BR36" s="94">
        <f ca="1">IFERROR(VLOOKUP($BN36,'Regresion Md'!$T$6:$V$10,2,1)*$BN36+VLOOKUP($BN36,'Regresion Md'!$T$6:$V$10,3,1),VLOOKUP(MIN(DatosHoy[Puntos]),'Regresion Md'!$T$6:$V$10,2,1)*$BN36+VLOOKUP(MIN(DatosHoy[Puntos]),'Regresion Md'!$T$6:$V$10,3,1))</f>
        <v>2904732.3546628365</v>
      </c>
      <c r="BS36" s="94">
        <f ca="1">IFERROR(VLOOKUP($BN36,'Regresion Md'!$W$6:$Y$10,2,1)*$BN36+VLOOKUP($BN36,'Regresion Md'!$W$6:$Y$10,3,1),VLOOKUP(MIN(DatosHoy[Puntos]),'Regresion Md'!$W$6:$Y$10,2,1)*$BN36+VLOOKUP(MIN(DatosHoy[Puntos]),'Regresion Md'!$W$6:$Y$10,3,1))</f>
        <v>2922755.154718061</v>
      </c>
      <c r="BT36" s="94">
        <f ca="1">IFERROR(VLOOKUP($BN36,'Regresion Md'!$Z$6:$AB$10,2,1)*$BN36+VLOOKUP($BN36,'Regresion Md'!$Z$6:$AB$10,3,1),VLOOKUP(MIN(DatosHoy[Puntos]),'Regresion Md'!$Z$6:$AB$10,2,1)*$BN36+VLOOKUP(MIN(DatosHoy[Puntos]),'Regresion Md'!$Z$6:$AB$10,3,1))</f>
        <v>3116259.4350931793</v>
      </c>
      <c r="BU36" s="94">
        <f ca="1">IFERROR(VLOOKUP($BN36,'Regresion Q3'!$T$6:$V$10,2,1)*$BN36+VLOOKUP($BN36,'Regresion Q3'!$T$6:$V$10,3,1),VLOOKUP(MIN(DatosHoy[Puntos]),'Regresion Q3'!$T$6:$V$10,2,1)*$BN36+VLOOKUP(MIN(DatosHoy[Puntos]),'Regresion Q3'!$T$6:$V$10,3,1))</f>
        <v>4478980.3104164973</v>
      </c>
      <c r="BV36" s="94">
        <f ca="1">IFERROR(VLOOKUP($BN36,'Regresion Q3'!$W$6:$Y$10,2,1)*$BN36+VLOOKUP($BN36,'Regresion Q3'!$W$6:$Y$10,3,1),VLOOKUP(MIN(DatosHoy[Puntos]),'Regresion Q3'!$W$6:$Y$10,2,1)*$BN36+VLOOKUP(MIN(DatosHoy[Puntos]),'Regresion Q3'!$W$6:$Y$10,3,1))</f>
        <v>4607025.6235988475</v>
      </c>
      <c r="BW36" s="94">
        <f ca="1">IFERROR(VLOOKUP($BN36,'Regresion Q3'!$Z$6:$AB$10,2,1)*$BN36+VLOOKUP($BN36,'Regresion Q3'!$Z$6:$AB$10,3,1),VLOOKUP(MIN(DatosHoy[Puntos]),'Regresion Q3'!$Z$6:$AB$10,2,1)*$BN36+VLOOKUP(MIN(DatosHoy[Puntos]),'Regresion Q3'!$Z$6:$AB$10,3,1))</f>
        <v>4730802.5871014483</v>
      </c>
      <c r="BX36" s="96">
        <f ca="1">DatosHoy[[#This Row],[CT Actual]]/DatosHoy[[#This Row],[CT ajus PM Md]]</f>
        <v>0.90772759422561322</v>
      </c>
      <c r="BY36" s="125" t="str">
        <f>VLOOKUP(DatosHoy[[#This Row],[Cargo Valorado]],Estadísticos[[Cargo]:[Nivel]],2,FALSE)</f>
        <v>Soporte</v>
      </c>
      <c r="BZ36" s="96">
        <f>(DatosHoy[[#This Row],[G+V Actual]]-DatosHoy[[#This Row],[G Actual]])/DatosHoy[[#This Row],[CT Actual]]</f>
        <v>0</v>
      </c>
      <c r="CA36" s="96">
        <f>(DatosHoy[[#This Row],[CT Actual]]-DatosHoy[[#This Row],[G+V Actual]])/DatosHoy[[#This Row],[CT Actual]]</f>
        <v>0</v>
      </c>
      <c r="CB36" s="139" t="s">
        <v>255</v>
      </c>
    </row>
    <row r="37" spans="2:80" x14ac:dyDescent="0.25">
      <c r="B37" s="73">
        <f t="shared" si="0"/>
        <v>32</v>
      </c>
      <c r="C37" s="74">
        <v>3218192.45</v>
      </c>
      <c r="D37" s="74">
        <v>3218192.45</v>
      </c>
      <c r="E37" s="74">
        <v>3218192.45</v>
      </c>
      <c r="F37" s="94">
        <f>VLOOKUP(DatosHoy[[#This Row],[Cargo Valorado]],Estadísticos[],3,0)</f>
        <v>3120235.4912739173</v>
      </c>
      <c r="G37" s="94">
        <f>VLOOKUP(DatosHoy[[#This Row],[Cargo Valorado]],Estadísticos[],4,0)</f>
        <v>3293376.5100142946</v>
      </c>
      <c r="H37" s="94">
        <f>VLOOKUP(DatosHoy[[#This Row],[Cargo Valorado]],Estadísticos[],5,0)</f>
        <v>3293376.5100142946</v>
      </c>
      <c r="I37" s="94">
        <f>VLOOKUP(DatosHoy[[#This Row],[Cargo Valorado]],Estadísticos[],6,0)</f>
        <v>3733030.7272733762</v>
      </c>
      <c r="J37" s="94">
        <f>VLOOKUP(DatosHoy[[#This Row],[Cargo Valorado]],Estadísticos[],7,0)</f>
        <v>3848458.0731002949</v>
      </c>
      <c r="K37" s="94">
        <f>VLOOKUP(DatosHoy[[#This Row],[Cargo Valorado]],Estadísticos[],8,0)</f>
        <v>3848458.0731002949</v>
      </c>
      <c r="L37" s="94">
        <f>VLOOKUP(DatosHoy[[#This Row],[Cargo Valorado]],Estadísticos[],9,0)</f>
        <v>4345825.9632728351</v>
      </c>
      <c r="M37" s="94">
        <f>VLOOKUP(DatosHoy[[#This Row],[Cargo Valorado]],Estadísticos[],10,0)</f>
        <v>4403539.6361862943</v>
      </c>
      <c r="N37" s="94">
        <f>VLOOKUP(DatosHoy[[#This Row],[Cargo Valorado]],Estadísticos[],11,0)</f>
        <v>4403539.6361862943</v>
      </c>
      <c r="O37" s="75" t="s">
        <v>233</v>
      </c>
      <c r="P37" s="75">
        <v>217</v>
      </c>
      <c r="Q37" s="95" t="str">
        <f t="shared" ref="Q37:Q48" si="24">"$"&amp;"P"&amp;"$"&amp;ROW()</f>
        <v>$P$37</v>
      </c>
      <c r="R37" s="95" t="str">
        <f t="shared" ref="R37:R48" si="25">"$"&amp;"F"&amp;"$"&amp;ROW()</f>
        <v>$F$37</v>
      </c>
      <c r="S37" s="95" t="str">
        <f t="shared" ref="S37:S48" si="26">"$"&amp;"G"&amp;"$"&amp;ROW()</f>
        <v>$G$37</v>
      </c>
      <c r="T37" s="95" t="str">
        <f t="shared" ref="T37:T48" si="27">"$"&amp;"H"&amp;"$"&amp;ROW()</f>
        <v>$H$37</v>
      </c>
      <c r="U37" s="95" t="str">
        <f t="shared" ref="U37:U48" si="28">"$"&amp;"I"&amp;"$"&amp;ROW()</f>
        <v>$I$37</v>
      </c>
      <c r="V37" s="95" t="str">
        <f t="shared" ref="V37:V48" si="29">"$"&amp;"J"&amp;"$"&amp;ROW()</f>
        <v>$J$37</v>
      </c>
      <c r="W37" s="95" t="str">
        <f t="shared" ref="W37:W48" si="30">"$"&amp;"K"&amp;"$"&amp;ROW()</f>
        <v>$K$37</v>
      </c>
      <c r="X37" s="95" t="str">
        <f t="shared" ref="X37:X48" si="31">"$"&amp;"L"&amp;"$"&amp;ROW()</f>
        <v>$L$37</v>
      </c>
      <c r="Y37" s="95" t="str">
        <f t="shared" ref="Y37:Y48" si="32">"$"&amp;"M"&amp;"$"&amp;ROW()</f>
        <v>$M$37</v>
      </c>
      <c r="Z37" s="95" t="str">
        <f t="shared" ref="Z37:Z48" si="33">"$"&amp;"N"&amp;"$"&amp;ROW()</f>
        <v>$N$37</v>
      </c>
      <c r="AA37" s="94">
        <f ca="1">VLOOKUP($P37,'Regresion Q1'!$E$6:$I$10,4,1)*$P37+VLOOKUP($P37,'Regresion Q1'!$E$6:$I$10,5,1)</f>
        <v>2796460.4056913755</v>
      </c>
      <c r="AB37" s="94">
        <f ca="1">VLOOKUP($P37,'Regresion Q1'!$J$6:$N$10,4,1)*$P37+VLOOKUP($P37,'Regresion Q1'!$J$6:$N$10,5,1)</f>
        <v>2856307.261956214</v>
      </c>
      <c r="AC37" s="94">
        <f ca="1">VLOOKUP($P37,'Regresion Q1'!$O$6:$S$10,4,1)*$P37+VLOOKUP($P37,'Regresion Q1'!$O$6:$S$10,5,1)</f>
        <v>3026258.220993252</v>
      </c>
      <c r="AD37" s="94">
        <f ca="1">VLOOKUP($P37,'Regresion Md'!$E$6:$I$10,4,1)*$P37+VLOOKUP($P37,'Regresion Md'!$E$6:$I$10,5,1)</f>
        <v>2904732.3546628375</v>
      </c>
      <c r="AE37" s="94">
        <f ca="1">VLOOKUP($P37,'Regresion Md'!$J$6:$N$10,4,1)*$P37+VLOOKUP($P37,'Regresion Md'!$J$6:$N$10,5,1)</f>
        <v>2922755.15471806</v>
      </c>
      <c r="AF37" s="94">
        <f ca="1">VLOOKUP($P37,'Regresion Md'!$O$6:$S$10,4,1)*$P37+VLOOKUP($P37,'Regresion Md'!$O$6:$S$10,5,1)</f>
        <v>3116259.4350931803</v>
      </c>
      <c r="AG37" s="94">
        <f ca="1">VLOOKUP($P37,'Regresion Q3'!$E$6:$I$10,4,1)*$P37+VLOOKUP($P37,'Regresion Q3'!$E$6:$I$10,5,1)</f>
        <v>3885881.5543060908</v>
      </c>
      <c r="AH37" s="94">
        <f ca="1">VLOOKUP($P37,'Regresion Q3'!$J$6:$N$10,4,1)*$P37+VLOOKUP($P37,'Regresion Q3'!$J$6:$N$10,5,1)</f>
        <v>3950033.5849044621</v>
      </c>
      <c r="AI37" s="94">
        <f ca="1">VLOOKUP($P37,'Regresion Q3'!$O$6:$S$10,4,1)*$P37+VLOOKUP($P37,'Regresion Q3'!$O$6:$S$10,5,1)</f>
        <v>4140774.1746657426</v>
      </c>
      <c r="AJ37" s="94">
        <f ca="1">VLOOKUP($P37,'Regresion Q1'!$T$6:$V$10,2,1)*$P37+VLOOKUP($P37,'Regresion Q1'!$T$6:$V$10,3,1)</f>
        <v>2761640.3835342657</v>
      </c>
      <c r="AK37" s="94">
        <f ca="1">VLOOKUP($P37,'Regresion Q1'!$W$6:$Y$10,2,1)*$P37+VLOOKUP($P37,'Regresion Q1'!$W$6:$Y$10,3,1)</f>
        <v>2859912.4389351648</v>
      </c>
      <c r="AL37" s="94">
        <f ca="1">VLOOKUP($P37,'Regresion Q1'!$Z$6:$AB$10,2,1)*$P37+VLOOKUP($P37,'Regresion Q1'!$Z$6:$AB$10,3,1)</f>
        <v>2973845.1075463346</v>
      </c>
      <c r="AM37" s="94">
        <f ca="1">VLOOKUP($P37,'Regresion Md'!$T$6:$V$10,2,1)*$P37+VLOOKUP($P37,'Regresion Md'!$T$6:$V$10,3,1)</f>
        <v>2904732.3546628365</v>
      </c>
      <c r="AN37" s="94">
        <f ca="1">VLOOKUP($P37,'Regresion Md'!$W$6:$Y$10,2,1)*$P37+VLOOKUP($P37,'Regresion Md'!$W$6:$Y$10,3,1)</f>
        <v>2922755.154718061</v>
      </c>
      <c r="AO37" s="94">
        <f ca="1">VLOOKUP($P37,'Regresion Md'!$Z$6:$AB$10,2,1)*$P37+VLOOKUP($P37,'Regresion Md'!$Z$6:$AB$10,3,1)</f>
        <v>3116259.4350931793</v>
      </c>
      <c r="AP37" s="94">
        <f ca="1">VLOOKUP($P37,'Regresion Q3'!$T$6:$V$10,2,1)*$P37+VLOOKUP($P37,'Regresion Q3'!$T$6:$V$10,3,1)</f>
        <v>4478980.3104164973</v>
      </c>
      <c r="AQ37" s="94">
        <f ca="1">VLOOKUP($P37,'Regresion Q3'!$W$6:$Y$10,2,1)*$P37+VLOOKUP($P37,'Regresion Q3'!$W$6:$Y$10,3,1)</f>
        <v>4607025.6235988475</v>
      </c>
      <c r="AR37" s="94">
        <f ca="1">VLOOKUP($P37,'Regresion Q3'!$Z$6:$AB$10,2,1)*$P37+VLOOKUP($P37,'Regresion Q3'!$Z$6:$AB$10,3,1)</f>
        <v>4730802.5871014483</v>
      </c>
      <c r="AS37" s="94">
        <f>IF($BN37=$BN38,-1,DatosHoy[[#This Row],[G ajus PM Q1]]-BO38)</f>
        <v>-1</v>
      </c>
      <c r="AT37" s="94">
        <f>IF($BN37=$BN38,-1,DatosHoy[[#This Row],[G+V ajus PM Q1]]-BP38)</f>
        <v>-1</v>
      </c>
      <c r="AU37" s="94">
        <f>IF($BN37=$BN38,-1,DatosHoy[[#This Row],[CT ajus PM Q1]]-BQ38)</f>
        <v>-1</v>
      </c>
      <c r="AV37" s="94">
        <f ca="1">IF(DatosHoy[[#This Row],[G ajus PM Q1]]=DatosHoy[[#This Row],[G+V ajus PM Q1]],-1,DatosHoy[[#This Row],[G ajus PM Q1]]-DatosHoy[[#This Row],[G+V ajus PM Q1]])</f>
        <v>-98272.055400899146</v>
      </c>
      <c r="AW37" s="94">
        <f ca="1">IF(DatosHoy[[#This Row],[G+V ajus PM Q1]]=DatosHoy[[#This Row],[CT ajus PM Q1]],-1,DatosHoy[[#This Row],[G+V ajus PM Q1]]-DatosHoy[[#This Row],[CT ajus PM Q1]])</f>
        <v>-113932.66861116979</v>
      </c>
      <c r="AX37" s="94">
        <f>IF($BN37=$BN38,-1,DatosHoy[[#This Row],[G ajus PMd]]-BR38)</f>
        <v>-1</v>
      </c>
      <c r="AY37" s="94">
        <f>IF($BN37=$BN38,-1,DatosHoy[[#This Row],[G+V ajus PM Md]]-BS38)</f>
        <v>-1</v>
      </c>
      <c r="AZ37" s="94">
        <f>IF($BN37=$BN38,-1,DatosHoy[[#This Row],[CT ajus PM Md]]-BT38)</f>
        <v>-1</v>
      </c>
      <c r="BA37" s="94">
        <f ca="1">IF(DatosHoy[[#This Row],[G ajus PMd]]=DatosHoy[[#This Row],[G+V ajus PM Md]],-1,DatosHoy[[#This Row],[G ajus PMd]]-DatosHoy[[#This Row],[G+V ajus PM Md]])</f>
        <v>-18022.800055224448</v>
      </c>
      <c r="BB37" s="94">
        <f ca="1">IF(DatosHoy[[#This Row],[G+V ajus PM Md]]=DatosHoy[[#This Row],[CT ajus PM Md]],-1,DatosHoy[[#This Row],[G+V ajus PM Md]]-DatosHoy[[#This Row],[CT ajus PM Md]])</f>
        <v>-193504.28037511837</v>
      </c>
      <c r="BC37" s="94">
        <f>IF($BN37=$BN38,-1,DatosHoy[[#This Row],[G ajus PM Q3]]-BU38)</f>
        <v>-1</v>
      </c>
      <c r="BD37" s="94">
        <f>IF($BN37=$BN38,-1,DatosHoy[[#This Row],[G+V ajus PM Q3]]-BV38)</f>
        <v>-1</v>
      </c>
      <c r="BE37" s="94">
        <f>IF($BN37=$BN38,-1,DatosHoy[[#This Row],[CT ajus PM Q3]]-BW38)</f>
        <v>-1</v>
      </c>
      <c r="BF37" s="94">
        <f ca="1">IF(DatosHoy[[#This Row],[G ajus PM Q3]]=DatosHoy[[#This Row],[G+V ajus PM Q3]],-1,DatosHoy[[#This Row],[G ajus PM Q3]]-DatosHoy[[#This Row],[G+V ajus PM Q3]])</f>
        <v>-128045.31318235025</v>
      </c>
      <c r="BG37" s="94">
        <f ca="1">IF(DatosHoy[[#This Row],[G+V ajus PM Q3]]=DatosHoy[[#This Row],[CT ajus PM Q3]],-1,DatosHoy[[#This Row],[G+V ajus PM Q3]]-DatosHoy[[#This Row],[CT ajus PM Q3]])</f>
        <v>-123776.96350260079</v>
      </c>
      <c r="BH37" s="94">
        <f ca="1">IF(DatosHoy[[#This Row],[G ajus PM Q1]]=DatosHoy[[#This Row],[G ajus PMd]],-1,DatosHoy[[#This Row],[G ajus PM Q1]]-DatosHoy[[#This Row],[G ajus PMd]])</f>
        <v>-143091.97112857085</v>
      </c>
      <c r="BI37" s="94">
        <f ca="1">IF(DatosHoy[[#This Row],[G+V ajus PM Q1]]=DatosHoy[[#This Row],[G+V ajus PM Md]],-1,DatosHoy[[#This Row],[G+V ajus PM Q1]]-DatosHoy[[#This Row],[G+V ajus PM Md]])</f>
        <v>-62842.71578289615</v>
      </c>
      <c r="BJ37" s="94">
        <f ca="1">IF(DatosHoy[[#This Row],[CT ajus PM Q1]]=DatosHoy[[#This Row],[CT ajus PM Md]],-1,DatosHoy[[#This Row],[CT ajus PM Q1]]-DatosHoy[[#This Row],[CT ajus PM Md]])</f>
        <v>-142414.32754684472</v>
      </c>
      <c r="BK37" s="94">
        <f ca="1">IF(DatosHoy[[#This Row],[G ajus PMd]]=DatosHoy[[#This Row],[G ajus PM Q3]],-1,DatosHoy[[#This Row],[G ajus PMd]]-DatosHoy[[#This Row],[G ajus PM Q3]])</f>
        <v>-1574247.9557536608</v>
      </c>
      <c r="BL37" s="94">
        <f ca="1">IF(DatosHoy[[#This Row],[G+V ajus PM Md]]=DatosHoy[[#This Row],[G+V ajus PM Q3]],-1,DatosHoy[[#This Row],[G+V ajus PM Md]]-DatosHoy[[#This Row],[G+V ajus PM Q3]])</f>
        <v>-1684270.4688807866</v>
      </c>
      <c r="BM37" s="94">
        <f ca="1">IF(DatosHoy[[#This Row],[CT ajus PM Md]]=DatosHoy[[#This Row],[CT ajus PM Q3]],-1,DatosHoy[[#This Row],[CT ajus PM Md]]-DatosHoy[[#This Row],[CT ajus PM Q3]])</f>
        <v>-1614543.152008269</v>
      </c>
      <c r="BN37" s="74">
        <v>217</v>
      </c>
      <c r="BO37" s="94">
        <f ca="1">IFERROR(VLOOKUP($BN37,'Regresion Q1'!$T$6:$V$10,2,1)*$BN37+VLOOKUP($BN37,'Regresion Q1'!$T$6:$V$10,3,1),VLOOKUP(MIN(DatosHoy[Puntos]),'Regresion Q1'!$T$6:$V$10,2,1)*$BN37+VLOOKUP(MIN(DatosHoy[Puntos]),'Regresion Q1'!$T$6:$V$10,3,1))</f>
        <v>2761640.3835342657</v>
      </c>
      <c r="BP37" s="94">
        <f ca="1">IFERROR(VLOOKUP($BN37,'Regresion Q1'!$W$6:$Y$10,2,1)*$BN37+VLOOKUP($BN37,'Regresion Q1'!$W$6:$Y$10,3,1),VLOOKUP(MIN(DatosHoy[Puntos]),'Regresion Q1'!$W$6:$Y$10,2,1)*$BN37+VLOOKUP(MIN(DatosHoy[Puntos]),'Regresion Q1'!$W$6:$Y$10,3,1))</f>
        <v>2859912.4389351648</v>
      </c>
      <c r="BQ37" s="94">
        <f ca="1">IFERROR(VLOOKUP($BN37,'Regresion Q1'!$Z$6:$AB$10,2,1)*$BN37+VLOOKUP($BN37,'Regresion Q1'!$Z$6:$AB$10,3,1),VLOOKUP(MIN(DatosHoy[Puntos]),'Regresion Q1'!$Z$6:$AB$10,2,1)*$BN37+VLOOKUP(MIN(DatosHoy[Puntos]),'Regresion Q1'!$Z$6:$AB$10,3,1))</f>
        <v>2973845.1075463346</v>
      </c>
      <c r="BR37" s="94">
        <f ca="1">IFERROR(VLOOKUP($BN37,'Regresion Md'!$T$6:$V$10,2,1)*$BN37+VLOOKUP($BN37,'Regresion Md'!$T$6:$V$10,3,1),VLOOKUP(MIN(DatosHoy[Puntos]),'Regresion Md'!$T$6:$V$10,2,1)*$BN37+VLOOKUP(MIN(DatosHoy[Puntos]),'Regresion Md'!$T$6:$V$10,3,1))</f>
        <v>2904732.3546628365</v>
      </c>
      <c r="BS37" s="94">
        <f ca="1">IFERROR(VLOOKUP($BN37,'Regresion Md'!$W$6:$Y$10,2,1)*$BN37+VLOOKUP($BN37,'Regresion Md'!$W$6:$Y$10,3,1),VLOOKUP(MIN(DatosHoy[Puntos]),'Regresion Md'!$W$6:$Y$10,2,1)*$BN37+VLOOKUP(MIN(DatosHoy[Puntos]),'Regresion Md'!$W$6:$Y$10,3,1))</f>
        <v>2922755.154718061</v>
      </c>
      <c r="BT37" s="94">
        <f ca="1">IFERROR(VLOOKUP($BN37,'Regresion Md'!$Z$6:$AB$10,2,1)*$BN37+VLOOKUP($BN37,'Regresion Md'!$Z$6:$AB$10,3,1),VLOOKUP(MIN(DatosHoy[Puntos]),'Regresion Md'!$Z$6:$AB$10,2,1)*$BN37+VLOOKUP(MIN(DatosHoy[Puntos]),'Regresion Md'!$Z$6:$AB$10,3,1))</f>
        <v>3116259.4350931793</v>
      </c>
      <c r="BU37" s="94">
        <f ca="1">IFERROR(VLOOKUP($BN37,'Regresion Q3'!$T$6:$V$10,2,1)*$BN37+VLOOKUP($BN37,'Regresion Q3'!$T$6:$V$10,3,1),VLOOKUP(MIN(DatosHoy[Puntos]),'Regresion Q3'!$T$6:$V$10,2,1)*$BN37+VLOOKUP(MIN(DatosHoy[Puntos]),'Regresion Q3'!$T$6:$V$10,3,1))</f>
        <v>4478980.3104164973</v>
      </c>
      <c r="BV37" s="94">
        <f ca="1">IFERROR(VLOOKUP($BN37,'Regresion Q3'!$W$6:$Y$10,2,1)*$BN37+VLOOKUP($BN37,'Regresion Q3'!$W$6:$Y$10,3,1),VLOOKUP(MIN(DatosHoy[Puntos]),'Regresion Q3'!$W$6:$Y$10,2,1)*$BN37+VLOOKUP(MIN(DatosHoy[Puntos]),'Regresion Q3'!$W$6:$Y$10,3,1))</f>
        <v>4607025.6235988475</v>
      </c>
      <c r="BW37" s="94">
        <f ca="1">IFERROR(VLOOKUP($BN37,'Regresion Q3'!$Z$6:$AB$10,2,1)*$BN37+VLOOKUP($BN37,'Regresion Q3'!$Z$6:$AB$10,3,1),VLOOKUP(MIN(DatosHoy[Puntos]),'Regresion Q3'!$Z$6:$AB$10,2,1)*$BN37+VLOOKUP(MIN(DatosHoy[Puntos]),'Regresion Q3'!$Z$6:$AB$10,3,1))</f>
        <v>4730802.5871014483</v>
      </c>
      <c r="BX37" s="96">
        <f ca="1">DatosHoy[[#This Row],[CT Actual]]/DatosHoy[[#This Row],[CT ajus PM Md]]</f>
        <v>1.0327100541626673</v>
      </c>
      <c r="BY37" s="125" t="str">
        <f>VLOOKUP(DatosHoy[[#This Row],[Cargo Valorado]],Estadísticos[[Cargo]:[Nivel]],2,FALSE)</f>
        <v>Soporte</v>
      </c>
      <c r="BZ37" s="96">
        <f>(DatosHoy[[#This Row],[G+V Actual]]-DatosHoy[[#This Row],[G Actual]])/DatosHoy[[#This Row],[CT Actual]]</f>
        <v>0</v>
      </c>
      <c r="CA37" s="96">
        <f>(DatosHoy[[#This Row],[CT Actual]]-DatosHoy[[#This Row],[G+V Actual]])/DatosHoy[[#This Row],[CT Actual]]</f>
        <v>0</v>
      </c>
      <c r="CB37" s="139" t="s">
        <v>255</v>
      </c>
    </row>
    <row r="38" spans="2:80" x14ac:dyDescent="0.25">
      <c r="B38" s="73">
        <f t="shared" ref="B38:B69" si="34">+ROW()-5</f>
        <v>33</v>
      </c>
      <c r="C38" s="74">
        <v>2828714.68</v>
      </c>
      <c r="D38" s="74">
        <v>2828714.68</v>
      </c>
      <c r="E38" s="74">
        <v>2828714.68</v>
      </c>
      <c r="F38" s="94">
        <f>VLOOKUP(DatosHoy[[#This Row],[Cargo Valorado]],Estadísticos[],3,0)</f>
        <v>3627046.5636700778</v>
      </c>
      <c r="G38" s="94">
        <f>VLOOKUP(DatosHoy[[#This Row],[Cargo Valorado]],Estadísticos[],4,0)</f>
        <v>3671626.6565600848</v>
      </c>
      <c r="H38" s="94">
        <f>VLOOKUP(DatosHoy[[#This Row],[Cargo Valorado]],Estadísticos[],5,0)</f>
        <v>4007806.4065600852</v>
      </c>
      <c r="I38" s="94">
        <f>VLOOKUP(DatosHoy[[#This Row],[Cargo Valorado]],Estadísticos[],6,0)</f>
        <v>4298452.993536382</v>
      </c>
      <c r="J38" s="94">
        <f>VLOOKUP(DatosHoy[[#This Row],[Cargo Valorado]],Estadísticos[],7,0)</f>
        <v>4298452.993536382</v>
      </c>
      <c r="K38" s="94">
        <f>VLOOKUP(DatosHoy[[#This Row],[Cargo Valorado]],Estadísticos[],8,0)</f>
        <v>4522572.826869715</v>
      </c>
      <c r="L38" s="94">
        <f>VLOOKUP(DatosHoy[[#This Row],[Cargo Valorado]],Estadísticos[],9,0)</f>
        <v>5062310.4776455481</v>
      </c>
      <c r="M38" s="94">
        <f>VLOOKUP(DatosHoy[[#This Row],[Cargo Valorado]],Estadísticos[],10,0)</f>
        <v>5062310.4776455481</v>
      </c>
      <c r="N38" s="94">
        <f>VLOOKUP(DatosHoy[[#This Row],[Cargo Valorado]],Estadísticos[],11,0)</f>
        <v>5062310.4776455481</v>
      </c>
      <c r="O38" s="75" t="s">
        <v>234</v>
      </c>
      <c r="P38" s="75">
        <v>217</v>
      </c>
      <c r="Q38" s="95" t="str">
        <f t="shared" si="24"/>
        <v>$P$38</v>
      </c>
      <c r="R38" s="95" t="str">
        <f t="shared" si="25"/>
        <v>$F$38</v>
      </c>
      <c r="S38" s="95" t="str">
        <f t="shared" si="26"/>
        <v>$G$38</v>
      </c>
      <c r="T38" s="95" t="str">
        <f t="shared" si="27"/>
        <v>$H$38</v>
      </c>
      <c r="U38" s="95" t="str">
        <f t="shared" si="28"/>
        <v>$I$38</v>
      </c>
      <c r="V38" s="95" t="str">
        <f t="shared" si="29"/>
        <v>$J$38</v>
      </c>
      <c r="W38" s="95" t="str">
        <f t="shared" si="30"/>
        <v>$K$38</v>
      </c>
      <c r="X38" s="95" t="str">
        <f t="shared" si="31"/>
        <v>$L$38</v>
      </c>
      <c r="Y38" s="95" t="str">
        <f t="shared" si="32"/>
        <v>$M$38</v>
      </c>
      <c r="Z38" s="95" t="str">
        <f t="shared" si="33"/>
        <v>$N$38</v>
      </c>
      <c r="AA38" s="94">
        <f ca="1">VLOOKUP($P38,'Regresion Q1'!$E$6:$I$10,4,1)*$P38+VLOOKUP($P38,'Regresion Q1'!$E$6:$I$10,5,1)</f>
        <v>2796460.4056913755</v>
      </c>
      <c r="AB38" s="94">
        <f ca="1">VLOOKUP($P38,'Regresion Q1'!$J$6:$N$10,4,1)*$P38+VLOOKUP($P38,'Regresion Q1'!$J$6:$N$10,5,1)</f>
        <v>2856307.261956214</v>
      </c>
      <c r="AC38" s="94">
        <f ca="1">VLOOKUP($P38,'Regresion Q1'!$O$6:$S$10,4,1)*$P38+VLOOKUP($P38,'Regresion Q1'!$O$6:$S$10,5,1)</f>
        <v>3026258.220993252</v>
      </c>
      <c r="AD38" s="94">
        <f ca="1">VLOOKUP($P38,'Regresion Md'!$E$6:$I$10,4,1)*$P38+VLOOKUP($P38,'Regresion Md'!$E$6:$I$10,5,1)</f>
        <v>2904732.3546628375</v>
      </c>
      <c r="AE38" s="94">
        <f ca="1">VLOOKUP($P38,'Regresion Md'!$J$6:$N$10,4,1)*$P38+VLOOKUP($P38,'Regresion Md'!$J$6:$N$10,5,1)</f>
        <v>2922755.15471806</v>
      </c>
      <c r="AF38" s="94">
        <f ca="1">VLOOKUP($P38,'Regresion Md'!$O$6:$S$10,4,1)*$P38+VLOOKUP($P38,'Regresion Md'!$O$6:$S$10,5,1)</f>
        <v>3116259.4350931803</v>
      </c>
      <c r="AG38" s="94">
        <f ca="1">VLOOKUP($P38,'Regresion Q3'!$E$6:$I$10,4,1)*$P38+VLOOKUP($P38,'Regresion Q3'!$E$6:$I$10,5,1)</f>
        <v>3885881.5543060908</v>
      </c>
      <c r="AH38" s="94">
        <f ca="1">VLOOKUP($P38,'Regresion Q3'!$J$6:$N$10,4,1)*$P38+VLOOKUP($P38,'Regresion Q3'!$J$6:$N$10,5,1)</f>
        <v>3950033.5849044621</v>
      </c>
      <c r="AI38" s="94">
        <f ca="1">VLOOKUP($P38,'Regresion Q3'!$O$6:$S$10,4,1)*$P38+VLOOKUP($P38,'Regresion Q3'!$O$6:$S$10,5,1)</f>
        <v>4140774.1746657426</v>
      </c>
      <c r="AJ38" s="94">
        <f ca="1">VLOOKUP($P38,'Regresion Q1'!$T$6:$V$10,2,1)*$P38+VLOOKUP($P38,'Regresion Q1'!$T$6:$V$10,3,1)</f>
        <v>2761640.3835342657</v>
      </c>
      <c r="AK38" s="94">
        <f ca="1">VLOOKUP($P38,'Regresion Q1'!$W$6:$Y$10,2,1)*$P38+VLOOKUP($P38,'Regresion Q1'!$W$6:$Y$10,3,1)</f>
        <v>2859912.4389351648</v>
      </c>
      <c r="AL38" s="94">
        <f ca="1">VLOOKUP($P38,'Regresion Q1'!$Z$6:$AB$10,2,1)*$P38+VLOOKUP($P38,'Regresion Q1'!$Z$6:$AB$10,3,1)</f>
        <v>2973845.1075463346</v>
      </c>
      <c r="AM38" s="94">
        <f ca="1">VLOOKUP($P38,'Regresion Md'!$T$6:$V$10,2,1)*$P38+VLOOKUP($P38,'Regresion Md'!$T$6:$V$10,3,1)</f>
        <v>2904732.3546628365</v>
      </c>
      <c r="AN38" s="94">
        <f ca="1">VLOOKUP($P38,'Regresion Md'!$W$6:$Y$10,2,1)*$P38+VLOOKUP($P38,'Regresion Md'!$W$6:$Y$10,3,1)</f>
        <v>2922755.154718061</v>
      </c>
      <c r="AO38" s="94">
        <f ca="1">VLOOKUP($P38,'Regresion Md'!$Z$6:$AB$10,2,1)*$P38+VLOOKUP($P38,'Regresion Md'!$Z$6:$AB$10,3,1)</f>
        <v>3116259.4350931793</v>
      </c>
      <c r="AP38" s="94">
        <f ca="1">VLOOKUP($P38,'Regresion Q3'!$T$6:$V$10,2,1)*$P38+VLOOKUP($P38,'Regresion Q3'!$T$6:$V$10,3,1)</f>
        <v>4478980.3104164973</v>
      </c>
      <c r="AQ38" s="94">
        <f ca="1">VLOOKUP($P38,'Regresion Q3'!$W$6:$Y$10,2,1)*$P38+VLOOKUP($P38,'Regresion Q3'!$W$6:$Y$10,3,1)</f>
        <v>4607025.6235988475</v>
      </c>
      <c r="AR38" s="94">
        <f ca="1">VLOOKUP($P38,'Regresion Q3'!$Z$6:$AB$10,2,1)*$P38+VLOOKUP($P38,'Regresion Q3'!$Z$6:$AB$10,3,1)</f>
        <v>4730802.5871014483</v>
      </c>
      <c r="AS38" s="94">
        <f>IF($BN38=$BN39,-1,DatosHoy[[#This Row],[G ajus PM Q1]]-BO39)</f>
        <v>-1</v>
      </c>
      <c r="AT38" s="94">
        <f>IF($BN38=$BN39,-1,DatosHoy[[#This Row],[G+V ajus PM Q1]]-BP39)</f>
        <v>-1</v>
      </c>
      <c r="AU38" s="94">
        <f>IF($BN38=$BN39,-1,DatosHoy[[#This Row],[CT ajus PM Q1]]-BQ39)</f>
        <v>-1</v>
      </c>
      <c r="AV38" s="94">
        <f ca="1">IF(DatosHoy[[#This Row],[G ajus PM Q1]]=DatosHoy[[#This Row],[G+V ajus PM Q1]],-1,DatosHoy[[#This Row],[G ajus PM Q1]]-DatosHoy[[#This Row],[G+V ajus PM Q1]])</f>
        <v>-98272.055400899146</v>
      </c>
      <c r="AW38" s="94">
        <f ca="1">IF(DatosHoy[[#This Row],[G+V ajus PM Q1]]=DatosHoy[[#This Row],[CT ajus PM Q1]],-1,DatosHoy[[#This Row],[G+V ajus PM Q1]]-DatosHoy[[#This Row],[CT ajus PM Q1]])</f>
        <v>-113932.66861116979</v>
      </c>
      <c r="AX38" s="94">
        <f>IF($BN38=$BN39,-1,DatosHoy[[#This Row],[G ajus PMd]]-BR39)</f>
        <v>-1</v>
      </c>
      <c r="AY38" s="94">
        <f>IF($BN38=$BN39,-1,DatosHoy[[#This Row],[G+V ajus PM Md]]-BS39)</f>
        <v>-1</v>
      </c>
      <c r="AZ38" s="94">
        <f>IF($BN38=$BN39,-1,DatosHoy[[#This Row],[CT ajus PM Md]]-BT39)</f>
        <v>-1</v>
      </c>
      <c r="BA38" s="94">
        <f ca="1">IF(DatosHoy[[#This Row],[G ajus PMd]]=DatosHoy[[#This Row],[G+V ajus PM Md]],-1,DatosHoy[[#This Row],[G ajus PMd]]-DatosHoy[[#This Row],[G+V ajus PM Md]])</f>
        <v>-18022.800055224448</v>
      </c>
      <c r="BB38" s="94">
        <f ca="1">IF(DatosHoy[[#This Row],[G+V ajus PM Md]]=DatosHoy[[#This Row],[CT ajus PM Md]],-1,DatosHoy[[#This Row],[G+V ajus PM Md]]-DatosHoy[[#This Row],[CT ajus PM Md]])</f>
        <v>-193504.28037511837</v>
      </c>
      <c r="BC38" s="94">
        <f>IF($BN38=$BN39,-1,DatosHoy[[#This Row],[G ajus PM Q3]]-BU39)</f>
        <v>-1</v>
      </c>
      <c r="BD38" s="94">
        <f>IF($BN38=$BN39,-1,DatosHoy[[#This Row],[G+V ajus PM Q3]]-BV39)</f>
        <v>-1</v>
      </c>
      <c r="BE38" s="94">
        <f>IF($BN38=$BN39,-1,DatosHoy[[#This Row],[CT ajus PM Q3]]-BW39)</f>
        <v>-1</v>
      </c>
      <c r="BF38" s="94">
        <f ca="1">IF(DatosHoy[[#This Row],[G ajus PM Q3]]=DatosHoy[[#This Row],[G+V ajus PM Q3]],-1,DatosHoy[[#This Row],[G ajus PM Q3]]-DatosHoy[[#This Row],[G+V ajus PM Q3]])</f>
        <v>-128045.31318235025</v>
      </c>
      <c r="BG38" s="94">
        <f ca="1">IF(DatosHoy[[#This Row],[G+V ajus PM Q3]]=DatosHoy[[#This Row],[CT ajus PM Q3]],-1,DatosHoy[[#This Row],[G+V ajus PM Q3]]-DatosHoy[[#This Row],[CT ajus PM Q3]])</f>
        <v>-123776.96350260079</v>
      </c>
      <c r="BH38" s="94">
        <f ca="1">IF(DatosHoy[[#This Row],[G ajus PM Q1]]=DatosHoy[[#This Row],[G ajus PMd]],-1,DatosHoy[[#This Row],[G ajus PM Q1]]-DatosHoy[[#This Row],[G ajus PMd]])</f>
        <v>-143091.97112857085</v>
      </c>
      <c r="BI38" s="94">
        <f ca="1">IF(DatosHoy[[#This Row],[G+V ajus PM Q1]]=DatosHoy[[#This Row],[G+V ajus PM Md]],-1,DatosHoy[[#This Row],[G+V ajus PM Q1]]-DatosHoy[[#This Row],[G+V ajus PM Md]])</f>
        <v>-62842.71578289615</v>
      </c>
      <c r="BJ38" s="94">
        <f ca="1">IF(DatosHoy[[#This Row],[CT ajus PM Q1]]=DatosHoy[[#This Row],[CT ajus PM Md]],-1,DatosHoy[[#This Row],[CT ajus PM Q1]]-DatosHoy[[#This Row],[CT ajus PM Md]])</f>
        <v>-142414.32754684472</v>
      </c>
      <c r="BK38" s="94">
        <f ca="1">IF(DatosHoy[[#This Row],[G ajus PMd]]=DatosHoy[[#This Row],[G ajus PM Q3]],-1,DatosHoy[[#This Row],[G ajus PMd]]-DatosHoy[[#This Row],[G ajus PM Q3]])</f>
        <v>-1574247.9557536608</v>
      </c>
      <c r="BL38" s="94">
        <f ca="1">IF(DatosHoy[[#This Row],[G+V ajus PM Md]]=DatosHoy[[#This Row],[G+V ajus PM Q3]],-1,DatosHoy[[#This Row],[G+V ajus PM Md]]-DatosHoy[[#This Row],[G+V ajus PM Q3]])</f>
        <v>-1684270.4688807866</v>
      </c>
      <c r="BM38" s="94">
        <f ca="1">IF(DatosHoy[[#This Row],[CT ajus PM Md]]=DatosHoy[[#This Row],[CT ajus PM Q3]],-1,DatosHoy[[#This Row],[CT ajus PM Md]]-DatosHoy[[#This Row],[CT ajus PM Q3]])</f>
        <v>-1614543.152008269</v>
      </c>
      <c r="BN38" s="74">
        <v>217</v>
      </c>
      <c r="BO38" s="94">
        <f ca="1">IFERROR(VLOOKUP($BN38,'Regresion Q1'!$T$6:$V$10,2,1)*$BN38+VLOOKUP($BN38,'Regresion Q1'!$T$6:$V$10,3,1),VLOOKUP(MIN(DatosHoy[Puntos]),'Regresion Q1'!$T$6:$V$10,2,1)*$BN38+VLOOKUP(MIN(DatosHoy[Puntos]),'Regresion Q1'!$T$6:$V$10,3,1))</f>
        <v>2761640.3835342657</v>
      </c>
      <c r="BP38" s="94">
        <f ca="1">IFERROR(VLOOKUP($BN38,'Regresion Q1'!$W$6:$Y$10,2,1)*$BN38+VLOOKUP($BN38,'Regresion Q1'!$W$6:$Y$10,3,1),VLOOKUP(MIN(DatosHoy[Puntos]),'Regresion Q1'!$W$6:$Y$10,2,1)*$BN38+VLOOKUP(MIN(DatosHoy[Puntos]),'Regresion Q1'!$W$6:$Y$10,3,1))</f>
        <v>2859912.4389351648</v>
      </c>
      <c r="BQ38" s="94">
        <f ca="1">IFERROR(VLOOKUP($BN38,'Regresion Q1'!$Z$6:$AB$10,2,1)*$BN38+VLOOKUP($BN38,'Regresion Q1'!$Z$6:$AB$10,3,1),VLOOKUP(MIN(DatosHoy[Puntos]),'Regresion Q1'!$Z$6:$AB$10,2,1)*$BN38+VLOOKUP(MIN(DatosHoy[Puntos]),'Regresion Q1'!$Z$6:$AB$10,3,1))</f>
        <v>2973845.1075463346</v>
      </c>
      <c r="BR38" s="94">
        <f ca="1">IFERROR(VLOOKUP($BN38,'Regresion Md'!$T$6:$V$10,2,1)*$BN38+VLOOKUP($BN38,'Regresion Md'!$T$6:$V$10,3,1),VLOOKUP(MIN(DatosHoy[Puntos]),'Regresion Md'!$T$6:$V$10,2,1)*$BN38+VLOOKUP(MIN(DatosHoy[Puntos]),'Regresion Md'!$T$6:$V$10,3,1))</f>
        <v>2904732.3546628365</v>
      </c>
      <c r="BS38" s="94">
        <f ca="1">IFERROR(VLOOKUP($BN38,'Regresion Md'!$W$6:$Y$10,2,1)*$BN38+VLOOKUP($BN38,'Regresion Md'!$W$6:$Y$10,3,1),VLOOKUP(MIN(DatosHoy[Puntos]),'Regresion Md'!$W$6:$Y$10,2,1)*$BN38+VLOOKUP(MIN(DatosHoy[Puntos]),'Regresion Md'!$W$6:$Y$10,3,1))</f>
        <v>2922755.154718061</v>
      </c>
      <c r="BT38" s="94">
        <f ca="1">IFERROR(VLOOKUP($BN38,'Regresion Md'!$Z$6:$AB$10,2,1)*$BN38+VLOOKUP($BN38,'Regresion Md'!$Z$6:$AB$10,3,1),VLOOKUP(MIN(DatosHoy[Puntos]),'Regresion Md'!$Z$6:$AB$10,2,1)*$BN38+VLOOKUP(MIN(DatosHoy[Puntos]),'Regresion Md'!$Z$6:$AB$10,3,1))</f>
        <v>3116259.4350931793</v>
      </c>
      <c r="BU38" s="94">
        <f ca="1">IFERROR(VLOOKUP($BN38,'Regresion Q3'!$T$6:$V$10,2,1)*$BN38+VLOOKUP($BN38,'Regresion Q3'!$T$6:$V$10,3,1),VLOOKUP(MIN(DatosHoy[Puntos]),'Regresion Q3'!$T$6:$V$10,2,1)*$BN38+VLOOKUP(MIN(DatosHoy[Puntos]),'Regresion Q3'!$T$6:$V$10,3,1))</f>
        <v>4478980.3104164973</v>
      </c>
      <c r="BV38" s="94">
        <f ca="1">IFERROR(VLOOKUP($BN38,'Regresion Q3'!$W$6:$Y$10,2,1)*$BN38+VLOOKUP($BN38,'Regresion Q3'!$W$6:$Y$10,3,1),VLOOKUP(MIN(DatosHoy[Puntos]),'Regresion Q3'!$W$6:$Y$10,2,1)*$BN38+VLOOKUP(MIN(DatosHoy[Puntos]),'Regresion Q3'!$W$6:$Y$10,3,1))</f>
        <v>4607025.6235988475</v>
      </c>
      <c r="BW38" s="94">
        <f ca="1">IFERROR(VLOOKUP($BN38,'Regresion Q3'!$Z$6:$AB$10,2,1)*$BN38+VLOOKUP($BN38,'Regresion Q3'!$Z$6:$AB$10,3,1),VLOOKUP(MIN(DatosHoy[Puntos]),'Regresion Q3'!$Z$6:$AB$10,2,1)*$BN38+VLOOKUP(MIN(DatosHoy[Puntos]),'Regresion Q3'!$Z$6:$AB$10,3,1))</f>
        <v>4730802.5871014483</v>
      </c>
      <c r="BX38" s="96">
        <f ca="1">DatosHoy[[#This Row],[CT Actual]]/DatosHoy[[#This Row],[CT ajus PM Md]]</f>
        <v>0.90772759422561322</v>
      </c>
      <c r="BY38" s="125" t="str">
        <f>VLOOKUP(DatosHoy[[#This Row],[Cargo Valorado]],Estadísticos[[Cargo]:[Nivel]],2,FALSE)</f>
        <v>Soporte</v>
      </c>
      <c r="BZ38" s="96">
        <f>(DatosHoy[[#This Row],[G+V Actual]]-DatosHoy[[#This Row],[G Actual]])/DatosHoy[[#This Row],[CT Actual]]</f>
        <v>0</v>
      </c>
      <c r="CA38" s="96">
        <f>(DatosHoy[[#This Row],[CT Actual]]-DatosHoy[[#This Row],[G+V Actual]])/DatosHoy[[#This Row],[CT Actual]]</f>
        <v>0</v>
      </c>
      <c r="CB38" s="139" t="s">
        <v>255</v>
      </c>
    </row>
    <row r="39" spans="2:80" x14ac:dyDescent="0.25">
      <c r="B39" s="73">
        <f t="shared" si="34"/>
        <v>34</v>
      </c>
      <c r="C39" s="74">
        <v>2828714.68</v>
      </c>
      <c r="D39" s="74">
        <v>2828714.68</v>
      </c>
      <c r="E39" s="74">
        <v>2828714.68</v>
      </c>
      <c r="F39" s="94">
        <f>VLOOKUP(DatosHoy[[#This Row],[Cargo Valorado]],Estadísticos[],3,0)</f>
        <v>2531723.3723986163</v>
      </c>
      <c r="G39" s="94">
        <f>VLOOKUP(DatosHoy[[#This Row],[Cargo Valorado]],Estadísticos[],4,0)</f>
        <v>2675164.6201695842</v>
      </c>
      <c r="H39" s="94">
        <f>VLOOKUP(DatosHoy[[#This Row],[Cargo Valorado]],Estadísticos[],5,0)</f>
        <v>4170241.9186288402</v>
      </c>
      <c r="I39" s="94">
        <f>VLOOKUP(DatosHoy[[#This Row],[Cargo Valorado]],Estadísticos[],6,0)</f>
        <v>3722002.2519621733</v>
      </c>
      <c r="J39" s="94">
        <f>VLOOKUP(DatosHoy[[#This Row],[Cargo Valorado]],Estadísticos[],7,0)</f>
        <v>3722002.2519621733</v>
      </c>
      <c r="K39" s="94">
        <f>VLOOKUP(DatosHoy[[#This Row],[Cargo Valorado]],Estadísticos[],8,0)</f>
        <v>5210961.3162598293</v>
      </c>
      <c r="L39" s="94">
        <f>VLOOKUP(DatosHoy[[#This Row],[Cargo Valorado]],Estadísticos[],9,0)</f>
        <v>5210961.3162598293</v>
      </c>
      <c r="M39" s="94">
        <f>VLOOKUP(DatosHoy[[#This Row],[Cargo Valorado]],Estadísticos[],10,0)</f>
        <v>5210961.3162598293</v>
      </c>
      <c r="N39" s="94">
        <f>VLOOKUP(DatosHoy[[#This Row],[Cargo Valorado]],Estadísticos[],11,0)</f>
        <v>5566797.2993800184</v>
      </c>
      <c r="O39" s="75" t="s">
        <v>192</v>
      </c>
      <c r="P39" s="75">
        <v>217</v>
      </c>
      <c r="Q39" s="95" t="str">
        <f t="shared" si="24"/>
        <v>$P$39</v>
      </c>
      <c r="R39" s="95" t="str">
        <f t="shared" si="25"/>
        <v>$F$39</v>
      </c>
      <c r="S39" s="95" t="str">
        <f t="shared" si="26"/>
        <v>$G$39</v>
      </c>
      <c r="T39" s="95" t="str">
        <f t="shared" si="27"/>
        <v>$H$39</v>
      </c>
      <c r="U39" s="95" t="str">
        <f t="shared" si="28"/>
        <v>$I$39</v>
      </c>
      <c r="V39" s="95" t="str">
        <f t="shared" si="29"/>
        <v>$J$39</v>
      </c>
      <c r="W39" s="95" t="str">
        <f t="shared" si="30"/>
        <v>$K$39</v>
      </c>
      <c r="X39" s="95" t="str">
        <f t="shared" si="31"/>
        <v>$L$39</v>
      </c>
      <c r="Y39" s="95" t="str">
        <f t="shared" si="32"/>
        <v>$M$39</v>
      </c>
      <c r="Z39" s="95" t="str">
        <f t="shared" si="33"/>
        <v>$N$39</v>
      </c>
      <c r="AA39" s="94">
        <f ca="1">VLOOKUP($P39,'Regresion Q1'!$E$6:$I$10,4,1)*$P39+VLOOKUP($P39,'Regresion Q1'!$E$6:$I$10,5,1)</f>
        <v>2796460.4056913755</v>
      </c>
      <c r="AB39" s="94">
        <f ca="1">VLOOKUP($P39,'Regresion Q1'!$J$6:$N$10,4,1)*$P39+VLOOKUP($P39,'Regresion Q1'!$J$6:$N$10,5,1)</f>
        <v>2856307.261956214</v>
      </c>
      <c r="AC39" s="94">
        <f ca="1">VLOOKUP($P39,'Regresion Q1'!$O$6:$S$10,4,1)*$P39+VLOOKUP($P39,'Regresion Q1'!$O$6:$S$10,5,1)</f>
        <v>3026258.220993252</v>
      </c>
      <c r="AD39" s="94">
        <f ca="1">VLOOKUP($P39,'Regresion Md'!$E$6:$I$10,4,1)*$P39+VLOOKUP($P39,'Regresion Md'!$E$6:$I$10,5,1)</f>
        <v>2904732.3546628375</v>
      </c>
      <c r="AE39" s="94">
        <f ca="1">VLOOKUP($P39,'Regresion Md'!$J$6:$N$10,4,1)*$P39+VLOOKUP($P39,'Regresion Md'!$J$6:$N$10,5,1)</f>
        <v>2922755.15471806</v>
      </c>
      <c r="AF39" s="94">
        <f ca="1">VLOOKUP($P39,'Regresion Md'!$O$6:$S$10,4,1)*$P39+VLOOKUP($P39,'Regresion Md'!$O$6:$S$10,5,1)</f>
        <v>3116259.4350931803</v>
      </c>
      <c r="AG39" s="94">
        <f ca="1">VLOOKUP($P39,'Regresion Q3'!$E$6:$I$10,4,1)*$P39+VLOOKUP($P39,'Regresion Q3'!$E$6:$I$10,5,1)</f>
        <v>3885881.5543060908</v>
      </c>
      <c r="AH39" s="94">
        <f ca="1">VLOOKUP($P39,'Regresion Q3'!$J$6:$N$10,4,1)*$P39+VLOOKUP($P39,'Regresion Q3'!$J$6:$N$10,5,1)</f>
        <v>3950033.5849044621</v>
      </c>
      <c r="AI39" s="94">
        <f ca="1">VLOOKUP($P39,'Regresion Q3'!$O$6:$S$10,4,1)*$P39+VLOOKUP($P39,'Regresion Q3'!$O$6:$S$10,5,1)</f>
        <v>4140774.1746657426</v>
      </c>
      <c r="AJ39" s="94">
        <f ca="1">VLOOKUP($P39,'Regresion Q1'!$T$6:$V$10,2,1)*$P39+VLOOKUP($P39,'Regresion Q1'!$T$6:$V$10,3,1)</f>
        <v>2761640.3835342657</v>
      </c>
      <c r="AK39" s="94">
        <f ca="1">VLOOKUP($P39,'Regresion Q1'!$W$6:$Y$10,2,1)*$P39+VLOOKUP($P39,'Regresion Q1'!$W$6:$Y$10,3,1)</f>
        <v>2859912.4389351648</v>
      </c>
      <c r="AL39" s="94">
        <f ca="1">VLOOKUP($P39,'Regresion Q1'!$Z$6:$AB$10,2,1)*$P39+VLOOKUP($P39,'Regresion Q1'!$Z$6:$AB$10,3,1)</f>
        <v>2973845.1075463346</v>
      </c>
      <c r="AM39" s="94">
        <f ca="1">VLOOKUP($P39,'Regresion Md'!$T$6:$V$10,2,1)*$P39+VLOOKUP($P39,'Regresion Md'!$T$6:$V$10,3,1)</f>
        <v>2904732.3546628365</v>
      </c>
      <c r="AN39" s="94">
        <f ca="1">VLOOKUP($P39,'Regresion Md'!$W$6:$Y$10,2,1)*$P39+VLOOKUP($P39,'Regresion Md'!$W$6:$Y$10,3,1)</f>
        <v>2922755.154718061</v>
      </c>
      <c r="AO39" s="94">
        <f ca="1">VLOOKUP($P39,'Regresion Md'!$Z$6:$AB$10,2,1)*$P39+VLOOKUP($P39,'Regresion Md'!$Z$6:$AB$10,3,1)</f>
        <v>3116259.4350931793</v>
      </c>
      <c r="AP39" s="94">
        <f ca="1">VLOOKUP($P39,'Regresion Q3'!$T$6:$V$10,2,1)*$P39+VLOOKUP($P39,'Regresion Q3'!$T$6:$V$10,3,1)</f>
        <v>4478980.3104164973</v>
      </c>
      <c r="AQ39" s="94">
        <f ca="1">VLOOKUP($P39,'Regresion Q3'!$W$6:$Y$10,2,1)*$P39+VLOOKUP($P39,'Regresion Q3'!$W$6:$Y$10,3,1)</f>
        <v>4607025.6235988475</v>
      </c>
      <c r="AR39" s="94">
        <f ca="1">VLOOKUP($P39,'Regresion Q3'!$Z$6:$AB$10,2,1)*$P39+VLOOKUP($P39,'Regresion Q3'!$Z$6:$AB$10,3,1)</f>
        <v>4730802.5871014483</v>
      </c>
      <c r="AS39" s="94">
        <f>IF($BN39=$BN40,-1,DatosHoy[[#This Row],[G ajus PM Q1]]-BO40)</f>
        <v>-1</v>
      </c>
      <c r="AT39" s="94">
        <f>IF($BN39=$BN40,-1,DatosHoy[[#This Row],[G+V ajus PM Q1]]-BP40)</f>
        <v>-1</v>
      </c>
      <c r="AU39" s="94">
        <f>IF($BN39=$BN40,-1,DatosHoy[[#This Row],[CT ajus PM Q1]]-BQ40)</f>
        <v>-1</v>
      </c>
      <c r="AV39" s="94">
        <f ca="1">IF(DatosHoy[[#This Row],[G ajus PM Q1]]=DatosHoy[[#This Row],[G+V ajus PM Q1]],-1,DatosHoy[[#This Row],[G ajus PM Q1]]-DatosHoy[[#This Row],[G+V ajus PM Q1]])</f>
        <v>-98272.055400899146</v>
      </c>
      <c r="AW39" s="94">
        <f ca="1">IF(DatosHoy[[#This Row],[G+V ajus PM Q1]]=DatosHoy[[#This Row],[CT ajus PM Q1]],-1,DatosHoy[[#This Row],[G+V ajus PM Q1]]-DatosHoy[[#This Row],[CT ajus PM Q1]])</f>
        <v>-113932.66861116979</v>
      </c>
      <c r="AX39" s="94">
        <f>IF($BN39=$BN40,-1,DatosHoy[[#This Row],[G ajus PMd]]-BR40)</f>
        <v>-1</v>
      </c>
      <c r="AY39" s="94">
        <f>IF($BN39=$BN40,-1,DatosHoy[[#This Row],[G+V ajus PM Md]]-BS40)</f>
        <v>-1</v>
      </c>
      <c r="AZ39" s="94">
        <f>IF($BN39=$BN40,-1,DatosHoy[[#This Row],[CT ajus PM Md]]-BT40)</f>
        <v>-1</v>
      </c>
      <c r="BA39" s="94">
        <f ca="1">IF(DatosHoy[[#This Row],[G ajus PMd]]=DatosHoy[[#This Row],[G+V ajus PM Md]],-1,DatosHoy[[#This Row],[G ajus PMd]]-DatosHoy[[#This Row],[G+V ajus PM Md]])</f>
        <v>-18022.800055224448</v>
      </c>
      <c r="BB39" s="94">
        <f ca="1">IF(DatosHoy[[#This Row],[G+V ajus PM Md]]=DatosHoy[[#This Row],[CT ajus PM Md]],-1,DatosHoy[[#This Row],[G+V ajus PM Md]]-DatosHoy[[#This Row],[CT ajus PM Md]])</f>
        <v>-193504.28037511837</v>
      </c>
      <c r="BC39" s="94">
        <f>IF($BN39=$BN40,-1,DatosHoy[[#This Row],[G ajus PM Q3]]-BU40)</f>
        <v>-1</v>
      </c>
      <c r="BD39" s="94">
        <f>IF($BN39=$BN40,-1,DatosHoy[[#This Row],[G+V ajus PM Q3]]-BV40)</f>
        <v>-1</v>
      </c>
      <c r="BE39" s="94">
        <f>IF($BN39=$BN40,-1,DatosHoy[[#This Row],[CT ajus PM Q3]]-BW40)</f>
        <v>-1</v>
      </c>
      <c r="BF39" s="94">
        <f ca="1">IF(DatosHoy[[#This Row],[G ajus PM Q3]]=DatosHoy[[#This Row],[G+V ajus PM Q3]],-1,DatosHoy[[#This Row],[G ajus PM Q3]]-DatosHoy[[#This Row],[G+V ajus PM Q3]])</f>
        <v>-128045.31318235025</v>
      </c>
      <c r="BG39" s="94">
        <f ca="1">IF(DatosHoy[[#This Row],[G+V ajus PM Q3]]=DatosHoy[[#This Row],[CT ajus PM Q3]],-1,DatosHoy[[#This Row],[G+V ajus PM Q3]]-DatosHoy[[#This Row],[CT ajus PM Q3]])</f>
        <v>-123776.96350260079</v>
      </c>
      <c r="BH39" s="94">
        <f ca="1">IF(DatosHoy[[#This Row],[G ajus PM Q1]]=DatosHoy[[#This Row],[G ajus PMd]],-1,DatosHoy[[#This Row],[G ajus PM Q1]]-DatosHoy[[#This Row],[G ajus PMd]])</f>
        <v>-143091.97112857085</v>
      </c>
      <c r="BI39" s="94">
        <f ca="1">IF(DatosHoy[[#This Row],[G+V ajus PM Q1]]=DatosHoy[[#This Row],[G+V ajus PM Md]],-1,DatosHoy[[#This Row],[G+V ajus PM Q1]]-DatosHoy[[#This Row],[G+V ajus PM Md]])</f>
        <v>-62842.71578289615</v>
      </c>
      <c r="BJ39" s="94">
        <f ca="1">IF(DatosHoy[[#This Row],[CT ajus PM Q1]]=DatosHoy[[#This Row],[CT ajus PM Md]],-1,DatosHoy[[#This Row],[CT ajus PM Q1]]-DatosHoy[[#This Row],[CT ajus PM Md]])</f>
        <v>-142414.32754684472</v>
      </c>
      <c r="BK39" s="94">
        <f ca="1">IF(DatosHoy[[#This Row],[G ajus PMd]]=DatosHoy[[#This Row],[G ajus PM Q3]],-1,DatosHoy[[#This Row],[G ajus PMd]]-DatosHoy[[#This Row],[G ajus PM Q3]])</f>
        <v>-1574247.9557536608</v>
      </c>
      <c r="BL39" s="94">
        <f ca="1">IF(DatosHoy[[#This Row],[G+V ajus PM Md]]=DatosHoy[[#This Row],[G+V ajus PM Q3]],-1,DatosHoy[[#This Row],[G+V ajus PM Md]]-DatosHoy[[#This Row],[G+V ajus PM Q3]])</f>
        <v>-1684270.4688807866</v>
      </c>
      <c r="BM39" s="94">
        <f ca="1">IF(DatosHoy[[#This Row],[CT ajus PM Md]]=DatosHoy[[#This Row],[CT ajus PM Q3]],-1,DatosHoy[[#This Row],[CT ajus PM Md]]-DatosHoy[[#This Row],[CT ajus PM Q3]])</f>
        <v>-1614543.152008269</v>
      </c>
      <c r="BN39" s="74">
        <v>217</v>
      </c>
      <c r="BO39" s="94">
        <f ca="1">IFERROR(VLOOKUP($BN39,'Regresion Q1'!$T$6:$V$10,2,1)*$BN39+VLOOKUP($BN39,'Regresion Q1'!$T$6:$V$10,3,1),VLOOKUP(MIN(DatosHoy[Puntos]),'Regresion Q1'!$T$6:$V$10,2,1)*$BN39+VLOOKUP(MIN(DatosHoy[Puntos]),'Regresion Q1'!$T$6:$V$10,3,1))</f>
        <v>2761640.3835342657</v>
      </c>
      <c r="BP39" s="94">
        <f ca="1">IFERROR(VLOOKUP($BN39,'Regresion Q1'!$W$6:$Y$10,2,1)*$BN39+VLOOKUP($BN39,'Regresion Q1'!$W$6:$Y$10,3,1),VLOOKUP(MIN(DatosHoy[Puntos]),'Regresion Q1'!$W$6:$Y$10,2,1)*$BN39+VLOOKUP(MIN(DatosHoy[Puntos]),'Regresion Q1'!$W$6:$Y$10,3,1))</f>
        <v>2859912.4389351648</v>
      </c>
      <c r="BQ39" s="94">
        <f ca="1">IFERROR(VLOOKUP($BN39,'Regresion Q1'!$Z$6:$AB$10,2,1)*$BN39+VLOOKUP($BN39,'Regresion Q1'!$Z$6:$AB$10,3,1),VLOOKUP(MIN(DatosHoy[Puntos]),'Regresion Q1'!$Z$6:$AB$10,2,1)*$BN39+VLOOKUP(MIN(DatosHoy[Puntos]),'Regresion Q1'!$Z$6:$AB$10,3,1))</f>
        <v>2973845.1075463346</v>
      </c>
      <c r="BR39" s="94">
        <f ca="1">IFERROR(VLOOKUP($BN39,'Regresion Md'!$T$6:$V$10,2,1)*$BN39+VLOOKUP($BN39,'Regresion Md'!$T$6:$V$10,3,1),VLOOKUP(MIN(DatosHoy[Puntos]),'Regresion Md'!$T$6:$V$10,2,1)*$BN39+VLOOKUP(MIN(DatosHoy[Puntos]),'Regresion Md'!$T$6:$V$10,3,1))</f>
        <v>2904732.3546628365</v>
      </c>
      <c r="BS39" s="94">
        <f ca="1">IFERROR(VLOOKUP($BN39,'Regresion Md'!$W$6:$Y$10,2,1)*$BN39+VLOOKUP($BN39,'Regresion Md'!$W$6:$Y$10,3,1),VLOOKUP(MIN(DatosHoy[Puntos]),'Regresion Md'!$W$6:$Y$10,2,1)*$BN39+VLOOKUP(MIN(DatosHoy[Puntos]),'Regresion Md'!$W$6:$Y$10,3,1))</f>
        <v>2922755.154718061</v>
      </c>
      <c r="BT39" s="94">
        <f ca="1">IFERROR(VLOOKUP($BN39,'Regresion Md'!$Z$6:$AB$10,2,1)*$BN39+VLOOKUP($BN39,'Regresion Md'!$Z$6:$AB$10,3,1),VLOOKUP(MIN(DatosHoy[Puntos]),'Regresion Md'!$Z$6:$AB$10,2,1)*$BN39+VLOOKUP(MIN(DatosHoy[Puntos]),'Regresion Md'!$Z$6:$AB$10,3,1))</f>
        <v>3116259.4350931793</v>
      </c>
      <c r="BU39" s="94">
        <f ca="1">IFERROR(VLOOKUP($BN39,'Regresion Q3'!$T$6:$V$10,2,1)*$BN39+VLOOKUP($BN39,'Regresion Q3'!$T$6:$V$10,3,1),VLOOKUP(MIN(DatosHoy[Puntos]),'Regresion Q3'!$T$6:$V$10,2,1)*$BN39+VLOOKUP(MIN(DatosHoy[Puntos]),'Regresion Q3'!$T$6:$V$10,3,1))</f>
        <v>4478980.3104164973</v>
      </c>
      <c r="BV39" s="94">
        <f ca="1">IFERROR(VLOOKUP($BN39,'Regresion Q3'!$W$6:$Y$10,2,1)*$BN39+VLOOKUP($BN39,'Regresion Q3'!$W$6:$Y$10,3,1),VLOOKUP(MIN(DatosHoy[Puntos]),'Regresion Q3'!$W$6:$Y$10,2,1)*$BN39+VLOOKUP(MIN(DatosHoy[Puntos]),'Regresion Q3'!$W$6:$Y$10,3,1))</f>
        <v>4607025.6235988475</v>
      </c>
      <c r="BW39" s="94">
        <f ca="1">IFERROR(VLOOKUP($BN39,'Regresion Q3'!$Z$6:$AB$10,2,1)*$BN39+VLOOKUP($BN39,'Regresion Q3'!$Z$6:$AB$10,3,1),VLOOKUP(MIN(DatosHoy[Puntos]),'Regresion Q3'!$Z$6:$AB$10,2,1)*$BN39+VLOOKUP(MIN(DatosHoy[Puntos]),'Regresion Q3'!$Z$6:$AB$10,3,1))</f>
        <v>4730802.5871014483</v>
      </c>
      <c r="BX39" s="96">
        <f ca="1">DatosHoy[[#This Row],[CT Actual]]/DatosHoy[[#This Row],[CT ajus PM Md]]</f>
        <v>0.90772759422561322</v>
      </c>
      <c r="BY39" s="125" t="str">
        <f>VLOOKUP(DatosHoy[[#This Row],[Cargo Valorado]],Estadísticos[[Cargo]:[Nivel]],2,FALSE)</f>
        <v>Soporte</v>
      </c>
      <c r="BZ39" s="96">
        <f>(DatosHoy[[#This Row],[G+V Actual]]-DatosHoy[[#This Row],[G Actual]])/DatosHoy[[#This Row],[CT Actual]]</f>
        <v>0</v>
      </c>
      <c r="CA39" s="96">
        <f>(DatosHoy[[#This Row],[CT Actual]]-DatosHoy[[#This Row],[G+V Actual]])/DatosHoy[[#This Row],[CT Actual]]</f>
        <v>0</v>
      </c>
      <c r="CB39" s="139" t="s">
        <v>255</v>
      </c>
    </row>
    <row r="40" spans="2:80" x14ac:dyDescent="0.25">
      <c r="B40" s="73">
        <f t="shared" si="34"/>
        <v>35</v>
      </c>
      <c r="C40" s="74">
        <v>2536900.52</v>
      </c>
      <c r="D40" s="74">
        <v>2536900.52</v>
      </c>
      <c r="E40" s="74">
        <v>2536900.52</v>
      </c>
      <c r="F40" s="94">
        <f>VLOOKUP(DatosHoy[[#This Row],[Cargo Valorado]],Estadísticos[],3,0)</f>
        <v>2768889.3520500613</v>
      </c>
      <c r="G40" s="94">
        <f>VLOOKUP(DatosHoy[[#This Row],[Cargo Valorado]],Estadísticos[],4,0)</f>
        <v>2768889.3520500613</v>
      </c>
      <c r="H40" s="94">
        <f>VLOOKUP(DatosHoy[[#This Row],[Cargo Valorado]],Estadísticos[],5,0)</f>
        <v>2811737.3120500613</v>
      </c>
      <c r="I40" s="94">
        <f>VLOOKUP(DatosHoy[[#This Row],[Cargo Valorado]],Estadísticos[],6,0)</f>
        <v>3361299.1427889634</v>
      </c>
      <c r="J40" s="94">
        <f>VLOOKUP(DatosHoy[[#This Row],[Cargo Valorado]],Estadísticos[],7,0)</f>
        <v>3361299.1427889634</v>
      </c>
      <c r="K40" s="94">
        <f>VLOOKUP(DatosHoy[[#This Row],[Cargo Valorado]],Estadísticos[],8,0)</f>
        <v>3446995.0627889633</v>
      </c>
      <c r="L40" s="94">
        <f>VLOOKUP(DatosHoy[[#This Row],[Cargo Valorado]],Estadísticos[],9,0)</f>
        <v>3953708.9335278659</v>
      </c>
      <c r="M40" s="94">
        <f>VLOOKUP(DatosHoy[[#This Row],[Cargo Valorado]],Estadísticos[],10,0)</f>
        <v>3953708.9335278659</v>
      </c>
      <c r="N40" s="94">
        <f>VLOOKUP(DatosHoy[[#This Row],[Cargo Valorado]],Estadísticos[],11,0)</f>
        <v>4082252.8135278658</v>
      </c>
      <c r="O40" s="75" t="s">
        <v>232</v>
      </c>
      <c r="P40" s="75">
        <v>224</v>
      </c>
      <c r="Q40" s="95" t="str">
        <f t="shared" si="24"/>
        <v>$P$40</v>
      </c>
      <c r="R40" s="95" t="str">
        <f t="shared" si="25"/>
        <v>$F$40</v>
      </c>
      <c r="S40" s="95" t="str">
        <f t="shared" si="26"/>
        <v>$G$40</v>
      </c>
      <c r="T40" s="95" t="str">
        <f t="shared" si="27"/>
        <v>$H$40</v>
      </c>
      <c r="U40" s="95" t="str">
        <f t="shared" si="28"/>
        <v>$I$40</v>
      </c>
      <c r="V40" s="95" t="str">
        <f t="shared" si="29"/>
        <v>$J$40</v>
      </c>
      <c r="W40" s="95" t="str">
        <f t="shared" si="30"/>
        <v>$K$40</v>
      </c>
      <c r="X40" s="95" t="str">
        <f t="shared" si="31"/>
        <v>$L$40</v>
      </c>
      <c r="Y40" s="95" t="str">
        <f t="shared" si="32"/>
        <v>$M$40</v>
      </c>
      <c r="Z40" s="95" t="str">
        <f t="shared" si="33"/>
        <v>$N$40</v>
      </c>
      <c r="AA40" s="94">
        <f ca="1">VLOOKUP($P40,'Regresion Q1'!$E$6:$I$10,4,1)*$P40+VLOOKUP($P40,'Regresion Q1'!$E$6:$I$10,5,1)</f>
        <v>2890626.305204283</v>
      </c>
      <c r="AB40" s="94">
        <f ca="1">VLOOKUP($P40,'Regresion Q1'!$J$6:$N$10,4,1)*$P40+VLOOKUP($P40,'Regresion Q1'!$J$6:$N$10,5,1)</f>
        <v>2953175.3646892924</v>
      </c>
      <c r="AC40" s="94">
        <f ca="1">VLOOKUP($P40,'Regresion Q1'!$O$6:$S$10,4,1)*$P40+VLOOKUP($P40,'Regresion Q1'!$O$6:$S$10,5,1)</f>
        <v>3126218.948644198</v>
      </c>
      <c r="AD40" s="94">
        <f ca="1">VLOOKUP($P40,'Regresion Md'!$E$6:$I$10,4,1)*$P40+VLOOKUP($P40,'Regresion Md'!$E$6:$I$10,5,1)</f>
        <v>3080333.8955314187</v>
      </c>
      <c r="AE40" s="94">
        <f ca="1">VLOOKUP($P40,'Regresion Md'!$J$6:$N$10,4,1)*$P40+VLOOKUP($P40,'Regresion Md'!$J$6:$N$10,5,1)</f>
        <v>3104307.6752088647</v>
      </c>
      <c r="AF40" s="94">
        <f ca="1">VLOOKUP($P40,'Regresion Md'!$O$6:$S$10,4,1)*$P40+VLOOKUP($P40,'Regresion Md'!$O$6:$S$10,5,1)</f>
        <v>3296956.8766270876</v>
      </c>
      <c r="AG40" s="94">
        <f ca="1">VLOOKUP($P40,'Regresion Q3'!$E$6:$I$10,4,1)*$P40+VLOOKUP($P40,'Regresion Q3'!$E$6:$I$10,5,1)</f>
        <v>4060131.0692516295</v>
      </c>
      <c r="AH40" s="94">
        <f ca="1">VLOOKUP($P40,'Regresion Q3'!$J$6:$N$10,4,1)*$P40+VLOOKUP($P40,'Regresion Q3'!$J$6:$N$10,5,1)</f>
        <v>4126481.5476520769</v>
      </c>
      <c r="AI40" s="94">
        <f ca="1">VLOOKUP($P40,'Regresion Q3'!$O$6:$S$10,4,1)*$P40+VLOOKUP($P40,'Regresion Q3'!$O$6:$S$10,5,1)</f>
        <v>4316178.1476935688</v>
      </c>
      <c r="AJ40" s="94">
        <f ca="1">VLOOKUP($P40,'Regresion Q1'!$T$6:$V$10,2,1)*$P40+VLOOKUP($P40,'Regresion Q1'!$T$6:$V$10,3,1)</f>
        <v>2831664.3097474286</v>
      </c>
      <c r="AK40" s="94">
        <f ca="1">VLOOKUP($P40,'Regresion Q1'!$W$6:$Y$10,2,1)*$P40+VLOOKUP($P40,'Regresion Q1'!$W$6:$Y$10,3,1)</f>
        <v>2930681.9357365794</v>
      </c>
      <c r="AL40" s="94">
        <f ca="1">VLOOKUP($P40,'Regresion Q1'!$Z$6:$AB$10,2,1)*$P40+VLOOKUP($P40,'Regresion Q1'!$Z$6:$AB$10,3,1)</f>
        <v>3047798.7854717723</v>
      </c>
      <c r="AM40" s="94">
        <f ca="1">VLOOKUP($P40,'Regresion Md'!$T$6:$V$10,2,1)*$P40+VLOOKUP($P40,'Regresion Md'!$T$6:$V$10,3,1)</f>
        <v>3065295.3072835645</v>
      </c>
      <c r="AN40" s="94">
        <f ca="1">VLOOKUP($P40,'Regresion Md'!$W$6:$Y$10,2,1)*$P40+VLOOKUP($P40,'Regresion Md'!$W$6:$Y$10,3,1)</f>
        <v>3096662.6447221972</v>
      </c>
      <c r="AO40" s="94">
        <f ca="1">VLOOKUP($P40,'Regresion Md'!$Z$6:$AB$10,2,1)*$P40+VLOOKUP($P40,'Regresion Md'!$Z$6:$AB$10,3,1)</f>
        <v>3295038.8130892264</v>
      </c>
      <c r="AP40" s="94">
        <f ca="1">VLOOKUP($P40,'Regresion Q3'!$T$6:$V$10,2,1)*$P40+VLOOKUP($P40,'Regresion Q3'!$T$6:$V$10,3,1)</f>
        <v>4608202.9586148486</v>
      </c>
      <c r="AQ40" s="94">
        <f ca="1">VLOOKUP($P40,'Regresion Q3'!$W$6:$Y$10,2,1)*$P40+VLOOKUP($P40,'Regresion Q3'!$W$6:$Y$10,3,1)</f>
        <v>4739291.5369819961</v>
      </c>
      <c r="AR40" s="94">
        <f ca="1">VLOOKUP($P40,'Regresion Q3'!$Z$6:$AB$10,2,1)*$P40+VLOOKUP($P40,'Regresion Q3'!$Z$6:$AB$10,3,1)</f>
        <v>4865557.6574522797</v>
      </c>
      <c r="AS40" s="94">
        <f>IF($BN40=$BN41,-1,DatosHoy[[#This Row],[G ajus PM Q1]]-BO41)</f>
        <v>-1</v>
      </c>
      <c r="AT40" s="94">
        <f>IF($BN40=$BN41,-1,DatosHoy[[#This Row],[G+V ajus PM Q1]]-BP41)</f>
        <v>-1</v>
      </c>
      <c r="AU40" s="94">
        <f>IF($BN40=$BN41,-1,DatosHoy[[#This Row],[CT ajus PM Q1]]-BQ41)</f>
        <v>-1</v>
      </c>
      <c r="AV40" s="94">
        <f ca="1">IF(DatosHoy[[#This Row],[G ajus PM Q1]]=DatosHoy[[#This Row],[G+V ajus PM Q1]],-1,DatosHoy[[#This Row],[G ajus PM Q1]]-DatosHoy[[#This Row],[G+V ajus PM Q1]])</f>
        <v>-98272.055400899146</v>
      </c>
      <c r="AW40" s="94">
        <f ca="1">IF(DatosHoy[[#This Row],[G+V ajus PM Q1]]=DatosHoy[[#This Row],[CT ajus PM Q1]],-1,DatosHoy[[#This Row],[G+V ajus PM Q1]]-DatosHoy[[#This Row],[CT ajus PM Q1]])</f>
        <v>-113932.66861116979</v>
      </c>
      <c r="AX40" s="94">
        <f>IF($BN40=$BN41,-1,DatosHoy[[#This Row],[G ajus PMd]]-BR41)</f>
        <v>-1</v>
      </c>
      <c r="AY40" s="94">
        <f>IF($BN40=$BN41,-1,DatosHoy[[#This Row],[G+V ajus PM Md]]-BS41)</f>
        <v>-1</v>
      </c>
      <c r="AZ40" s="94">
        <f>IF($BN40=$BN41,-1,DatosHoy[[#This Row],[CT ajus PM Md]]-BT41)</f>
        <v>-1</v>
      </c>
      <c r="BA40" s="94">
        <f ca="1">IF(DatosHoy[[#This Row],[G ajus PMd]]=DatosHoy[[#This Row],[G+V ajus PM Md]],-1,DatosHoy[[#This Row],[G ajus PMd]]-DatosHoy[[#This Row],[G+V ajus PM Md]])</f>
        <v>-18022.800055224448</v>
      </c>
      <c r="BB40" s="94">
        <f ca="1">IF(DatosHoy[[#This Row],[G+V ajus PM Md]]=DatosHoy[[#This Row],[CT ajus PM Md]],-1,DatosHoy[[#This Row],[G+V ajus PM Md]]-DatosHoy[[#This Row],[CT ajus PM Md]])</f>
        <v>-193504.28037511837</v>
      </c>
      <c r="BC40" s="94">
        <f>IF($BN40=$BN41,-1,DatosHoy[[#This Row],[G ajus PM Q3]]-BU41)</f>
        <v>-1</v>
      </c>
      <c r="BD40" s="94">
        <f>IF($BN40=$BN41,-1,DatosHoy[[#This Row],[G+V ajus PM Q3]]-BV41)</f>
        <v>-1</v>
      </c>
      <c r="BE40" s="94">
        <f>IF($BN40=$BN41,-1,DatosHoy[[#This Row],[CT ajus PM Q3]]-BW41)</f>
        <v>-1</v>
      </c>
      <c r="BF40" s="94">
        <f ca="1">IF(DatosHoy[[#This Row],[G ajus PM Q3]]=DatosHoy[[#This Row],[G+V ajus PM Q3]],-1,DatosHoy[[#This Row],[G ajus PM Q3]]-DatosHoy[[#This Row],[G+V ajus PM Q3]])</f>
        <v>-128045.31318235025</v>
      </c>
      <c r="BG40" s="94">
        <f ca="1">IF(DatosHoy[[#This Row],[G+V ajus PM Q3]]=DatosHoy[[#This Row],[CT ajus PM Q3]],-1,DatosHoy[[#This Row],[G+V ajus PM Q3]]-DatosHoy[[#This Row],[CT ajus PM Q3]])</f>
        <v>-123776.96350260079</v>
      </c>
      <c r="BH40" s="94">
        <f ca="1">IF(DatosHoy[[#This Row],[G ajus PM Q1]]=DatosHoy[[#This Row],[G ajus PMd]],-1,DatosHoy[[#This Row],[G ajus PM Q1]]-DatosHoy[[#This Row],[G ajus PMd]])</f>
        <v>-143091.97112857085</v>
      </c>
      <c r="BI40" s="94">
        <f ca="1">IF(DatosHoy[[#This Row],[G+V ajus PM Q1]]=DatosHoy[[#This Row],[G+V ajus PM Md]],-1,DatosHoy[[#This Row],[G+V ajus PM Q1]]-DatosHoy[[#This Row],[G+V ajus PM Md]])</f>
        <v>-62842.71578289615</v>
      </c>
      <c r="BJ40" s="94">
        <f ca="1">IF(DatosHoy[[#This Row],[CT ajus PM Q1]]=DatosHoy[[#This Row],[CT ajus PM Md]],-1,DatosHoy[[#This Row],[CT ajus PM Q1]]-DatosHoy[[#This Row],[CT ajus PM Md]])</f>
        <v>-142414.32754684472</v>
      </c>
      <c r="BK40" s="94">
        <f ca="1">IF(DatosHoy[[#This Row],[G ajus PMd]]=DatosHoy[[#This Row],[G ajus PM Q3]],-1,DatosHoy[[#This Row],[G ajus PMd]]-DatosHoy[[#This Row],[G ajus PM Q3]])</f>
        <v>-1574247.9557536608</v>
      </c>
      <c r="BL40" s="94">
        <f ca="1">IF(DatosHoy[[#This Row],[G+V ajus PM Md]]=DatosHoy[[#This Row],[G+V ajus PM Q3]],-1,DatosHoy[[#This Row],[G+V ajus PM Md]]-DatosHoy[[#This Row],[G+V ajus PM Q3]])</f>
        <v>-1684270.4688807866</v>
      </c>
      <c r="BM40" s="94">
        <f ca="1">IF(DatosHoy[[#This Row],[CT ajus PM Md]]=DatosHoy[[#This Row],[CT ajus PM Q3]],-1,DatosHoy[[#This Row],[CT ajus PM Md]]-DatosHoy[[#This Row],[CT ajus PM Q3]])</f>
        <v>-1614543.152008269</v>
      </c>
      <c r="BN40" s="74">
        <v>217</v>
      </c>
      <c r="BO40" s="94">
        <f ca="1">IFERROR(VLOOKUP($BN40,'Regresion Q1'!$T$6:$V$10,2,1)*$BN40+VLOOKUP($BN40,'Regresion Q1'!$T$6:$V$10,3,1),VLOOKUP(MIN(DatosHoy[Puntos]),'Regresion Q1'!$T$6:$V$10,2,1)*$BN40+VLOOKUP(MIN(DatosHoy[Puntos]),'Regresion Q1'!$T$6:$V$10,3,1))</f>
        <v>2761640.3835342657</v>
      </c>
      <c r="BP40" s="94">
        <f ca="1">IFERROR(VLOOKUP($BN40,'Regresion Q1'!$W$6:$Y$10,2,1)*$BN40+VLOOKUP($BN40,'Regresion Q1'!$W$6:$Y$10,3,1),VLOOKUP(MIN(DatosHoy[Puntos]),'Regresion Q1'!$W$6:$Y$10,2,1)*$BN40+VLOOKUP(MIN(DatosHoy[Puntos]),'Regresion Q1'!$W$6:$Y$10,3,1))</f>
        <v>2859912.4389351648</v>
      </c>
      <c r="BQ40" s="94">
        <f ca="1">IFERROR(VLOOKUP($BN40,'Regresion Q1'!$Z$6:$AB$10,2,1)*$BN40+VLOOKUP($BN40,'Regresion Q1'!$Z$6:$AB$10,3,1),VLOOKUP(MIN(DatosHoy[Puntos]),'Regresion Q1'!$Z$6:$AB$10,2,1)*$BN40+VLOOKUP(MIN(DatosHoy[Puntos]),'Regresion Q1'!$Z$6:$AB$10,3,1))</f>
        <v>2973845.1075463346</v>
      </c>
      <c r="BR40" s="94">
        <f ca="1">IFERROR(VLOOKUP($BN40,'Regresion Md'!$T$6:$V$10,2,1)*$BN40+VLOOKUP($BN40,'Regresion Md'!$T$6:$V$10,3,1),VLOOKUP(MIN(DatosHoy[Puntos]),'Regresion Md'!$T$6:$V$10,2,1)*$BN40+VLOOKUP(MIN(DatosHoy[Puntos]),'Regresion Md'!$T$6:$V$10,3,1))</f>
        <v>2904732.3546628365</v>
      </c>
      <c r="BS40" s="94">
        <f ca="1">IFERROR(VLOOKUP($BN40,'Regresion Md'!$W$6:$Y$10,2,1)*$BN40+VLOOKUP($BN40,'Regresion Md'!$W$6:$Y$10,3,1),VLOOKUP(MIN(DatosHoy[Puntos]),'Regresion Md'!$W$6:$Y$10,2,1)*$BN40+VLOOKUP(MIN(DatosHoy[Puntos]),'Regresion Md'!$W$6:$Y$10,3,1))</f>
        <v>2922755.154718061</v>
      </c>
      <c r="BT40" s="94">
        <f ca="1">IFERROR(VLOOKUP($BN40,'Regresion Md'!$Z$6:$AB$10,2,1)*$BN40+VLOOKUP($BN40,'Regresion Md'!$Z$6:$AB$10,3,1),VLOOKUP(MIN(DatosHoy[Puntos]),'Regresion Md'!$Z$6:$AB$10,2,1)*$BN40+VLOOKUP(MIN(DatosHoy[Puntos]),'Regresion Md'!$Z$6:$AB$10,3,1))</f>
        <v>3116259.4350931793</v>
      </c>
      <c r="BU40" s="94">
        <f ca="1">IFERROR(VLOOKUP($BN40,'Regresion Q3'!$T$6:$V$10,2,1)*$BN40+VLOOKUP($BN40,'Regresion Q3'!$T$6:$V$10,3,1),VLOOKUP(MIN(DatosHoy[Puntos]),'Regresion Q3'!$T$6:$V$10,2,1)*$BN40+VLOOKUP(MIN(DatosHoy[Puntos]),'Regresion Q3'!$T$6:$V$10,3,1))</f>
        <v>4478980.3104164973</v>
      </c>
      <c r="BV40" s="94">
        <f ca="1">IFERROR(VLOOKUP($BN40,'Regresion Q3'!$W$6:$Y$10,2,1)*$BN40+VLOOKUP($BN40,'Regresion Q3'!$W$6:$Y$10,3,1),VLOOKUP(MIN(DatosHoy[Puntos]),'Regresion Q3'!$W$6:$Y$10,2,1)*$BN40+VLOOKUP(MIN(DatosHoy[Puntos]),'Regresion Q3'!$W$6:$Y$10,3,1))</f>
        <v>4607025.6235988475</v>
      </c>
      <c r="BW40" s="94">
        <f ca="1">IFERROR(VLOOKUP($BN40,'Regresion Q3'!$Z$6:$AB$10,2,1)*$BN40+VLOOKUP($BN40,'Regresion Q3'!$Z$6:$AB$10,3,1),VLOOKUP(MIN(DatosHoy[Puntos]),'Regresion Q3'!$Z$6:$AB$10,2,1)*$BN40+VLOOKUP(MIN(DatosHoy[Puntos]),'Regresion Q3'!$Z$6:$AB$10,3,1))</f>
        <v>4730802.5871014483</v>
      </c>
      <c r="BX40" s="96">
        <f ca="1">DatosHoy[[#This Row],[CT Actual]]/DatosHoy[[#This Row],[CT ajus PM Md]]</f>
        <v>0.81408514690117384</v>
      </c>
      <c r="BY40" s="125" t="str">
        <f>VLOOKUP(DatosHoy[[#This Row],[Cargo Valorado]],Estadísticos[[Cargo]:[Nivel]],2,FALSE)</f>
        <v>Soporte</v>
      </c>
      <c r="BZ40" s="96">
        <f>(DatosHoy[[#This Row],[G+V Actual]]-DatosHoy[[#This Row],[G Actual]])/DatosHoy[[#This Row],[CT Actual]]</f>
        <v>0</v>
      </c>
      <c r="CA40" s="96">
        <f>(DatosHoy[[#This Row],[CT Actual]]-DatosHoy[[#This Row],[G+V Actual]])/DatosHoy[[#This Row],[CT Actual]]</f>
        <v>0</v>
      </c>
      <c r="CB40" s="139" t="s">
        <v>255</v>
      </c>
    </row>
    <row r="41" spans="2:80" x14ac:dyDescent="0.25">
      <c r="B41" s="73">
        <f t="shared" si="34"/>
        <v>36</v>
      </c>
      <c r="C41" s="74">
        <v>2536900.52</v>
      </c>
      <c r="D41" s="74">
        <v>2536900.52</v>
      </c>
      <c r="E41" s="74">
        <v>2536900.52</v>
      </c>
      <c r="F41" s="94">
        <f>VLOOKUP(DatosHoy[[#This Row],[Cargo Valorado]],Estadísticos[],3,0)</f>
        <v>2768889.3520500613</v>
      </c>
      <c r="G41" s="94">
        <f>VLOOKUP(DatosHoy[[#This Row],[Cargo Valorado]],Estadísticos[],4,0)</f>
        <v>2768889.3520500613</v>
      </c>
      <c r="H41" s="94">
        <f>VLOOKUP(DatosHoy[[#This Row],[Cargo Valorado]],Estadísticos[],5,0)</f>
        <v>2811737.3120500613</v>
      </c>
      <c r="I41" s="94">
        <f>VLOOKUP(DatosHoy[[#This Row],[Cargo Valorado]],Estadísticos[],6,0)</f>
        <v>3361299.1427889634</v>
      </c>
      <c r="J41" s="94">
        <f>VLOOKUP(DatosHoy[[#This Row],[Cargo Valorado]],Estadísticos[],7,0)</f>
        <v>3361299.1427889634</v>
      </c>
      <c r="K41" s="94">
        <f>VLOOKUP(DatosHoy[[#This Row],[Cargo Valorado]],Estadísticos[],8,0)</f>
        <v>3446995.0627889633</v>
      </c>
      <c r="L41" s="94">
        <f>VLOOKUP(DatosHoy[[#This Row],[Cargo Valorado]],Estadísticos[],9,0)</f>
        <v>3953708.9335278659</v>
      </c>
      <c r="M41" s="94">
        <f>VLOOKUP(DatosHoy[[#This Row],[Cargo Valorado]],Estadísticos[],10,0)</f>
        <v>3953708.9335278659</v>
      </c>
      <c r="N41" s="94">
        <f>VLOOKUP(DatosHoy[[#This Row],[Cargo Valorado]],Estadísticos[],11,0)</f>
        <v>4082252.8135278658</v>
      </c>
      <c r="O41" s="75" t="s">
        <v>232</v>
      </c>
      <c r="P41" s="75">
        <v>224</v>
      </c>
      <c r="Q41" s="95" t="str">
        <f t="shared" si="24"/>
        <v>$P$41</v>
      </c>
      <c r="R41" s="95" t="str">
        <f t="shared" si="25"/>
        <v>$F$41</v>
      </c>
      <c r="S41" s="95" t="str">
        <f t="shared" si="26"/>
        <v>$G$41</v>
      </c>
      <c r="T41" s="95" t="str">
        <f t="shared" si="27"/>
        <v>$H$41</v>
      </c>
      <c r="U41" s="95" t="str">
        <f t="shared" si="28"/>
        <v>$I$41</v>
      </c>
      <c r="V41" s="95" t="str">
        <f t="shared" si="29"/>
        <v>$J$41</v>
      </c>
      <c r="W41" s="95" t="str">
        <f t="shared" si="30"/>
        <v>$K$41</v>
      </c>
      <c r="X41" s="95" t="str">
        <f t="shared" si="31"/>
        <v>$L$41</v>
      </c>
      <c r="Y41" s="95" t="str">
        <f t="shared" si="32"/>
        <v>$M$41</v>
      </c>
      <c r="Z41" s="95" t="str">
        <f t="shared" si="33"/>
        <v>$N$41</v>
      </c>
      <c r="AA41" s="94">
        <f ca="1">VLOOKUP($P41,'Regresion Q1'!$E$6:$I$10,4,1)*$P41+VLOOKUP($P41,'Regresion Q1'!$E$6:$I$10,5,1)</f>
        <v>2890626.305204283</v>
      </c>
      <c r="AB41" s="94">
        <f ca="1">VLOOKUP($P41,'Regresion Q1'!$J$6:$N$10,4,1)*$P41+VLOOKUP($P41,'Regresion Q1'!$J$6:$N$10,5,1)</f>
        <v>2953175.3646892924</v>
      </c>
      <c r="AC41" s="94">
        <f ca="1">VLOOKUP($P41,'Regresion Q1'!$O$6:$S$10,4,1)*$P41+VLOOKUP($P41,'Regresion Q1'!$O$6:$S$10,5,1)</f>
        <v>3126218.948644198</v>
      </c>
      <c r="AD41" s="94">
        <f ca="1">VLOOKUP($P41,'Regresion Md'!$E$6:$I$10,4,1)*$P41+VLOOKUP($P41,'Regresion Md'!$E$6:$I$10,5,1)</f>
        <v>3080333.8955314187</v>
      </c>
      <c r="AE41" s="94">
        <f ca="1">VLOOKUP($P41,'Regresion Md'!$J$6:$N$10,4,1)*$P41+VLOOKUP($P41,'Regresion Md'!$J$6:$N$10,5,1)</f>
        <v>3104307.6752088647</v>
      </c>
      <c r="AF41" s="94">
        <f ca="1">VLOOKUP($P41,'Regresion Md'!$O$6:$S$10,4,1)*$P41+VLOOKUP($P41,'Regresion Md'!$O$6:$S$10,5,1)</f>
        <v>3296956.8766270876</v>
      </c>
      <c r="AG41" s="94">
        <f ca="1">VLOOKUP($P41,'Regresion Q3'!$E$6:$I$10,4,1)*$P41+VLOOKUP($P41,'Regresion Q3'!$E$6:$I$10,5,1)</f>
        <v>4060131.0692516295</v>
      </c>
      <c r="AH41" s="94">
        <f ca="1">VLOOKUP($P41,'Regresion Q3'!$J$6:$N$10,4,1)*$P41+VLOOKUP($P41,'Regresion Q3'!$J$6:$N$10,5,1)</f>
        <v>4126481.5476520769</v>
      </c>
      <c r="AI41" s="94">
        <f ca="1">VLOOKUP($P41,'Regresion Q3'!$O$6:$S$10,4,1)*$P41+VLOOKUP($P41,'Regresion Q3'!$O$6:$S$10,5,1)</f>
        <v>4316178.1476935688</v>
      </c>
      <c r="AJ41" s="94">
        <f ca="1">VLOOKUP($P41,'Regresion Q1'!$T$6:$V$10,2,1)*$P41+VLOOKUP($P41,'Regresion Q1'!$T$6:$V$10,3,1)</f>
        <v>2831664.3097474286</v>
      </c>
      <c r="AK41" s="94">
        <f ca="1">VLOOKUP($P41,'Regresion Q1'!$W$6:$Y$10,2,1)*$P41+VLOOKUP($P41,'Regresion Q1'!$W$6:$Y$10,3,1)</f>
        <v>2930681.9357365794</v>
      </c>
      <c r="AL41" s="94">
        <f ca="1">VLOOKUP($P41,'Regresion Q1'!$Z$6:$AB$10,2,1)*$P41+VLOOKUP($P41,'Regresion Q1'!$Z$6:$AB$10,3,1)</f>
        <v>3047798.7854717723</v>
      </c>
      <c r="AM41" s="94">
        <f ca="1">VLOOKUP($P41,'Regresion Md'!$T$6:$V$10,2,1)*$P41+VLOOKUP($P41,'Regresion Md'!$T$6:$V$10,3,1)</f>
        <v>3065295.3072835645</v>
      </c>
      <c r="AN41" s="94">
        <f ca="1">VLOOKUP($P41,'Regresion Md'!$W$6:$Y$10,2,1)*$P41+VLOOKUP($P41,'Regresion Md'!$W$6:$Y$10,3,1)</f>
        <v>3096662.6447221972</v>
      </c>
      <c r="AO41" s="94">
        <f ca="1">VLOOKUP($P41,'Regresion Md'!$Z$6:$AB$10,2,1)*$P41+VLOOKUP($P41,'Regresion Md'!$Z$6:$AB$10,3,1)</f>
        <v>3295038.8130892264</v>
      </c>
      <c r="AP41" s="94">
        <f ca="1">VLOOKUP($P41,'Regresion Q3'!$T$6:$V$10,2,1)*$P41+VLOOKUP($P41,'Regresion Q3'!$T$6:$V$10,3,1)</f>
        <v>4608202.9586148486</v>
      </c>
      <c r="AQ41" s="94">
        <f ca="1">VLOOKUP($P41,'Regresion Q3'!$W$6:$Y$10,2,1)*$P41+VLOOKUP($P41,'Regresion Q3'!$W$6:$Y$10,3,1)</f>
        <v>4739291.5369819961</v>
      </c>
      <c r="AR41" s="94">
        <f ca="1">VLOOKUP($P41,'Regresion Q3'!$Z$6:$AB$10,2,1)*$P41+VLOOKUP($P41,'Regresion Q3'!$Z$6:$AB$10,3,1)</f>
        <v>4865557.6574522797</v>
      </c>
      <c r="AS41" s="94">
        <f>IF($BN41=$BN42,-1,DatosHoy[[#This Row],[G ajus PM Q1]]-BO42)</f>
        <v>-1</v>
      </c>
      <c r="AT41" s="94">
        <f>IF($BN41=$BN42,-1,DatosHoy[[#This Row],[G+V ajus PM Q1]]-BP42)</f>
        <v>-1</v>
      </c>
      <c r="AU41" s="94">
        <f>IF($BN41=$BN42,-1,DatosHoy[[#This Row],[CT ajus PM Q1]]-BQ42)</f>
        <v>-1</v>
      </c>
      <c r="AV41" s="94">
        <f ca="1">IF(DatosHoy[[#This Row],[G ajus PM Q1]]=DatosHoy[[#This Row],[G+V ajus PM Q1]],-1,DatosHoy[[#This Row],[G ajus PM Q1]]-DatosHoy[[#This Row],[G+V ajus PM Q1]])</f>
        <v>-98272.055400899146</v>
      </c>
      <c r="AW41" s="94">
        <f ca="1">IF(DatosHoy[[#This Row],[G+V ajus PM Q1]]=DatosHoy[[#This Row],[CT ajus PM Q1]],-1,DatosHoy[[#This Row],[G+V ajus PM Q1]]-DatosHoy[[#This Row],[CT ajus PM Q1]])</f>
        <v>-113932.66861116979</v>
      </c>
      <c r="AX41" s="94">
        <f>IF($BN41=$BN42,-1,DatosHoy[[#This Row],[G ajus PMd]]-BR42)</f>
        <v>-1</v>
      </c>
      <c r="AY41" s="94">
        <f>IF($BN41=$BN42,-1,DatosHoy[[#This Row],[G+V ajus PM Md]]-BS42)</f>
        <v>-1</v>
      </c>
      <c r="AZ41" s="94">
        <f>IF($BN41=$BN42,-1,DatosHoy[[#This Row],[CT ajus PM Md]]-BT42)</f>
        <v>-1</v>
      </c>
      <c r="BA41" s="94">
        <f ca="1">IF(DatosHoy[[#This Row],[G ajus PMd]]=DatosHoy[[#This Row],[G+V ajus PM Md]],-1,DatosHoy[[#This Row],[G ajus PMd]]-DatosHoy[[#This Row],[G+V ajus PM Md]])</f>
        <v>-18022.800055224448</v>
      </c>
      <c r="BB41" s="94">
        <f ca="1">IF(DatosHoy[[#This Row],[G+V ajus PM Md]]=DatosHoy[[#This Row],[CT ajus PM Md]],-1,DatosHoy[[#This Row],[G+V ajus PM Md]]-DatosHoy[[#This Row],[CT ajus PM Md]])</f>
        <v>-193504.28037511837</v>
      </c>
      <c r="BC41" s="94">
        <f>IF($BN41=$BN42,-1,DatosHoy[[#This Row],[G ajus PM Q3]]-BU42)</f>
        <v>-1</v>
      </c>
      <c r="BD41" s="94">
        <f>IF($BN41=$BN42,-1,DatosHoy[[#This Row],[G+V ajus PM Q3]]-BV42)</f>
        <v>-1</v>
      </c>
      <c r="BE41" s="94">
        <f>IF($BN41=$BN42,-1,DatosHoy[[#This Row],[CT ajus PM Q3]]-BW42)</f>
        <v>-1</v>
      </c>
      <c r="BF41" s="94">
        <f ca="1">IF(DatosHoy[[#This Row],[G ajus PM Q3]]=DatosHoy[[#This Row],[G+V ajus PM Q3]],-1,DatosHoy[[#This Row],[G ajus PM Q3]]-DatosHoy[[#This Row],[G+V ajus PM Q3]])</f>
        <v>-128045.31318235025</v>
      </c>
      <c r="BG41" s="94">
        <f ca="1">IF(DatosHoy[[#This Row],[G+V ajus PM Q3]]=DatosHoy[[#This Row],[CT ajus PM Q3]],-1,DatosHoy[[#This Row],[G+V ajus PM Q3]]-DatosHoy[[#This Row],[CT ajus PM Q3]])</f>
        <v>-123776.96350260079</v>
      </c>
      <c r="BH41" s="94">
        <f ca="1">IF(DatosHoy[[#This Row],[G ajus PM Q1]]=DatosHoy[[#This Row],[G ajus PMd]],-1,DatosHoy[[#This Row],[G ajus PM Q1]]-DatosHoy[[#This Row],[G ajus PMd]])</f>
        <v>-143091.97112857085</v>
      </c>
      <c r="BI41" s="94">
        <f ca="1">IF(DatosHoy[[#This Row],[G+V ajus PM Q1]]=DatosHoy[[#This Row],[G+V ajus PM Md]],-1,DatosHoy[[#This Row],[G+V ajus PM Q1]]-DatosHoy[[#This Row],[G+V ajus PM Md]])</f>
        <v>-62842.71578289615</v>
      </c>
      <c r="BJ41" s="94">
        <f ca="1">IF(DatosHoy[[#This Row],[CT ajus PM Q1]]=DatosHoy[[#This Row],[CT ajus PM Md]],-1,DatosHoy[[#This Row],[CT ajus PM Q1]]-DatosHoy[[#This Row],[CT ajus PM Md]])</f>
        <v>-142414.32754684472</v>
      </c>
      <c r="BK41" s="94">
        <f ca="1">IF(DatosHoy[[#This Row],[G ajus PMd]]=DatosHoy[[#This Row],[G ajus PM Q3]],-1,DatosHoy[[#This Row],[G ajus PMd]]-DatosHoy[[#This Row],[G ajus PM Q3]])</f>
        <v>-1574247.9557536608</v>
      </c>
      <c r="BL41" s="94">
        <f ca="1">IF(DatosHoy[[#This Row],[G+V ajus PM Md]]=DatosHoy[[#This Row],[G+V ajus PM Q3]],-1,DatosHoy[[#This Row],[G+V ajus PM Md]]-DatosHoy[[#This Row],[G+V ajus PM Q3]])</f>
        <v>-1684270.4688807866</v>
      </c>
      <c r="BM41" s="94">
        <f ca="1">IF(DatosHoy[[#This Row],[CT ajus PM Md]]=DatosHoy[[#This Row],[CT ajus PM Q3]],-1,DatosHoy[[#This Row],[CT ajus PM Md]]-DatosHoy[[#This Row],[CT ajus PM Q3]])</f>
        <v>-1614543.152008269</v>
      </c>
      <c r="BN41" s="74">
        <v>217</v>
      </c>
      <c r="BO41" s="94">
        <f ca="1">IFERROR(VLOOKUP($BN41,'Regresion Q1'!$T$6:$V$10,2,1)*$BN41+VLOOKUP($BN41,'Regresion Q1'!$T$6:$V$10,3,1),VLOOKUP(MIN(DatosHoy[Puntos]),'Regresion Q1'!$T$6:$V$10,2,1)*$BN41+VLOOKUP(MIN(DatosHoy[Puntos]),'Regresion Q1'!$T$6:$V$10,3,1))</f>
        <v>2761640.3835342657</v>
      </c>
      <c r="BP41" s="94">
        <f ca="1">IFERROR(VLOOKUP($BN41,'Regresion Q1'!$W$6:$Y$10,2,1)*$BN41+VLOOKUP($BN41,'Regresion Q1'!$W$6:$Y$10,3,1),VLOOKUP(MIN(DatosHoy[Puntos]),'Regresion Q1'!$W$6:$Y$10,2,1)*$BN41+VLOOKUP(MIN(DatosHoy[Puntos]),'Regresion Q1'!$W$6:$Y$10,3,1))</f>
        <v>2859912.4389351648</v>
      </c>
      <c r="BQ41" s="94">
        <f ca="1">IFERROR(VLOOKUP($BN41,'Regresion Q1'!$Z$6:$AB$10,2,1)*$BN41+VLOOKUP($BN41,'Regresion Q1'!$Z$6:$AB$10,3,1),VLOOKUP(MIN(DatosHoy[Puntos]),'Regresion Q1'!$Z$6:$AB$10,2,1)*$BN41+VLOOKUP(MIN(DatosHoy[Puntos]),'Regresion Q1'!$Z$6:$AB$10,3,1))</f>
        <v>2973845.1075463346</v>
      </c>
      <c r="BR41" s="94">
        <f ca="1">IFERROR(VLOOKUP($BN41,'Regresion Md'!$T$6:$V$10,2,1)*$BN41+VLOOKUP($BN41,'Regresion Md'!$T$6:$V$10,3,1),VLOOKUP(MIN(DatosHoy[Puntos]),'Regresion Md'!$T$6:$V$10,2,1)*$BN41+VLOOKUP(MIN(DatosHoy[Puntos]),'Regresion Md'!$T$6:$V$10,3,1))</f>
        <v>2904732.3546628365</v>
      </c>
      <c r="BS41" s="94">
        <f ca="1">IFERROR(VLOOKUP($BN41,'Regresion Md'!$W$6:$Y$10,2,1)*$BN41+VLOOKUP($BN41,'Regresion Md'!$W$6:$Y$10,3,1),VLOOKUP(MIN(DatosHoy[Puntos]),'Regresion Md'!$W$6:$Y$10,2,1)*$BN41+VLOOKUP(MIN(DatosHoy[Puntos]),'Regresion Md'!$W$6:$Y$10,3,1))</f>
        <v>2922755.154718061</v>
      </c>
      <c r="BT41" s="94">
        <f ca="1">IFERROR(VLOOKUP($BN41,'Regresion Md'!$Z$6:$AB$10,2,1)*$BN41+VLOOKUP($BN41,'Regresion Md'!$Z$6:$AB$10,3,1),VLOOKUP(MIN(DatosHoy[Puntos]),'Regresion Md'!$Z$6:$AB$10,2,1)*$BN41+VLOOKUP(MIN(DatosHoy[Puntos]),'Regresion Md'!$Z$6:$AB$10,3,1))</f>
        <v>3116259.4350931793</v>
      </c>
      <c r="BU41" s="94">
        <f ca="1">IFERROR(VLOOKUP($BN41,'Regresion Q3'!$T$6:$V$10,2,1)*$BN41+VLOOKUP($BN41,'Regresion Q3'!$T$6:$V$10,3,1),VLOOKUP(MIN(DatosHoy[Puntos]),'Regresion Q3'!$T$6:$V$10,2,1)*$BN41+VLOOKUP(MIN(DatosHoy[Puntos]),'Regresion Q3'!$T$6:$V$10,3,1))</f>
        <v>4478980.3104164973</v>
      </c>
      <c r="BV41" s="94">
        <f ca="1">IFERROR(VLOOKUP($BN41,'Regresion Q3'!$W$6:$Y$10,2,1)*$BN41+VLOOKUP($BN41,'Regresion Q3'!$W$6:$Y$10,3,1),VLOOKUP(MIN(DatosHoy[Puntos]),'Regresion Q3'!$W$6:$Y$10,2,1)*$BN41+VLOOKUP(MIN(DatosHoy[Puntos]),'Regresion Q3'!$W$6:$Y$10,3,1))</f>
        <v>4607025.6235988475</v>
      </c>
      <c r="BW41" s="94">
        <f ca="1">IFERROR(VLOOKUP($BN41,'Regresion Q3'!$Z$6:$AB$10,2,1)*$BN41+VLOOKUP($BN41,'Regresion Q3'!$Z$6:$AB$10,3,1),VLOOKUP(MIN(DatosHoy[Puntos]),'Regresion Q3'!$Z$6:$AB$10,2,1)*$BN41+VLOOKUP(MIN(DatosHoy[Puntos]),'Regresion Q3'!$Z$6:$AB$10,3,1))</f>
        <v>4730802.5871014483</v>
      </c>
      <c r="BX41" s="96">
        <f ca="1">DatosHoy[[#This Row],[CT Actual]]/DatosHoy[[#This Row],[CT ajus PM Md]]</f>
        <v>0.81408514690117384</v>
      </c>
      <c r="BY41" s="125" t="str">
        <f>VLOOKUP(DatosHoy[[#This Row],[Cargo Valorado]],Estadísticos[[Cargo]:[Nivel]],2,FALSE)</f>
        <v>Soporte</v>
      </c>
      <c r="BZ41" s="96">
        <f>(DatosHoy[[#This Row],[G+V Actual]]-DatosHoy[[#This Row],[G Actual]])/DatosHoy[[#This Row],[CT Actual]]</f>
        <v>0</v>
      </c>
      <c r="CA41" s="96">
        <f>(DatosHoy[[#This Row],[CT Actual]]-DatosHoy[[#This Row],[G+V Actual]])/DatosHoy[[#This Row],[CT Actual]]</f>
        <v>0</v>
      </c>
      <c r="CB41" s="139" t="s">
        <v>255</v>
      </c>
    </row>
    <row r="42" spans="2:80" x14ac:dyDescent="0.25">
      <c r="B42" s="73">
        <f t="shared" si="34"/>
        <v>37</v>
      </c>
      <c r="C42" s="74">
        <v>2536900.52</v>
      </c>
      <c r="D42" s="74">
        <v>2536900.52</v>
      </c>
      <c r="E42" s="74">
        <v>2536900.52</v>
      </c>
      <c r="F42" s="94">
        <f>VLOOKUP(DatosHoy[[#This Row],[Cargo Valorado]],Estadísticos[],3,0)</f>
        <v>2768889.3520500613</v>
      </c>
      <c r="G42" s="94">
        <f>VLOOKUP(DatosHoy[[#This Row],[Cargo Valorado]],Estadísticos[],4,0)</f>
        <v>2768889.3520500613</v>
      </c>
      <c r="H42" s="94">
        <f>VLOOKUP(DatosHoy[[#This Row],[Cargo Valorado]],Estadísticos[],5,0)</f>
        <v>2811737.3120500613</v>
      </c>
      <c r="I42" s="94">
        <f>VLOOKUP(DatosHoy[[#This Row],[Cargo Valorado]],Estadísticos[],6,0)</f>
        <v>3361299.1427889634</v>
      </c>
      <c r="J42" s="94">
        <f>VLOOKUP(DatosHoy[[#This Row],[Cargo Valorado]],Estadísticos[],7,0)</f>
        <v>3361299.1427889634</v>
      </c>
      <c r="K42" s="94">
        <f>VLOOKUP(DatosHoy[[#This Row],[Cargo Valorado]],Estadísticos[],8,0)</f>
        <v>3446995.0627889633</v>
      </c>
      <c r="L42" s="94">
        <f>VLOOKUP(DatosHoy[[#This Row],[Cargo Valorado]],Estadísticos[],9,0)</f>
        <v>3953708.9335278659</v>
      </c>
      <c r="M42" s="94">
        <f>VLOOKUP(DatosHoy[[#This Row],[Cargo Valorado]],Estadísticos[],10,0)</f>
        <v>3953708.9335278659</v>
      </c>
      <c r="N42" s="94">
        <f>VLOOKUP(DatosHoy[[#This Row],[Cargo Valorado]],Estadísticos[],11,0)</f>
        <v>4082252.8135278658</v>
      </c>
      <c r="O42" s="75" t="s">
        <v>232</v>
      </c>
      <c r="P42" s="75">
        <v>224</v>
      </c>
      <c r="Q42" s="95" t="str">
        <f t="shared" si="24"/>
        <v>$P$42</v>
      </c>
      <c r="R42" s="95" t="str">
        <f t="shared" si="25"/>
        <v>$F$42</v>
      </c>
      <c r="S42" s="95" t="str">
        <f t="shared" si="26"/>
        <v>$G$42</v>
      </c>
      <c r="T42" s="95" t="str">
        <f t="shared" si="27"/>
        <v>$H$42</v>
      </c>
      <c r="U42" s="95" t="str">
        <f t="shared" si="28"/>
        <v>$I$42</v>
      </c>
      <c r="V42" s="95" t="str">
        <f t="shared" si="29"/>
        <v>$J$42</v>
      </c>
      <c r="W42" s="95" t="str">
        <f t="shared" si="30"/>
        <v>$K$42</v>
      </c>
      <c r="X42" s="95" t="str">
        <f t="shared" si="31"/>
        <v>$L$42</v>
      </c>
      <c r="Y42" s="95" t="str">
        <f t="shared" si="32"/>
        <v>$M$42</v>
      </c>
      <c r="Z42" s="95" t="str">
        <f t="shared" si="33"/>
        <v>$N$42</v>
      </c>
      <c r="AA42" s="94">
        <f ca="1">VLOOKUP($P42,'Regresion Q1'!$E$6:$I$10,4,1)*$P42+VLOOKUP($P42,'Regresion Q1'!$E$6:$I$10,5,1)</f>
        <v>2890626.305204283</v>
      </c>
      <c r="AB42" s="94">
        <f ca="1">VLOOKUP($P42,'Regresion Q1'!$J$6:$N$10,4,1)*$P42+VLOOKUP($P42,'Regresion Q1'!$J$6:$N$10,5,1)</f>
        <v>2953175.3646892924</v>
      </c>
      <c r="AC42" s="94">
        <f ca="1">VLOOKUP($P42,'Regresion Q1'!$O$6:$S$10,4,1)*$P42+VLOOKUP($P42,'Regresion Q1'!$O$6:$S$10,5,1)</f>
        <v>3126218.948644198</v>
      </c>
      <c r="AD42" s="94">
        <f ca="1">VLOOKUP($P42,'Regresion Md'!$E$6:$I$10,4,1)*$P42+VLOOKUP($P42,'Regresion Md'!$E$6:$I$10,5,1)</f>
        <v>3080333.8955314187</v>
      </c>
      <c r="AE42" s="94">
        <f ca="1">VLOOKUP($P42,'Regresion Md'!$J$6:$N$10,4,1)*$P42+VLOOKUP($P42,'Regresion Md'!$J$6:$N$10,5,1)</f>
        <v>3104307.6752088647</v>
      </c>
      <c r="AF42" s="94">
        <f ca="1">VLOOKUP($P42,'Regresion Md'!$O$6:$S$10,4,1)*$P42+VLOOKUP($P42,'Regresion Md'!$O$6:$S$10,5,1)</f>
        <v>3296956.8766270876</v>
      </c>
      <c r="AG42" s="94">
        <f ca="1">VLOOKUP($P42,'Regresion Q3'!$E$6:$I$10,4,1)*$P42+VLOOKUP($P42,'Regresion Q3'!$E$6:$I$10,5,1)</f>
        <v>4060131.0692516295</v>
      </c>
      <c r="AH42" s="94">
        <f ca="1">VLOOKUP($P42,'Regresion Q3'!$J$6:$N$10,4,1)*$P42+VLOOKUP($P42,'Regresion Q3'!$J$6:$N$10,5,1)</f>
        <v>4126481.5476520769</v>
      </c>
      <c r="AI42" s="94">
        <f ca="1">VLOOKUP($P42,'Regresion Q3'!$O$6:$S$10,4,1)*$P42+VLOOKUP($P42,'Regresion Q3'!$O$6:$S$10,5,1)</f>
        <v>4316178.1476935688</v>
      </c>
      <c r="AJ42" s="94">
        <f ca="1">VLOOKUP($P42,'Regresion Q1'!$T$6:$V$10,2,1)*$P42+VLOOKUP($P42,'Regresion Q1'!$T$6:$V$10,3,1)</f>
        <v>2831664.3097474286</v>
      </c>
      <c r="AK42" s="94">
        <f ca="1">VLOOKUP($P42,'Regresion Q1'!$W$6:$Y$10,2,1)*$P42+VLOOKUP($P42,'Regresion Q1'!$W$6:$Y$10,3,1)</f>
        <v>2930681.9357365794</v>
      </c>
      <c r="AL42" s="94">
        <f ca="1">VLOOKUP($P42,'Regresion Q1'!$Z$6:$AB$10,2,1)*$P42+VLOOKUP($P42,'Regresion Q1'!$Z$6:$AB$10,3,1)</f>
        <v>3047798.7854717723</v>
      </c>
      <c r="AM42" s="94">
        <f ca="1">VLOOKUP($P42,'Regresion Md'!$T$6:$V$10,2,1)*$P42+VLOOKUP($P42,'Regresion Md'!$T$6:$V$10,3,1)</f>
        <v>3065295.3072835645</v>
      </c>
      <c r="AN42" s="94">
        <f ca="1">VLOOKUP($P42,'Regresion Md'!$W$6:$Y$10,2,1)*$P42+VLOOKUP($P42,'Regresion Md'!$W$6:$Y$10,3,1)</f>
        <v>3096662.6447221972</v>
      </c>
      <c r="AO42" s="94">
        <f ca="1">VLOOKUP($P42,'Regresion Md'!$Z$6:$AB$10,2,1)*$P42+VLOOKUP($P42,'Regresion Md'!$Z$6:$AB$10,3,1)</f>
        <v>3295038.8130892264</v>
      </c>
      <c r="AP42" s="94">
        <f ca="1">VLOOKUP($P42,'Regresion Q3'!$T$6:$V$10,2,1)*$P42+VLOOKUP($P42,'Regresion Q3'!$T$6:$V$10,3,1)</f>
        <v>4608202.9586148486</v>
      </c>
      <c r="AQ42" s="94">
        <f ca="1">VLOOKUP($P42,'Regresion Q3'!$W$6:$Y$10,2,1)*$P42+VLOOKUP($P42,'Regresion Q3'!$W$6:$Y$10,3,1)</f>
        <v>4739291.5369819961</v>
      </c>
      <c r="AR42" s="94">
        <f ca="1">VLOOKUP($P42,'Regresion Q3'!$Z$6:$AB$10,2,1)*$P42+VLOOKUP($P42,'Regresion Q3'!$Z$6:$AB$10,3,1)</f>
        <v>4865557.6574522797</v>
      </c>
      <c r="AS42" s="94">
        <f>IF($BN42=$BN43,-1,DatosHoy[[#This Row],[G ajus PM Q1]]-BO43)</f>
        <v>-1</v>
      </c>
      <c r="AT42" s="94">
        <f>IF($BN42=$BN43,-1,DatosHoy[[#This Row],[G+V ajus PM Q1]]-BP43)</f>
        <v>-1</v>
      </c>
      <c r="AU42" s="94">
        <f>IF($BN42=$BN43,-1,DatosHoy[[#This Row],[CT ajus PM Q1]]-BQ43)</f>
        <v>-1</v>
      </c>
      <c r="AV42" s="94">
        <f ca="1">IF(DatosHoy[[#This Row],[G ajus PM Q1]]=DatosHoy[[#This Row],[G+V ajus PM Q1]],-1,DatosHoy[[#This Row],[G ajus PM Q1]]-DatosHoy[[#This Row],[G+V ajus PM Q1]])</f>
        <v>-98272.055400899146</v>
      </c>
      <c r="AW42" s="94">
        <f ca="1">IF(DatosHoy[[#This Row],[G+V ajus PM Q1]]=DatosHoy[[#This Row],[CT ajus PM Q1]],-1,DatosHoy[[#This Row],[G+V ajus PM Q1]]-DatosHoy[[#This Row],[CT ajus PM Q1]])</f>
        <v>-113932.66861116979</v>
      </c>
      <c r="AX42" s="94">
        <f>IF($BN42=$BN43,-1,DatosHoy[[#This Row],[G ajus PMd]]-BR43)</f>
        <v>-1</v>
      </c>
      <c r="AY42" s="94">
        <f>IF($BN42=$BN43,-1,DatosHoy[[#This Row],[G+V ajus PM Md]]-BS43)</f>
        <v>-1</v>
      </c>
      <c r="AZ42" s="94">
        <f>IF($BN42=$BN43,-1,DatosHoy[[#This Row],[CT ajus PM Md]]-BT43)</f>
        <v>-1</v>
      </c>
      <c r="BA42" s="94">
        <f ca="1">IF(DatosHoy[[#This Row],[G ajus PMd]]=DatosHoy[[#This Row],[G+V ajus PM Md]],-1,DatosHoy[[#This Row],[G ajus PMd]]-DatosHoy[[#This Row],[G+V ajus PM Md]])</f>
        <v>-18022.800055224448</v>
      </c>
      <c r="BB42" s="94">
        <f ca="1">IF(DatosHoy[[#This Row],[G+V ajus PM Md]]=DatosHoy[[#This Row],[CT ajus PM Md]],-1,DatosHoy[[#This Row],[G+V ajus PM Md]]-DatosHoy[[#This Row],[CT ajus PM Md]])</f>
        <v>-193504.28037511837</v>
      </c>
      <c r="BC42" s="94">
        <f>IF($BN42=$BN43,-1,DatosHoy[[#This Row],[G ajus PM Q3]]-BU43)</f>
        <v>-1</v>
      </c>
      <c r="BD42" s="94">
        <f>IF($BN42=$BN43,-1,DatosHoy[[#This Row],[G+V ajus PM Q3]]-BV43)</f>
        <v>-1</v>
      </c>
      <c r="BE42" s="94">
        <f>IF($BN42=$BN43,-1,DatosHoy[[#This Row],[CT ajus PM Q3]]-BW43)</f>
        <v>-1</v>
      </c>
      <c r="BF42" s="94">
        <f ca="1">IF(DatosHoy[[#This Row],[G ajus PM Q3]]=DatosHoy[[#This Row],[G+V ajus PM Q3]],-1,DatosHoy[[#This Row],[G ajus PM Q3]]-DatosHoy[[#This Row],[G+V ajus PM Q3]])</f>
        <v>-128045.31318235025</v>
      </c>
      <c r="BG42" s="94">
        <f ca="1">IF(DatosHoy[[#This Row],[G+V ajus PM Q3]]=DatosHoy[[#This Row],[CT ajus PM Q3]],-1,DatosHoy[[#This Row],[G+V ajus PM Q3]]-DatosHoy[[#This Row],[CT ajus PM Q3]])</f>
        <v>-123776.96350260079</v>
      </c>
      <c r="BH42" s="94">
        <f ca="1">IF(DatosHoy[[#This Row],[G ajus PM Q1]]=DatosHoy[[#This Row],[G ajus PMd]],-1,DatosHoy[[#This Row],[G ajus PM Q1]]-DatosHoy[[#This Row],[G ajus PMd]])</f>
        <v>-143091.97112857085</v>
      </c>
      <c r="BI42" s="94">
        <f ca="1">IF(DatosHoy[[#This Row],[G+V ajus PM Q1]]=DatosHoy[[#This Row],[G+V ajus PM Md]],-1,DatosHoy[[#This Row],[G+V ajus PM Q1]]-DatosHoy[[#This Row],[G+V ajus PM Md]])</f>
        <v>-62842.71578289615</v>
      </c>
      <c r="BJ42" s="94">
        <f ca="1">IF(DatosHoy[[#This Row],[CT ajus PM Q1]]=DatosHoy[[#This Row],[CT ajus PM Md]],-1,DatosHoy[[#This Row],[CT ajus PM Q1]]-DatosHoy[[#This Row],[CT ajus PM Md]])</f>
        <v>-142414.32754684472</v>
      </c>
      <c r="BK42" s="94">
        <f ca="1">IF(DatosHoy[[#This Row],[G ajus PMd]]=DatosHoy[[#This Row],[G ajus PM Q3]],-1,DatosHoy[[#This Row],[G ajus PMd]]-DatosHoy[[#This Row],[G ajus PM Q3]])</f>
        <v>-1574247.9557536608</v>
      </c>
      <c r="BL42" s="94">
        <f ca="1">IF(DatosHoy[[#This Row],[G+V ajus PM Md]]=DatosHoy[[#This Row],[G+V ajus PM Q3]],-1,DatosHoy[[#This Row],[G+V ajus PM Md]]-DatosHoy[[#This Row],[G+V ajus PM Q3]])</f>
        <v>-1684270.4688807866</v>
      </c>
      <c r="BM42" s="94">
        <f ca="1">IF(DatosHoy[[#This Row],[CT ajus PM Md]]=DatosHoy[[#This Row],[CT ajus PM Q3]],-1,DatosHoy[[#This Row],[CT ajus PM Md]]-DatosHoy[[#This Row],[CT ajus PM Q3]])</f>
        <v>-1614543.152008269</v>
      </c>
      <c r="BN42" s="74">
        <v>217</v>
      </c>
      <c r="BO42" s="94">
        <f ca="1">IFERROR(VLOOKUP($BN42,'Regresion Q1'!$T$6:$V$10,2,1)*$BN42+VLOOKUP($BN42,'Regresion Q1'!$T$6:$V$10,3,1),VLOOKUP(MIN(DatosHoy[Puntos]),'Regresion Q1'!$T$6:$V$10,2,1)*$BN42+VLOOKUP(MIN(DatosHoy[Puntos]),'Regresion Q1'!$T$6:$V$10,3,1))</f>
        <v>2761640.3835342657</v>
      </c>
      <c r="BP42" s="94">
        <f ca="1">IFERROR(VLOOKUP($BN42,'Regresion Q1'!$W$6:$Y$10,2,1)*$BN42+VLOOKUP($BN42,'Regresion Q1'!$W$6:$Y$10,3,1),VLOOKUP(MIN(DatosHoy[Puntos]),'Regresion Q1'!$W$6:$Y$10,2,1)*$BN42+VLOOKUP(MIN(DatosHoy[Puntos]),'Regresion Q1'!$W$6:$Y$10,3,1))</f>
        <v>2859912.4389351648</v>
      </c>
      <c r="BQ42" s="94">
        <f ca="1">IFERROR(VLOOKUP($BN42,'Regresion Q1'!$Z$6:$AB$10,2,1)*$BN42+VLOOKUP($BN42,'Regresion Q1'!$Z$6:$AB$10,3,1),VLOOKUP(MIN(DatosHoy[Puntos]),'Regresion Q1'!$Z$6:$AB$10,2,1)*$BN42+VLOOKUP(MIN(DatosHoy[Puntos]),'Regresion Q1'!$Z$6:$AB$10,3,1))</f>
        <v>2973845.1075463346</v>
      </c>
      <c r="BR42" s="94">
        <f ca="1">IFERROR(VLOOKUP($BN42,'Regresion Md'!$T$6:$V$10,2,1)*$BN42+VLOOKUP($BN42,'Regresion Md'!$T$6:$V$10,3,1),VLOOKUP(MIN(DatosHoy[Puntos]),'Regresion Md'!$T$6:$V$10,2,1)*$BN42+VLOOKUP(MIN(DatosHoy[Puntos]),'Regresion Md'!$T$6:$V$10,3,1))</f>
        <v>2904732.3546628365</v>
      </c>
      <c r="BS42" s="94">
        <f ca="1">IFERROR(VLOOKUP($BN42,'Regresion Md'!$W$6:$Y$10,2,1)*$BN42+VLOOKUP($BN42,'Regresion Md'!$W$6:$Y$10,3,1),VLOOKUP(MIN(DatosHoy[Puntos]),'Regresion Md'!$W$6:$Y$10,2,1)*$BN42+VLOOKUP(MIN(DatosHoy[Puntos]),'Regresion Md'!$W$6:$Y$10,3,1))</f>
        <v>2922755.154718061</v>
      </c>
      <c r="BT42" s="94">
        <f ca="1">IFERROR(VLOOKUP($BN42,'Regresion Md'!$Z$6:$AB$10,2,1)*$BN42+VLOOKUP($BN42,'Regresion Md'!$Z$6:$AB$10,3,1),VLOOKUP(MIN(DatosHoy[Puntos]),'Regresion Md'!$Z$6:$AB$10,2,1)*$BN42+VLOOKUP(MIN(DatosHoy[Puntos]),'Regresion Md'!$Z$6:$AB$10,3,1))</f>
        <v>3116259.4350931793</v>
      </c>
      <c r="BU42" s="94">
        <f ca="1">IFERROR(VLOOKUP($BN42,'Regresion Q3'!$T$6:$V$10,2,1)*$BN42+VLOOKUP($BN42,'Regresion Q3'!$T$6:$V$10,3,1),VLOOKUP(MIN(DatosHoy[Puntos]),'Regresion Q3'!$T$6:$V$10,2,1)*$BN42+VLOOKUP(MIN(DatosHoy[Puntos]),'Regresion Q3'!$T$6:$V$10,3,1))</f>
        <v>4478980.3104164973</v>
      </c>
      <c r="BV42" s="94">
        <f ca="1">IFERROR(VLOOKUP($BN42,'Regresion Q3'!$W$6:$Y$10,2,1)*$BN42+VLOOKUP($BN42,'Regresion Q3'!$W$6:$Y$10,3,1),VLOOKUP(MIN(DatosHoy[Puntos]),'Regresion Q3'!$W$6:$Y$10,2,1)*$BN42+VLOOKUP(MIN(DatosHoy[Puntos]),'Regresion Q3'!$W$6:$Y$10,3,1))</f>
        <v>4607025.6235988475</v>
      </c>
      <c r="BW42" s="94">
        <f ca="1">IFERROR(VLOOKUP($BN42,'Regresion Q3'!$Z$6:$AB$10,2,1)*$BN42+VLOOKUP($BN42,'Regresion Q3'!$Z$6:$AB$10,3,1),VLOOKUP(MIN(DatosHoy[Puntos]),'Regresion Q3'!$Z$6:$AB$10,2,1)*$BN42+VLOOKUP(MIN(DatosHoy[Puntos]),'Regresion Q3'!$Z$6:$AB$10,3,1))</f>
        <v>4730802.5871014483</v>
      </c>
      <c r="BX42" s="96">
        <f ca="1">DatosHoy[[#This Row],[CT Actual]]/DatosHoy[[#This Row],[CT ajus PM Md]]</f>
        <v>0.81408514690117384</v>
      </c>
      <c r="BY42" s="125" t="str">
        <f>VLOOKUP(DatosHoy[[#This Row],[Cargo Valorado]],Estadísticos[[Cargo]:[Nivel]],2,FALSE)</f>
        <v>Soporte</v>
      </c>
      <c r="BZ42" s="96">
        <f>(DatosHoy[[#This Row],[G+V Actual]]-DatosHoy[[#This Row],[G Actual]])/DatosHoy[[#This Row],[CT Actual]]</f>
        <v>0</v>
      </c>
      <c r="CA42" s="96">
        <f>(DatosHoy[[#This Row],[CT Actual]]-DatosHoy[[#This Row],[G+V Actual]])/DatosHoy[[#This Row],[CT Actual]]</f>
        <v>0</v>
      </c>
      <c r="CB42" s="139" t="s">
        <v>255</v>
      </c>
    </row>
    <row r="43" spans="2:80" x14ac:dyDescent="0.25">
      <c r="B43" s="73">
        <f t="shared" si="34"/>
        <v>38</v>
      </c>
      <c r="C43" s="74">
        <v>2828714.68</v>
      </c>
      <c r="D43" s="74">
        <v>2828714.68</v>
      </c>
      <c r="E43" s="74">
        <v>2828714.68</v>
      </c>
      <c r="F43" s="94">
        <f>VLOOKUP(DatosHoy[[#This Row],[Cargo Valorado]],Estadísticos[],3,0)</f>
        <v>2238424.0712353392</v>
      </c>
      <c r="G43" s="94">
        <f>VLOOKUP(DatosHoy[[#This Row],[Cargo Valorado]],Estadísticos[],4,0)</f>
        <v>2238424.0712353392</v>
      </c>
      <c r="H43" s="94">
        <f>VLOOKUP(DatosHoy[[#This Row],[Cargo Valorado]],Estadísticos[],5,0)</f>
        <v>2423221.910966808</v>
      </c>
      <c r="I43" s="94">
        <f>VLOOKUP(DatosHoy[[#This Row],[Cargo Valorado]],Estadísticos[],6,0)</f>
        <v>2256696.8897124487</v>
      </c>
      <c r="J43" s="94">
        <f>VLOOKUP(DatosHoy[[#This Row],[Cargo Valorado]],Estadísticos[],7,0)</f>
        <v>2256696.8897124487</v>
      </c>
      <c r="K43" s="94">
        <f>VLOOKUP(DatosHoy[[#This Row],[Cargo Valorado]],Estadísticos[],8,0)</f>
        <v>2529308.6717556501</v>
      </c>
      <c r="L43" s="94">
        <f>VLOOKUP(DatosHoy[[#This Row],[Cargo Valorado]],Estadísticos[],9,0)</f>
        <v>2274969.7081895582</v>
      </c>
      <c r="M43" s="94">
        <f>VLOOKUP(DatosHoy[[#This Row],[Cargo Valorado]],Estadísticos[],10,0)</f>
        <v>2274969.7081895582</v>
      </c>
      <c r="N43" s="94">
        <f>VLOOKUP(DatosHoy[[#This Row],[Cargo Valorado]],Estadísticos[],11,0)</f>
        <v>2635395.4325444922</v>
      </c>
      <c r="O43" s="75" t="s">
        <v>191</v>
      </c>
      <c r="P43" s="75">
        <v>224</v>
      </c>
      <c r="Q43" s="95" t="str">
        <f t="shared" si="24"/>
        <v>$P$43</v>
      </c>
      <c r="R43" s="95" t="str">
        <f t="shared" si="25"/>
        <v>$F$43</v>
      </c>
      <c r="S43" s="95" t="str">
        <f t="shared" si="26"/>
        <v>$G$43</v>
      </c>
      <c r="T43" s="95" t="str">
        <f t="shared" si="27"/>
        <v>$H$43</v>
      </c>
      <c r="U43" s="95" t="str">
        <f t="shared" si="28"/>
        <v>$I$43</v>
      </c>
      <c r="V43" s="95" t="str">
        <f t="shared" si="29"/>
        <v>$J$43</v>
      </c>
      <c r="W43" s="95" t="str">
        <f t="shared" si="30"/>
        <v>$K$43</v>
      </c>
      <c r="X43" s="95" t="str">
        <f t="shared" si="31"/>
        <v>$L$43</v>
      </c>
      <c r="Y43" s="95" t="str">
        <f t="shared" si="32"/>
        <v>$M$43</v>
      </c>
      <c r="Z43" s="95" t="str">
        <f t="shared" si="33"/>
        <v>$N$43</v>
      </c>
      <c r="AA43" s="94">
        <f ca="1">VLOOKUP($P43,'Regresion Q1'!$E$6:$I$10,4,1)*$P43+VLOOKUP($P43,'Regresion Q1'!$E$6:$I$10,5,1)</f>
        <v>2890626.305204283</v>
      </c>
      <c r="AB43" s="94">
        <f ca="1">VLOOKUP($P43,'Regresion Q1'!$J$6:$N$10,4,1)*$P43+VLOOKUP($P43,'Regresion Q1'!$J$6:$N$10,5,1)</f>
        <v>2953175.3646892924</v>
      </c>
      <c r="AC43" s="94">
        <f ca="1">VLOOKUP($P43,'Regresion Q1'!$O$6:$S$10,4,1)*$P43+VLOOKUP($P43,'Regresion Q1'!$O$6:$S$10,5,1)</f>
        <v>3126218.948644198</v>
      </c>
      <c r="AD43" s="94">
        <f ca="1">VLOOKUP($P43,'Regresion Md'!$E$6:$I$10,4,1)*$P43+VLOOKUP($P43,'Regresion Md'!$E$6:$I$10,5,1)</f>
        <v>3080333.8955314187</v>
      </c>
      <c r="AE43" s="94">
        <f ca="1">VLOOKUP($P43,'Regresion Md'!$J$6:$N$10,4,1)*$P43+VLOOKUP($P43,'Regresion Md'!$J$6:$N$10,5,1)</f>
        <v>3104307.6752088647</v>
      </c>
      <c r="AF43" s="94">
        <f ca="1">VLOOKUP($P43,'Regresion Md'!$O$6:$S$10,4,1)*$P43+VLOOKUP($P43,'Regresion Md'!$O$6:$S$10,5,1)</f>
        <v>3296956.8766270876</v>
      </c>
      <c r="AG43" s="94">
        <f ca="1">VLOOKUP($P43,'Regresion Q3'!$E$6:$I$10,4,1)*$P43+VLOOKUP($P43,'Regresion Q3'!$E$6:$I$10,5,1)</f>
        <v>4060131.0692516295</v>
      </c>
      <c r="AH43" s="94">
        <f ca="1">VLOOKUP($P43,'Regresion Q3'!$J$6:$N$10,4,1)*$P43+VLOOKUP($P43,'Regresion Q3'!$J$6:$N$10,5,1)</f>
        <v>4126481.5476520769</v>
      </c>
      <c r="AI43" s="94">
        <f ca="1">VLOOKUP($P43,'Regresion Q3'!$O$6:$S$10,4,1)*$P43+VLOOKUP($P43,'Regresion Q3'!$O$6:$S$10,5,1)</f>
        <v>4316178.1476935688</v>
      </c>
      <c r="AJ43" s="94">
        <f ca="1">VLOOKUP($P43,'Regresion Q1'!$T$6:$V$10,2,1)*$P43+VLOOKUP($P43,'Regresion Q1'!$T$6:$V$10,3,1)</f>
        <v>2831664.3097474286</v>
      </c>
      <c r="AK43" s="94">
        <f ca="1">VLOOKUP($P43,'Regresion Q1'!$W$6:$Y$10,2,1)*$P43+VLOOKUP($P43,'Regresion Q1'!$W$6:$Y$10,3,1)</f>
        <v>2930681.9357365794</v>
      </c>
      <c r="AL43" s="94">
        <f ca="1">VLOOKUP($P43,'Regresion Q1'!$Z$6:$AB$10,2,1)*$P43+VLOOKUP($P43,'Regresion Q1'!$Z$6:$AB$10,3,1)</f>
        <v>3047798.7854717723</v>
      </c>
      <c r="AM43" s="94">
        <f ca="1">VLOOKUP($P43,'Regresion Md'!$T$6:$V$10,2,1)*$P43+VLOOKUP($P43,'Regresion Md'!$T$6:$V$10,3,1)</f>
        <v>3065295.3072835645</v>
      </c>
      <c r="AN43" s="94">
        <f ca="1">VLOOKUP($P43,'Regresion Md'!$W$6:$Y$10,2,1)*$P43+VLOOKUP($P43,'Regresion Md'!$W$6:$Y$10,3,1)</f>
        <v>3096662.6447221972</v>
      </c>
      <c r="AO43" s="94">
        <f ca="1">VLOOKUP($P43,'Regresion Md'!$Z$6:$AB$10,2,1)*$P43+VLOOKUP($P43,'Regresion Md'!$Z$6:$AB$10,3,1)</f>
        <v>3295038.8130892264</v>
      </c>
      <c r="AP43" s="94">
        <f ca="1">VLOOKUP($P43,'Regresion Q3'!$T$6:$V$10,2,1)*$P43+VLOOKUP($P43,'Regresion Q3'!$T$6:$V$10,3,1)</f>
        <v>4608202.9586148486</v>
      </c>
      <c r="AQ43" s="94">
        <f ca="1">VLOOKUP($P43,'Regresion Q3'!$W$6:$Y$10,2,1)*$P43+VLOOKUP($P43,'Regresion Q3'!$W$6:$Y$10,3,1)</f>
        <v>4739291.5369819961</v>
      </c>
      <c r="AR43" s="94">
        <f ca="1">VLOOKUP($P43,'Regresion Q3'!$Z$6:$AB$10,2,1)*$P43+VLOOKUP($P43,'Regresion Q3'!$Z$6:$AB$10,3,1)</f>
        <v>4865557.6574522797</v>
      </c>
      <c r="AS43" s="94">
        <f>IF($BN43=$BN44,-1,DatosHoy[[#This Row],[G ajus PM Q1]]-BO44)</f>
        <v>-1</v>
      </c>
      <c r="AT43" s="94">
        <f>IF($BN43=$BN44,-1,DatosHoy[[#This Row],[G+V ajus PM Q1]]-BP44)</f>
        <v>-1</v>
      </c>
      <c r="AU43" s="94">
        <f>IF($BN43=$BN44,-1,DatosHoy[[#This Row],[CT ajus PM Q1]]-BQ44)</f>
        <v>-1</v>
      </c>
      <c r="AV43" s="94">
        <f ca="1">IF(DatosHoy[[#This Row],[G ajus PM Q1]]=DatosHoy[[#This Row],[G+V ajus PM Q1]],-1,DatosHoy[[#This Row],[G ajus PM Q1]]-DatosHoy[[#This Row],[G+V ajus PM Q1]])</f>
        <v>-98272.055400899146</v>
      </c>
      <c r="AW43" s="94">
        <f ca="1">IF(DatosHoy[[#This Row],[G+V ajus PM Q1]]=DatosHoy[[#This Row],[CT ajus PM Q1]],-1,DatosHoy[[#This Row],[G+V ajus PM Q1]]-DatosHoy[[#This Row],[CT ajus PM Q1]])</f>
        <v>-113932.66861116979</v>
      </c>
      <c r="AX43" s="94">
        <f>IF($BN43=$BN44,-1,DatosHoy[[#This Row],[G ajus PMd]]-BR44)</f>
        <v>-1</v>
      </c>
      <c r="AY43" s="94">
        <f>IF($BN43=$BN44,-1,DatosHoy[[#This Row],[G+V ajus PM Md]]-BS44)</f>
        <v>-1</v>
      </c>
      <c r="AZ43" s="94">
        <f>IF($BN43=$BN44,-1,DatosHoy[[#This Row],[CT ajus PM Md]]-BT44)</f>
        <v>-1</v>
      </c>
      <c r="BA43" s="94">
        <f ca="1">IF(DatosHoy[[#This Row],[G ajus PMd]]=DatosHoy[[#This Row],[G+V ajus PM Md]],-1,DatosHoy[[#This Row],[G ajus PMd]]-DatosHoy[[#This Row],[G+V ajus PM Md]])</f>
        <v>-18022.800055224448</v>
      </c>
      <c r="BB43" s="94">
        <f ca="1">IF(DatosHoy[[#This Row],[G+V ajus PM Md]]=DatosHoy[[#This Row],[CT ajus PM Md]],-1,DatosHoy[[#This Row],[G+V ajus PM Md]]-DatosHoy[[#This Row],[CT ajus PM Md]])</f>
        <v>-193504.28037511837</v>
      </c>
      <c r="BC43" s="94">
        <f>IF($BN43=$BN44,-1,DatosHoy[[#This Row],[G ajus PM Q3]]-BU44)</f>
        <v>-1</v>
      </c>
      <c r="BD43" s="94">
        <f>IF($BN43=$BN44,-1,DatosHoy[[#This Row],[G+V ajus PM Q3]]-BV44)</f>
        <v>-1</v>
      </c>
      <c r="BE43" s="94">
        <f>IF($BN43=$BN44,-1,DatosHoy[[#This Row],[CT ajus PM Q3]]-BW44)</f>
        <v>-1</v>
      </c>
      <c r="BF43" s="94">
        <f ca="1">IF(DatosHoy[[#This Row],[G ajus PM Q3]]=DatosHoy[[#This Row],[G+V ajus PM Q3]],-1,DatosHoy[[#This Row],[G ajus PM Q3]]-DatosHoy[[#This Row],[G+V ajus PM Q3]])</f>
        <v>-128045.31318235025</v>
      </c>
      <c r="BG43" s="94">
        <f ca="1">IF(DatosHoy[[#This Row],[G+V ajus PM Q3]]=DatosHoy[[#This Row],[CT ajus PM Q3]],-1,DatosHoy[[#This Row],[G+V ajus PM Q3]]-DatosHoy[[#This Row],[CT ajus PM Q3]])</f>
        <v>-123776.96350260079</v>
      </c>
      <c r="BH43" s="94">
        <f ca="1">IF(DatosHoy[[#This Row],[G ajus PM Q1]]=DatosHoy[[#This Row],[G ajus PMd]],-1,DatosHoy[[#This Row],[G ajus PM Q1]]-DatosHoy[[#This Row],[G ajus PMd]])</f>
        <v>-143091.97112857085</v>
      </c>
      <c r="BI43" s="94">
        <f ca="1">IF(DatosHoy[[#This Row],[G+V ajus PM Q1]]=DatosHoy[[#This Row],[G+V ajus PM Md]],-1,DatosHoy[[#This Row],[G+V ajus PM Q1]]-DatosHoy[[#This Row],[G+V ajus PM Md]])</f>
        <v>-62842.71578289615</v>
      </c>
      <c r="BJ43" s="94">
        <f ca="1">IF(DatosHoy[[#This Row],[CT ajus PM Q1]]=DatosHoy[[#This Row],[CT ajus PM Md]],-1,DatosHoy[[#This Row],[CT ajus PM Q1]]-DatosHoy[[#This Row],[CT ajus PM Md]])</f>
        <v>-142414.32754684472</v>
      </c>
      <c r="BK43" s="94">
        <f ca="1">IF(DatosHoy[[#This Row],[G ajus PMd]]=DatosHoy[[#This Row],[G ajus PM Q3]],-1,DatosHoy[[#This Row],[G ajus PMd]]-DatosHoy[[#This Row],[G ajus PM Q3]])</f>
        <v>-1574247.9557536608</v>
      </c>
      <c r="BL43" s="94">
        <f ca="1">IF(DatosHoy[[#This Row],[G+V ajus PM Md]]=DatosHoy[[#This Row],[G+V ajus PM Q3]],-1,DatosHoy[[#This Row],[G+V ajus PM Md]]-DatosHoy[[#This Row],[G+V ajus PM Q3]])</f>
        <v>-1684270.4688807866</v>
      </c>
      <c r="BM43" s="94">
        <f ca="1">IF(DatosHoy[[#This Row],[CT ajus PM Md]]=DatosHoy[[#This Row],[CT ajus PM Q3]],-1,DatosHoy[[#This Row],[CT ajus PM Md]]-DatosHoy[[#This Row],[CT ajus PM Q3]])</f>
        <v>-1614543.152008269</v>
      </c>
      <c r="BN43" s="74">
        <v>217</v>
      </c>
      <c r="BO43" s="94">
        <f ca="1">IFERROR(VLOOKUP($BN43,'Regresion Q1'!$T$6:$V$10,2,1)*$BN43+VLOOKUP($BN43,'Regresion Q1'!$T$6:$V$10,3,1),VLOOKUP(MIN(DatosHoy[Puntos]),'Regresion Q1'!$T$6:$V$10,2,1)*$BN43+VLOOKUP(MIN(DatosHoy[Puntos]),'Regresion Q1'!$T$6:$V$10,3,1))</f>
        <v>2761640.3835342657</v>
      </c>
      <c r="BP43" s="94">
        <f ca="1">IFERROR(VLOOKUP($BN43,'Regresion Q1'!$W$6:$Y$10,2,1)*$BN43+VLOOKUP($BN43,'Regresion Q1'!$W$6:$Y$10,3,1),VLOOKUP(MIN(DatosHoy[Puntos]),'Regresion Q1'!$W$6:$Y$10,2,1)*$BN43+VLOOKUP(MIN(DatosHoy[Puntos]),'Regresion Q1'!$W$6:$Y$10,3,1))</f>
        <v>2859912.4389351648</v>
      </c>
      <c r="BQ43" s="94">
        <f ca="1">IFERROR(VLOOKUP($BN43,'Regresion Q1'!$Z$6:$AB$10,2,1)*$BN43+VLOOKUP($BN43,'Regresion Q1'!$Z$6:$AB$10,3,1),VLOOKUP(MIN(DatosHoy[Puntos]),'Regresion Q1'!$Z$6:$AB$10,2,1)*$BN43+VLOOKUP(MIN(DatosHoy[Puntos]),'Regresion Q1'!$Z$6:$AB$10,3,1))</f>
        <v>2973845.1075463346</v>
      </c>
      <c r="BR43" s="94">
        <f ca="1">IFERROR(VLOOKUP($BN43,'Regresion Md'!$T$6:$V$10,2,1)*$BN43+VLOOKUP($BN43,'Regresion Md'!$T$6:$V$10,3,1),VLOOKUP(MIN(DatosHoy[Puntos]),'Regresion Md'!$T$6:$V$10,2,1)*$BN43+VLOOKUP(MIN(DatosHoy[Puntos]),'Regresion Md'!$T$6:$V$10,3,1))</f>
        <v>2904732.3546628365</v>
      </c>
      <c r="BS43" s="94">
        <f ca="1">IFERROR(VLOOKUP($BN43,'Regresion Md'!$W$6:$Y$10,2,1)*$BN43+VLOOKUP($BN43,'Regresion Md'!$W$6:$Y$10,3,1),VLOOKUP(MIN(DatosHoy[Puntos]),'Regresion Md'!$W$6:$Y$10,2,1)*$BN43+VLOOKUP(MIN(DatosHoy[Puntos]),'Regresion Md'!$W$6:$Y$10,3,1))</f>
        <v>2922755.154718061</v>
      </c>
      <c r="BT43" s="94">
        <f ca="1">IFERROR(VLOOKUP($BN43,'Regresion Md'!$Z$6:$AB$10,2,1)*$BN43+VLOOKUP($BN43,'Regresion Md'!$Z$6:$AB$10,3,1),VLOOKUP(MIN(DatosHoy[Puntos]),'Regresion Md'!$Z$6:$AB$10,2,1)*$BN43+VLOOKUP(MIN(DatosHoy[Puntos]),'Regresion Md'!$Z$6:$AB$10,3,1))</f>
        <v>3116259.4350931793</v>
      </c>
      <c r="BU43" s="94">
        <f ca="1">IFERROR(VLOOKUP($BN43,'Regresion Q3'!$T$6:$V$10,2,1)*$BN43+VLOOKUP($BN43,'Regresion Q3'!$T$6:$V$10,3,1),VLOOKUP(MIN(DatosHoy[Puntos]),'Regresion Q3'!$T$6:$V$10,2,1)*$BN43+VLOOKUP(MIN(DatosHoy[Puntos]),'Regresion Q3'!$T$6:$V$10,3,1))</f>
        <v>4478980.3104164973</v>
      </c>
      <c r="BV43" s="94">
        <f ca="1">IFERROR(VLOOKUP($BN43,'Regresion Q3'!$W$6:$Y$10,2,1)*$BN43+VLOOKUP($BN43,'Regresion Q3'!$W$6:$Y$10,3,1),VLOOKUP(MIN(DatosHoy[Puntos]),'Regresion Q3'!$W$6:$Y$10,2,1)*$BN43+VLOOKUP(MIN(DatosHoy[Puntos]),'Regresion Q3'!$W$6:$Y$10,3,1))</f>
        <v>4607025.6235988475</v>
      </c>
      <c r="BW43" s="94">
        <f ca="1">IFERROR(VLOOKUP($BN43,'Regresion Q3'!$Z$6:$AB$10,2,1)*$BN43+VLOOKUP($BN43,'Regresion Q3'!$Z$6:$AB$10,3,1),VLOOKUP(MIN(DatosHoy[Puntos]),'Regresion Q3'!$Z$6:$AB$10,2,1)*$BN43+VLOOKUP(MIN(DatosHoy[Puntos]),'Regresion Q3'!$Z$6:$AB$10,3,1))</f>
        <v>4730802.5871014483</v>
      </c>
      <c r="BX43" s="96">
        <f ca="1">DatosHoy[[#This Row],[CT Actual]]/DatosHoy[[#This Row],[CT ajus PM Md]]</f>
        <v>0.90772759422561322</v>
      </c>
      <c r="BY43" s="125" t="str">
        <f>VLOOKUP(DatosHoy[[#This Row],[Cargo Valorado]],Estadísticos[[Cargo]:[Nivel]],2,FALSE)</f>
        <v>Soporte</v>
      </c>
      <c r="BZ43" s="96">
        <f>(DatosHoy[[#This Row],[G+V Actual]]-DatosHoy[[#This Row],[G Actual]])/DatosHoy[[#This Row],[CT Actual]]</f>
        <v>0</v>
      </c>
      <c r="CA43" s="96">
        <f>(DatosHoy[[#This Row],[CT Actual]]-DatosHoy[[#This Row],[G+V Actual]])/DatosHoy[[#This Row],[CT Actual]]</f>
        <v>0</v>
      </c>
      <c r="CB43" s="139" t="s">
        <v>255</v>
      </c>
    </row>
    <row r="44" spans="2:80" x14ac:dyDescent="0.25">
      <c r="B44" s="73">
        <f t="shared" si="34"/>
        <v>39</v>
      </c>
      <c r="C44" s="74">
        <v>2828714.68</v>
      </c>
      <c r="D44" s="74">
        <v>2828714.68</v>
      </c>
      <c r="E44" s="74">
        <v>2828714.68</v>
      </c>
      <c r="F44" s="94">
        <f>VLOOKUP(DatosHoy[[#This Row],[Cargo Valorado]],Estadísticos[],3,0)</f>
        <v>2909190.0089251348</v>
      </c>
      <c r="G44" s="94">
        <f>VLOOKUP(DatosHoy[[#This Row],[Cargo Valorado]],Estadísticos[],4,0)</f>
        <v>3009624.0569083979</v>
      </c>
      <c r="H44" s="94">
        <f>VLOOKUP(DatosHoy[[#This Row],[Cargo Valorado]],Estadísticos[],5,0)</f>
        <v>3052472.0169083979</v>
      </c>
      <c r="I44" s="94">
        <f>VLOOKUP(DatosHoy[[#This Row],[Cargo Valorado]],Estadísticos[],6,0)</f>
        <v>3454832.914039013</v>
      </c>
      <c r="J44" s="94">
        <f>VLOOKUP(DatosHoy[[#This Row],[Cargo Valorado]],Estadísticos[],7,0)</f>
        <v>3521788.9460278549</v>
      </c>
      <c r="K44" s="94">
        <f>VLOOKUP(DatosHoy[[#This Row],[Cargo Valorado]],Estadísticos[],8,0)</f>
        <v>3607484.8660278548</v>
      </c>
      <c r="L44" s="94">
        <f>VLOOKUP(DatosHoy[[#This Row],[Cargo Valorado]],Estadísticos[],9,0)</f>
        <v>4000475.8191528907</v>
      </c>
      <c r="M44" s="94">
        <f>VLOOKUP(DatosHoy[[#This Row],[Cargo Valorado]],Estadísticos[],10,0)</f>
        <v>4033953.8351473119</v>
      </c>
      <c r="N44" s="94">
        <f>VLOOKUP(DatosHoy[[#This Row],[Cargo Valorado]],Estadísticos[],11,0)</f>
        <v>4162497.7151473118</v>
      </c>
      <c r="O44" s="75" t="s">
        <v>231</v>
      </c>
      <c r="P44" s="75">
        <v>227</v>
      </c>
      <c r="Q44" s="95" t="str">
        <f t="shared" si="24"/>
        <v>$P$44</v>
      </c>
      <c r="R44" s="95" t="str">
        <f t="shared" si="25"/>
        <v>$F$44</v>
      </c>
      <c r="S44" s="95" t="str">
        <f t="shared" si="26"/>
        <v>$G$44</v>
      </c>
      <c r="T44" s="95" t="str">
        <f t="shared" si="27"/>
        <v>$H$44</v>
      </c>
      <c r="U44" s="95" t="str">
        <f t="shared" si="28"/>
        <v>$I$44</v>
      </c>
      <c r="V44" s="95" t="str">
        <f t="shared" si="29"/>
        <v>$J$44</v>
      </c>
      <c r="W44" s="95" t="str">
        <f t="shared" si="30"/>
        <v>$K$44</v>
      </c>
      <c r="X44" s="95" t="str">
        <f t="shared" si="31"/>
        <v>$L$44</v>
      </c>
      <c r="Y44" s="95" t="str">
        <f t="shared" si="32"/>
        <v>$M$44</v>
      </c>
      <c r="Z44" s="95" t="str">
        <f t="shared" si="33"/>
        <v>$N$44</v>
      </c>
      <c r="AA44" s="94">
        <f ca="1">VLOOKUP($P44,'Regresion Q1'!$E$6:$I$10,4,1)*$P44+VLOOKUP($P44,'Regresion Q1'!$E$6:$I$10,5,1)</f>
        <v>2930983.1192812431</v>
      </c>
      <c r="AB44" s="94">
        <f ca="1">VLOOKUP($P44,'Regresion Q1'!$J$6:$N$10,4,1)*$P44+VLOOKUP($P44,'Regresion Q1'!$J$6:$N$10,5,1)</f>
        <v>2994690.2658606116</v>
      </c>
      <c r="AC44" s="94">
        <f ca="1">VLOOKUP($P44,'Regresion Q1'!$O$6:$S$10,4,1)*$P44+VLOOKUP($P44,'Regresion Q1'!$O$6:$S$10,5,1)</f>
        <v>3169059.2604946033</v>
      </c>
      <c r="AD44" s="94">
        <f ca="1">VLOOKUP($P44,'Regresion Md'!$E$6:$I$10,4,1)*$P44+VLOOKUP($P44,'Regresion Md'!$E$6:$I$10,5,1)</f>
        <v>3155591.6987608103</v>
      </c>
      <c r="AE44" s="94">
        <f ca="1">VLOOKUP($P44,'Regresion Md'!$J$6:$N$10,4,1)*$P44+VLOOKUP($P44,'Regresion Md'!$J$6:$N$10,5,1)</f>
        <v>3182115.8982763523</v>
      </c>
      <c r="AF44" s="94">
        <f ca="1">VLOOKUP($P44,'Regresion Md'!$O$6:$S$10,4,1)*$P44+VLOOKUP($P44,'Regresion Md'!$O$6:$S$10,5,1)</f>
        <v>3374398.6372844763</v>
      </c>
      <c r="AG44" s="94">
        <f ca="1">VLOOKUP($P44,'Regresion Q3'!$E$6:$I$10,4,1)*$P44+VLOOKUP($P44,'Regresion Q3'!$E$6:$I$10,5,1)</f>
        <v>4134809.4327997165</v>
      </c>
      <c r="AH44" s="94">
        <f ca="1">VLOOKUP($P44,'Regresion Q3'!$J$6:$N$10,4,1)*$P44+VLOOKUP($P44,'Regresion Q3'!$J$6:$N$10,5,1)</f>
        <v>4202102.1031153407</v>
      </c>
      <c r="AI44" s="94">
        <f ca="1">VLOOKUP($P44,'Regresion Q3'!$O$6:$S$10,4,1)*$P44+VLOOKUP($P44,'Regresion Q3'!$O$6:$S$10,5,1)</f>
        <v>4391351.2789912084</v>
      </c>
      <c r="AJ44" s="94">
        <f ca="1">VLOOKUP($P44,'Regresion Q1'!$T$6:$V$10,2,1)*$P44+VLOOKUP($P44,'Regresion Q1'!$T$6:$V$10,3,1)</f>
        <v>2861674.5638387841</v>
      </c>
      <c r="AK44" s="94">
        <f ca="1">VLOOKUP($P44,'Regresion Q1'!$W$6:$Y$10,2,1)*$P44+VLOOKUP($P44,'Regresion Q1'!$W$6:$Y$10,3,1)</f>
        <v>2961011.7200800427</v>
      </c>
      <c r="AL44" s="94">
        <f ca="1">VLOOKUP($P44,'Regresion Q1'!$Z$6:$AB$10,2,1)*$P44+VLOOKUP($P44,'Regresion Q1'!$Z$6:$AB$10,3,1)</f>
        <v>3079493.2188683883</v>
      </c>
      <c r="AM44" s="94">
        <f ca="1">VLOOKUP($P44,'Regresion Md'!$T$6:$V$10,2,1)*$P44+VLOOKUP($P44,'Regresion Md'!$T$6:$V$10,3,1)</f>
        <v>3134108.0012638764</v>
      </c>
      <c r="AN44" s="94">
        <f ca="1">VLOOKUP($P44,'Regresion Md'!$W$6:$Y$10,2,1)*$P44+VLOOKUP($P44,'Regresion Md'!$W$6:$Y$10,3,1)</f>
        <v>3171194.4261525404</v>
      </c>
      <c r="AO44" s="94">
        <f ca="1">VLOOKUP($P44,'Regresion Md'!$Z$6:$AB$10,2,1)*$P44+VLOOKUP($P44,'Regresion Md'!$Z$6:$AB$10,3,1)</f>
        <v>3371658.5465161037</v>
      </c>
      <c r="AP44" s="94">
        <f ca="1">VLOOKUP($P44,'Regresion Q3'!$T$6:$V$10,2,1)*$P44+VLOOKUP($P44,'Regresion Q3'!$T$6:$V$10,3,1)</f>
        <v>4663584.0935570002</v>
      </c>
      <c r="AQ44" s="94">
        <f ca="1">VLOOKUP($P44,'Regresion Q3'!$W$6:$Y$10,2,1)*$P44+VLOOKUP($P44,'Regresion Q3'!$W$6:$Y$10,3,1)</f>
        <v>4795976.9284319179</v>
      </c>
      <c r="AR44" s="94">
        <f ca="1">VLOOKUP($P44,'Regresion Q3'!$Z$6:$AB$10,2,1)*$P44+VLOOKUP($P44,'Regresion Q3'!$Z$6:$AB$10,3,1)</f>
        <v>4923309.8304597782</v>
      </c>
      <c r="AS44" s="94">
        <f ca="1">IF($BN44=$BN45,-1,DatosHoy[[#This Row],[G ajus PM Q1]]-BO45)</f>
        <v>-320109.37697445834</v>
      </c>
      <c r="AT44" s="94">
        <f ca="1">IF($BN44=$BN45,-1,DatosHoy[[#This Row],[G+V ajus PM Q1]]-BP45)</f>
        <v>-323517.6996636102</v>
      </c>
      <c r="AU44" s="94">
        <f ca="1">IF($BN44=$BN45,-1,DatosHoy[[#This Row],[CT ajus PM Q1]]-BQ45)</f>
        <v>-338073.95623057103</v>
      </c>
      <c r="AV44" s="94">
        <f ca="1">IF(DatosHoy[[#This Row],[G ajus PM Q1]]=DatosHoy[[#This Row],[G+V ajus PM Q1]],-1,DatosHoy[[#This Row],[G ajus PM Q1]]-DatosHoy[[#This Row],[G+V ajus PM Q1]])</f>
        <v>-98272.055400899146</v>
      </c>
      <c r="AW44" s="94">
        <f ca="1">IF(DatosHoy[[#This Row],[G+V ajus PM Q1]]=DatosHoy[[#This Row],[CT ajus PM Q1]],-1,DatosHoy[[#This Row],[G+V ajus PM Q1]]-DatosHoy[[#This Row],[CT ajus PM Q1]])</f>
        <v>-113932.66861116979</v>
      </c>
      <c r="AX44" s="94">
        <f ca="1">IF($BN44=$BN45,-1,DatosHoy[[#This Row],[G ajus PMd]]-BR45)</f>
        <v>-734002.06912332959</v>
      </c>
      <c r="AY44" s="94">
        <f ca="1">IF($BN44=$BN45,-1,DatosHoy[[#This Row],[G+V ajus PM Md]]-BS45)</f>
        <v>-795005.66859033518</v>
      </c>
      <c r="AZ44" s="94">
        <f ca="1">IF($BN44=$BN45,-1,DatosHoy[[#This Row],[CT ajus PM Md]]-BT45)</f>
        <v>-817277.15655335784</v>
      </c>
      <c r="BA44" s="94">
        <f ca="1">IF(DatosHoy[[#This Row],[G ajus PMd]]=DatosHoy[[#This Row],[G+V ajus PM Md]],-1,DatosHoy[[#This Row],[G ajus PMd]]-DatosHoy[[#This Row],[G+V ajus PM Md]])</f>
        <v>-18022.800055224448</v>
      </c>
      <c r="BB44" s="94">
        <f ca="1">IF(DatosHoy[[#This Row],[G+V ajus PM Md]]=DatosHoy[[#This Row],[CT ajus PM Md]],-1,DatosHoy[[#This Row],[G+V ajus PM Md]]-DatosHoy[[#This Row],[CT ajus PM Md]])</f>
        <v>-193504.28037511837</v>
      </c>
      <c r="BC44" s="94">
        <f ca="1">IF($BN44=$BN45,-1,DatosHoy[[#This Row],[G ajus PM Q3]]-BU45)</f>
        <v>-590732.10604960751</v>
      </c>
      <c r="BD44" s="94">
        <f ca="1">IF($BN44=$BN45,-1,DatosHoy[[#This Row],[G+V ajus PM Q3]]-BV45)</f>
        <v>-604644.17546582501</v>
      </c>
      <c r="BE44" s="94">
        <f ca="1">IF($BN44=$BN45,-1,DatosHoy[[#This Row],[CT ajus PM Q3]]-BW45)</f>
        <v>-616023.17874665745</v>
      </c>
      <c r="BF44" s="94">
        <f ca="1">IF(DatosHoy[[#This Row],[G ajus PM Q3]]=DatosHoy[[#This Row],[G+V ajus PM Q3]],-1,DatosHoy[[#This Row],[G ajus PM Q3]]-DatosHoy[[#This Row],[G+V ajus PM Q3]])</f>
        <v>-128045.31318235025</v>
      </c>
      <c r="BG44" s="94">
        <f ca="1">IF(DatosHoy[[#This Row],[G+V ajus PM Q3]]=DatosHoy[[#This Row],[CT ajus PM Q3]],-1,DatosHoy[[#This Row],[G+V ajus PM Q3]]-DatosHoy[[#This Row],[CT ajus PM Q3]])</f>
        <v>-123776.96350260079</v>
      </c>
      <c r="BH44" s="94">
        <f ca="1">IF(DatosHoy[[#This Row],[G ajus PM Q1]]=DatosHoy[[#This Row],[G ajus PMd]],-1,DatosHoy[[#This Row],[G ajus PM Q1]]-DatosHoy[[#This Row],[G ajus PMd]])</f>
        <v>-143091.97112857085</v>
      </c>
      <c r="BI44" s="94">
        <f ca="1">IF(DatosHoy[[#This Row],[G+V ajus PM Q1]]=DatosHoy[[#This Row],[G+V ajus PM Md]],-1,DatosHoy[[#This Row],[G+V ajus PM Q1]]-DatosHoy[[#This Row],[G+V ajus PM Md]])</f>
        <v>-62842.71578289615</v>
      </c>
      <c r="BJ44" s="94">
        <f ca="1">IF(DatosHoy[[#This Row],[CT ajus PM Q1]]=DatosHoy[[#This Row],[CT ajus PM Md]],-1,DatosHoy[[#This Row],[CT ajus PM Q1]]-DatosHoy[[#This Row],[CT ajus PM Md]])</f>
        <v>-142414.32754684472</v>
      </c>
      <c r="BK44" s="94">
        <f ca="1">IF(DatosHoy[[#This Row],[G ajus PMd]]=DatosHoy[[#This Row],[G ajus PM Q3]],-1,DatosHoy[[#This Row],[G ajus PMd]]-DatosHoy[[#This Row],[G ajus PM Q3]])</f>
        <v>-1574247.9557536608</v>
      </c>
      <c r="BL44" s="94">
        <f ca="1">IF(DatosHoy[[#This Row],[G+V ajus PM Md]]=DatosHoy[[#This Row],[G+V ajus PM Q3]],-1,DatosHoy[[#This Row],[G+V ajus PM Md]]-DatosHoy[[#This Row],[G+V ajus PM Q3]])</f>
        <v>-1684270.4688807866</v>
      </c>
      <c r="BM44" s="94">
        <f ca="1">IF(DatosHoy[[#This Row],[CT ajus PM Md]]=DatosHoy[[#This Row],[CT ajus PM Q3]],-1,DatosHoy[[#This Row],[CT ajus PM Md]]-DatosHoy[[#This Row],[CT ajus PM Q3]])</f>
        <v>-1614543.152008269</v>
      </c>
      <c r="BN44" s="74">
        <v>217</v>
      </c>
      <c r="BO44" s="94">
        <f ca="1">IFERROR(VLOOKUP($BN44,'Regresion Q1'!$T$6:$V$10,2,1)*$BN44+VLOOKUP($BN44,'Regresion Q1'!$T$6:$V$10,3,1),VLOOKUP(MIN(DatosHoy[Puntos]),'Regresion Q1'!$T$6:$V$10,2,1)*$BN44+VLOOKUP(MIN(DatosHoy[Puntos]),'Regresion Q1'!$T$6:$V$10,3,1))</f>
        <v>2761640.3835342657</v>
      </c>
      <c r="BP44" s="94">
        <f ca="1">IFERROR(VLOOKUP($BN44,'Regresion Q1'!$W$6:$Y$10,2,1)*$BN44+VLOOKUP($BN44,'Regresion Q1'!$W$6:$Y$10,3,1),VLOOKUP(MIN(DatosHoy[Puntos]),'Regresion Q1'!$W$6:$Y$10,2,1)*$BN44+VLOOKUP(MIN(DatosHoy[Puntos]),'Regresion Q1'!$W$6:$Y$10,3,1))</f>
        <v>2859912.4389351648</v>
      </c>
      <c r="BQ44" s="94">
        <f ca="1">IFERROR(VLOOKUP($BN44,'Regresion Q1'!$Z$6:$AB$10,2,1)*$BN44+VLOOKUP($BN44,'Regresion Q1'!$Z$6:$AB$10,3,1),VLOOKUP(MIN(DatosHoy[Puntos]),'Regresion Q1'!$Z$6:$AB$10,2,1)*$BN44+VLOOKUP(MIN(DatosHoy[Puntos]),'Regresion Q1'!$Z$6:$AB$10,3,1))</f>
        <v>2973845.1075463346</v>
      </c>
      <c r="BR44" s="94">
        <f ca="1">IFERROR(VLOOKUP($BN44,'Regresion Md'!$T$6:$V$10,2,1)*$BN44+VLOOKUP($BN44,'Regresion Md'!$T$6:$V$10,3,1),VLOOKUP(MIN(DatosHoy[Puntos]),'Regresion Md'!$T$6:$V$10,2,1)*$BN44+VLOOKUP(MIN(DatosHoy[Puntos]),'Regresion Md'!$T$6:$V$10,3,1))</f>
        <v>2904732.3546628365</v>
      </c>
      <c r="BS44" s="94">
        <f ca="1">IFERROR(VLOOKUP($BN44,'Regresion Md'!$W$6:$Y$10,2,1)*$BN44+VLOOKUP($BN44,'Regresion Md'!$W$6:$Y$10,3,1),VLOOKUP(MIN(DatosHoy[Puntos]),'Regresion Md'!$W$6:$Y$10,2,1)*$BN44+VLOOKUP(MIN(DatosHoy[Puntos]),'Regresion Md'!$W$6:$Y$10,3,1))</f>
        <v>2922755.154718061</v>
      </c>
      <c r="BT44" s="94">
        <f ca="1">IFERROR(VLOOKUP($BN44,'Regresion Md'!$Z$6:$AB$10,2,1)*$BN44+VLOOKUP($BN44,'Regresion Md'!$Z$6:$AB$10,3,1),VLOOKUP(MIN(DatosHoy[Puntos]),'Regresion Md'!$Z$6:$AB$10,2,1)*$BN44+VLOOKUP(MIN(DatosHoy[Puntos]),'Regresion Md'!$Z$6:$AB$10,3,1))</f>
        <v>3116259.4350931793</v>
      </c>
      <c r="BU44" s="94">
        <f ca="1">IFERROR(VLOOKUP($BN44,'Regresion Q3'!$T$6:$V$10,2,1)*$BN44+VLOOKUP($BN44,'Regresion Q3'!$T$6:$V$10,3,1),VLOOKUP(MIN(DatosHoy[Puntos]),'Regresion Q3'!$T$6:$V$10,2,1)*$BN44+VLOOKUP(MIN(DatosHoy[Puntos]),'Regresion Q3'!$T$6:$V$10,3,1))</f>
        <v>4478980.3104164973</v>
      </c>
      <c r="BV44" s="94">
        <f ca="1">IFERROR(VLOOKUP($BN44,'Regresion Q3'!$W$6:$Y$10,2,1)*$BN44+VLOOKUP($BN44,'Regresion Q3'!$W$6:$Y$10,3,1),VLOOKUP(MIN(DatosHoy[Puntos]),'Regresion Q3'!$W$6:$Y$10,2,1)*$BN44+VLOOKUP(MIN(DatosHoy[Puntos]),'Regresion Q3'!$W$6:$Y$10,3,1))</f>
        <v>4607025.6235988475</v>
      </c>
      <c r="BW44" s="94">
        <f ca="1">IFERROR(VLOOKUP($BN44,'Regresion Q3'!$Z$6:$AB$10,2,1)*$BN44+VLOOKUP($BN44,'Regresion Q3'!$Z$6:$AB$10,3,1),VLOOKUP(MIN(DatosHoy[Puntos]),'Regresion Q3'!$Z$6:$AB$10,2,1)*$BN44+VLOOKUP(MIN(DatosHoy[Puntos]),'Regresion Q3'!$Z$6:$AB$10,3,1))</f>
        <v>4730802.5871014483</v>
      </c>
      <c r="BX44" s="96">
        <f ca="1">DatosHoy[[#This Row],[CT Actual]]/DatosHoy[[#This Row],[CT ajus PM Md]]</f>
        <v>0.90772759422561322</v>
      </c>
      <c r="BY44" s="125" t="str">
        <f>VLOOKUP(DatosHoy[[#This Row],[Cargo Valorado]],Estadísticos[[Cargo]:[Nivel]],2,FALSE)</f>
        <v>Soporte</v>
      </c>
      <c r="BZ44" s="96">
        <f>(DatosHoy[[#This Row],[G+V Actual]]-DatosHoy[[#This Row],[G Actual]])/DatosHoy[[#This Row],[CT Actual]]</f>
        <v>0</v>
      </c>
      <c r="CA44" s="96">
        <f>(DatosHoy[[#This Row],[CT Actual]]-DatosHoy[[#This Row],[G+V Actual]])/DatosHoy[[#This Row],[CT Actual]]</f>
        <v>0</v>
      </c>
      <c r="CB44" s="139" t="s">
        <v>255</v>
      </c>
    </row>
    <row r="45" spans="2:80" x14ac:dyDescent="0.25">
      <c r="B45" s="73">
        <f t="shared" si="34"/>
        <v>40</v>
      </c>
      <c r="C45" s="74">
        <v>3765344.0000000005</v>
      </c>
      <c r="D45" s="74">
        <v>3765344.0000000005</v>
      </c>
      <c r="E45" s="74">
        <v>3765344.0000000005</v>
      </c>
      <c r="F45" s="94">
        <f>VLOOKUP(DatosHoy[[#This Row],[Cargo Valorado]],Estadísticos[],3,0)</f>
        <v>3391274.6087575429</v>
      </c>
      <c r="G45" s="94">
        <f>VLOOKUP(DatosHoy[[#This Row],[Cargo Valorado]],Estadísticos[],4,0)</f>
        <v>3391274.6087575429</v>
      </c>
      <c r="H45" s="94">
        <f>VLOOKUP(DatosHoy[[#This Row],[Cargo Valorado]],Estadísticos[],5,0)</f>
        <v>3503334.5254242094</v>
      </c>
      <c r="I45" s="94">
        <f>VLOOKUP(DatosHoy[[#This Row],[Cargo Valorado]],Estadísticos[],6,0)</f>
        <v>3590013.7245299509</v>
      </c>
      <c r="J45" s="94">
        <f>VLOOKUP(DatosHoy[[#This Row],[Cargo Valorado]],Estadísticos[],7,0)</f>
        <v>3590013.7245299509</v>
      </c>
      <c r="K45" s="94">
        <f>VLOOKUP(DatosHoy[[#This Row],[Cargo Valorado]],Estadísticos[],8,0)</f>
        <v>3590013.7245299509</v>
      </c>
      <c r="L45" s="94">
        <f>VLOOKUP(DatosHoy[[#This Row],[Cargo Valorado]],Estadísticos[],9,0)</f>
        <v>4036608.4526601988</v>
      </c>
      <c r="M45" s="94">
        <f>VLOOKUP(DatosHoy[[#This Row],[Cargo Valorado]],Estadísticos[],10,0)</f>
        <v>4036608.4526601988</v>
      </c>
      <c r="N45" s="94">
        <f>VLOOKUP(DatosHoy[[#This Row],[Cargo Valorado]],Estadísticos[],11,0)</f>
        <v>4079456.4126601988</v>
      </c>
      <c r="O45" s="75" t="s">
        <v>190</v>
      </c>
      <c r="P45" s="75">
        <v>231</v>
      </c>
      <c r="Q45" s="95" t="str">
        <f t="shared" si="24"/>
        <v>$P$45</v>
      </c>
      <c r="R45" s="95" t="str">
        <f t="shared" si="25"/>
        <v>$F$45</v>
      </c>
      <c r="S45" s="95" t="str">
        <f t="shared" si="26"/>
        <v>$G$45</v>
      </c>
      <c r="T45" s="95" t="str">
        <f t="shared" si="27"/>
        <v>$H$45</v>
      </c>
      <c r="U45" s="95" t="str">
        <f t="shared" si="28"/>
        <v>$I$45</v>
      </c>
      <c r="V45" s="95" t="str">
        <f t="shared" si="29"/>
        <v>$J$45</v>
      </c>
      <c r="W45" s="95" t="str">
        <f t="shared" si="30"/>
        <v>$K$45</v>
      </c>
      <c r="X45" s="95" t="str">
        <f t="shared" si="31"/>
        <v>$L$45</v>
      </c>
      <c r="Y45" s="95" t="str">
        <f t="shared" si="32"/>
        <v>$M$45</v>
      </c>
      <c r="Z45" s="95" t="str">
        <f t="shared" si="33"/>
        <v>$N$45</v>
      </c>
      <c r="AA45" s="94">
        <f ca="1">VLOOKUP($P45,'Regresion Q1'!$E$6:$I$10,4,1)*$P45+VLOOKUP($P45,'Regresion Q1'!$E$6:$I$10,5,1)</f>
        <v>2984792.2047171905</v>
      </c>
      <c r="AB45" s="94">
        <f ca="1">VLOOKUP($P45,'Regresion Q1'!$J$6:$N$10,4,1)*$P45+VLOOKUP($P45,'Regresion Q1'!$J$6:$N$10,5,1)</f>
        <v>3050043.4674223708</v>
      </c>
      <c r="AC45" s="94">
        <f ca="1">VLOOKUP($P45,'Regresion Q1'!$O$6:$S$10,4,1)*$P45+VLOOKUP($P45,'Regresion Q1'!$O$6:$S$10,5,1)</f>
        <v>3226179.676295144</v>
      </c>
      <c r="AD45" s="94">
        <f ca="1">VLOOKUP($P45,'Regresion Md'!$E$6:$I$10,4,1)*$P45+VLOOKUP($P45,'Regresion Md'!$E$6:$I$10,5,1)</f>
        <v>3255935.4364</v>
      </c>
      <c r="AE45" s="94">
        <f ca="1">VLOOKUP($P45,'Regresion Md'!$J$6:$N$10,4,1)*$P45+VLOOKUP($P45,'Regresion Md'!$J$6:$N$10,5,1)</f>
        <v>3285860.1956996694</v>
      </c>
      <c r="AF45" s="94">
        <f ca="1">VLOOKUP($P45,'Regresion Md'!$O$6:$S$10,4,1)*$P45+VLOOKUP($P45,'Regresion Md'!$O$6:$S$10,5,1)</f>
        <v>3477654.3181609949</v>
      </c>
      <c r="AG45" s="94">
        <f ca="1">VLOOKUP($P45,'Regresion Q3'!$E$6:$I$10,4,1)*$P45+VLOOKUP($P45,'Regresion Q3'!$E$6:$I$10,5,1)</f>
        <v>4234380.5841971673</v>
      </c>
      <c r="AH45" s="94">
        <f ca="1">VLOOKUP($P45,'Regresion Q3'!$J$6:$N$10,4,1)*$P45+VLOOKUP($P45,'Regresion Q3'!$J$6:$N$10,5,1)</f>
        <v>4302929.5103996927</v>
      </c>
      <c r="AI45" s="94">
        <f ca="1">VLOOKUP($P45,'Regresion Q3'!$O$6:$S$10,4,1)*$P45+VLOOKUP($P45,'Regresion Q3'!$O$6:$S$10,5,1)</f>
        <v>4491582.1207213951</v>
      </c>
      <c r="AJ45" s="94">
        <f ca="1">VLOOKUP($P45,'Regresion Q1'!$T$6:$V$10,2,1)*$P45+VLOOKUP($P45,'Regresion Q1'!$T$6:$V$10,3,1)</f>
        <v>2901688.2359605911</v>
      </c>
      <c r="AK45" s="94">
        <f ca="1">VLOOKUP($P45,'Regresion Q1'!$W$6:$Y$10,2,1)*$P45+VLOOKUP($P45,'Regresion Q1'!$W$6:$Y$10,3,1)</f>
        <v>3001451.4325379943</v>
      </c>
      <c r="AL45" s="94">
        <f ca="1">VLOOKUP($P45,'Regresion Q1'!$Z$6:$AB$10,2,1)*$P45+VLOOKUP($P45,'Regresion Q1'!$Z$6:$AB$10,3,1)</f>
        <v>3121752.4633972095</v>
      </c>
      <c r="AM45" s="94">
        <f ca="1">VLOOKUP($P45,'Regresion Md'!$T$6:$V$10,2,1)*$P45+VLOOKUP($P45,'Regresion Md'!$T$6:$V$10,3,1)</f>
        <v>3225858.2599042933</v>
      </c>
      <c r="AN45" s="94">
        <f ca="1">VLOOKUP($P45,'Regresion Md'!$W$6:$Y$10,2,1)*$P45+VLOOKUP($P45,'Regresion Md'!$W$6:$Y$10,3,1)</f>
        <v>3270570.1347263325</v>
      </c>
      <c r="AO45" s="94">
        <f ca="1">VLOOKUP($P45,'Regresion Md'!$Z$6:$AB$10,2,1)*$P45+VLOOKUP($P45,'Regresion Md'!$Z$6:$AB$10,3,1)</f>
        <v>3473818.1910852734</v>
      </c>
      <c r="AP45" s="94">
        <f ca="1">VLOOKUP($P45,'Regresion Q3'!$T$6:$V$10,2,1)*$P45+VLOOKUP($P45,'Regresion Q3'!$T$6:$V$10,3,1)</f>
        <v>4737425.6068132007</v>
      </c>
      <c r="AQ45" s="94">
        <f ca="1">VLOOKUP($P45,'Regresion Q3'!$W$6:$Y$10,2,1)*$P45+VLOOKUP($P45,'Regresion Q3'!$W$6:$Y$10,3,1)</f>
        <v>4871557.4503651457</v>
      </c>
      <c r="AR45" s="94">
        <f ca="1">VLOOKUP($P45,'Regresion Q3'!$Z$6:$AB$10,2,1)*$P45+VLOOKUP($P45,'Regresion Q3'!$Z$6:$AB$10,3,1)</f>
        <v>5000312.7278031111</v>
      </c>
      <c r="AS45" s="94">
        <f>IF($BN45=$BN46,-1,DatosHoy[[#This Row],[G ajus PM Q1]]-BO46)</f>
        <v>-1</v>
      </c>
      <c r="AT45" s="94">
        <f>IF($BN45=$BN46,-1,DatosHoy[[#This Row],[G+V ajus PM Q1]]-BP46)</f>
        <v>-1</v>
      </c>
      <c r="AU45" s="94">
        <f>IF($BN45=$BN46,-1,DatosHoy[[#This Row],[CT ajus PM Q1]]-BQ46)</f>
        <v>-1</v>
      </c>
      <c r="AV45" s="94">
        <f ca="1">IF(DatosHoy[[#This Row],[G ajus PM Q1]]=DatosHoy[[#This Row],[G+V ajus PM Q1]],-1,DatosHoy[[#This Row],[G ajus PM Q1]]-DatosHoy[[#This Row],[G+V ajus PM Q1]])</f>
        <v>-101680.378090051</v>
      </c>
      <c r="AW45" s="94">
        <f ca="1">IF(DatosHoy[[#This Row],[G+V ajus PM Q1]]=DatosHoy[[#This Row],[CT ajus PM Q1]],-1,DatosHoy[[#This Row],[G+V ajus PM Q1]]-DatosHoy[[#This Row],[CT ajus PM Q1]])</f>
        <v>-128488.92517813062</v>
      </c>
      <c r="AX45" s="94">
        <f>IF($BN45=$BN46,-1,DatosHoy[[#This Row],[G ajus PMd]]-BR46)</f>
        <v>-1</v>
      </c>
      <c r="AY45" s="94">
        <f>IF($BN45=$BN46,-1,DatosHoy[[#This Row],[G+V ajus PM Md]]-BS46)</f>
        <v>-1</v>
      </c>
      <c r="AZ45" s="94">
        <f>IF($BN45=$BN46,-1,DatosHoy[[#This Row],[CT ajus PM Md]]-BT46)</f>
        <v>-1</v>
      </c>
      <c r="BA45" s="94">
        <f ca="1">IF(DatosHoy[[#This Row],[G ajus PMd]]=DatosHoy[[#This Row],[G+V ajus PM Md]],-1,DatosHoy[[#This Row],[G ajus PMd]]-DatosHoy[[#This Row],[G+V ajus PM Md]])</f>
        <v>-79026.399522230029</v>
      </c>
      <c r="BB45" s="94">
        <f ca="1">IF(DatosHoy[[#This Row],[G+V ajus PM Md]]=DatosHoy[[#This Row],[CT ajus PM Md]],-1,DatosHoy[[#This Row],[G+V ajus PM Md]]-DatosHoy[[#This Row],[CT ajus PM Md]])</f>
        <v>-215775.76833814103</v>
      </c>
      <c r="BC45" s="94">
        <f>IF($BN45=$BN46,-1,DatosHoy[[#This Row],[G ajus PM Q3]]-BU46)</f>
        <v>-1</v>
      </c>
      <c r="BD45" s="94">
        <f>IF($BN45=$BN46,-1,DatosHoy[[#This Row],[G+V ajus PM Q3]]-BV46)</f>
        <v>-1</v>
      </c>
      <c r="BE45" s="94">
        <f>IF($BN45=$BN46,-1,DatosHoy[[#This Row],[CT ajus PM Q3]]-BW46)</f>
        <v>-1</v>
      </c>
      <c r="BF45" s="94">
        <f ca="1">IF(DatosHoy[[#This Row],[G ajus PM Q3]]=DatosHoy[[#This Row],[G+V ajus PM Q3]],-1,DatosHoy[[#This Row],[G ajus PM Q3]]-DatosHoy[[#This Row],[G+V ajus PM Q3]])</f>
        <v>-141957.38259856775</v>
      </c>
      <c r="BG45" s="94">
        <f ca="1">IF(DatosHoy[[#This Row],[G+V ajus PM Q3]]=DatosHoy[[#This Row],[CT ajus PM Q3]],-1,DatosHoy[[#This Row],[G+V ajus PM Q3]]-DatosHoy[[#This Row],[CT ajus PM Q3]])</f>
        <v>-135155.96678343322</v>
      </c>
      <c r="BH45" s="94">
        <f ca="1">IF(DatosHoy[[#This Row],[G ajus PM Q1]]=DatosHoy[[#This Row],[G ajus PMd]],-1,DatosHoy[[#This Row],[G ajus PM Q1]]-DatosHoy[[#This Row],[G ajus PMd]])</f>
        <v>-556984.6632774421</v>
      </c>
      <c r="BI45" s="94">
        <f ca="1">IF(DatosHoy[[#This Row],[G+V ajus PM Q1]]=DatosHoy[[#This Row],[G+V ajus PM Md]],-1,DatosHoy[[#This Row],[G+V ajus PM Q1]]-DatosHoy[[#This Row],[G+V ajus PM Md]])</f>
        <v>-534330.68470962113</v>
      </c>
      <c r="BJ45" s="94">
        <f ca="1">IF(DatosHoy[[#This Row],[CT ajus PM Q1]]=DatosHoy[[#This Row],[CT ajus PM Md]],-1,DatosHoy[[#This Row],[CT ajus PM Q1]]-DatosHoy[[#This Row],[CT ajus PM Md]])</f>
        <v>-621617.52786963154</v>
      </c>
      <c r="BK45" s="94">
        <f ca="1">IF(DatosHoy[[#This Row],[G ajus PMd]]=DatosHoy[[#This Row],[G ajus PM Q3]],-1,DatosHoy[[#This Row],[G ajus PMd]]-DatosHoy[[#This Row],[G ajus PM Q3]])</f>
        <v>-1430977.9926799387</v>
      </c>
      <c r="BL45" s="94">
        <f ca="1">IF(DatosHoy[[#This Row],[G+V ajus PM Md]]=DatosHoy[[#This Row],[G+V ajus PM Q3]],-1,DatosHoy[[#This Row],[G+V ajus PM Md]]-DatosHoy[[#This Row],[G+V ajus PM Q3]])</f>
        <v>-1493908.9757562764</v>
      </c>
      <c r="BM45" s="94">
        <f ca="1">IF(DatosHoy[[#This Row],[CT ajus PM Md]]=DatosHoy[[#This Row],[CT ajus PM Q3]],-1,DatosHoy[[#This Row],[CT ajus PM Md]]-DatosHoy[[#This Row],[CT ajus PM Q3]])</f>
        <v>-1413289.1742015686</v>
      </c>
      <c r="BN45" s="74">
        <v>249</v>
      </c>
      <c r="BO45" s="94">
        <f ca="1">IFERROR(VLOOKUP($BN45,'Regresion Q1'!$T$6:$V$10,2,1)*$BN45+VLOOKUP($BN45,'Regresion Q1'!$T$6:$V$10,3,1),VLOOKUP(MIN(DatosHoy[Puntos]),'Regresion Q1'!$T$6:$V$10,2,1)*$BN45+VLOOKUP(MIN(DatosHoy[Puntos]),'Regresion Q1'!$T$6:$V$10,3,1))</f>
        <v>3081749.760508724</v>
      </c>
      <c r="BP45" s="94">
        <f ca="1">IFERROR(VLOOKUP($BN45,'Regresion Q1'!$W$6:$Y$10,2,1)*$BN45+VLOOKUP($BN45,'Regresion Q1'!$W$6:$Y$10,3,1),VLOOKUP(MIN(DatosHoy[Puntos]),'Regresion Q1'!$W$6:$Y$10,2,1)*$BN45+VLOOKUP(MIN(DatosHoy[Puntos]),'Regresion Q1'!$W$6:$Y$10,3,1))</f>
        <v>3183430.138598775</v>
      </c>
      <c r="BQ45" s="94">
        <f ca="1">IFERROR(VLOOKUP($BN45,'Regresion Q1'!$Z$6:$AB$10,2,1)*$BN45+VLOOKUP($BN45,'Regresion Q1'!$Z$6:$AB$10,3,1),VLOOKUP(MIN(DatosHoy[Puntos]),'Regresion Q1'!$Z$6:$AB$10,2,1)*$BN45+VLOOKUP(MIN(DatosHoy[Puntos]),'Regresion Q1'!$Z$6:$AB$10,3,1))</f>
        <v>3311919.0637769056</v>
      </c>
      <c r="BR45" s="94">
        <f ca="1">IFERROR(VLOOKUP($BN45,'Regresion Md'!$T$6:$V$10,2,1)*$BN45+VLOOKUP($BN45,'Regresion Md'!$T$6:$V$10,3,1),VLOOKUP(MIN(DatosHoy[Puntos]),'Regresion Md'!$T$6:$V$10,2,1)*$BN45+VLOOKUP(MIN(DatosHoy[Puntos]),'Regresion Md'!$T$6:$V$10,3,1))</f>
        <v>3638734.4237861661</v>
      </c>
      <c r="BS45" s="94">
        <f ca="1">IFERROR(VLOOKUP($BN45,'Regresion Md'!$W$6:$Y$10,2,1)*$BN45+VLOOKUP($BN45,'Regresion Md'!$W$6:$Y$10,3,1),VLOOKUP(MIN(DatosHoy[Puntos]),'Regresion Md'!$W$6:$Y$10,2,1)*$BN45+VLOOKUP(MIN(DatosHoy[Puntos]),'Regresion Md'!$W$6:$Y$10,3,1))</f>
        <v>3717760.8233083962</v>
      </c>
      <c r="BT45" s="94">
        <f ca="1">IFERROR(VLOOKUP($BN45,'Regresion Md'!$Z$6:$AB$10,2,1)*$BN45+VLOOKUP($BN45,'Regresion Md'!$Z$6:$AB$10,3,1),VLOOKUP(MIN(DatosHoy[Puntos]),'Regresion Md'!$Z$6:$AB$10,2,1)*$BN45+VLOOKUP(MIN(DatosHoy[Puntos]),'Regresion Md'!$Z$6:$AB$10,3,1))</f>
        <v>3933536.5916465372</v>
      </c>
      <c r="BU45" s="94">
        <f ca="1">IFERROR(VLOOKUP($BN45,'Regresion Q3'!$T$6:$V$10,2,1)*$BN45+VLOOKUP($BN45,'Regresion Q3'!$T$6:$V$10,3,1),VLOOKUP(MIN(DatosHoy[Puntos]),'Regresion Q3'!$T$6:$V$10,2,1)*$BN45+VLOOKUP(MIN(DatosHoy[Puntos]),'Regresion Q3'!$T$6:$V$10,3,1))</f>
        <v>5069712.4164661048</v>
      </c>
      <c r="BV45" s="94">
        <f ca="1">IFERROR(VLOOKUP($BN45,'Regresion Q3'!$W$6:$Y$10,2,1)*$BN45+VLOOKUP($BN45,'Regresion Q3'!$W$6:$Y$10,3,1),VLOOKUP(MIN(DatosHoy[Puntos]),'Regresion Q3'!$W$6:$Y$10,2,1)*$BN45+VLOOKUP(MIN(DatosHoy[Puntos]),'Regresion Q3'!$W$6:$Y$10,3,1))</f>
        <v>5211669.7990646726</v>
      </c>
      <c r="BW45" s="94">
        <f ca="1">IFERROR(VLOOKUP($BN45,'Regresion Q3'!$Z$6:$AB$10,2,1)*$BN45+VLOOKUP($BN45,'Regresion Q3'!$Z$6:$AB$10,3,1),VLOOKUP(MIN(DatosHoy[Puntos]),'Regresion Q3'!$Z$6:$AB$10,2,1)*$BN45+VLOOKUP(MIN(DatosHoy[Puntos]),'Regresion Q3'!$Z$6:$AB$10,3,1))</f>
        <v>5346825.7658481058</v>
      </c>
      <c r="BX45" s="96">
        <f ca="1">DatosHoy[[#This Row],[CT Actual]]/DatosHoy[[#This Row],[CT ajus PM Md]]</f>
        <v>0.9572413812029309</v>
      </c>
      <c r="BY45" s="125" t="str">
        <f>VLOOKUP(DatosHoy[[#This Row],[Cargo Valorado]],Estadísticos[[Cargo]:[Nivel]],2,FALSE)</f>
        <v>Soporte</v>
      </c>
      <c r="BZ45" s="96">
        <f>(DatosHoy[[#This Row],[G+V Actual]]-DatosHoy[[#This Row],[G Actual]])/DatosHoy[[#This Row],[CT Actual]]</f>
        <v>0</v>
      </c>
      <c r="CA45" s="96">
        <f>(DatosHoy[[#This Row],[CT Actual]]-DatosHoy[[#This Row],[G+V Actual]])/DatosHoy[[#This Row],[CT Actual]]</f>
        <v>0</v>
      </c>
      <c r="CB45" s="139" t="s">
        <v>255</v>
      </c>
    </row>
    <row r="46" spans="2:80" x14ac:dyDescent="0.25">
      <c r="B46" s="73">
        <f t="shared" si="34"/>
        <v>41</v>
      </c>
      <c r="C46" s="74">
        <v>3765344.0000000005</v>
      </c>
      <c r="D46" s="74">
        <v>3765344.0000000005</v>
      </c>
      <c r="E46" s="74">
        <v>3765344.0000000005</v>
      </c>
      <c r="F46" s="94">
        <f>VLOOKUP(DatosHoy[[#This Row],[Cargo Valorado]],Estadísticos[],3,0)</f>
        <v>3391274.6087575429</v>
      </c>
      <c r="G46" s="94">
        <f>VLOOKUP(DatosHoy[[#This Row],[Cargo Valorado]],Estadísticos[],4,0)</f>
        <v>3391274.6087575429</v>
      </c>
      <c r="H46" s="94">
        <f>VLOOKUP(DatosHoy[[#This Row],[Cargo Valorado]],Estadísticos[],5,0)</f>
        <v>3503334.5254242094</v>
      </c>
      <c r="I46" s="94">
        <f>VLOOKUP(DatosHoy[[#This Row],[Cargo Valorado]],Estadísticos[],6,0)</f>
        <v>3590013.7245299509</v>
      </c>
      <c r="J46" s="94">
        <f>VLOOKUP(DatosHoy[[#This Row],[Cargo Valorado]],Estadísticos[],7,0)</f>
        <v>3590013.7245299509</v>
      </c>
      <c r="K46" s="94">
        <f>VLOOKUP(DatosHoy[[#This Row],[Cargo Valorado]],Estadísticos[],8,0)</f>
        <v>3590013.7245299509</v>
      </c>
      <c r="L46" s="94">
        <f>VLOOKUP(DatosHoy[[#This Row],[Cargo Valorado]],Estadísticos[],9,0)</f>
        <v>4036608.4526601988</v>
      </c>
      <c r="M46" s="94">
        <f>VLOOKUP(DatosHoy[[#This Row],[Cargo Valorado]],Estadísticos[],10,0)</f>
        <v>4036608.4526601988</v>
      </c>
      <c r="N46" s="94">
        <f>VLOOKUP(DatosHoy[[#This Row],[Cargo Valorado]],Estadísticos[],11,0)</f>
        <v>4079456.4126601988</v>
      </c>
      <c r="O46" s="75" t="s">
        <v>190</v>
      </c>
      <c r="P46" s="75">
        <v>231</v>
      </c>
      <c r="Q46" s="95" t="str">
        <f t="shared" si="24"/>
        <v>$P$46</v>
      </c>
      <c r="R46" s="95" t="str">
        <f t="shared" si="25"/>
        <v>$F$46</v>
      </c>
      <c r="S46" s="95" t="str">
        <f t="shared" si="26"/>
        <v>$G$46</v>
      </c>
      <c r="T46" s="95" t="str">
        <f t="shared" si="27"/>
        <v>$H$46</v>
      </c>
      <c r="U46" s="95" t="str">
        <f t="shared" si="28"/>
        <v>$I$46</v>
      </c>
      <c r="V46" s="95" t="str">
        <f t="shared" si="29"/>
        <v>$J$46</v>
      </c>
      <c r="W46" s="95" t="str">
        <f t="shared" si="30"/>
        <v>$K$46</v>
      </c>
      <c r="X46" s="95" t="str">
        <f t="shared" si="31"/>
        <v>$L$46</v>
      </c>
      <c r="Y46" s="95" t="str">
        <f t="shared" si="32"/>
        <v>$M$46</v>
      </c>
      <c r="Z46" s="95" t="str">
        <f t="shared" si="33"/>
        <v>$N$46</v>
      </c>
      <c r="AA46" s="94">
        <f ca="1">VLOOKUP($P46,'Regresion Q1'!$E$6:$I$10,4,1)*$P46+VLOOKUP($P46,'Regresion Q1'!$E$6:$I$10,5,1)</f>
        <v>2984792.2047171905</v>
      </c>
      <c r="AB46" s="94">
        <f ca="1">VLOOKUP($P46,'Regresion Q1'!$J$6:$N$10,4,1)*$P46+VLOOKUP($P46,'Regresion Q1'!$J$6:$N$10,5,1)</f>
        <v>3050043.4674223708</v>
      </c>
      <c r="AC46" s="94">
        <f ca="1">VLOOKUP($P46,'Regresion Q1'!$O$6:$S$10,4,1)*$P46+VLOOKUP($P46,'Regresion Q1'!$O$6:$S$10,5,1)</f>
        <v>3226179.676295144</v>
      </c>
      <c r="AD46" s="94">
        <f ca="1">VLOOKUP($P46,'Regresion Md'!$E$6:$I$10,4,1)*$P46+VLOOKUP($P46,'Regresion Md'!$E$6:$I$10,5,1)</f>
        <v>3255935.4364</v>
      </c>
      <c r="AE46" s="94">
        <f ca="1">VLOOKUP($P46,'Regresion Md'!$J$6:$N$10,4,1)*$P46+VLOOKUP($P46,'Regresion Md'!$J$6:$N$10,5,1)</f>
        <v>3285860.1956996694</v>
      </c>
      <c r="AF46" s="94">
        <f ca="1">VLOOKUP($P46,'Regresion Md'!$O$6:$S$10,4,1)*$P46+VLOOKUP($P46,'Regresion Md'!$O$6:$S$10,5,1)</f>
        <v>3477654.3181609949</v>
      </c>
      <c r="AG46" s="94">
        <f ca="1">VLOOKUP($P46,'Regresion Q3'!$E$6:$I$10,4,1)*$P46+VLOOKUP($P46,'Regresion Q3'!$E$6:$I$10,5,1)</f>
        <v>4234380.5841971673</v>
      </c>
      <c r="AH46" s="94">
        <f ca="1">VLOOKUP($P46,'Regresion Q3'!$J$6:$N$10,4,1)*$P46+VLOOKUP($P46,'Regresion Q3'!$J$6:$N$10,5,1)</f>
        <v>4302929.5103996927</v>
      </c>
      <c r="AI46" s="94">
        <f ca="1">VLOOKUP($P46,'Regresion Q3'!$O$6:$S$10,4,1)*$P46+VLOOKUP($P46,'Regresion Q3'!$O$6:$S$10,5,1)</f>
        <v>4491582.1207213951</v>
      </c>
      <c r="AJ46" s="94">
        <f ca="1">VLOOKUP($P46,'Regresion Q1'!$T$6:$V$10,2,1)*$P46+VLOOKUP($P46,'Regresion Q1'!$T$6:$V$10,3,1)</f>
        <v>2901688.2359605911</v>
      </c>
      <c r="AK46" s="94">
        <f ca="1">VLOOKUP($P46,'Regresion Q1'!$W$6:$Y$10,2,1)*$P46+VLOOKUP($P46,'Regresion Q1'!$W$6:$Y$10,3,1)</f>
        <v>3001451.4325379943</v>
      </c>
      <c r="AL46" s="94">
        <f ca="1">VLOOKUP($P46,'Regresion Q1'!$Z$6:$AB$10,2,1)*$P46+VLOOKUP($P46,'Regresion Q1'!$Z$6:$AB$10,3,1)</f>
        <v>3121752.4633972095</v>
      </c>
      <c r="AM46" s="94">
        <f ca="1">VLOOKUP($P46,'Regresion Md'!$T$6:$V$10,2,1)*$P46+VLOOKUP($P46,'Regresion Md'!$T$6:$V$10,3,1)</f>
        <v>3225858.2599042933</v>
      </c>
      <c r="AN46" s="94">
        <f ca="1">VLOOKUP($P46,'Regresion Md'!$W$6:$Y$10,2,1)*$P46+VLOOKUP($P46,'Regresion Md'!$W$6:$Y$10,3,1)</f>
        <v>3270570.1347263325</v>
      </c>
      <c r="AO46" s="94">
        <f ca="1">VLOOKUP($P46,'Regresion Md'!$Z$6:$AB$10,2,1)*$P46+VLOOKUP($P46,'Regresion Md'!$Z$6:$AB$10,3,1)</f>
        <v>3473818.1910852734</v>
      </c>
      <c r="AP46" s="94">
        <f ca="1">VLOOKUP($P46,'Regresion Q3'!$T$6:$V$10,2,1)*$P46+VLOOKUP($P46,'Regresion Q3'!$T$6:$V$10,3,1)</f>
        <v>4737425.6068132007</v>
      </c>
      <c r="AQ46" s="94">
        <f ca="1">VLOOKUP($P46,'Regresion Q3'!$W$6:$Y$10,2,1)*$P46+VLOOKUP($P46,'Regresion Q3'!$W$6:$Y$10,3,1)</f>
        <v>4871557.4503651457</v>
      </c>
      <c r="AR46" s="94">
        <f ca="1">VLOOKUP($P46,'Regresion Q3'!$Z$6:$AB$10,2,1)*$P46+VLOOKUP($P46,'Regresion Q3'!$Z$6:$AB$10,3,1)</f>
        <v>5000312.7278031111</v>
      </c>
      <c r="AS46" s="94">
        <f>IF($BN46=$BN47,-1,DatosHoy[[#This Row],[G ajus PM Q1]]-BO47)</f>
        <v>-1</v>
      </c>
      <c r="AT46" s="94">
        <f>IF($BN46=$BN47,-1,DatosHoy[[#This Row],[G+V ajus PM Q1]]-BP47)</f>
        <v>-1</v>
      </c>
      <c r="AU46" s="94">
        <f>IF($BN46=$BN47,-1,DatosHoy[[#This Row],[CT ajus PM Q1]]-BQ47)</f>
        <v>-1</v>
      </c>
      <c r="AV46" s="94">
        <f ca="1">IF(DatosHoy[[#This Row],[G ajus PM Q1]]=DatosHoy[[#This Row],[G+V ajus PM Q1]],-1,DatosHoy[[#This Row],[G ajus PM Q1]]-DatosHoy[[#This Row],[G+V ajus PM Q1]])</f>
        <v>-101680.378090051</v>
      </c>
      <c r="AW46" s="94">
        <f ca="1">IF(DatosHoy[[#This Row],[G+V ajus PM Q1]]=DatosHoy[[#This Row],[CT ajus PM Q1]],-1,DatosHoy[[#This Row],[G+V ajus PM Q1]]-DatosHoy[[#This Row],[CT ajus PM Q1]])</f>
        <v>-128488.92517813062</v>
      </c>
      <c r="AX46" s="94">
        <f>IF($BN46=$BN47,-1,DatosHoy[[#This Row],[G ajus PMd]]-BR47)</f>
        <v>-1</v>
      </c>
      <c r="AY46" s="94">
        <f>IF($BN46=$BN47,-1,DatosHoy[[#This Row],[G+V ajus PM Md]]-BS47)</f>
        <v>-1</v>
      </c>
      <c r="AZ46" s="94">
        <f>IF($BN46=$BN47,-1,DatosHoy[[#This Row],[CT ajus PM Md]]-BT47)</f>
        <v>-1</v>
      </c>
      <c r="BA46" s="94">
        <f ca="1">IF(DatosHoy[[#This Row],[G ajus PMd]]=DatosHoy[[#This Row],[G+V ajus PM Md]],-1,DatosHoy[[#This Row],[G ajus PMd]]-DatosHoy[[#This Row],[G+V ajus PM Md]])</f>
        <v>-79026.399522230029</v>
      </c>
      <c r="BB46" s="94">
        <f ca="1">IF(DatosHoy[[#This Row],[G+V ajus PM Md]]=DatosHoy[[#This Row],[CT ajus PM Md]],-1,DatosHoy[[#This Row],[G+V ajus PM Md]]-DatosHoy[[#This Row],[CT ajus PM Md]])</f>
        <v>-215775.76833814103</v>
      </c>
      <c r="BC46" s="94">
        <f>IF($BN46=$BN47,-1,DatosHoy[[#This Row],[G ajus PM Q3]]-BU47)</f>
        <v>-1</v>
      </c>
      <c r="BD46" s="94">
        <f>IF($BN46=$BN47,-1,DatosHoy[[#This Row],[G+V ajus PM Q3]]-BV47)</f>
        <v>-1</v>
      </c>
      <c r="BE46" s="94">
        <f>IF($BN46=$BN47,-1,DatosHoy[[#This Row],[CT ajus PM Q3]]-BW47)</f>
        <v>-1</v>
      </c>
      <c r="BF46" s="94">
        <f ca="1">IF(DatosHoy[[#This Row],[G ajus PM Q3]]=DatosHoy[[#This Row],[G+V ajus PM Q3]],-1,DatosHoy[[#This Row],[G ajus PM Q3]]-DatosHoy[[#This Row],[G+V ajus PM Q3]])</f>
        <v>-141957.38259856775</v>
      </c>
      <c r="BG46" s="94">
        <f ca="1">IF(DatosHoy[[#This Row],[G+V ajus PM Q3]]=DatosHoy[[#This Row],[CT ajus PM Q3]],-1,DatosHoy[[#This Row],[G+V ajus PM Q3]]-DatosHoy[[#This Row],[CT ajus PM Q3]])</f>
        <v>-135155.96678343322</v>
      </c>
      <c r="BH46" s="94">
        <f ca="1">IF(DatosHoy[[#This Row],[G ajus PM Q1]]=DatosHoy[[#This Row],[G ajus PMd]],-1,DatosHoy[[#This Row],[G ajus PM Q1]]-DatosHoy[[#This Row],[G ajus PMd]])</f>
        <v>-556984.6632774421</v>
      </c>
      <c r="BI46" s="94">
        <f ca="1">IF(DatosHoy[[#This Row],[G+V ajus PM Q1]]=DatosHoy[[#This Row],[G+V ajus PM Md]],-1,DatosHoy[[#This Row],[G+V ajus PM Q1]]-DatosHoy[[#This Row],[G+V ajus PM Md]])</f>
        <v>-534330.68470962113</v>
      </c>
      <c r="BJ46" s="94">
        <f ca="1">IF(DatosHoy[[#This Row],[CT ajus PM Q1]]=DatosHoy[[#This Row],[CT ajus PM Md]],-1,DatosHoy[[#This Row],[CT ajus PM Q1]]-DatosHoy[[#This Row],[CT ajus PM Md]])</f>
        <v>-621617.52786963154</v>
      </c>
      <c r="BK46" s="94">
        <f ca="1">IF(DatosHoy[[#This Row],[G ajus PMd]]=DatosHoy[[#This Row],[G ajus PM Q3]],-1,DatosHoy[[#This Row],[G ajus PMd]]-DatosHoy[[#This Row],[G ajus PM Q3]])</f>
        <v>-1430977.9926799387</v>
      </c>
      <c r="BL46" s="94">
        <f ca="1">IF(DatosHoy[[#This Row],[G+V ajus PM Md]]=DatosHoy[[#This Row],[G+V ajus PM Q3]],-1,DatosHoy[[#This Row],[G+V ajus PM Md]]-DatosHoy[[#This Row],[G+V ajus PM Q3]])</f>
        <v>-1493908.9757562764</v>
      </c>
      <c r="BM46" s="94">
        <f ca="1">IF(DatosHoy[[#This Row],[CT ajus PM Md]]=DatosHoy[[#This Row],[CT ajus PM Q3]],-1,DatosHoy[[#This Row],[CT ajus PM Md]]-DatosHoy[[#This Row],[CT ajus PM Q3]])</f>
        <v>-1413289.1742015686</v>
      </c>
      <c r="BN46" s="74">
        <v>249</v>
      </c>
      <c r="BO46" s="94">
        <f ca="1">IFERROR(VLOOKUP($BN46,'Regresion Q1'!$T$6:$V$10,2,1)*$BN46+VLOOKUP($BN46,'Regresion Q1'!$T$6:$V$10,3,1),VLOOKUP(MIN(DatosHoy[Puntos]),'Regresion Q1'!$T$6:$V$10,2,1)*$BN46+VLOOKUP(MIN(DatosHoy[Puntos]),'Regresion Q1'!$T$6:$V$10,3,1))</f>
        <v>3081749.760508724</v>
      </c>
      <c r="BP46" s="94">
        <f ca="1">IFERROR(VLOOKUP($BN46,'Regresion Q1'!$W$6:$Y$10,2,1)*$BN46+VLOOKUP($BN46,'Regresion Q1'!$W$6:$Y$10,3,1),VLOOKUP(MIN(DatosHoy[Puntos]),'Regresion Q1'!$W$6:$Y$10,2,1)*$BN46+VLOOKUP(MIN(DatosHoy[Puntos]),'Regresion Q1'!$W$6:$Y$10,3,1))</f>
        <v>3183430.138598775</v>
      </c>
      <c r="BQ46" s="94">
        <f ca="1">IFERROR(VLOOKUP($BN46,'Regresion Q1'!$Z$6:$AB$10,2,1)*$BN46+VLOOKUP($BN46,'Regresion Q1'!$Z$6:$AB$10,3,1),VLOOKUP(MIN(DatosHoy[Puntos]),'Regresion Q1'!$Z$6:$AB$10,2,1)*$BN46+VLOOKUP(MIN(DatosHoy[Puntos]),'Regresion Q1'!$Z$6:$AB$10,3,1))</f>
        <v>3311919.0637769056</v>
      </c>
      <c r="BR46" s="94">
        <f ca="1">IFERROR(VLOOKUP($BN46,'Regresion Md'!$T$6:$V$10,2,1)*$BN46+VLOOKUP($BN46,'Regresion Md'!$T$6:$V$10,3,1),VLOOKUP(MIN(DatosHoy[Puntos]),'Regresion Md'!$T$6:$V$10,2,1)*$BN46+VLOOKUP(MIN(DatosHoy[Puntos]),'Regresion Md'!$T$6:$V$10,3,1))</f>
        <v>3638734.4237861661</v>
      </c>
      <c r="BS46" s="94">
        <f ca="1">IFERROR(VLOOKUP($BN46,'Regresion Md'!$W$6:$Y$10,2,1)*$BN46+VLOOKUP($BN46,'Regresion Md'!$W$6:$Y$10,3,1),VLOOKUP(MIN(DatosHoy[Puntos]),'Regresion Md'!$W$6:$Y$10,2,1)*$BN46+VLOOKUP(MIN(DatosHoy[Puntos]),'Regresion Md'!$W$6:$Y$10,3,1))</f>
        <v>3717760.8233083962</v>
      </c>
      <c r="BT46" s="94">
        <f ca="1">IFERROR(VLOOKUP($BN46,'Regresion Md'!$Z$6:$AB$10,2,1)*$BN46+VLOOKUP($BN46,'Regresion Md'!$Z$6:$AB$10,3,1),VLOOKUP(MIN(DatosHoy[Puntos]),'Regresion Md'!$Z$6:$AB$10,2,1)*$BN46+VLOOKUP(MIN(DatosHoy[Puntos]),'Regresion Md'!$Z$6:$AB$10,3,1))</f>
        <v>3933536.5916465372</v>
      </c>
      <c r="BU46" s="94">
        <f ca="1">IFERROR(VLOOKUP($BN46,'Regresion Q3'!$T$6:$V$10,2,1)*$BN46+VLOOKUP($BN46,'Regresion Q3'!$T$6:$V$10,3,1),VLOOKUP(MIN(DatosHoy[Puntos]),'Regresion Q3'!$T$6:$V$10,2,1)*$BN46+VLOOKUP(MIN(DatosHoy[Puntos]),'Regresion Q3'!$T$6:$V$10,3,1))</f>
        <v>5069712.4164661048</v>
      </c>
      <c r="BV46" s="94">
        <f ca="1">IFERROR(VLOOKUP($BN46,'Regresion Q3'!$W$6:$Y$10,2,1)*$BN46+VLOOKUP($BN46,'Regresion Q3'!$W$6:$Y$10,3,1),VLOOKUP(MIN(DatosHoy[Puntos]),'Regresion Q3'!$W$6:$Y$10,2,1)*$BN46+VLOOKUP(MIN(DatosHoy[Puntos]),'Regresion Q3'!$W$6:$Y$10,3,1))</f>
        <v>5211669.7990646726</v>
      </c>
      <c r="BW46" s="94">
        <f ca="1">IFERROR(VLOOKUP($BN46,'Regresion Q3'!$Z$6:$AB$10,2,1)*$BN46+VLOOKUP($BN46,'Regresion Q3'!$Z$6:$AB$10,3,1),VLOOKUP(MIN(DatosHoy[Puntos]),'Regresion Q3'!$Z$6:$AB$10,2,1)*$BN46+VLOOKUP(MIN(DatosHoy[Puntos]),'Regresion Q3'!$Z$6:$AB$10,3,1))</f>
        <v>5346825.7658481058</v>
      </c>
      <c r="BX46" s="96">
        <f ca="1">DatosHoy[[#This Row],[CT Actual]]/DatosHoy[[#This Row],[CT ajus PM Md]]</f>
        <v>0.9572413812029309</v>
      </c>
      <c r="BY46" s="125" t="str">
        <f>VLOOKUP(DatosHoy[[#This Row],[Cargo Valorado]],Estadísticos[[Cargo]:[Nivel]],2,FALSE)</f>
        <v>Soporte</v>
      </c>
      <c r="BZ46" s="96">
        <f>(DatosHoy[[#This Row],[G+V Actual]]-DatosHoy[[#This Row],[G Actual]])/DatosHoy[[#This Row],[CT Actual]]</f>
        <v>0</v>
      </c>
      <c r="CA46" s="96">
        <f>(DatosHoy[[#This Row],[CT Actual]]-DatosHoy[[#This Row],[G+V Actual]])/DatosHoy[[#This Row],[CT Actual]]</f>
        <v>0</v>
      </c>
      <c r="CB46" s="139" t="s">
        <v>255</v>
      </c>
    </row>
    <row r="47" spans="2:80" x14ac:dyDescent="0.25">
      <c r="B47" s="73">
        <f t="shared" si="34"/>
        <v>42</v>
      </c>
      <c r="C47" s="74">
        <v>3765344.0000000005</v>
      </c>
      <c r="D47" s="74">
        <v>3765344.0000000005</v>
      </c>
      <c r="E47" s="74">
        <v>3765344.0000000005</v>
      </c>
      <c r="F47" s="94">
        <f>VLOOKUP(DatosHoy[[#This Row],[Cargo Valorado]],Estadísticos[],3,0)</f>
        <v>3391274.6087575429</v>
      </c>
      <c r="G47" s="94">
        <f>VLOOKUP(DatosHoy[[#This Row],[Cargo Valorado]],Estadísticos[],4,0)</f>
        <v>3391274.6087575429</v>
      </c>
      <c r="H47" s="94">
        <f>VLOOKUP(DatosHoy[[#This Row],[Cargo Valorado]],Estadísticos[],5,0)</f>
        <v>3503334.5254242094</v>
      </c>
      <c r="I47" s="94">
        <f>VLOOKUP(DatosHoy[[#This Row],[Cargo Valorado]],Estadísticos[],6,0)</f>
        <v>3590013.7245299509</v>
      </c>
      <c r="J47" s="94">
        <f>VLOOKUP(DatosHoy[[#This Row],[Cargo Valorado]],Estadísticos[],7,0)</f>
        <v>3590013.7245299509</v>
      </c>
      <c r="K47" s="94">
        <f>VLOOKUP(DatosHoy[[#This Row],[Cargo Valorado]],Estadísticos[],8,0)</f>
        <v>3590013.7245299509</v>
      </c>
      <c r="L47" s="94">
        <f>VLOOKUP(DatosHoy[[#This Row],[Cargo Valorado]],Estadísticos[],9,0)</f>
        <v>4036608.4526601988</v>
      </c>
      <c r="M47" s="94">
        <f>VLOOKUP(DatosHoy[[#This Row],[Cargo Valorado]],Estadísticos[],10,0)</f>
        <v>4036608.4526601988</v>
      </c>
      <c r="N47" s="94">
        <f>VLOOKUP(DatosHoy[[#This Row],[Cargo Valorado]],Estadísticos[],11,0)</f>
        <v>4079456.4126601988</v>
      </c>
      <c r="O47" s="75" t="s">
        <v>190</v>
      </c>
      <c r="P47" s="75">
        <v>231</v>
      </c>
      <c r="Q47" s="95" t="str">
        <f t="shared" si="24"/>
        <v>$P$47</v>
      </c>
      <c r="R47" s="95" t="str">
        <f t="shared" si="25"/>
        <v>$F$47</v>
      </c>
      <c r="S47" s="95" t="str">
        <f t="shared" si="26"/>
        <v>$G$47</v>
      </c>
      <c r="T47" s="95" t="str">
        <f t="shared" si="27"/>
        <v>$H$47</v>
      </c>
      <c r="U47" s="95" t="str">
        <f t="shared" si="28"/>
        <v>$I$47</v>
      </c>
      <c r="V47" s="95" t="str">
        <f t="shared" si="29"/>
        <v>$J$47</v>
      </c>
      <c r="W47" s="95" t="str">
        <f t="shared" si="30"/>
        <v>$K$47</v>
      </c>
      <c r="X47" s="95" t="str">
        <f t="shared" si="31"/>
        <v>$L$47</v>
      </c>
      <c r="Y47" s="95" t="str">
        <f t="shared" si="32"/>
        <v>$M$47</v>
      </c>
      <c r="Z47" s="95" t="str">
        <f t="shared" si="33"/>
        <v>$N$47</v>
      </c>
      <c r="AA47" s="94">
        <f ca="1">VLOOKUP($P47,'Regresion Q1'!$E$6:$I$10,4,1)*$P47+VLOOKUP($P47,'Regresion Q1'!$E$6:$I$10,5,1)</f>
        <v>2984792.2047171905</v>
      </c>
      <c r="AB47" s="94">
        <f ca="1">VLOOKUP($P47,'Regresion Q1'!$J$6:$N$10,4,1)*$P47+VLOOKUP($P47,'Regresion Q1'!$J$6:$N$10,5,1)</f>
        <v>3050043.4674223708</v>
      </c>
      <c r="AC47" s="94">
        <f ca="1">VLOOKUP($P47,'Regresion Q1'!$O$6:$S$10,4,1)*$P47+VLOOKUP($P47,'Regresion Q1'!$O$6:$S$10,5,1)</f>
        <v>3226179.676295144</v>
      </c>
      <c r="AD47" s="94">
        <f ca="1">VLOOKUP($P47,'Regresion Md'!$E$6:$I$10,4,1)*$P47+VLOOKUP($P47,'Regresion Md'!$E$6:$I$10,5,1)</f>
        <v>3255935.4364</v>
      </c>
      <c r="AE47" s="94">
        <f ca="1">VLOOKUP($P47,'Regresion Md'!$J$6:$N$10,4,1)*$P47+VLOOKUP($P47,'Regresion Md'!$J$6:$N$10,5,1)</f>
        <v>3285860.1956996694</v>
      </c>
      <c r="AF47" s="94">
        <f ca="1">VLOOKUP($P47,'Regresion Md'!$O$6:$S$10,4,1)*$P47+VLOOKUP($P47,'Regresion Md'!$O$6:$S$10,5,1)</f>
        <v>3477654.3181609949</v>
      </c>
      <c r="AG47" s="94">
        <f ca="1">VLOOKUP($P47,'Regresion Q3'!$E$6:$I$10,4,1)*$P47+VLOOKUP($P47,'Regresion Q3'!$E$6:$I$10,5,1)</f>
        <v>4234380.5841971673</v>
      </c>
      <c r="AH47" s="94">
        <f ca="1">VLOOKUP($P47,'Regresion Q3'!$J$6:$N$10,4,1)*$P47+VLOOKUP($P47,'Regresion Q3'!$J$6:$N$10,5,1)</f>
        <v>4302929.5103996927</v>
      </c>
      <c r="AI47" s="94">
        <f ca="1">VLOOKUP($P47,'Regresion Q3'!$O$6:$S$10,4,1)*$P47+VLOOKUP($P47,'Regresion Q3'!$O$6:$S$10,5,1)</f>
        <v>4491582.1207213951</v>
      </c>
      <c r="AJ47" s="94">
        <f ca="1">VLOOKUP($P47,'Regresion Q1'!$T$6:$V$10,2,1)*$P47+VLOOKUP($P47,'Regresion Q1'!$T$6:$V$10,3,1)</f>
        <v>2901688.2359605911</v>
      </c>
      <c r="AK47" s="94">
        <f ca="1">VLOOKUP($P47,'Regresion Q1'!$W$6:$Y$10,2,1)*$P47+VLOOKUP($P47,'Regresion Q1'!$W$6:$Y$10,3,1)</f>
        <v>3001451.4325379943</v>
      </c>
      <c r="AL47" s="94">
        <f ca="1">VLOOKUP($P47,'Regresion Q1'!$Z$6:$AB$10,2,1)*$P47+VLOOKUP($P47,'Regresion Q1'!$Z$6:$AB$10,3,1)</f>
        <v>3121752.4633972095</v>
      </c>
      <c r="AM47" s="94">
        <f ca="1">VLOOKUP($P47,'Regresion Md'!$T$6:$V$10,2,1)*$P47+VLOOKUP($P47,'Regresion Md'!$T$6:$V$10,3,1)</f>
        <v>3225858.2599042933</v>
      </c>
      <c r="AN47" s="94">
        <f ca="1">VLOOKUP($P47,'Regresion Md'!$W$6:$Y$10,2,1)*$P47+VLOOKUP($P47,'Regresion Md'!$W$6:$Y$10,3,1)</f>
        <v>3270570.1347263325</v>
      </c>
      <c r="AO47" s="94">
        <f ca="1">VLOOKUP($P47,'Regresion Md'!$Z$6:$AB$10,2,1)*$P47+VLOOKUP($P47,'Regresion Md'!$Z$6:$AB$10,3,1)</f>
        <v>3473818.1910852734</v>
      </c>
      <c r="AP47" s="94">
        <f ca="1">VLOOKUP($P47,'Regresion Q3'!$T$6:$V$10,2,1)*$P47+VLOOKUP($P47,'Regresion Q3'!$T$6:$V$10,3,1)</f>
        <v>4737425.6068132007</v>
      </c>
      <c r="AQ47" s="94">
        <f ca="1">VLOOKUP($P47,'Regresion Q3'!$W$6:$Y$10,2,1)*$P47+VLOOKUP($P47,'Regresion Q3'!$W$6:$Y$10,3,1)</f>
        <v>4871557.4503651457</v>
      </c>
      <c r="AR47" s="94">
        <f ca="1">VLOOKUP($P47,'Regresion Q3'!$Z$6:$AB$10,2,1)*$P47+VLOOKUP($P47,'Regresion Q3'!$Z$6:$AB$10,3,1)</f>
        <v>5000312.7278031111</v>
      </c>
      <c r="AS47" s="94">
        <f>IF($BN47=$BN48,-1,DatosHoy[[#This Row],[G ajus PM Q1]]-BO48)</f>
        <v>-1</v>
      </c>
      <c r="AT47" s="94">
        <f>IF($BN47=$BN48,-1,DatosHoy[[#This Row],[G+V ajus PM Q1]]-BP48)</f>
        <v>-1</v>
      </c>
      <c r="AU47" s="94">
        <f>IF($BN47=$BN48,-1,DatosHoy[[#This Row],[CT ajus PM Q1]]-BQ48)</f>
        <v>-1</v>
      </c>
      <c r="AV47" s="94">
        <f ca="1">IF(DatosHoy[[#This Row],[G ajus PM Q1]]=DatosHoy[[#This Row],[G+V ajus PM Q1]],-1,DatosHoy[[#This Row],[G ajus PM Q1]]-DatosHoy[[#This Row],[G+V ajus PM Q1]])</f>
        <v>-101680.378090051</v>
      </c>
      <c r="AW47" s="94">
        <f ca="1">IF(DatosHoy[[#This Row],[G+V ajus PM Q1]]=DatosHoy[[#This Row],[CT ajus PM Q1]],-1,DatosHoy[[#This Row],[G+V ajus PM Q1]]-DatosHoy[[#This Row],[CT ajus PM Q1]])</f>
        <v>-128488.92517813062</v>
      </c>
      <c r="AX47" s="94">
        <f>IF($BN47=$BN48,-1,DatosHoy[[#This Row],[G ajus PMd]]-BR48)</f>
        <v>-1</v>
      </c>
      <c r="AY47" s="94">
        <f>IF($BN47=$BN48,-1,DatosHoy[[#This Row],[G+V ajus PM Md]]-BS48)</f>
        <v>-1</v>
      </c>
      <c r="AZ47" s="94">
        <f>IF($BN47=$BN48,-1,DatosHoy[[#This Row],[CT ajus PM Md]]-BT48)</f>
        <v>-1</v>
      </c>
      <c r="BA47" s="94">
        <f ca="1">IF(DatosHoy[[#This Row],[G ajus PMd]]=DatosHoy[[#This Row],[G+V ajus PM Md]],-1,DatosHoy[[#This Row],[G ajus PMd]]-DatosHoy[[#This Row],[G+V ajus PM Md]])</f>
        <v>-79026.399522230029</v>
      </c>
      <c r="BB47" s="94">
        <f ca="1">IF(DatosHoy[[#This Row],[G+V ajus PM Md]]=DatosHoy[[#This Row],[CT ajus PM Md]],-1,DatosHoy[[#This Row],[G+V ajus PM Md]]-DatosHoy[[#This Row],[CT ajus PM Md]])</f>
        <v>-215775.76833814103</v>
      </c>
      <c r="BC47" s="94">
        <f>IF($BN47=$BN48,-1,DatosHoy[[#This Row],[G ajus PM Q3]]-BU48)</f>
        <v>-1</v>
      </c>
      <c r="BD47" s="94">
        <f>IF($BN47=$BN48,-1,DatosHoy[[#This Row],[G+V ajus PM Q3]]-BV48)</f>
        <v>-1</v>
      </c>
      <c r="BE47" s="94">
        <f>IF($BN47=$BN48,-1,DatosHoy[[#This Row],[CT ajus PM Q3]]-BW48)</f>
        <v>-1</v>
      </c>
      <c r="BF47" s="94">
        <f ca="1">IF(DatosHoy[[#This Row],[G ajus PM Q3]]=DatosHoy[[#This Row],[G+V ajus PM Q3]],-1,DatosHoy[[#This Row],[G ajus PM Q3]]-DatosHoy[[#This Row],[G+V ajus PM Q3]])</f>
        <v>-141957.38259856775</v>
      </c>
      <c r="BG47" s="94">
        <f ca="1">IF(DatosHoy[[#This Row],[G+V ajus PM Q3]]=DatosHoy[[#This Row],[CT ajus PM Q3]],-1,DatosHoy[[#This Row],[G+V ajus PM Q3]]-DatosHoy[[#This Row],[CT ajus PM Q3]])</f>
        <v>-135155.96678343322</v>
      </c>
      <c r="BH47" s="94">
        <f ca="1">IF(DatosHoy[[#This Row],[G ajus PM Q1]]=DatosHoy[[#This Row],[G ajus PMd]],-1,DatosHoy[[#This Row],[G ajus PM Q1]]-DatosHoy[[#This Row],[G ajus PMd]])</f>
        <v>-556984.6632774421</v>
      </c>
      <c r="BI47" s="94">
        <f ca="1">IF(DatosHoy[[#This Row],[G+V ajus PM Q1]]=DatosHoy[[#This Row],[G+V ajus PM Md]],-1,DatosHoy[[#This Row],[G+V ajus PM Q1]]-DatosHoy[[#This Row],[G+V ajus PM Md]])</f>
        <v>-534330.68470962113</v>
      </c>
      <c r="BJ47" s="94">
        <f ca="1">IF(DatosHoy[[#This Row],[CT ajus PM Q1]]=DatosHoy[[#This Row],[CT ajus PM Md]],-1,DatosHoy[[#This Row],[CT ajus PM Q1]]-DatosHoy[[#This Row],[CT ajus PM Md]])</f>
        <v>-621617.52786963154</v>
      </c>
      <c r="BK47" s="94">
        <f ca="1">IF(DatosHoy[[#This Row],[G ajus PMd]]=DatosHoy[[#This Row],[G ajus PM Q3]],-1,DatosHoy[[#This Row],[G ajus PMd]]-DatosHoy[[#This Row],[G ajus PM Q3]])</f>
        <v>-1430977.9926799387</v>
      </c>
      <c r="BL47" s="94">
        <f ca="1">IF(DatosHoy[[#This Row],[G+V ajus PM Md]]=DatosHoy[[#This Row],[G+V ajus PM Q3]],-1,DatosHoy[[#This Row],[G+V ajus PM Md]]-DatosHoy[[#This Row],[G+V ajus PM Q3]])</f>
        <v>-1493908.9757562764</v>
      </c>
      <c r="BM47" s="94">
        <f ca="1">IF(DatosHoy[[#This Row],[CT ajus PM Md]]=DatosHoy[[#This Row],[CT ajus PM Q3]],-1,DatosHoy[[#This Row],[CT ajus PM Md]]-DatosHoy[[#This Row],[CT ajus PM Q3]])</f>
        <v>-1413289.1742015686</v>
      </c>
      <c r="BN47" s="74">
        <v>249</v>
      </c>
      <c r="BO47" s="94">
        <f ca="1">IFERROR(VLOOKUP($BN47,'Regresion Q1'!$T$6:$V$10,2,1)*$BN47+VLOOKUP($BN47,'Regresion Q1'!$T$6:$V$10,3,1),VLOOKUP(MIN(DatosHoy[Puntos]),'Regresion Q1'!$T$6:$V$10,2,1)*$BN47+VLOOKUP(MIN(DatosHoy[Puntos]),'Regresion Q1'!$T$6:$V$10,3,1))</f>
        <v>3081749.760508724</v>
      </c>
      <c r="BP47" s="94">
        <f ca="1">IFERROR(VLOOKUP($BN47,'Regresion Q1'!$W$6:$Y$10,2,1)*$BN47+VLOOKUP($BN47,'Regresion Q1'!$W$6:$Y$10,3,1),VLOOKUP(MIN(DatosHoy[Puntos]),'Regresion Q1'!$W$6:$Y$10,2,1)*$BN47+VLOOKUP(MIN(DatosHoy[Puntos]),'Regresion Q1'!$W$6:$Y$10,3,1))</f>
        <v>3183430.138598775</v>
      </c>
      <c r="BQ47" s="94">
        <f ca="1">IFERROR(VLOOKUP($BN47,'Regresion Q1'!$Z$6:$AB$10,2,1)*$BN47+VLOOKUP($BN47,'Regresion Q1'!$Z$6:$AB$10,3,1),VLOOKUP(MIN(DatosHoy[Puntos]),'Regresion Q1'!$Z$6:$AB$10,2,1)*$BN47+VLOOKUP(MIN(DatosHoy[Puntos]),'Regresion Q1'!$Z$6:$AB$10,3,1))</f>
        <v>3311919.0637769056</v>
      </c>
      <c r="BR47" s="94">
        <f ca="1">IFERROR(VLOOKUP($BN47,'Regresion Md'!$T$6:$V$10,2,1)*$BN47+VLOOKUP($BN47,'Regresion Md'!$T$6:$V$10,3,1),VLOOKUP(MIN(DatosHoy[Puntos]),'Regresion Md'!$T$6:$V$10,2,1)*$BN47+VLOOKUP(MIN(DatosHoy[Puntos]),'Regresion Md'!$T$6:$V$10,3,1))</f>
        <v>3638734.4237861661</v>
      </c>
      <c r="BS47" s="94">
        <f ca="1">IFERROR(VLOOKUP($BN47,'Regresion Md'!$W$6:$Y$10,2,1)*$BN47+VLOOKUP($BN47,'Regresion Md'!$W$6:$Y$10,3,1),VLOOKUP(MIN(DatosHoy[Puntos]),'Regresion Md'!$W$6:$Y$10,2,1)*$BN47+VLOOKUP(MIN(DatosHoy[Puntos]),'Regresion Md'!$W$6:$Y$10,3,1))</f>
        <v>3717760.8233083962</v>
      </c>
      <c r="BT47" s="94">
        <f ca="1">IFERROR(VLOOKUP($BN47,'Regresion Md'!$Z$6:$AB$10,2,1)*$BN47+VLOOKUP($BN47,'Regresion Md'!$Z$6:$AB$10,3,1),VLOOKUP(MIN(DatosHoy[Puntos]),'Regresion Md'!$Z$6:$AB$10,2,1)*$BN47+VLOOKUP(MIN(DatosHoy[Puntos]),'Regresion Md'!$Z$6:$AB$10,3,1))</f>
        <v>3933536.5916465372</v>
      </c>
      <c r="BU47" s="94">
        <f ca="1">IFERROR(VLOOKUP($BN47,'Regresion Q3'!$T$6:$V$10,2,1)*$BN47+VLOOKUP($BN47,'Regresion Q3'!$T$6:$V$10,3,1),VLOOKUP(MIN(DatosHoy[Puntos]),'Regresion Q3'!$T$6:$V$10,2,1)*$BN47+VLOOKUP(MIN(DatosHoy[Puntos]),'Regresion Q3'!$T$6:$V$10,3,1))</f>
        <v>5069712.4164661048</v>
      </c>
      <c r="BV47" s="94">
        <f ca="1">IFERROR(VLOOKUP($BN47,'Regresion Q3'!$W$6:$Y$10,2,1)*$BN47+VLOOKUP($BN47,'Regresion Q3'!$W$6:$Y$10,3,1),VLOOKUP(MIN(DatosHoy[Puntos]),'Regresion Q3'!$W$6:$Y$10,2,1)*$BN47+VLOOKUP(MIN(DatosHoy[Puntos]),'Regresion Q3'!$W$6:$Y$10,3,1))</f>
        <v>5211669.7990646726</v>
      </c>
      <c r="BW47" s="94">
        <f ca="1">IFERROR(VLOOKUP($BN47,'Regresion Q3'!$Z$6:$AB$10,2,1)*$BN47+VLOOKUP($BN47,'Regresion Q3'!$Z$6:$AB$10,3,1),VLOOKUP(MIN(DatosHoy[Puntos]),'Regresion Q3'!$Z$6:$AB$10,2,1)*$BN47+VLOOKUP(MIN(DatosHoy[Puntos]),'Regresion Q3'!$Z$6:$AB$10,3,1))</f>
        <v>5346825.7658481058</v>
      </c>
      <c r="BX47" s="96">
        <f ca="1">DatosHoy[[#This Row],[CT Actual]]/DatosHoy[[#This Row],[CT ajus PM Md]]</f>
        <v>0.9572413812029309</v>
      </c>
      <c r="BY47" s="125" t="str">
        <f>VLOOKUP(DatosHoy[[#This Row],[Cargo Valorado]],Estadísticos[[Cargo]:[Nivel]],2,FALSE)</f>
        <v>Soporte</v>
      </c>
      <c r="BZ47" s="96">
        <f>(DatosHoy[[#This Row],[G+V Actual]]-DatosHoy[[#This Row],[G Actual]])/DatosHoy[[#This Row],[CT Actual]]</f>
        <v>0</v>
      </c>
      <c r="CA47" s="96">
        <f>(DatosHoy[[#This Row],[CT Actual]]-DatosHoy[[#This Row],[G+V Actual]])/DatosHoy[[#This Row],[CT Actual]]</f>
        <v>0</v>
      </c>
      <c r="CB47" s="139" t="s">
        <v>255</v>
      </c>
    </row>
    <row r="48" spans="2:80" x14ac:dyDescent="0.25">
      <c r="B48" s="73">
        <f t="shared" si="34"/>
        <v>43</v>
      </c>
      <c r="C48" s="74">
        <v>3765344.0000000005</v>
      </c>
      <c r="D48" s="74">
        <v>3765344.0000000005</v>
      </c>
      <c r="E48" s="74">
        <v>3765344.0000000005</v>
      </c>
      <c r="F48" s="94">
        <f>VLOOKUP(DatosHoy[[#This Row],[Cargo Valorado]],Estadísticos[],3,0)</f>
        <v>3391274.6087575429</v>
      </c>
      <c r="G48" s="94">
        <f>VLOOKUP(DatosHoy[[#This Row],[Cargo Valorado]],Estadísticos[],4,0)</f>
        <v>3391274.6087575429</v>
      </c>
      <c r="H48" s="94">
        <f>VLOOKUP(DatosHoy[[#This Row],[Cargo Valorado]],Estadísticos[],5,0)</f>
        <v>3503334.5254242094</v>
      </c>
      <c r="I48" s="94">
        <f>VLOOKUP(DatosHoy[[#This Row],[Cargo Valorado]],Estadísticos[],6,0)</f>
        <v>3590013.7245299509</v>
      </c>
      <c r="J48" s="94">
        <f>VLOOKUP(DatosHoy[[#This Row],[Cargo Valorado]],Estadísticos[],7,0)</f>
        <v>3590013.7245299509</v>
      </c>
      <c r="K48" s="94">
        <f>VLOOKUP(DatosHoy[[#This Row],[Cargo Valorado]],Estadísticos[],8,0)</f>
        <v>3590013.7245299509</v>
      </c>
      <c r="L48" s="94">
        <f>VLOOKUP(DatosHoy[[#This Row],[Cargo Valorado]],Estadísticos[],9,0)</f>
        <v>4036608.4526601988</v>
      </c>
      <c r="M48" s="94">
        <f>VLOOKUP(DatosHoy[[#This Row],[Cargo Valorado]],Estadísticos[],10,0)</f>
        <v>4036608.4526601988</v>
      </c>
      <c r="N48" s="94">
        <f>VLOOKUP(DatosHoy[[#This Row],[Cargo Valorado]],Estadísticos[],11,0)</f>
        <v>4079456.4126601988</v>
      </c>
      <c r="O48" s="75" t="s">
        <v>190</v>
      </c>
      <c r="P48" s="75">
        <v>231</v>
      </c>
      <c r="Q48" s="95" t="str">
        <f t="shared" si="24"/>
        <v>$P$48</v>
      </c>
      <c r="R48" s="95" t="str">
        <f t="shared" si="25"/>
        <v>$F$48</v>
      </c>
      <c r="S48" s="95" t="str">
        <f t="shared" si="26"/>
        <v>$G$48</v>
      </c>
      <c r="T48" s="95" t="str">
        <f t="shared" si="27"/>
        <v>$H$48</v>
      </c>
      <c r="U48" s="95" t="str">
        <f t="shared" si="28"/>
        <v>$I$48</v>
      </c>
      <c r="V48" s="95" t="str">
        <f t="shared" si="29"/>
        <v>$J$48</v>
      </c>
      <c r="W48" s="95" t="str">
        <f t="shared" si="30"/>
        <v>$K$48</v>
      </c>
      <c r="X48" s="95" t="str">
        <f t="shared" si="31"/>
        <v>$L$48</v>
      </c>
      <c r="Y48" s="95" t="str">
        <f t="shared" si="32"/>
        <v>$M$48</v>
      </c>
      <c r="Z48" s="95" t="str">
        <f t="shared" si="33"/>
        <v>$N$48</v>
      </c>
      <c r="AA48" s="94">
        <f ca="1">VLOOKUP($P48,'Regresion Q1'!$E$6:$I$10,4,1)*$P48+VLOOKUP($P48,'Regresion Q1'!$E$6:$I$10,5,1)</f>
        <v>2984792.2047171905</v>
      </c>
      <c r="AB48" s="94">
        <f ca="1">VLOOKUP($P48,'Regresion Q1'!$J$6:$N$10,4,1)*$P48+VLOOKUP($P48,'Regresion Q1'!$J$6:$N$10,5,1)</f>
        <v>3050043.4674223708</v>
      </c>
      <c r="AC48" s="94">
        <f ca="1">VLOOKUP($P48,'Regresion Q1'!$O$6:$S$10,4,1)*$P48+VLOOKUP($P48,'Regresion Q1'!$O$6:$S$10,5,1)</f>
        <v>3226179.676295144</v>
      </c>
      <c r="AD48" s="94">
        <f ca="1">VLOOKUP($P48,'Regresion Md'!$E$6:$I$10,4,1)*$P48+VLOOKUP($P48,'Regresion Md'!$E$6:$I$10,5,1)</f>
        <v>3255935.4364</v>
      </c>
      <c r="AE48" s="94">
        <f ca="1">VLOOKUP($P48,'Regresion Md'!$J$6:$N$10,4,1)*$P48+VLOOKUP($P48,'Regresion Md'!$J$6:$N$10,5,1)</f>
        <v>3285860.1956996694</v>
      </c>
      <c r="AF48" s="94">
        <f ca="1">VLOOKUP($P48,'Regresion Md'!$O$6:$S$10,4,1)*$P48+VLOOKUP($P48,'Regresion Md'!$O$6:$S$10,5,1)</f>
        <v>3477654.3181609949</v>
      </c>
      <c r="AG48" s="94">
        <f ca="1">VLOOKUP($P48,'Regresion Q3'!$E$6:$I$10,4,1)*$P48+VLOOKUP($P48,'Regresion Q3'!$E$6:$I$10,5,1)</f>
        <v>4234380.5841971673</v>
      </c>
      <c r="AH48" s="94">
        <f ca="1">VLOOKUP($P48,'Regresion Q3'!$J$6:$N$10,4,1)*$P48+VLOOKUP($P48,'Regresion Q3'!$J$6:$N$10,5,1)</f>
        <v>4302929.5103996927</v>
      </c>
      <c r="AI48" s="94">
        <f ca="1">VLOOKUP($P48,'Regresion Q3'!$O$6:$S$10,4,1)*$P48+VLOOKUP($P48,'Regresion Q3'!$O$6:$S$10,5,1)</f>
        <v>4491582.1207213951</v>
      </c>
      <c r="AJ48" s="94">
        <f ca="1">VLOOKUP($P48,'Regresion Q1'!$T$6:$V$10,2,1)*$P48+VLOOKUP($P48,'Regresion Q1'!$T$6:$V$10,3,1)</f>
        <v>2901688.2359605911</v>
      </c>
      <c r="AK48" s="94">
        <f ca="1">VLOOKUP($P48,'Regresion Q1'!$W$6:$Y$10,2,1)*$P48+VLOOKUP($P48,'Regresion Q1'!$W$6:$Y$10,3,1)</f>
        <v>3001451.4325379943</v>
      </c>
      <c r="AL48" s="94">
        <f ca="1">VLOOKUP($P48,'Regresion Q1'!$Z$6:$AB$10,2,1)*$P48+VLOOKUP($P48,'Regresion Q1'!$Z$6:$AB$10,3,1)</f>
        <v>3121752.4633972095</v>
      </c>
      <c r="AM48" s="94">
        <f ca="1">VLOOKUP($P48,'Regresion Md'!$T$6:$V$10,2,1)*$P48+VLOOKUP($P48,'Regresion Md'!$T$6:$V$10,3,1)</f>
        <v>3225858.2599042933</v>
      </c>
      <c r="AN48" s="94">
        <f ca="1">VLOOKUP($P48,'Regresion Md'!$W$6:$Y$10,2,1)*$P48+VLOOKUP($P48,'Regresion Md'!$W$6:$Y$10,3,1)</f>
        <v>3270570.1347263325</v>
      </c>
      <c r="AO48" s="94">
        <f ca="1">VLOOKUP($P48,'Regresion Md'!$Z$6:$AB$10,2,1)*$P48+VLOOKUP($P48,'Regresion Md'!$Z$6:$AB$10,3,1)</f>
        <v>3473818.1910852734</v>
      </c>
      <c r="AP48" s="94">
        <f ca="1">VLOOKUP($P48,'Regresion Q3'!$T$6:$V$10,2,1)*$P48+VLOOKUP($P48,'Regresion Q3'!$T$6:$V$10,3,1)</f>
        <v>4737425.6068132007</v>
      </c>
      <c r="AQ48" s="94">
        <f ca="1">VLOOKUP($P48,'Regresion Q3'!$W$6:$Y$10,2,1)*$P48+VLOOKUP($P48,'Regresion Q3'!$W$6:$Y$10,3,1)</f>
        <v>4871557.4503651457</v>
      </c>
      <c r="AR48" s="94">
        <f ca="1">VLOOKUP($P48,'Regresion Q3'!$Z$6:$AB$10,2,1)*$P48+VLOOKUP($P48,'Regresion Q3'!$Z$6:$AB$10,3,1)</f>
        <v>5000312.7278031111</v>
      </c>
      <c r="AS48" s="94">
        <f>IF($BN48=$BN49,-1,DatosHoy[[#This Row],[G ajus PM Q1]]-BO49)</f>
        <v>-1</v>
      </c>
      <c r="AT48" s="94">
        <f>IF($BN48=$BN49,-1,DatosHoy[[#This Row],[G+V ajus PM Q1]]-BP49)</f>
        <v>-1</v>
      </c>
      <c r="AU48" s="94">
        <f>IF($BN48=$BN49,-1,DatosHoy[[#This Row],[CT ajus PM Q1]]-BQ49)</f>
        <v>-1</v>
      </c>
      <c r="AV48" s="94">
        <f ca="1">IF(DatosHoy[[#This Row],[G ajus PM Q1]]=DatosHoy[[#This Row],[G+V ajus PM Q1]],-1,DatosHoy[[#This Row],[G ajus PM Q1]]-DatosHoy[[#This Row],[G+V ajus PM Q1]])</f>
        <v>-101680.378090051</v>
      </c>
      <c r="AW48" s="94">
        <f ca="1">IF(DatosHoy[[#This Row],[G+V ajus PM Q1]]=DatosHoy[[#This Row],[CT ajus PM Q1]],-1,DatosHoy[[#This Row],[G+V ajus PM Q1]]-DatosHoy[[#This Row],[CT ajus PM Q1]])</f>
        <v>-128488.92517813062</v>
      </c>
      <c r="AX48" s="94">
        <f>IF($BN48=$BN49,-1,DatosHoy[[#This Row],[G ajus PMd]]-BR49)</f>
        <v>-1</v>
      </c>
      <c r="AY48" s="94">
        <f>IF($BN48=$BN49,-1,DatosHoy[[#This Row],[G+V ajus PM Md]]-BS49)</f>
        <v>-1</v>
      </c>
      <c r="AZ48" s="94">
        <f>IF($BN48=$BN49,-1,DatosHoy[[#This Row],[CT ajus PM Md]]-BT49)</f>
        <v>-1</v>
      </c>
      <c r="BA48" s="94">
        <f ca="1">IF(DatosHoy[[#This Row],[G ajus PMd]]=DatosHoy[[#This Row],[G+V ajus PM Md]],-1,DatosHoy[[#This Row],[G ajus PMd]]-DatosHoy[[#This Row],[G+V ajus PM Md]])</f>
        <v>-79026.399522230029</v>
      </c>
      <c r="BB48" s="94">
        <f ca="1">IF(DatosHoy[[#This Row],[G+V ajus PM Md]]=DatosHoy[[#This Row],[CT ajus PM Md]],-1,DatosHoy[[#This Row],[G+V ajus PM Md]]-DatosHoy[[#This Row],[CT ajus PM Md]])</f>
        <v>-215775.76833814103</v>
      </c>
      <c r="BC48" s="94">
        <f>IF($BN48=$BN49,-1,DatosHoy[[#This Row],[G ajus PM Q3]]-BU49)</f>
        <v>-1</v>
      </c>
      <c r="BD48" s="94">
        <f>IF($BN48=$BN49,-1,DatosHoy[[#This Row],[G+V ajus PM Q3]]-BV49)</f>
        <v>-1</v>
      </c>
      <c r="BE48" s="94">
        <f>IF($BN48=$BN49,-1,DatosHoy[[#This Row],[CT ajus PM Q3]]-BW49)</f>
        <v>-1</v>
      </c>
      <c r="BF48" s="94">
        <f ca="1">IF(DatosHoy[[#This Row],[G ajus PM Q3]]=DatosHoy[[#This Row],[G+V ajus PM Q3]],-1,DatosHoy[[#This Row],[G ajus PM Q3]]-DatosHoy[[#This Row],[G+V ajus PM Q3]])</f>
        <v>-141957.38259856775</v>
      </c>
      <c r="BG48" s="94">
        <f ca="1">IF(DatosHoy[[#This Row],[G+V ajus PM Q3]]=DatosHoy[[#This Row],[CT ajus PM Q3]],-1,DatosHoy[[#This Row],[G+V ajus PM Q3]]-DatosHoy[[#This Row],[CT ajus PM Q3]])</f>
        <v>-135155.96678343322</v>
      </c>
      <c r="BH48" s="94">
        <f ca="1">IF(DatosHoy[[#This Row],[G ajus PM Q1]]=DatosHoy[[#This Row],[G ajus PMd]],-1,DatosHoy[[#This Row],[G ajus PM Q1]]-DatosHoy[[#This Row],[G ajus PMd]])</f>
        <v>-556984.6632774421</v>
      </c>
      <c r="BI48" s="94">
        <f ca="1">IF(DatosHoy[[#This Row],[G+V ajus PM Q1]]=DatosHoy[[#This Row],[G+V ajus PM Md]],-1,DatosHoy[[#This Row],[G+V ajus PM Q1]]-DatosHoy[[#This Row],[G+V ajus PM Md]])</f>
        <v>-534330.68470962113</v>
      </c>
      <c r="BJ48" s="94">
        <f ca="1">IF(DatosHoy[[#This Row],[CT ajus PM Q1]]=DatosHoy[[#This Row],[CT ajus PM Md]],-1,DatosHoy[[#This Row],[CT ajus PM Q1]]-DatosHoy[[#This Row],[CT ajus PM Md]])</f>
        <v>-621617.52786963154</v>
      </c>
      <c r="BK48" s="94">
        <f ca="1">IF(DatosHoy[[#This Row],[G ajus PMd]]=DatosHoy[[#This Row],[G ajus PM Q3]],-1,DatosHoy[[#This Row],[G ajus PMd]]-DatosHoy[[#This Row],[G ajus PM Q3]])</f>
        <v>-1430977.9926799387</v>
      </c>
      <c r="BL48" s="94">
        <f ca="1">IF(DatosHoy[[#This Row],[G+V ajus PM Md]]=DatosHoy[[#This Row],[G+V ajus PM Q3]],-1,DatosHoy[[#This Row],[G+V ajus PM Md]]-DatosHoy[[#This Row],[G+V ajus PM Q3]])</f>
        <v>-1493908.9757562764</v>
      </c>
      <c r="BM48" s="94">
        <f ca="1">IF(DatosHoy[[#This Row],[CT ajus PM Md]]=DatosHoy[[#This Row],[CT ajus PM Q3]],-1,DatosHoy[[#This Row],[CT ajus PM Md]]-DatosHoy[[#This Row],[CT ajus PM Q3]])</f>
        <v>-1413289.1742015686</v>
      </c>
      <c r="BN48" s="74">
        <v>249</v>
      </c>
      <c r="BO48" s="94">
        <f ca="1">IFERROR(VLOOKUP($BN48,'Regresion Q1'!$T$6:$V$10,2,1)*$BN48+VLOOKUP($BN48,'Regresion Q1'!$T$6:$V$10,3,1),VLOOKUP(MIN(DatosHoy[Puntos]),'Regresion Q1'!$T$6:$V$10,2,1)*$BN48+VLOOKUP(MIN(DatosHoy[Puntos]),'Regresion Q1'!$T$6:$V$10,3,1))</f>
        <v>3081749.760508724</v>
      </c>
      <c r="BP48" s="94">
        <f ca="1">IFERROR(VLOOKUP($BN48,'Regresion Q1'!$W$6:$Y$10,2,1)*$BN48+VLOOKUP($BN48,'Regresion Q1'!$W$6:$Y$10,3,1),VLOOKUP(MIN(DatosHoy[Puntos]),'Regresion Q1'!$W$6:$Y$10,2,1)*$BN48+VLOOKUP(MIN(DatosHoy[Puntos]),'Regresion Q1'!$W$6:$Y$10,3,1))</f>
        <v>3183430.138598775</v>
      </c>
      <c r="BQ48" s="94">
        <f ca="1">IFERROR(VLOOKUP($BN48,'Regresion Q1'!$Z$6:$AB$10,2,1)*$BN48+VLOOKUP($BN48,'Regresion Q1'!$Z$6:$AB$10,3,1),VLOOKUP(MIN(DatosHoy[Puntos]),'Regresion Q1'!$Z$6:$AB$10,2,1)*$BN48+VLOOKUP(MIN(DatosHoy[Puntos]),'Regresion Q1'!$Z$6:$AB$10,3,1))</f>
        <v>3311919.0637769056</v>
      </c>
      <c r="BR48" s="94">
        <f ca="1">IFERROR(VLOOKUP($BN48,'Regresion Md'!$T$6:$V$10,2,1)*$BN48+VLOOKUP($BN48,'Regresion Md'!$T$6:$V$10,3,1),VLOOKUP(MIN(DatosHoy[Puntos]),'Regresion Md'!$T$6:$V$10,2,1)*$BN48+VLOOKUP(MIN(DatosHoy[Puntos]),'Regresion Md'!$T$6:$V$10,3,1))</f>
        <v>3638734.4237861661</v>
      </c>
      <c r="BS48" s="94">
        <f ca="1">IFERROR(VLOOKUP($BN48,'Regresion Md'!$W$6:$Y$10,2,1)*$BN48+VLOOKUP($BN48,'Regresion Md'!$W$6:$Y$10,3,1),VLOOKUP(MIN(DatosHoy[Puntos]),'Regresion Md'!$W$6:$Y$10,2,1)*$BN48+VLOOKUP(MIN(DatosHoy[Puntos]),'Regresion Md'!$W$6:$Y$10,3,1))</f>
        <v>3717760.8233083962</v>
      </c>
      <c r="BT48" s="94">
        <f ca="1">IFERROR(VLOOKUP($BN48,'Regresion Md'!$Z$6:$AB$10,2,1)*$BN48+VLOOKUP($BN48,'Regresion Md'!$Z$6:$AB$10,3,1),VLOOKUP(MIN(DatosHoy[Puntos]),'Regresion Md'!$Z$6:$AB$10,2,1)*$BN48+VLOOKUP(MIN(DatosHoy[Puntos]),'Regresion Md'!$Z$6:$AB$10,3,1))</f>
        <v>3933536.5916465372</v>
      </c>
      <c r="BU48" s="94">
        <f ca="1">IFERROR(VLOOKUP($BN48,'Regresion Q3'!$T$6:$V$10,2,1)*$BN48+VLOOKUP($BN48,'Regresion Q3'!$T$6:$V$10,3,1),VLOOKUP(MIN(DatosHoy[Puntos]),'Regresion Q3'!$T$6:$V$10,2,1)*$BN48+VLOOKUP(MIN(DatosHoy[Puntos]),'Regresion Q3'!$T$6:$V$10,3,1))</f>
        <v>5069712.4164661048</v>
      </c>
      <c r="BV48" s="94">
        <f ca="1">IFERROR(VLOOKUP($BN48,'Regresion Q3'!$W$6:$Y$10,2,1)*$BN48+VLOOKUP($BN48,'Regresion Q3'!$W$6:$Y$10,3,1),VLOOKUP(MIN(DatosHoy[Puntos]),'Regresion Q3'!$W$6:$Y$10,2,1)*$BN48+VLOOKUP(MIN(DatosHoy[Puntos]),'Regresion Q3'!$W$6:$Y$10,3,1))</f>
        <v>5211669.7990646726</v>
      </c>
      <c r="BW48" s="94">
        <f ca="1">IFERROR(VLOOKUP($BN48,'Regresion Q3'!$Z$6:$AB$10,2,1)*$BN48+VLOOKUP($BN48,'Regresion Q3'!$Z$6:$AB$10,3,1),VLOOKUP(MIN(DatosHoy[Puntos]),'Regresion Q3'!$Z$6:$AB$10,2,1)*$BN48+VLOOKUP(MIN(DatosHoy[Puntos]),'Regresion Q3'!$Z$6:$AB$10,3,1))</f>
        <v>5346825.7658481058</v>
      </c>
      <c r="BX48" s="96">
        <f ca="1">DatosHoy[[#This Row],[CT Actual]]/DatosHoy[[#This Row],[CT ajus PM Md]]</f>
        <v>0.9572413812029309</v>
      </c>
      <c r="BY48" s="125" t="str">
        <f>VLOOKUP(DatosHoy[[#This Row],[Cargo Valorado]],Estadísticos[[Cargo]:[Nivel]],2,FALSE)</f>
        <v>Soporte</v>
      </c>
      <c r="BZ48" s="96">
        <f>(DatosHoy[[#This Row],[G+V Actual]]-DatosHoy[[#This Row],[G Actual]])/DatosHoy[[#This Row],[CT Actual]]</f>
        <v>0</v>
      </c>
      <c r="CA48" s="96">
        <f>(DatosHoy[[#This Row],[CT Actual]]-DatosHoy[[#This Row],[G+V Actual]])/DatosHoy[[#This Row],[CT Actual]]</f>
        <v>0</v>
      </c>
      <c r="CB48" s="139" t="s">
        <v>255</v>
      </c>
    </row>
    <row r="49" spans="2:80" x14ac:dyDescent="0.25">
      <c r="B49" s="73">
        <f t="shared" si="34"/>
        <v>44</v>
      </c>
      <c r="C49" s="74">
        <v>3765344.0000000005</v>
      </c>
      <c r="D49" s="74">
        <v>3765344.0000000005</v>
      </c>
      <c r="E49" s="74">
        <v>3765344.0000000005</v>
      </c>
      <c r="F49" s="94">
        <f>VLOOKUP(DatosHoy[[#This Row],[Cargo Valorado]],Estadísticos[],3,0)</f>
        <v>3391274.6087575429</v>
      </c>
      <c r="G49" s="94">
        <f>VLOOKUP(DatosHoy[[#This Row],[Cargo Valorado]],Estadísticos[],4,0)</f>
        <v>3391274.6087575429</v>
      </c>
      <c r="H49" s="94">
        <f>VLOOKUP(DatosHoy[[#This Row],[Cargo Valorado]],Estadísticos[],5,0)</f>
        <v>3503334.5254242094</v>
      </c>
      <c r="I49" s="94">
        <f>VLOOKUP(DatosHoy[[#This Row],[Cargo Valorado]],Estadísticos[],6,0)</f>
        <v>3590013.7245299509</v>
      </c>
      <c r="J49" s="94">
        <f>VLOOKUP(DatosHoy[[#This Row],[Cargo Valorado]],Estadísticos[],7,0)</f>
        <v>3590013.7245299509</v>
      </c>
      <c r="K49" s="94">
        <f>VLOOKUP(DatosHoy[[#This Row],[Cargo Valorado]],Estadísticos[],8,0)</f>
        <v>3590013.7245299509</v>
      </c>
      <c r="L49" s="94">
        <f>VLOOKUP(DatosHoy[[#This Row],[Cargo Valorado]],Estadísticos[],9,0)</f>
        <v>4036608.4526601988</v>
      </c>
      <c r="M49" s="94">
        <f>VLOOKUP(DatosHoy[[#This Row],[Cargo Valorado]],Estadísticos[],10,0)</f>
        <v>4036608.4526601988</v>
      </c>
      <c r="N49" s="94">
        <f>VLOOKUP(DatosHoy[[#This Row],[Cargo Valorado]],Estadísticos[],11,0)</f>
        <v>4079456.4126601988</v>
      </c>
      <c r="O49" s="75" t="s">
        <v>190</v>
      </c>
      <c r="P49" s="75">
        <v>231</v>
      </c>
      <c r="Q49" s="95" t="str">
        <f t="shared" ref="Q49:Q79" si="35">"$"&amp;"P"&amp;"$"&amp;ROW()</f>
        <v>$P$49</v>
      </c>
      <c r="R49" s="95" t="str">
        <f t="shared" ref="R49:R79" si="36">"$"&amp;"F"&amp;"$"&amp;ROW()</f>
        <v>$F$49</v>
      </c>
      <c r="S49" s="95" t="str">
        <f t="shared" ref="S49:S79" si="37">"$"&amp;"G"&amp;"$"&amp;ROW()</f>
        <v>$G$49</v>
      </c>
      <c r="T49" s="95" t="str">
        <f t="shared" ref="T49:T79" si="38">"$"&amp;"H"&amp;"$"&amp;ROW()</f>
        <v>$H$49</v>
      </c>
      <c r="U49" s="95" t="str">
        <f t="shared" ref="U49:U79" si="39">"$"&amp;"I"&amp;"$"&amp;ROW()</f>
        <v>$I$49</v>
      </c>
      <c r="V49" s="95" t="str">
        <f t="shared" ref="V49:V79" si="40">"$"&amp;"J"&amp;"$"&amp;ROW()</f>
        <v>$J$49</v>
      </c>
      <c r="W49" s="95" t="str">
        <f t="shared" ref="W49:W79" si="41">"$"&amp;"K"&amp;"$"&amp;ROW()</f>
        <v>$K$49</v>
      </c>
      <c r="X49" s="95" t="str">
        <f t="shared" ref="X49:X79" si="42">"$"&amp;"L"&amp;"$"&amp;ROW()</f>
        <v>$L$49</v>
      </c>
      <c r="Y49" s="95" t="str">
        <f t="shared" ref="Y49:Y79" si="43">"$"&amp;"M"&amp;"$"&amp;ROW()</f>
        <v>$M$49</v>
      </c>
      <c r="Z49" s="95" t="str">
        <f t="shared" ref="Z49:Z79" si="44">"$"&amp;"N"&amp;"$"&amp;ROW()</f>
        <v>$N$49</v>
      </c>
      <c r="AA49" s="94">
        <f ca="1">VLOOKUP($P49,'Regresion Q1'!$E$6:$I$10,4,1)*$P49+VLOOKUP($P49,'Regresion Q1'!$E$6:$I$10,5,1)</f>
        <v>2984792.2047171905</v>
      </c>
      <c r="AB49" s="94">
        <f ca="1">VLOOKUP($P49,'Regresion Q1'!$J$6:$N$10,4,1)*$P49+VLOOKUP($P49,'Regresion Q1'!$J$6:$N$10,5,1)</f>
        <v>3050043.4674223708</v>
      </c>
      <c r="AC49" s="94">
        <f ca="1">VLOOKUP($P49,'Regresion Q1'!$O$6:$S$10,4,1)*$P49+VLOOKUP($P49,'Regresion Q1'!$O$6:$S$10,5,1)</f>
        <v>3226179.676295144</v>
      </c>
      <c r="AD49" s="94">
        <f ca="1">VLOOKUP($P49,'Regresion Md'!$E$6:$I$10,4,1)*$P49+VLOOKUP($P49,'Regresion Md'!$E$6:$I$10,5,1)</f>
        <v>3255935.4364</v>
      </c>
      <c r="AE49" s="94">
        <f ca="1">VLOOKUP($P49,'Regresion Md'!$J$6:$N$10,4,1)*$P49+VLOOKUP($P49,'Regresion Md'!$J$6:$N$10,5,1)</f>
        <v>3285860.1956996694</v>
      </c>
      <c r="AF49" s="94">
        <f ca="1">VLOOKUP($P49,'Regresion Md'!$O$6:$S$10,4,1)*$P49+VLOOKUP($P49,'Regresion Md'!$O$6:$S$10,5,1)</f>
        <v>3477654.3181609949</v>
      </c>
      <c r="AG49" s="94">
        <f ca="1">VLOOKUP($P49,'Regresion Q3'!$E$6:$I$10,4,1)*$P49+VLOOKUP($P49,'Regresion Q3'!$E$6:$I$10,5,1)</f>
        <v>4234380.5841971673</v>
      </c>
      <c r="AH49" s="94">
        <f ca="1">VLOOKUP($P49,'Regresion Q3'!$J$6:$N$10,4,1)*$P49+VLOOKUP($P49,'Regresion Q3'!$J$6:$N$10,5,1)</f>
        <v>4302929.5103996927</v>
      </c>
      <c r="AI49" s="94">
        <f ca="1">VLOOKUP($P49,'Regresion Q3'!$O$6:$S$10,4,1)*$P49+VLOOKUP($P49,'Regresion Q3'!$O$6:$S$10,5,1)</f>
        <v>4491582.1207213951</v>
      </c>
      <c r="AJ49" s="94">
        <f ca="1">VLOOKUP($P49,'Regresion Q1'!$T$6:$V$10,2,1)*$P49+VLOOKUP($P49,'Regresion Q1'!$T$6:$V$10,3,1)</f>
        <v>2901688.2359605911</v>
      </c>
      <c r="AK49" s="94">
        <f ca="1">VLOOKUP($P49,'Regresion Q1'!$W$6:$Y$10,2,1)*$P49+VLOOKUP($P49,'Regresion Q1'!$W$6:$Y$10,3,1)</f>
        <v>3001451.4325379943</v>
      </c>
      <c r="AL49" s="94">
        <f ca="1">VLOOKUP($P49,'Regresion Q1'!$Z$6:$AB$10,2,1)*$P49+VLOOKUP($P49,'Regresion Q1'!$Z$6:$AB$10,3,1)</f>
        <v>3121752.4633972095</v>
      </c>
      <c r="AM49" s="94">
        <f ca="1">VLOOKUP($P49,'Regresion Md'!$T$6:$V$10,2,1)*$P49+VLOOKUP($P49,'Regresion Md'!$T$6:$V$10,3,1)</f>
        <v>3225858.2599042933</v>
      </c>
      <c r="AN49" s="94">
        <f ca="1">VLOOKUP($P49,'Regresion Md'!$W$6:$Y$10,2,1)*$P49+VLOOKUP($P49,'Regresion Md'!$W$6:$Y$10,3,1)</f>
        <v>3270570.1347263325</v>
      </c>
      <c r="AO49" s="94">
        <f ca="1">VLOOKUP($P49,'Regresion Md'!$Z$6:$AB$10,2,1)*$P49+VLOOKUP($P49,'Regresion Md'!$Z$6:$AB$10,3,1)</f>
        <v>3473818.1910852734</v>
      </c>
      <c r="AP49" s="94">
        <f ca="1">VLOOKUP($P49,'Regresion Q3'!$T$6:$V$10,2,1)*$P49+VLOOKUP($P49,'Regresion Q3'!$T$6:$V$10,3,1)</f>
        <v>4737425.6068132007</v>
      </c>
      <c r="AQ49" s="94">
        <f ca="1">VLOOKUP($P49,'Regresion Q3'!$W$6:$Y$10,2,1)*$P49+VLOOKUP($P49,'Regresion Q3'!$W$6:$Y$10,3,1)</f>
        <v>4871557.4503651457</v>
      </c>
      <c r="AR49" s="94">
        <f ca="1">VLOOKUP($P49,'Regresion Q3'!$Z$6:$AB$10,2,1)*$P49+VLOOKUP($P49,'Regresion Q3'!$Z$6:$AB$10,3,1)</f>
        <v>5000312.7278031111</v>
      </c>
      <c r="AS49" s="94">
        <f>IF($BN49=$BN50,-1,DatosHoy[[#This Row],[G ajus PM Q1]]-BO50)</f>
        <v>-1</v>
      </c>
      <c r="AT49" s="94">
        <f>IF($BN49=$BN50,-1,DatosHoy[[#This Row],[G+V ajus PM Q1]]-BP50)</f>
        <v>-1</v>
      </c>
      <c r="AU49" s="94">
        <f>IF($BN49=$BN50,-1,DatosHoy[[#This Row],[CT ajus PM Q1]]-BQ50)</f>
        <v>-1</v>
      </c>
      <c r="AV49" s="94">
        <f ca="1">IF(DatosHoy[[#This Row],[G ajus PM Q1]]=DatosHoy[[#This Row],[G+V ajus PM Q1]],-1,DatosHoy[[#This Row],[G ajus PM Q1]]-DatosHoy[[#This Row],[G+V ajus PM Q1]])</f>
        <v>-101680.378090051</v>
      </c>
      <c r="AW49" s="94">
        <f ca="1">IF(DatosHoy[[#This Row],[G+V ajus PM Q1]]=DatosHoy[[#This Row],[CT ajus PM Q1]],-1,DatosHoy[[#This Row],[G+V ajus PM Q1]]-DatosHoy[[#This Row],[CT ajus PM Q1]])</f>
        <v>-128488.92517813062</v>
      </c>
      <c r="AX49" s="94">
        <f>IF($BN49=$BN50,-1,DatosHoy[[#This Row],[G ajus PMd]]-BR50)</f>
        <v>-1</v>
      </c>
      <c r="AY49" s="94">
        <f>IF($BN49=$BN50,-1,DatosHoy[[#This Row],[G+V ajus PM Md]]-BS50)</f>
        <v>-1</v>
      </c>
      <c r="AZ49" s="94">
        <f>IF($BN49=$BN50,-1,DatosHoy[[#This Row],[CT ajus PM Md]]-BT50)</f>
        <v>-1</v>
      </c>
      <c r="BA49" s="94">
        <f ca="1">IF(DatosHoy[[#This Row],[G ajus PMd]]=DatosHoy[[#This Row],[G+V ajus PM Md]],-1,DatosHoy[[#This Row],[G ajus PMd]]-DatosHoy[[#This Row],[G+V ajus PM Md]])</f>
        <v>-79026.399522230029</v>
      </c>
      <c r="BB49" s="94">
        <f ca="1">IF(DatosHoy[[#This Row],[G+V ajus PM Md]]=DatosHoy[[#This Row],[CT ajus PM Md]],-1,DatosHoy[[#This Row],[G+V ajus PM Md]]-DatosHoy[[#This Row],[CT ajus PM Md]])</f>
        <v>-215775.76833814103</v>
      </c>
      <c r="BC49" s="94">
        <f>IF($BN49=$BN50,-1,DatosHoy[[#This Row],[G ajus PM Q3]]-BU50)</f>
        <v>-1</v>
      </c>
      <c r="BD49" s="94">
        <f>IF($BN49=$BN50,-1,DatosHoy[[#This Row],[G+V ajus PM Q3]]-BV50)</f>
        <v>-1</v>
      </c>
      <c r="BE49" s="94">
        <f>IF($BN49=$BN50,-1,DatosHoy[[#This Row],[CT ajus PM Q3]]-BW50)</f>
        <v>-1</v>
      </c>
      <c r="BF49" s="94">
        <f ca="1">IF(DatosHoy[[#This Row],[G ajus PM Q3]]=DatosHoy[[#This Row],[G+V ajus PM Q3]],-1,DatosHoy[[#This Row],[G ajus PM Q3]]-DatosHoy[[#This Row],[G+V ajus PM Q3]])</f>
        <v>-141957.38259856775</v>
      </c>
      <c r="BG49" s="94">
        <f ca="1">IF(DatosHoy[[#This Row],[G+V ajus PM Q3]]=DatosHoy[[#This Row],[CT ajus PM Q3]],-1,DatosHoy[[#This Row],[G+V ajus PM Q3]]-DatosHoy[[#This Row],[CT ajus PM Q3]])</f>
        <v>-135155.96678343322</v>
      </c>
      <c r="BH49" s="94">
        <f ca="1">IF(DatosHoy[[#This Row],[G ajus PM Q1]]=DatosHoy[[#This Row],[G ajus PMd]],-1,DatosHoy[[#This Row],[G ajus PM Q1]]-DatosHoy[[#This Row],[G ajus PMd]])</f>
        <v>-556984.6632774421</v>
      </c>
      <c r="BI49" s="94">
        <f ca="1">IF(DatosHoy[[#This Row],[G+V ajus PM Q1]]=DatosHoy[[#This Row],[G+V ajus PM Md]],-1,DatosHoy[[#This Row],[G+V ajus PM Q1]]-DatosHoy[[#This Row],[G+V ajus PM Md]])</f>
        <v>-534330.68470962113</v>
      </c>
      <c r="BJ49" s="94">
        <f ca="1">IF(DatosHoy[[#This Row],[CT ajus PM Q1]]=DatosHoy[[#This Row],[CT ajus PM Md]],-1,DatosHoy[[#This Row],[CT ajus PM Q1]]-DatosHoy[[#This Row],[CT ajus PM Md]])</f>
        <v>-621617.52786963154</v>
      </c>
      <c r="BK49" s="94">
        <f ca="1">IF(DatosHoy[[#This Row],[G ajus PMd]]=DatosHoy[[#This Row],[G ajus PM Q3]],-1,DatosHoy[[#This Row],[G ajus PMd]]-DatosHoy[[#This Row],[G ajus PM Q3]])</f>
        <v>-1430977.9926799387</v>
      </c>
      <c r="BL49" s="94">
        <f ca="1">IF(DatosHoy[[#This Row],[G+V ajus PM Md]]=DatosHoy[[#This Row],[G+V ajus PM Q3]],-1,DatosHoy[[#This Row],[G+V ajus PM Md]]-DatosHoy[[#This Row],[G+V ajus PM Q3]])</f>
        <v>-1493908.9757562764</v>
      </c>
      <c r="BM49" s="94">
        <f ca="1">IF(DatosHoy[[#This Row],[CT ajus PM Md]]=DatosHoy[[#This Row],[CT ajus PM Q3]],-1,DatosHoy[[#This Row],[CT ajus PM Md]]-DatosHoy[[#This Row],[CT ajus PM Q3]])</f>
        <v>-1413289.1742015686</v>
      </c>
      <c r="BN49" s="74">
        <v>249</v>
      </c>
      <c r="BO49" s="94">
        <f ca="1">IFERROR(VLOOKUP($BN49,'Regresion Q1'!$T$6:$V$10,2,1)*$BN49+VLOOKUP($BN49,'Regresion Q1'!$T$6:$V$10,3,1),VLOOKUP(MIN(DatosHoy[Puntos]),'Regresion Q1'!$T$6:$V$10,2,1)*$BN49+VLOOKUP(MIN(DatosHoy[Puntos]),'Regresion Q1'!$T$6:$V$10,3,1))</f>
        <v>3081749.760508724</v>
      </c>
      <c r="BP49" s="94">
        <f ca="1">IFERROR(VLOOKUP($BN49,'Regresion Q1'!$W$6:$Y$10,2,1)*$BN49+VLOOKUP($BN49,'Regresion Q1'!$W$6:$Y$10,3,1),VLOOKUP(MIN(DatosHoy[Puntos]),'Regresion Q1'!$W$6:$Y$10,2,1)*$BN49+VLOOKUP(MIN(DatosHoy[Puntos]),'Regresion Q1'!$W$6:$Y$10,3,1))</f>
        <v>3183430.138598775</v>
      </c>
      <c r="BQ49" s="94">
        <f ca="1">IFERROR(VLOOKUP($BN49,'Regresion Q1'!$Z$6:$AB$10,2,1)*$BN49+VLOOKUP($BN49,'Regresion Q1'!$Z$6:$AB$10,3,1),VLOOKUP(MIN(DatosHoy[Puntos]),'Regresion Q1'!$Z$6:$AB$10,2,1)*$BN49+VLOOKUP(MIN(DatosHoy[Puntos]),'Regresion Q1'!$Z$6:$AB$10,3,1))</f>
        <v>3311919.0637769056</v>
      </c>
      <c r="BR49" s="94">
        <f ca="1">IFERROR(VLOOKUP($BN49,'Regresion Md'!$T$6:$V$10,2,1)*$BN49+VLOOKUP($BN49,'Regresion Md'!$T$6:$V$10,3,1),VLOOKUP(MIN(DatosHoy[Puntos]),'Regresion Md'!$T$6:$V$10,2,1)*$BN49+VLOOKUP(MIN(DatosHoy[Puntos]),'Regresion Md'!$T$6:$V$10,3,1))</f>
        <v>3638734.4237861661</v>
      </c>
      <c r="BS49" s="94">
        <f ca="1">IFERROR(VLOOKUP($BN49,'Regresion Md'!$W$6:$Y$10,2,1)*$BN49+VLOOKUP($BN49,'Regresion Md'!$W$6:$Y$10,3,1),VLOOKUP(MIN(DatosHoy[Puntos]),'Regresion Md'!$W$6:$Y$10,2,1)*$BN49+VLOOKUP(MIN(DatosHoy[Puntos]),'Regresion Md'!$W$6:$Y$10,3,1))</f>
        <v>3717760.8233083962</v>
      </c>
      <c r="BT49" s="94">
        <f ca="1">IFERROR(VLOOKUP($BN49,'Regresion Md'!$Z$6:$AB$10,2,1)*$BN49+VLOOKUP($BN49,'Regresion Md'!$Z$6:$AB$10,3,1),VLOOKUP(MIN(DatosHoy[Puntos]),'Regresion Md'!$Z$6:$AB$10,2,1)*$BN49+VLOOKUP(MIN(DatosHoy[Puntos]),'Regresion Md'!$Z$6:$AB$10,3,1))</f>
        <v>3933536.5916465372</v>
      </c>
      <c r="BU49" s="94">
        <f ca="1">IFERROR(VLOOKUP($BN49,'Regresion Q3'!$T$6:$V$10,2,1)*$BN49+VLOOKUP($BN49,'Regresion Q3'!$T$6:$V$10,3,1),VLOOKUP(MIN(DatosHoy[Puntos]),'Regresion Q3'!$T$6:$V$10,2,1)*$BN49+VLOOKUP(MIN(DatosHoy[Puntos]),'Regresion Q3'!$T$6:$V$10,3,1))</f>
        <v>5069712.4164661048</v>
      </c>
      <c r="BV49" s="94">
        <f ca="1">IFERROR(VLOOKUP($BN49,'Regresion Q3'!$W$6:$Y$10,2,1)*$BN49+VLOOKUP($BN49,'Regresion Q3'!$W$6:$Y$10,3,1),VLOOKUP(MIN(DatosHoy[Puntos]),'Regresion Q3'!$W$6:$Y$10,2,1)*$BN49+VLOOKUP(MIN(DatosHoy[Puntos]),'Regresion Q3'!$W$6:$Y$10,3,1))</f>
        <v>5211669.7990646726</v>
      </c>
      <c r="BW49" s="94">
        <f ca="1">IFERROR(VLOOKUP($BN49,'Regresion Q3'!$Z$6:$AB$10,2,1)*$BN49+VLOOKUP($BN49,'Regresion Q3'!$Z$6:$AB$10,3,1),VLOOKUP(MIN(DatosHoy[Puntos]),'Regresion Q3'!$Z$6:$AB$10,2,1)*$BN49+VLOOKUP(MIN(DatosHoy[Puntos]),'Regresion Q3'!$Z$6:$AB$10,3,1))</f>
        <v>5346825.7658481058</v>
      </c>
      <c r="BX49" s="96">
        <f ca="1">DatosHoy[[#This Row],[CT Actual]]/DatosHoy[[#This Row],[CT ajus PM Md]]</f>
        <v>0.9572413812029309</v>
      </c>
      <c r="BY49" s="125" t="str">
        <f>VLOOKUP(DatosHoy[[#This Row],[Cargo Valorado]],Estadísticos[[Cargo]:[Nivel]],2,FALSE)</f>
        <v>Soporte</v>
      </c>
      <c r="BZ49" s="96">
        <f>(DatosHoy[[#This Row],[G+V Actual]]-DatosHoy[[#This Row],[G Actual]])/DatosHoy[[#This Row],[CT Actual]]</f>
        <v>0</v>
      </c>
      <c r="CA49" s="96">
        <f>(DatosHoy[[#This Row],[CT Actual]]-DatosHoy[[#This Row],[G+V Actual]])/DatosHoy[[#This Row],[CT Actual]]</f>
        <v>0</v>
      </c>
      <c r="CB49" s="139" t="s">
        <v>255</v>
      </c>
    </row>
    <row r="50" spans="2:80" x14ac:dyDescent="0.25">
      <c r="B50" s="73">
        <f t="shared" si="34"/>
        <v>45</v>
      </c>
      <c r="C50" s="74">
        <v>3765344.0000000005</v>
      </c>
      <c r="D50" s="74">
        <v>3765344.0000000005</v>
      </c>
      <c r="E50" s="74">
        <v>3765344.0000000005</v>
      </c>
      <c r="F50" s="94">
        <f>VLOOKUP(DatosHoy[[#This Row],[Cargo Valorado]],Estadísticos[],3,0)</f>
        <v>3391274.6087575429</v>
      </c>
      <c r="G50" s="94">
        <f>VLOOKUP(DatosHoy[[#This Row],[Cargo Valorado]],Estadísticos[],4,0)</f>
        <v>3391274.6087575429</v>
      </c>
      <c r="H50" s="94">
        <f>VLOOKUP(DatosHoy[[#This Row],[Cargo Valorado]],Estadísticos[],5,0)</f>
        <v>3503334.5254242094</v>
      </c>
      <c r="I50" s="94">
        <f>VLOOKUP(DatosHoy[[#This Row],[Cargo Valorado]],Estadísticos[],6,0)</f>
        <v>3590013.7245299509</v>
      </c>
      <c r="J50" s="94">
        <f>VLOOKUP(DatosHoy[[#This Row],[Cargo Valorado]],Estadísticos[],7,0)</f>
        <v>3590013.7245299509</v>
      </c>
      <c r="K50" s="94">
        <f>VLOOKUP(DatosHoy[[#This Row],[Cargo Valorado]],Estadísticos[],8,0)</f>
        <v>3590013.7245299509</v>
      </c>
      <c r="L50" s="94">
        <f>VLOOKUP(DatosHoy[[#This Row],[Cargo Valorado]],Estadísticos[],9,0)</f>
        <v>4036608.4526601988</v>
      </c>
      <c r="M50" s="94">
        <f>VLOOKUP(DatosHoy[[#This Row],[Cargo Valorado]],Estadísticos[],10,0)</f>
        <v>4036608.4526601988</v>
      </c>
      <c r="N50" s="94">
        <f>VLOOKUP(DatosHoy[[#This Row],[Cargo Valorado]],Estadísticos[],11,0)</f>
        <v>4079456.4126601988</v>
      </c>
      <c r="O50" s="75" t="s">
        <v>190</v>
      </c>
      <c r="P50" s="75">
        <v>231</v>
      </c>
      <c r="Q50" s="95" t="str">
        <f t="shared" si="35"/>
        <v>$P$50</v>
      </c>
      <c r="R50" s="95" t="str">
        <f t="shared" si="36"/>
        <v>$F$50</v>
      </c>
      <c r="S50" s="95" t="str">
        <f t="shared" si="37"/>
        <v>$G$50</v>
      </c>
      <c r="T50" s="95" t="str">
        <f t="shared" si="38"/>
        <v>$H$50</v>
      </c>
      <c r="U50" s="95" t="str">
        <f t="shared" si="39"/>
        <v>$I$50</v>
      </c>
      <c r="V50" s="95" t="str">
        <f t="shared" si="40"/>
        <v>$J$50</v>
      </c>
      <c r="W50" s="95" t="str">
        <f t="shared" si="41"/>
        <v>$K$50</v>
      </c>
      <c r="X50" s="95" t="str">
        <f t="shared" si="42"/>
        <v>$L$50</v>
      </c>
      <c r="Y50" s="95" t="str">
        <f t="shared" si="43"/>
        <v>$M$50</v>
      </c>
      <c r="Z50" s="95" t="str">
        <f t="shared" si="44"/>
        <v>$N$50</v>
      </c>
      <c r="AA50" s="94">
        <f ca="1">VLOOKUP($P50,'Regresion Q1'!$E$6:$I$10,4,1)*$P50+VLOOKUP($P50,'Regresion Q1'!$E$6:$I$10,5,1)</f>
        <v>2984792.2047171905</v>
      </c>
      <c r="AB50" s="94">
        <f ca="1">VLOOKUP($P50,'Regresion Q1'!$J$6:$N$10,4,1)*$P50+VLOOKUP($P50,'Regresion Q1'!$J$6:$N$10,5,1)</f>
        <v>3050043.4674223708</v>
      </c>
      <c r="AC50" s="94">
        <f ca="1">VLOOKUP($P50,'Regresion Q1'!$O$6:$S$10,4,1)*$P50+VLOOKUP($P50,'Regresion Q1'!$O$6:$S$10,5,1)</f>
        <v>3226179.676295144</v>
      </c>
      <c r="AD50" s="94">
        <f ca="1">VLOOKUP($P50,'Regresion Md'!$E$6:$I$10,4,1)*$P50+VLOOKUP($P50,'Regresion Md'!$E$6:$I$10,5,1)</f>
        <v>3255935.4364</v>
      </c>
      <c r="AE50" s="94">
        <f ca="1">VLOOKUP($P50,'Regresion Md'!$J$6:$N$10,4,1)*$P50+VLOOKUP($P50,'Regresion Md'!$J$6:$N$10,5,1)</f>
        <v>3285860.1956996694</v>
      </c>
      <c r="AF50" s="94">
        <f ca="1">VLOOKUP($P50,'Regresion Md'!$O$6:$S$10,4,1)*$P50+VLOOKUP($P50,'Regresion Md'!$O$6:$S$10,5,1)</f>
        <v>3477654.3181609949</v>
      </c>
      <c r="AG50" s="94">
        <f ca="1">VLOOKUP($P50,'Regresion Q3'!$E$6:$I$10,4,1)*$P50+VLOOKUP($P50,'Regresion Q3'!$E$6:$I$10,5,1)</f>
        <v>4234380.5841971673</v>
      </c>
      <c r="AH50" s="94">
        <f ca="1">VLOOKUP($P50,'Regresion Q3'!$J$6:$N$10,4,1)*$P50+VLOOKUP($P50,'Regresion Q3'!$J$6:$N$10,5,1)</f>
        <v>4302929.5103996927</v>
      </c>
      <c r="AI50" s="94">
        <f ca="1">VLOOKUP($P50,'Regresion Q3'!$O$6:$S$10,4,1)*$P50+VLOOKUP($P50,'Regresion Q3'!$O$6:$S$10,5,1)</f>
        <v>4491582.1207213951</v>
      </c>
      <c r="AJ50" s="94">
        <f ca="1">VLOOKUP($P50,'Regresion Q1'!$T$6:$V$10,2,1)*$P50+VLOOKUP($P50,'Regresion Q1'!$T$6:$V$10,3,1)</f>
        <v>2901688.2359605911</v>
      </c>
      <c r="AK50" s="94">
        <f ca="1">VLOOKUP($P50,'Regresion Q1'!$W$6:$Y$10,2,1)*$P50+VLOOKUP($P50,'Regresion Q1'!$W$6:$Y$10,3,1)</f>
        <v>3001451.4325379943</v>
      </c>
      <c r="AL50" s="94">
        <f ca="1">VLOOKUP($P50,'Regresion Q1'!$Z$6:$AB$10,2,1)*$P50+VLOOKUP($P50,'Regresion Q1'!$Z$6:$AB$10,3,1)</f>
        <v>3121752.4633972095</v>
      </c>
      <c r="AM50" s="94">
        <f ca="1">VLOOKUP($P50,'Regresion Md'!$T$6:$V$10,2,1)*$P50+VLOOKUP($P50,'Regresion Md'!$T$6:$V$10,3,1)</f>
        <v>3225858.2599042933</v>
      </c>
      <c r="AN50" s="94">
        <f ca="1">VLOOKUP($P50,'Regresion Md'!$W$6:$Y$10,2,1)*$P50+VLOOKUP($P50,'Regresion Md'!$W$6:$Y$10,3,1)</f>
        <v>3270570.1347263325</v>
      </c>
      <c r="AO50" s="94">
        <f ca="1">VLOOKUP($P50,'Regresion Md'!$Z$6:$AB$10,2,1)*$P50+VLOOKUP($P50,'Regresion Md'!$Z$6:$AB$10,3,1)</f>
        <v>3473818.1910852734</v>
      </c>
      <c r="AP50" s="94">
        <f ca="1">VLOOKUP($P50,'Regresion Q3'!$T$6:$V$10,2,1)*$P50+VLOOKUP($P50,'Regresion Q3'!$T$6:$V$10,3,1)</f>
        <v>4737425.6068132007</v>
      </c>
      <c r="AQ50" s="94">
        <f ca="1">VLOOKUP($P50,'Regresion Q3'!$W$6:$Y$10,2,1)*$P50+VLOOKUP($P50,'Regresion Q3'!$W$6:$Y$10,3,1)</f>
        <v>4871557.4503651457</v>
      </c>
      <c r="AR50" s="94">
        <f ca="1">VLOOKUP($P50,'Regresion Q3'!$Z$6:$AB$10,2,1)*$P50+VLOOKUP($P50,'Regresion Q3'!$Z$6:$AB$10,3,1)</f>
        <v>5000312.7278031111</v>
      </c>
      <c r="AS50" s="94">
        <f>IF($BN50=$BN51,-1,DatosHoy[[#This Row],[G ajus PM Q1]]-BO51)</f>
        <v>-1</v>
      </c>
      <c r="AT50" s="94">
        <f>IF($BN50=$BN51,-1,DatosHoy[[#This Row],[G+V ajus PM Q1]]-BP51)</f>
        <v>-1</v>
      </c>
      <c r="AU50" s="94">
        <f>IF($BN50=$BN51,-1,DatosHoy[[#This Row],[CT ajus PM Q1]]-BQ51)</f>
        <v>-1</v>
      </c>
      <c r="AV50" s="94">
        <f ca="1">IF(DatosHoy[[#This Row],[G ajus PM Q1]]=DatosHoy[[#This Row],[G+V ajus PM Q1]],-1,DatosHoy[[#This Row],[G ajus PM Q1]]-DatosHoy[[#This Row],[G+V ajus PM Q1]])</f>
        <v>-101680.378090051</v>
      </c>
      <c r="AW50" s="94">
        <f ca="1">IF(DatosHoy[[#This Row],[G+V ajus PM Q1]]=DatosHoy[[#This Row],[CT ajus PM Q1]],-1,DatosHoy[[#This Row],[G+V ajus PM Q1]]-DatosHoy[[#This Row],[CT ajus PM Q1]])</f>
        <v>-128488.92517813062</v>
      </c>
      <c r="AX50" s="94">
        <f>IF($BN50=$BN51,-1,DatosHoy[[#This Row],[G ajus PMd]]-BR51)</f>
        <v>-1</v>
      </c>
      <c r="AY50" s="94">
        <f>IF($BN50=$BN51,-1,DatosHoy[[#This Row],[G+V ajus PM Md]]-BS51)</f>
        <v>-1</v>
      </c>
      <c r="AZ50" s="94">
        <f>IF($BN50=$BN51,-1,DatosHoy[[#This Row],[CT ajus PM Md]]-BT51)</f>
        <v>-1</v>
      </c>
      <c r="BA50" s="94">
        <f ca="1">IF(DatosHoy[[#This Row],[G ajus PMd]]=DatosHoy[[#This Row],[G+V ajus PM Md]],-1,DatosHoy[[#This Row],[G ajus PMd]]-DatosHoy[[#This Row],[G+V ajus PM Md]])</f>
        <v>-79026.399522230029</v>
      </c>
      <c r="BB50" s="94">
        <f ca="1">IF(DatosHoy[[#This Row],[G+V ajus PM Md]]=DatosHoy[[#This Row],[CT ajus PM Md]],-1,DatosHoy[[#This Row],[G+V ajus PM Md]]-DatosHoy[[#This Row],[CT ajus PM Md]])</f>
        <v>-215775.76833814103</v>
      </c>
      <c r="BC50" s="94">
        <f>IF($BN50=$BN51,-1,DatosHoy[[#This Row],[G ajus PM Q3]]-BU51)</f>
        <v>-1</v>
      </c>
      <c r="BD50" s="94">
        <f>IF($BN50=$BN51,-1,DatosHoy[[#This Row],[G+V ajus PM Q3]]-BV51)</f>
        <v>-1</v>
      </c>
      <c r="BE50" s="94">
        <f>IF($BN50=$BN51,-1,DatosHoy[[#This Row],[CT ajus PM Q3]]-BW51)</f>
        <v>-1</v>
      </c>
      <c r="BF50" s="94">
        <f ca="1">IF(DatosHoy[[#This Row],[G ajus PM Q3]]=DatosHoy[[#This Row],[G+V ajus PM Q3]],-1,DatosHoy[[#This Row],[G ajus PM Q3]]-DatosHoy[[#This Row],[G+V ajus PM Q3]])</f>
        <v>-141957.38259856775</v>
      </c>
      <c r="BG50" s="94">
        <f ca="1">IF(DatosHoy[[#This Row],[G+V ajus PM Q3]]=DatosHoy[[#This Row],[CT ajus PM Q3]],-1,DatosHoy[[#This Row],[G+V ajus PM Q3]]-DatosHoy[[#This Row],[CT ajus PM Q3]])</f>
        <v>-135155.96678343322</v>
      </c>
      <c r="BH50" s="94">
        <f ca="1">IF(DatosHoy[[#This Row],[G ajus PM Q1]]=DatosHoy[[#This Row],[G ajus PMd]],-1,DatosHoy[[#This Row],[G ajus PM Q1]]-DatosHoy[[#This Row],[G ajus PMd]])</f>
        <v>-556984.6632774421</v>
      </c>
      <c r="BI50" s="94">
        <f ca="1">IF(DatosHoy[[#This Row],[G+V ajus PM Q1]]=DatosHoy[[#This Row],[G+V ajus PM Md]],-1,DatosHoy[[#This Row],[G+V ajus PM Q1]]-DatosHoy[[#This Row],[G+V ajus PM Md]])</f>
        <v>-534330.68470962113</v>
      </c>
      <c r="BJ50" s="94">
        <f ca="1">IF(DatosHoy[[#This Row],[CT ajus PM Q1]]=DatosHoy[[#This Row],[CT ajus PM Md]],-1,DatosHoy[[#This Row],[CT ajus PM Q1]]-DatosHoy[[#This Row],[CT ajus PM Md]])</f>
        <v>-621617.52786963154</v>
      </c>
      <c r="BK50" s="94">
        <f ca="1">IF(DatosHoy[[#This Row],[G ajus PMd]]=DatosHoy[[#This Row],[G ajus PM Q3]],-1,DatosHoy[[#This Row],[G ajus PMd]]-DatosHoy[[#This Row],[G ajus PM Q3]])</f>
        <v>-1430977.9926799387</v>
      </c>
      <c r="BL50" s="94">
        <f ca="1">IF(DatosHoy[[#This Row],[G+V ajus PM Md]]=DatosHoy[[#This Row],[G+V ajus PM Q3]],-1,DatosHoy[[#This Row],[G+V ajus PM Md]]-DatosHoy[[#This Row],[G+V ajus PM Q3]])</f>
        <v>-1493908.9757562764</v>
      </c>
      <c r="BM50" s="94">
        <f ca="1">IF(DatosHoy[[#This Row],[CT ajus PM Md]]=DatosHoy[[#This Row],[CT ajus PM Q3]],-1,DatosHoy[[#This Row],[CT ajus PM Md]]-DatosHoy[[#This Row],[CT ajus PM Q3]])</f>
        <v>-1413289.1742015686</v>
      </c>
      <c r="BN50" s="74">
        <v>249</v>
      </c>
      <c r="BO50" s="94">
        <f ca="1">IFERROR(VLOOKUP($BN50,'Regresion Q1'!$T$6:$V$10,2,1)*$BN50+VLOOKUP($BN50,'Regresion Q1'!$T$6:$V$10,3,1),VLOOKUP(MIN(DatosHoy[Puntos]),'Regresion Q1'!$T$6:$V$10,2,1)*$BN50+VLOOKUP(MIN(DatosHoy[Puntos]),'Regresion Q1'!$T$6:$V$10,3,1))</f>
        <v>3081749.760508724</v>
      </c>
      <c r="BP50" s="94">
        <f ca="1">IFERROR(VLOOKUP($BN50,'Regresion Q1'!$W$6:$Y$10,2,1)*$BN50+VLOOKUP($BN50,'Regresion Q1'!$W$6:$Y$10,3,1),VLOOKUP(MIN(DatosHoy[Puntos]),'Regresion Q1'!$W$6:$Y$10,2,1)*$BN50+VLOOKUP(MIN(DatosHoy[Puntos]),'Regresion Q1'!$W$6:$Y$10,3,1))</f>
        <v>3183430.138598775</v>
      </c>
      <c r="BQ50" s="94">
        <f ca="1">IFERROR(VLOOKUP($BN50,'Regresion Q1'!$Z$6:$AB$10,2,1)*$BN50+VLOOKUP($BN50,'Regresion Q1'!$Z$6:$AB$10,3,1),VLOOKUP(MIN(DatosHoy[Puntos]),'Regresion Q1'!$Z$6:$AB$10,2,1)*$BN50+VLOOKUP(MIN(DatosHoy[Puntos]),'Regresion Q1'!$Z$6:$AB$10,3,1))</f>
        <v>3311919.0637769056</v>
      </c>
      <c r="BR50" s="94">
        <f ca="1">IFERROR(VLOOKUP($BN50,'Regresion Md'!$T$6:$V$10,2,1)*$BN50+VLOOKUP($BN50,'Regresion Md'!$T$6:$V$10,3,1),VLOOKUP(MIN(DatosHoy[Puntos]),'Regresion Md'!$T$6:$V$10,2,1)*$BN50+VLOOKUP(MIN(DatosHoy[Puntos]),'Regresion Md'!$T$6:$V$10,3,1))</f>
        <v>3638734.4237861661</v>
      </c>
      <c r="BS50" s="94">
        <f ca="1">IFERROR(VLOOKUP($BN50,'Regresion Md'!$W$6:$Y$10,2,1)*$BN50+VLOOKUP($BN50,'Regresion Md'!$W$6:$Y$10,3,1),VLOOKUP(MIN(DatosHoy[Puntos]),'Regresion Md'!$W$6:$Y$10,2,1)*$BN50+VLOOKUP(MIN(DatosHoy[Puntos]),'Regresion Md'!$W$6:$Y$10,3,1))</f>
        <v>3717760.8233083962</v>
      </c>
      <c r="BT50" s="94">
        <f ca="1">IFERROR(VLOOKUP($BN50,'Regresion Md'!$Z$6:$AB$10,2,1)*$BN50+VLOOKUP($BN50,'Regresion Md'!$Z$6:$AB$10,3,1),VLOOKUP(MIN(DatosHoy[Puntos]),'Regresion Md'!$Z$6:$AB$10,2,1)*$BN50+VLOOKUP(MIN(DatosHoy[Puntos]),'Regresion Md'!$Z$6:$AB$10,3,1))</f>
        <v>3933536.5916465372</v>
      </c>
      <c r="BU50" s="94">
        <f ca="1">IFERROR(VLOOKUP($BN50,'Regresion Q3'!$T$6:$V$10,2,1)*$BN50+VLOOKUP($BN50,'Regresion Q3'!$T$6:$V$10,3,1),VLOOKUP(MIN(DatosHoy[Puntos]),'Regresion Q3'!$T$6:$V$10,2,1)*$BN50+VLOOKUP(MIN(DatosHoy[Puntos]),'Regresion Q3'!$T$6:$V$10,3,1))</f>
        <v>5069712.4164661048</v>
      </c>
      <c r="BV50" s="94">
        <f ca="1">IFERROR(VLOOKUP($BN50,'Regresion Q3'!$W$6:$Y$10,2,1)*$BN50+VLOOKUP($BN50,'Regresion Q3'!$W$6:$Y$10,3,1),VLOOKUP(MIN(DatosHoy[Puntos]),'Regresion Q3'!$W$6:$Y$10,2,1)*$BN50+VLOOKUP(MIN(DatosHoy[Puntos]),'Regresion Q3'!$W$6:$Y$10,3,1))</f>
        <v>5211669.7990646726</v>
      </c>
      <c r="BW50" s="94">
        <f ca="1">IFERROR(VLOOKUP($BN50,'Regresion Q3'!$Z$6:$AB$10,2,1)*$BN50+VLOOKUP($BN50,'Regresion Q3'!$Z$6:$AB$10,3,1),VLOOKUP(MIN(DatosHoy[Puntos]),'Regresion Q3'!$Z$6:$AB$10,2,1)*$BN50+VLOOKUP(MIN(DatosHoy[Puntos]),'Regresion Q3'!$Z$6:$AB$10,3,1))</f>
        <v>5346825.7658481058</v>
      </c>
      <c r="BX50" s="96">
        <f ca="1">DatosHoy[[#This Row],[CT Actual]]/DatosHoy[[#This Row],[CT ajus PM Md]]</f>
        <v>0.9572413812029309</v>
      </c>
      <c r="BY50" s="125" t="str">
        <f>VLOOKUP(DatosHoy[[#This Row],[Cargo Valorado]],Estadísticos[[Cargo]:[Nivel]],2,FALSE)</f>
        <v>Soporte</v>
      </c>
      <c r="BZ50" s="96">
        <f>(DatosHoy[[#This Row],[G+V Actual]]-DatosHoy[[#This Row],[G Actual]])/DatosHoy[[#This Row],[CT Actual]]</f>
        <v>0</v>
      </c>
      <c r="CA50" s="96">
        <f>(DatosHoy[[#This Row],[CT Actual]]-DatosHoy[[#This Row],[G+V Actual]])/DatosHoy[[#This Row],[CT Actual]]</f>
        <v>0</v>
      </c>
      <c r="CB50" s="139" t="s">
        <v>255</v>
      </c>
    </row>
    <row r="51" spans="2:80" x14ac:dyDescent="0.25">
      <c r="B51" s="73">
        <f t="shared" si="34"/>
        <v>46</v>
      </c>
      <c r="C51" s="74">
        <v>3765344.0000000005</v>
      </c>
      <c r="D51" s="74">
        <v>3765344.0000000005</v>
      </c>
      <c r="E51" s="74">
        <v>3765344.0000000005</v>
      </c>
      <c r="F51" s="94">
        <f>VLOOKUP(DatosHoy[[#This Row],[Cargo Valorado]],Estadísticos[],3,0)</f>
        <v>3391274.6087575429</v>
      </c>
      <c r="G51" s="94">
        <f>VLOOKUP(DatosHoy[[#This Row],[Cargo Valorado]],Estadísticos[],4,0)</f>
        <v>3391274.6087575429</v>
      </c>
      <c r="H51" s="94">
        <f>VLOOKUP(DatosHoy[[#This Row],[Cargo Valorado]],Estadísticos[],5,0)</f>
        <v>3503334.5254242094</v>
      </c>
      <c r="I51" s="94">
        <f>VLOOKUP(DatosHoy[[#This Row],[Cargo Valorado]],Estadísticos[],6,0)</f>
        <v>3590013.7245299509</v>
      </c>
      <c r="J51" s="94">
        <f>VLOOKUP(DatosHoy[[#This Row],[Cargo Valorado]],Estadísticos[],7,0)</f>
        <v>3590013.7245299509</v>
      </c>
      <c r="K51" s="94">
        <f>VLOOKUP(DatosHoy[[#This Row],[Cargo Valorado]],Estadísticos[],8,0)</f>
        <v>3590013.7245299509</v>
      </c>
      <c r="L51" s="94">
        <f>VLOOKUP(DatosHoy[[#This Row],[Cargo Valorado]],Estadísticos[],9,0)</f>
        <v>4036608.4526601988</v>
      </c>
      <c r="M51" s="94">
        <f>VLOOKUP(DatosHoy[[#This Row],[Cargo Valorado]],Estadísticos[],10,0)</f>
        <v>4036608.4526601988</v>
      </c>
      <c r="N51" s="94">
        <f>VLOOKUP(DatosHoy[[#This Row],[Cargo Valorado]],Estadísticos[],11,0)</f>
        <v>4079456.4126601988</v>
      </c>
      <c r="O51" s="75" t="s">
        <v>190</v>
      </c>
      <c r="P51" s="75">
        <v>231</v>
      </c>
      <c r="Q51" s="95" t="str">
        <f t="shared" si="35"/>
        <v>$P$51</v>
      </c>
      <c r="R51" s="95" t="str">
        <f t="shared" si="36"/>
        <v>$F$51</v>
      </c>
      <c r="S51" s="95" t="str">
        <f t="shared" si="37"/>
        <v>$G$51</v>
      </c>
      <c r="T51" s="95" t="str">
        <f t="shared" si="38"/>
        <v>$H$51</v>
      </c>
      <c r="U51" s="95" t="str">
        <f t="shared" si="39"/>
        <v>$I$51</v>
      </c>
      <c r="V51" s="95" t="str">
        <f t="shared" si="40"/>
        <v>$J$51</v>
      </c>
      <c r="W51" s="95" t="str">
        <f t="shared" si="41"/>
        <v>$K$51</v>
      </c>
      <c r="X51" s="95" t="str">
        <f t="shared" si="42"/>
        <v>$L$51</v>
      </c>
      <c r="Y51" s="95" t="str">
        <f t="shared" si="43"/>
        <v>$M$51</v>
      </c>
      <c r="Z51" s="95" t="str">
        <f t="shared" si="44"/>
        <v>$N$51</v>
      </c>
      <c r="AA51" s="94">
        <f ca="1">VLOOKUP($P51,'Regresion Q1'!$E$6:$I$10,4,1)*$P51+VLOOKUP($P51,'Regresion Q1'!$E$6:$I$10,5,1)</f>
        <v>2984792.2047171905</v>
      </c>
      <c r="AB51" s="94">
        <f ca="1">VLOOKUP($P51,'Regresion Q1'!$J$6:$N$10,4,1)*$P51+VLOOKUP($P51,'Regresion Q1'!$J$6:$N$10,5,1)</f>
        <v>3050043.4674223708</v>
      </c>
      <c r="AC51" s="94">
        <f ca="1">VLOOKUP($P51,'Regresion Q1'!$O$6:$S$10,4,1)*$P51+VLOOKUP($P51,'Regresion Q1'!$O$6:$S$10,5,1)</f>
        <v>3226179.676295144</v>
      </c>
      <c r="AD51" s="94">
        <f ca="1">VLOOKUP($P51,'Regresion Md'!$E$6:$I$10,4,1)*$P51+VLOOKUP($P51,'Regresion Md'!$E$6:$I$10,5,1)</f>
        <v>3255935.4364</v>
      </c>
      <c r="AE51" s="94">
        <f ca="1">VLOOKUP($P51,'Regresion Md'!$J$6:$N$10,4,1)*$P51+VLOOKUP($P51,'Regresion Md'!$J$6:$N$10,5,1)</f>
        <v>3285860.1956996694</v>
      </c>
      <c r="AF51" s="94">
        <f ca="1">VLOOKUP($P51,'Regresion Md'!$O$6:$S$10,4,1)*$P51+VLOOKUP($P51,'Regresion Md'!$O$6:$S$10,5,1)</f>
        <v>3477654.3181609949</v>
      </c>
      <c r="AG51" s="94">
        <f ca="1">VLOOKUP($P51,'Regresion Q3'!$E$6:$I$10,4,1)*$P51+VLOOKUP($P51,'Regresion Q3'!$E$6:$I$10,5,1)</f>
        <v>4234380.5841971673</v>
      </c>
      <c r="AH51" s="94">
        <f ca="1">VLOOKUP($P51,'Regresion Q3'!$J$6:$N$10,4,1)*$P51+VLOOKUP($P51,'Regresion Q3'!$J$6:$N$10,5,1)</f>
        <v>4302929.5103996927</v>
      </c>
      <c r="AI51" s="94">
        <f ca="1">VLOOKUP($P51,'Regresion Q3'!$O$6:$S$10,4,1)*$P51+VLOOKUP($P51,'Regresion Q3'!$O$6:$S$10,5,1)</f>
        <v>4491582.1207213951</v>
      </c>
      <c r="AJ51" s="94">
        <f ca="1">VLOOKUP($P51,'Regresion Q1'!$T$6:$V$10,2,1)*$P51+VLOOKUP($P51,'Regresion Q1'!$T$6:$V$10,3,1)</f>
        <v>2901688.2359605911</v>
      </c>
      <c r="AK51" s="94">
        <f ca="1">VLOOKUP($P51,'Regresion Q1'!$W$6:$Y$10,2,1)*$P51+VLOOKUP($P51,'Regresion Q1'!$W$6:$Y$10,3,1)</f>
        <v>3001451.4325379943</v>
      </c>
      <c r="AL51" s="94">
        <f ca="1">VLOOKUP($P51,'Regresion Q1'!$Z$6:$AB$10,2,1)*$P51+VLOOKUP($P51,'Regresion Q1'!$Z$6:$AB$10,3,1)</f>
        <v>3121752.4633972095</v>
      </c>
      <c r="AM51" s="94">
        <f ca="1">VLOOKUP($P51,'Regresion Md'!$T$6:$V$10,2,1)*$P51+VLOOKUP($P51,'Regresion Md'!$T$6:$V$10,3,1)</f>
        <v>3225858.2599042933</v>
      </c>
      <c r="AN51" s="94">
        <f ca="1">VLOOKUP($P51,'Regresion Md'!$W$6:$Y$10,2,1)*$P51+VLOOKUP($P51,'Regresion Md'!$W$6:$Y$10,3,1)</f>
        <v>3270570.1347263325</v>
      </c>
      <c r="AO51" s="94">
        <f ca="1">VLOOKUP($P51,'Regresion Md'!$Z$6:$AB$10,2,1)*$P51+VLOOKUP($P51,'Regresion Md'!$Z$6:$AB$10,3,1)</f>
        <v>3473818.1910852734</v>
      </c>
      <c r="AP51" s="94">
        <f ca="1">VLOOKUP($P51,'Regresion Q3'!$T$6:$V$10,2,1)*$P51+VLOOKUP($P51,'Regresion Q3'!$T$6:$V$10,3,1)</f>
        <v>4737425.6068132007</v>
      </c>
      <c r="AQ51" s="94">
        <f ca="1">VLOOKUP($P51,'Regresion Q3'!$W$6:$Y$10,2,1)*$P51+VLOOKUP($P51,'Regresion Q3'!$W$6:$Y$10,3,1)</f>
        <v>4871557.4503651457</v>
      </c>
      <c r="AR51" s="94">
        <f ca="1">VLOOKUP($P51,'Regresion Q3'!$Z$6:$AB$10,2,1)*$P51+VLOOKUP($P51,'Regresion Q3'!$Z$6:$AB$10,3,1)</f>
        <v>5000312.7278031111</v>
      </c>
      <c r="AS51" s="94">
        <f>IF($BN51=$BN52,-1,DatosHoy[[#This Row],[G ajus PM Q1]]-BO52)</f>
        <v>-1</v>
      </c>
      <c r="AT51" s="94">
        <f>IF($BN51=$BN52,-1,DatosHoy[[#This Row],[G+V ajus PM Q1]]-BP52)</f>
        <v>-1</v>
      </c>
      <c r="AU51" s="94">
        <f>IF($BN51=$BN52,-1,DatosHoy[[#This Row],[CT ajus PM Q1]]-BQ52)</f>
        <v>-1</v>
      </c>
      <c r="AV51" s="94">
        <f ca="1">IF(DatosHoy[[#This Row],[G ajus PM Q1]]=DatosHoy[[#This Row],[G+V ajus PM Q1]],-1,DatosHoy[[#This Row],[G ajus PM Q1]]-DatosHoy[[#This Row],[G+V ajus PM Q1]])</f>
        <v>-101680.378090051</v>
      </c>
      <c r="AW51" s="94">
        <f ca="1">IF(DatosHoy[[#This Row],[G+V ajus PM Q1]]=DatosHoy[[#This Row],[CT ajus PM Q1]],-1,DatosHoy[[#This Row],[G+V ajus PM Q1]]-DatosHoy[[#This Row],[CT ajus PM Q1]])</f>
        <v>-128488.92517813062</v>
      </c>
      <c r="AX51" s="94">
        <f>IF($BN51=$BN52,-1,DatosHoy[[#This Row],[G ajus PMd]]-BR52)</f>
        <v>-1</v>
      </c>
      <c r="AY51" s="94">
        <f>IF($BN51=$BN52,-1,DatosHoy[[#This Row],[G+V ajus PM Md]]-BS52)</f>
        <v>-1</v>
      </c>
      <c r="AZ51" s="94">
        <f>IF($BN51=$BN52,-1,DatosHoy[[#This Row],[CT ajus PM Md]]-BT52)</f>
        <v>-1</v>
      </c>
      <c r="BA51" s="94">
        <f ca="1">IF(DatosHoy[[#This Row],[G ajus PMd]]=DatosHoy[[#This Row],[G+V ajus PM Md]],-1,DatosHoy[[#This Row],[G ajus PMd]]-DatosHoy[[#This Row],[G+V ajus PM Md]])</f>
        <v>-79026.399522230029</v>
      </c>
      <c r="BB51" s="94">
        <f ca="1">IF(DatosHoy[[#This Row],[G+V ajus PM Md]]=DatosHoy[[#This Row],[CT ajus PM Md]],-1,DatosHoy[[#This Row],[G+V ajus PM Md]]-DatosHoy[[#This Row],[CT ajus PM Md]])</f>
        <v>-215775.76833814103</v>
      </c>
      <c r="BC51" s="94">
        <f>IF($BN51=$BN52,-1,DatosHoy[[#This Row],[G ajus PM Q3]]-BU52)</f>
        <v>-1</v>
      </c>
      <c r="BD51" s="94">
        <f>IF($BN51=$BN52,-1,DatosHoy[[#This Row],[G+V ajus PM Q3]]-BV52)</f>
        <v>-1</v>
      </c>
      <c r="BE51" s="94">
        <f>IF($BN51=$BN52,-1,DatosHoy[[#This Row],[CT ajus PM Q3]]-BW52)</f>
        <v>-1</v>
      </c>
      <c r="BF51" s="94">
        <f ca="1">IF(DatosHoy[[#This Row],[G ajus PM Q3]]=DatosHoy[[#This Row],[G+V ajus PM Q3]],-1,DatosHoy[[#This Row],[G ajus PM Q3]]-DatosHoy[[#This Row],[G+V ajus PM Q3]])</f>
        <v>-141957.38259856775</v>
      </c>
      <c r="BG51" s="94">
        <f ca="1">IF(DatosHoy[[#This Row],[G+V ajus PM Q3]]=DatosHoy[[#This Row],[CT ajus PM Q3]],-1,DatosHoy[[#This Row],[G+V ajus PM Q3]]-DatosHoy[[#This Row],[CT ajus PM Q3]])</f>
        <v>-135155.96678343322</v>
      </c>
      <c r="BH51" s="94">
        <f ca="1">IF(DatosHoy[[#This Row],[G ajus PM Q1]]=DatosHoy[[#This Row],[G ajus PMd]],-1,DatosHoy[[#This Row],[G ajus PM Q1]]-DatosHoy[[#This Row],[G ajus PMd]])</f>
        <v>-556984.6632774421</v>
      </c>
      <c r="BI51" s="94">
        <f ca="1">IF(DatosHoy[[#This Row],[G+V ajus PM Q1]]=DatosHoy[[#This Row],[G+V ajus PM Md]],-1,DatosHoy[[#This Row],[G+V ajus PM Q1]]-DatosHoy[[#This Row],[G+V ajus PM Md]])</f>
        <v>-534330.68470962113</v>
      </c>
      <c r="BJ51" s="94">
        <f ca="1">IF(DatosHoy[[#This Row],[CT ajus PM Q1]]=DatosHoy[[#This Row],[CT ajus PM Md]],-1,DatosHoy[[#This Row],[CT ajus PM Q1]]-DatosHoy[[#This Row],[CT ajus PM Md]])</f>
        <v>-621617.52786963154</v>
      </c>
      <c r="BK51" s="94">
        <f ca="1">IF(DatosHoy[[#This Row],[G ajus PMd]]=DatosHoy[[#This Row],[G ajus PM Q3]],-1,DatosHoy[[#This Row],[G ajus PMd]]-DatosHoy[[#This Row],[G ajus PM Q3]])</f>
        <v>-1430977.9926799387</v>
      </c>
      <c r="BL51" s="94">
        <f ca="1">IF(DatosHoy[[#This Row],[G+V ajus PM Md]]=DatosHoy[[#This Row],[G+V ajus PM Q3]],-1,DatosHoy[[#This Row],[G+V ajus PM Md]]-DatosHoy[[#This Row],[G+V ajus PM Q3]])</f>
        <v>-1493908.9757562764</v>
      </c>
      <c r="BM51" s="94">
        <f ca="1">IF(DatosHoy[[#This Row],[CT ajus PM Md]]=DatosHoy[[#This Row],[CT ajus PM Q3]],-1,DatosHoy[[#This Row],[CT ajus PM Md]]-DatosHoy[[#This Row],[CT ajus PM Q3]])</f>
        <v>-1413289.1742015686</v>
      </c>
      <c r="BN51" s="74">
        <v>249</v>
      </c>
      <c r="BO51" s="94">
        <f ca="1">IFERROR(VLOOKUP($BN51,'Regresion Q1'!$T$6:$V$10,2,1)*$BN51+VLOOKUP($BN51,'Regresion Q1'!$T$6:$V$10,3,1),VLOOKUP(MIN(DatosHoy[Puntos]),'Regresion Q1'!$T$6:$V$10,2,1)*$BN51+VLOOKUP(MIN(DatosHoy[Puntos]),'Regresion Q1'!$T$6:$V$10,3,1))</f>
        <v>3081749.760508724</v>
      </c>
      <c r="BP51" s="94">
        <f ca="1">IFERROR(VLOOKUP($BN51,'Regresion Q1'!$W$6:$Y$10,2,1)*$BN51+VLOOKUP($BN51,'Regresion Q1'!$W$6:$Y$10,3,1),VLOOKUP(MIN(DatosHoy[Puntos]),'Regresion Q1'!$W$6:$Y$10,2,1)*$BN51+VLOOKUP(MIN(DatosHoy[Puntos]),'Regresion Q1'!$W$6:$Y$10,3,1))</f>
        <v>3183430.138598775</v>
      </c>
      <c r="BQ51" s="94">
        <f ca="1">IFERROR(VLOOKUP($BN51,'Regresion Q1'!$Z$6:$AB$10,2,1)*$BN51+VLOOKUP($BN51,'Regresion Q1'!$Z$6:$AB$10,3,1),VLOOKUP(MIN(DatosHoy[Puntos]),'Regresion Q1'!$Z$6:$AB$10,2,1)*$BN51+VLOOKUP(MIN(DatosHoy[Puntos]),'Regresion Q1'!$Z$6:$AB$10,3,1))</f>
        <v>3311919.0637769056</v>
      </c>
      <c r="BR51" s="94">
        <f ca="1">IFERROR(VLOOKUP($BN51,'Regresion Md'!$T$6:$V$10,2,1)*$BN51+VLOOKUP($BN51,'Regresion Md'!$T$6:$V$10,3,1),VLOOKUP(MIN(DatosHoy[Puntos]),'Regresion Md'!$T$6:$V$10,2,1)*$BN51+VLOOKUP(MIN(DatosHoy[Puntos]),'Regresion Md'!$T$6:$V$10,3,1))</f>
        <v>3638734.4237861661</v>
      </c>
      <c r="BS51" s="94">
        <f ca="1">IFERROR(VLOOKUP($BN51,'Regresion Md'!$W$6:$Y$10,2,1)*$BN51+VLOOKUP($BN51,'Regresion Md'!$W$6:$Y$10,3,1),VLOOKUP(MIN(DatosHoy[Puntos]),'Regresion Md'!$W$6:$Y$10,2,1)*$BN51+VLOOKUP(MIN(DatosHoy[Puntos]),'Regresion Md'!$W$6:$Y$10,3,1))</f>
        <v>3717760.8233083962</v>
      </c>
      <c r="BT51" s="94">
        <f ca="1">IFERROR(VLOOKUP($BN51,'Regresion Md'!$Z$6:$AB$10,2,1)*$BN51+VLOOKUP($BN51,'Regresion Md'!$Z$6:$AB$10,3,1),VLOOKUP(MIN(DatosHoy[Puntos]),'Regresion Md'!$Z$6:$AB$10,2,1)*$BN51+VLOOKUP(MIN(DatosHoy[Puntos]),'Regresion Md'!$Z$6:$AB$10,3,1))</f>
        <v>3933536.5916465372</v>
      </c>
      <c r="BU51" s="94">
        <f ca="1">IFERROR(VLOOKUP($BN51,'Regresion Q3'!$T$6:$V$10,2,1)*$BN51+VLOOKUP($BN51,'Regresion Q3'!$T$6:$V$10,3,1),VLOOKUP(MIN(DatosHoy[Puntos]),'Regresion Q3'!$T$6:$V$10,2,1)*$BN51+VLOOKUP(MIN(DatosHoy[Puntos]),'Regresion Q3'!$T$6:$V$10,3,1))</f>
        <v>5069712.4164661048</v>
      </c>
      <c r="BV51" s="94">
        <f ca="1">IFERROR(VLOOKUP($BN51,'Regresion Q3'!$W$6:$Y$10,2,1)*$BN51+VLOOKUP($BN51,'Regresion Q3'!$W$6:$Y$10,3,1),VLOOKUP(MIN(DatosHoy[Puntos]),'Regresion Q3'!$W$6:$Y$10,2,1)*$BN51+VLOOKUP(MIN(DatosHoy[Puntos]),'Regresion Q3'!$W$6:$Y$10,3,1))</f>
        <v>5211669.7990646726</v>
      </c>
      <c r="BW51" s="94">
        <f ca="1">IFERROR(VLOOKUP($BN51,'Regresion Q3'!$Z$6:$AB$10,2,1)*$BN51+VLOOKUP($BN51,'Regresion Q3'!$Z$6:$AB$10,3,1),VLOOKUP(MIN(DatosHoy[Puntos]),'Regresion Q3'!$Z$6:$AB$10,2,1)*$BN51+VLOOKUP(MIN(DatosHoy[Puntos]),'Regresion Q3'!$Z$6:$AB$10,3,1))</f>
        <v>5346825.7658481058</v>
      </c>
      <c r="BX51" s="96">
        <f ca="1">DatosHoy[[#This Row],[CT Actual]]/DatosHoy[[#This Row],[CT ajus PM Md]]</f>
        <v>0.9572413812029309</v>
      </c>
      <c r="BY51" s="125" t="str">
        <f>VLOOKUP(DatosHoy[[#This Row],[Cargo Valorado]],Estadísticos[[Cargo]:[Nivel]],2,FALSE)</f>
        <v>Soporte</v>
      </c>
      <c r="BZ51" s="96">
        <f>(DatosHoy[[#This Row],[G+V Actual]]-DatosHoy[[#This Row],[G Actual]])/DatosHoy[[#This Row],[CT Actual]]</f>
        <v>0</v>
      </c>
      <c r="CA51" s="96">
        <f>(DatosHoy[[#This Row],[CT Actual]]-DatosHoy[[#This Row],[G+V Actual]])/DatosHoy[[#This Row],[CT Actual]]</f>
        <v>0</v>
      </c>
      <c r="CB51" s="139" t="s">
        <v>255</v>
      </c>
    </row>
    <row r="52" spans="2:80" x14ac:dyDescent="0.25">
      <c r="B52" s="73">
        <f t="shared" si="34"/>
        <v>47</v>
      </c>
      <c r="C52" s="74">
        <v>2828714.68</v>
      </c>
      <c r="D52" s="74">
        <v>2828714.68</v>
      </c>
      <c r="E52" s="74">
        <v>2828714.68</v>
      </c>
      <c r="F52" s="94">
        <f>VLOOKUP(DatosHoy[[#This Row],[Cargo Valorado]],Estadísticos[],3,0)</f>
        <v>2877402.8716230621</v>
      </c>
      <c r="G52" s="94">
        <f>VLOOKUP(DatosHoy[[#This Row],[Cargo Valorado]],Estadísticos[],4,0)</f>
        <v>2877402.8716230621</v>
      </c>
      <c r="H52" s="94">
        <f>VLOOKUP(DatosHoy[[#This Row],[Cargo Valorado]],Estadísticos[],5,0)</f>
        <v>2974386.7690427979</v>
      </c>
      <c r="I52" s="94">
        <f>VLOOKUP(DatosHoy[[#This Row],[Cargo Valorado]],Estadísticos[],6,0)</f>
        <v>3381759.9558421723</v>
      </c>
      <c r="J52" s="94">
        <f>VLOOKUP(DatosHoy[[#This Row],[Cargo Valorado]],Estadísticos[],7,0)</f>
        <v>3978541.1245202031</v>
      </c>
      <c r="K52" s="94">
        <f>VLOOKUP(DatosHoy[[#This Row],[Cargo Valorado]],Estadísticos[],8,0)</f>
        <v>3978541.1245202031</v>
      </c>
      <c r="L52" s="94">
        <f>VLOOKUP(DatosHoy[[#This Row],[Cargo Valorado]],Estadísticos[],9,0)</f>
        <v>5224188.2690781383</v>
      </c>
      <c r="M52" s="94">
        <f>VLOOKUP(DatosHoy[[#This Row],[Cargo Valorado]],Estadísticos[],10,0)</f>
        <v>5224188.2690781383</v>
      </c>
      <c r="N52" s="94">
        <f>VLOOKUP(DatosHoy[[#This Row],[Cargo Valorado]],Estadísticos[],11,0)</f>
        <v>5224188.2690781383</v>
      </c>
      <c r="O52" s="75" t="s">
        <v>230</v>
      </c>
      <c r="P52" s="75">
        <v>236</v>
      </c>
      <c r="Q52" s="95" t="str">
        <f t="shared" si="35"/>
        <v>$P$52</v>
      </c>
      <c r="R52" s="95" t="str">
        <f t="shared" si="36"/>
        <v>$F$52</v>
      </c>
      <c r="S52" s="95" t="str">
        <f t="shared" si="37"/>
        <v>$G$52</v>
      </c>
      <c r="T52" s="95" t="str">
        <f t="shared" si="38"/>
        <v>$H$52</v>
      </c>
      <c r="U52" s="95" t="str">
        <f t="shared" si="39"/>
        <v>$I$52</v>
      </c>
      <c r="V52" s="95" t="str">
        <f t="shared" si="40"/>
        <v>$J$52</v>
      </c>
      <c r="W52" s="95" t="str">
        <f t="shared" si="41"/>
        <v>$K$52</v>
      </c>
      <c r="X52" s="95" t="str">
        <f t="shared" si="42"/>
        <v>$L$52</v>
      </c>
      <c r="Y52" s="95" t="str">
        <f t="shared" si="43"/>
        <v>$M$52</v>
      </c>
      <c r="Z52" s="95" t="str">
        <f t="shared" si="44"/>
        <v>$N$52</v>
      </c>
      <c r="AA52" s="94">
        <f ca="1">VLOOKUP($P52,'Regresion Q1'!$E$6:$I$10,4,1)*$P52+VLOOKUP($P52,'Regresion Q1'!$E$6:$I$10,5,1)</f>
        <v>3052053.5615121243</v>
      </c>
      <c r="AB52" s="94">
        <f ca="1">VLOOKUP($P52,'Regresion Q1'!$J$6:$N$10,4,1)*$P52+VLOOKUP($P52,'Regresion Q1'!$J$6:$N$10,5,1)</f>
        <v>3119234.9693745696</v>
      </c>
      <c r="AC52" s="94">
        <f ca="1">VLOOKUP($P52,'Regresion Q1'!$O$6:$S$10,4,1)*$P52+VLOOKUP($P52,'Regresion Q1'!$O$6:$S$10,5,1)</f>
        <v>3297580.1960458197</v>
      </c>
      <c r="AD52" s="94">
        <f ca="1">VLOOKUP($P52,'Regresion Md'!$E$6:$I$10,4,1)*$P52+VLOOKUP($P52,'Regresion Md'!$E$6:$I$10,5,1)</f>
        <v>3381365.1084489869</v>
      </c>
      <c r="AE52" s="94">
        <f ca="1">VLOOKUP($P52,'Regresion Md'!$J$6:$N$10,4,1)*$P52+VLOOKUP($P52,'Regresion Md'!$J$6:$N$10,5,1)</f>
        <v>3415540.567478816</v>
      </c>
      <c r="AF52" s="94">
        <f ca="1">VLOOKUP($P52,'Regresion Md'!$O$6:$S$10,4,1)*$P52+VLOOKUP($P52,'Regresion Md'!$O$6:$S$10,5,1)</f>
        <v>3606723.9192566434</v>
      </c>
      <c r="AG52" s="94">
        <f ca="1">VLOOKUP($P52,'Regresion Q3'!$E$6:$I$10,4,1)*$P52+VLOOKUP($P52,'Regresion Q3'!$E$6:$I$10,5,1)</f>
        <v>4358844.5234439801</v>
      </c>
      <c r="AH52" s="94">
        <f ca="1">VLOOKUP($P52,'Regresion Q3'!$J$6:$N$10,4,1)*$P52+VLOOKUP($P52,'Regresion Q3'!$J$6:$N$10,5,1)</f>
        <v>4428963.769505132</v>
      </c>
      <c r="AI52" s="94">
        <f ca="1">VLOOKUP($P52,'Regresion Q3'!$O$6:$S$10,4,1)*$P52+VLOOKUP($P52,'Regresion Q3'!$O$6:$S$10,5,1)</f>
        <v>4616870.672884129</v>
      </c>
      <c r="AJ52" s="94">
        <f ca="1">VLOOKUP($P52,'Regresion Q1'!$T$6:$V$10,2,1)*$P52+VLOOKUP($P52,'Regresion Q1'!$T$6:$V$10,3,1)</f>
        <v>2951705.3261128506</v>
      </c>
      <c r="AK52" s="94">
        <f ca="1">VLOOKUP($P52,'Regresion Q1'!$W$6:$Y$10,2,1)*$P52+VLOOKUP($P52,'Regresion Q1'!$W$6:$Y$10,3,1)</f>
        <v>3052001.0731104333</v>
      </c>
      <c r="AL52" s="94">
        <f ca="1">VLOOKUP($P52,'Regresion Q1'!$Z$6:$AB$10,2,1)*$P52+VLOOKUP($P52,'Regresion Q1'!$Z$6:$AB$10,3,1)</f>
        <v>3174576.5190582364</v>
      </c>
      <c r="AM52" s="94">
        <f ca="1">VLOOKUP($P52,'Regresion Md'!$T$6:$V$10,2,1)*$P52+VLOOKUP($P52,'Regresion Md'!$T$6:$V$10,3,1)</f>
        <v>3340546.0832048133</v>
      </c>
      <c r="AN52" s="94">
        <f ca="1">VLOOKUP($P52,'Regresion Md'!$W$6:$Y$10,2,1)*$P52+VLOOKUP($P52,'Regresion Md'!$W$6:$Y$10,3,1)</f>
        <v>3394789.7704435727</v>
      </c>
      <c r="AO52" s="94">
        <f ca="1">VLOOKUP($P52,'Regresion Md'!$Z$6:$AB$10,2,1)*$P52+VLOOKUP($P52,'Regresion Md'!$Z$6:$AB$10,3,1)</f>
        <v>3601517.7467967356</v>
      </c>
      <c r="AP52" s="94">
        <f ca="1">VLOOKUP($P52,'Regresion Q3'!$T$6:$V$10,2,1)*$P52+VLOOKUP($P52,'Regresion Q3'!$T$6:$V$10,3,1)</f>
        <v>4829727.4983834513</v>
      </c>
      <c r="AQ52" s="94">
        <f ca="1">VLOOKUP($P52,'Regresion Q3'!$W$6:$Y$10,2,1)*$P52+VLOOKUP($P52,'Regresion Q3'!$W$6:$Y$10,3,1)</f>
        <v>4966033.1027816813</v>
      </c>
      <c r="AR52" s="94">
        <f ca="1">VLOOKUP($P52,'Regresion Q3'!$Z$6:$AB$10,2,1)*$P52+VLOOKUP($P52,'Regresion Q3'!$Z$6:$AB$10,3,1)</f>
        <v>5096566.3494822765</v>
      </c>
      <c r="AS52" s="94">
        <f>IF($BN52=$BN53,-1,DatosHoy[[#This Row],[G ajus PM Q1]]-BO53)</f>
        <v>-1</v>
      </c>
      <c r="AT52" s="94">
        <f>IF($BN52=$BN53,-1,DatosHoy[[#This Row],[G+V ajus PM Q1]]-BP53)</f>
        <v>-1</v>
      </c>
      <c r="AU52" s="94">
        <f>IF($BN52=$BN53,-1,DatosHoy[[#This Row],[CT ajus PM Q1]]-BQ53)</f>
        <v>-1</v>
      </c>
      <c r="AV52" s="94">
        <f ca="1">IF(DatosHoy[[#This Row],[G ajus PM Q1]]=DatosHoy[[#This Row],[G+V ajus PM Q1]],-1,DatosHoy[[#This Row],[G ajus PM Q1]]-DatosHoy[[#This Row],[G+V ajus PM Q1]])</f>
        <v>-101680.378090051</v>
      </c>
      <c r="AW52" s="94">
        <f ca="1">IF(DatosHoy[[#This Row],[G+V ajus PM Q1]]=DatosHoy[[#This Row],[CT ajus PM Q1]],-1,DatosHoy[[#This Row],[G+V ajus PM Q1]]-DatosHoy[[#This Row],[CT ajus PM Q1]])</f>
        <v>-128488.92517813062</v>
      </c>
      <c r="AX52" s="94">
        <f>IF($BN52=$BN53,-1,DatosHoy[[#This Row],[G ajus PMd]]-BR53)</f>
        <v>-1</v>
      </c>
      <c r="AY52" s="94">
        <f>IF($BN52=$BN53,-1,DatosHoy[[#This Row],[G+V ajus PM Md]]-BS53)</f>
        <v>-1</v>
      </c>
      <c r="AZ52" s="94">
        <f>IF($BN52=$BN53,-1,DatosHoy[[#This Row],[CT ajus PM Md]]-BT53)</f>
        <v>-1</v>
      </c>
      <c r="BA52" s="94">
        <f ca="1">IF(DatosHoy[[#This Row],[G ajus PMd]]=DatosHoy[[#This Row],[G+V ajus PM Md]],-1,DatosHoy[[#This Row],[G ajus PMd]]-DatosHoy[[#This Row],[G+V ajus PM Md]])</f>
        <v>-79026.399522230029</v>
      </c>
      <c r="BB52" s="94">
        <f ca="1">IF(DatosHoy[[#This Row],[G+V ajus PM Md]]=DatosHoy[[#This Row],[CT ajus PM Md]],-1,DatosHoy[[#This Row],[G+V ajus PM Md]]-DatosHoy[[#This Row],[CT ajus PM Md]])</f>
        <v>-215775.76833814103</v>
      </c>
      <c r="BC52" s="94">
        <f>IF($BN52=$BN53,-1,DatosHoy[[#This Row],[G ajus PM Q3]]-BU53)</f>
        <v>-1</v>
      </c>
      <c r="BD52" s="94">
        <f>IF($BN52=$BN53,-1,DatosHoy[[#This Row],[G+V ajus PM Q3]]-BV53)</f>
        <v>-1</v>
      </c>
      <c r="BE52" s="94">
        <f>IF($BN52=$BN53,-1,DatosHoy[[#This Row],[CT ajus PM Q3]]-BW53)</f>
        <v>-1</v>
      </c>
      <c r="BF52" s="94">
        <f ca="1">IF(DatosHoy[[#This Row],[G ajus PM Q3]]=DatosHoy[[#This Row],[G+V ajus PM Q3]],-1,DatosHoy[[#This Row],[G ajus PM Q3]]-DatosHoy[[#This Row],[G+V ajus PM Q3]])</f>
        <v>-141957.38259856775</v>
      </c>
      <c r="BG52" s="94">
        <f ca="1">IF(DatosHoy[[#This Row],[G+V ajus PM Q3]]=DatosHoy[[#This Row],[CT ajus PM Q3]],-1,DatosHoy[[#This Row],[G+V ajus PM Q3]]-DatosHoy[[#This Row],[CT ajus PM Q3]])</f>
        <v>-135155.96678343322</v>
      </c>
      <c r="BH52" s="94">
        <f ca="1">IF(DatosHoy[[#This Row],[G ajus PM Q1]]=DatosHoy[[#This Row],[G ajus PMd]],-1,DatosHoy[[#This Row],[G ajus PM Q1]]-DatosHoy[[#This Row],[G ajus PMd]])</f>
        <v>-556984.6632774421</v>
      </c>
      <c r="BI52" s="94">
        <f ca="1">IF(DatosHoy[[#This Row],[G+V ajus PM Q1]]=DatosHoy[[#This Row],[G+V ajus PM Md]],-1,DatosHoy[[#This Row],[G+V ajus PM Q1]]-DatosHoy[[#This Row],[G+V ajus PM Md]])</f>
        <v>-534330.68470962113</v>
      </c>
      <c r="BJ52" s="94">
        <f ca="1">IF(DatosHoy[[#This Row],[CT ajus PM Q1]]=DatosHoy[[#This Row],[CT ajus PM Md]],-1,DatosHoy[[#This Row],[CT ajus PM Q1]]-DatosHoy[[#This Row],[CT ajus PM Md]])</f>
        <v>-621617.52786963154</v>
      </c>
      <c r="BK52" s="94">
        <f ca="1">IF(DatosHoy[[#This Row],[G ajus PMd]]=DatosHoy[[#This Row],[G ajus PM Q3]],-1,DatosHoy[[#This Row],[G ajus PMd]]-DatosHoy[[#This Row],[G ajus PM Q3]])</f>
        <v>-1430977.9926799387</v>
      </c>
      <c r="BL52" s="94">
        <f ca="1">IF(DatosHoy[[#This Row],[G+V ajus PM Md]]=DatosHoy[[#This Row],[G+V ajus PM Q3]],-1,DatosHoy[[#This Row],[G+V ajus PM Md]]-DatosHoy[[#This Row],[G+V ajus PM Q3]])</f>
        <v>-1493908.9757562764</v>
      </c>
      <c r="BM52" s="94">
        <f ca="1">IF(DatosHoy[[#This Row],[CT ajus PM Md]]=DatosHoy[[#This Row],[CT ajus PM Q3]],-1,DatosHoy[[#This Row],[CT ajus PM Md]]-DatosHoy[[#This Row],[CT ajus PM Q3]])</f>
        <v>-1413289.1742015686</v>
      </c>
      <c r="BN52" s="74">
        <v>249</v>
      </c>
      <c r="BO52" s="94">
        <f ca="1">IFERROR(VLOOKUP($BN52,'Regresion Q1'!$T$6:$V$10,2,1)*$BN52+VLOOKUP($BN52,'Regresion Q1'!$T$6:$V$10,3,1),VLOOKUP(MIN(DatosHoy[Puntos]),'Regresion Q1'!$T$6:$V$10,2,1)*$BN52+VLOOKUP(MIN(DatosHoy[Puntos]),'Regresion Q1'!$T$6:$V$10,3,1))</f>
        <v>3081749.760508724</v>
      </c>
      <c r="BP52" s="94">
        <f ca="1">IFERROR(VLOOKUP($BN52,'Regresion Q1'!$W$6:$Y$10,2,1)*$BN52+VLOOKUP($BN52,'Regresion Q1'!$W$6:$Y$10,3,1),VLOOKUP(MIN(DatosHoy[Puntos]),'Regresion Q1'!$W$6:$Y$10,2,1)*$BN52+VLOOKUP(MIN(DatosHoy[Puntos]),'Regresion Q1'!$W$6:$Y$10,3,1))</f>
        <v>3183430.138598775</v>
      </c>
      <c r="BQ52" s="94">
        <f ca="1">IFERROR(VLOOKUP($BN52,'Regresion Q1'!$Z$6:$AB$10,2,1)*$BN52+VLOOKUP($BN52,'Regresion Q1'!$Z$6:$AB$10,3,1),VLOOKUP(MIN(DatosHoy[Puntos]),'Regresion Q1'!$Z$6:$AB$10,2,1)*$BN52+VLOOKUP(MIN(DatosHoy[Puntos]),'Regresion Q1'!$Z$6:$AB$10,3,1))</f>
        <v>3311919.0637769056</v>
      </c>
      <c r="BR52" s="94">
        <f ca="1">IFERROR(VLOOKUP($BN52,'Regresion Md'!$T$6:$V$10,2,1)*$BN52+VLOOKUP($BN52,'Regresion Md'!$T$6:$V$10,3,1),VLOOKUP(MIN(DatosHoy[Puntos]),'Regresion Md'!$T$6:$V$10,2,1)*$BN52+VLOOKUP(MIN(DatosHoy[Puntos]),'Regresion Md'!$T$6:$V$10,3,1))</f>
        <v>3638734.4237861661</v>
      </c>
      <c r="BS52" s="94">
        <f ca="1">IFERROR(VLOOKUP($BN52,'Regresion Md'!$W$6:$Y$10,2,1)*$BN52+VLOOKUP($BN52,'Regresion Md'!$W$6:$Y$10,3,1),VLOOKUP(MIN(DatosHoy[Puntos]),'Regresion Md'!$W$6:$Y$10,2,1)*$BN52+VLOOKUP(MIN(DatosHoy[Puntos]),'Regresion Md'!$W$6:$Y$10,3,1))</f>
        <v>3717760.8233083962</v>
      </c>
      <c r="BT52" s="94">
        <f ca="1">IFERROR(VLOOKUP($BN52,'Regresion Md'!$Z$6:$AB$10,2,1)*$BN52+VLOOKUP($BN52,'Regresion Md'!$Z$6:$AB$10,3,1),VLOOKUP(MIN(DatosHoy[Puntos]),'Regresion Md'!$Z$6:$AB$10,2,1)*$BN52+VLOOKUP(MIN(DatosHoy[Puntos]),'Regresion Md'!$Z$6:$AB$10,3,1))</f>
        <v>3933536.5916465372</v>
      </c>
      <c r="BU52" s="94">
        <f ca="1">IFERROR(VLOOKUP($BN52,'Regresion Q3'!$T$6:$V$10,2,1)*$BN52+VLOOKUP($BN52,'Regresion Q3'!$T$6:$V$10,3,1),VLOOKUP(MIN(DatosHoy[Puntos]),'Regresion Q3'!$T$6:$V$10,2,1)*$BN52+VLOOKUP(MIN(DatosHoy[Puntos]),'Regresion Q3'!$T$6:$V$10,3,1))</f>
        <v>5069712.4164661048</v>
      </c>
      <c r="BV52" s="94">
        <f ca="1">IFERROR(VLOOKUP($BN52,'Regresion Q3'!$W$6:$Y$10,2,1)*$BN52+VLOOKUP($BN52,'Regresion Q3'!$W$6:$Y$10,3,1),VLOOKUP(MIN(DatosHoy[Puntos]),'Regresion Q3'!$W$6:$Y$10,2,1)*$BN52+VLOOKUP(MIN(DatosHoy[Puntos]),'Regresion Q3'!$W$6:$Y$10,3,1))</f>
        <v>5211669.7990646726</v>
      </c>
      <c r="BW52" s="94">
        <f ca="1">IFERROR(VLOOKUP($BN52,'Regresion Q3'!$Z$6:$AB$10,2,1)*$BN52+VLOOKUP($BN52,'Regresion Q3'!$Z$6:$AB$10,3,1),VLOOKUP(MIN(DatosHoy[Puntos]),'Regresion Q3'!$Z$6:$AB$10,2,1)*$BN52+VLOOKUP(MIN(DatosHoy[Puntos]),'Regresion Q3'!$Z$6:$AB$10,3,1))</f>
        <v>5346825.7658481058</v>
      </c>
      <c r="BX52" s="96">
        <f ca="1">DatosHoy[[#This Row],[CT Actual]]/DatosHoy[[#This Row],[CT ajus PM Md]]</f>
        <v>0.71912758762870177</v>
      </c>
      <c r="BY52" s="125" t="str">
        <f>VLOOKUP(DatosHoy[[#This Row],[Cargo Valorado]],Estadísticos[[Cargo]:[Nivel]],2,FALSE)</f>
        <v>Soporte</v>
      </c>
      <c r="BZ52" s="96">
        <f>(DatosHoy[[#This Row],[G+V Actual]]-DatosHoy[[#This Row],[G Actual]])/DatosHoy[[#This Row],[CT Actual]]</f>
        <v>0</v>
      </c>
      <c r="CA52" s="96">
        <f>(DatosHoy[[#This Row],[CT Actual]]-DatosHoy[[#This Row],[G+V Actual]])/DatosHoy[[#This Row],[CT Actual]]</f>
        <v>0</v>
      </c>
      <c r="CB52" s="139" t="s">
        <v>255</v>
      </c>
    </row>
    <row r="53" spans="2:80" x14ac:dyDescent="0.25">
      <c r="B53" s="73">
        <f t="shared" si="34"/>
        <v>48</v>
      </c>
      <c r="C53" s="74">
        <v>2828714.68</v>
      </c>
      <c r="D53" s="74">
        <v>2828714.68</v>
      </c>
      <c r="E53" s="74">
        <v>2828714.68</v>
      </c>
      <c r="F53" s="94">
        <f>VLOOKUP(DatosHoy[[#This Row],[Cargo Valorado]],Estadísticos[],3,0)</f>
        <v>2877402.8716230621</v>
      </c>
      <c r="G53" s="94">
        <f>VLOOKUP(DatosHoy[[#This Row],[Cargo Valorado]],Estadísticos[],4,0)</f>
        <v>2877402.8716230621</v>
      </c>
      <c r="H53" s="94">
        <f>VLOOKUP(DatosHoy[[#This Row],[Cargo Valorado]],Estadísticos[],5,0)</f>
        <v>2974386.7690427979</v>
      </c>
      <c r="I53" s="94">
        <f>VLOOKUP(DatosHoy[[#This Row],[Cargo Valorado]],Estadísticos[],6,0)</f>
        <v>3381759.9558421723</v>
      </c>
      <c r="J53" s="94">
        <f>VLOOKUP(DatosHoy[[#This Row],[Cargo Valorado]],Estadísticos[],7,0)</f>
        <v>3978541.1245202031</v>
      </c>
      <c r="K53" s="94">
        <f>VLOOKUP(DatosHoy[[#This Row],[Cargo Valorado]],Estadísticos[],8,0)</f>
        <v>3978541.1245202031</v>
      </c>
      <c r="L53" s="94">
        <f>VLOOKUP(DatosHoy[[#This Row],[Cargo Valorado]],Estadísticos[],9,0)</f>
        <v>5224188.2690781383</v>
      </c>
      <c r="M53" s="94">
        <f>VLOOKUP(DatosHoy[[#This Row],[Cargo Valorado]],Estadísticos[],10,0)</f>
        <v>5224188.2690781383</v>
      </c>
      <c r="N53" s="94">
        <f>VLOOKUP(DatosHoy[[#This Row],[Cargo Valorado]],Estadísticos[],11,0)</f>
        <v>5224188.2690781383</v>
      </c>
      <c r="O53" s="75" t="s">
        <v>230</v>
      </c>
      <c r="P53" s="75">
        <v>236</v>
      </c>
      <c r="Q53" s="95" t="str">
        <f t="shared" si="35"/>
        <v>$P$53</v>
      </c>
      <c r="R53" s="95" t="str">
        <f t="shared" si="36"/>
        <v>$F$53</v>
      </c>
      <c r="S53" s="95" t="str">
        <f t="shared" si="37"/>
        <v>$G$53</v>
      </c>
      <c r="T53" s="95" t="str">
        <f t="shared" si="38"/>
        <v>$H$53</v>
      </c>
      <c r="U53" s="95" t="str">
        <f t="shared" si="39"/>
        <v>$I$53</v>
      </c>
      <c r="V53" s="95" t="str">
        <f t="shared" si="40"/>
        <v>$J$53</v>
      </c>
      <c r="W53" s="95" t="str">
        <f t="shared" si="41"/>
        <v>$K$53</v>
      </c>
      <c r="X53" s="95" t="str">
        <f t="shared" si="42"/>
        <v>$L$53</v>
      </c>
      <c r="Y53" s="95" t="str">
        <f t="shared" si="43"/>
        <v>$M$53</v>
      </c>
      <c r="Z53" s="95" t="str">
        <f t="shared" si="44"/>
        <v>$N$53</v>
      </c>
      <c r="AA53" s="94">
        <f ca="1">VLOOKUP($P53,'Regresion Q1'!$E$6:$I$10,4,1)*$P53+VLOOKUP($P53,'Regresion Q1'!$E$6:$I$10,5,1)</f>
        <v>3052053.5615121243</v>
      </c>
      <c r="AB53" s="94">
        <f ca="1">VLOOKUP($P53,'Regresion Q1'!$J$6:$N$10,4,1)*$P53+VLOOKUP($P53,'Regresion Q1'!$J$6:$N$10,5,1)</f>
        <v>3119234.9693745696</v>
      </c>
      <c r="AC53" s="94">
        <f ca="1">VLOOKUP($P53,'Regresion Q1'!$O$6:$S$10,4,1)*$P53+VLOOKUP($P53,'Regresion Q1'!$O$6:$S$10,5,1)</f>
        <v>3297580.1960458197</v>
      </c>
      <c r="AD53" s="94">
        <f ca="1">VLOOKUP($P53,'Regresion Md'!$E$6:$I$10,4,1)*$P53+VLOOKUP($P53,'Regresion Md'!$E$6:$I$10,5,1)</f>
        <v>3381365.1084489869</v>
      </c>
      <c r="AE53" s="94">
        <f ca="1">VLOOKUP($P53,'Regresion Md'!$J$6:$N$10,4,1)*$P53+VLOOKUP($P53,'Regresion Md'!$J$6:$N$10,5,1)</f>
        <v>3415540.567478816</v>
      </c>
      <c r="AF53" s="94">
        <f ca="1">VLOOKUP($P53,'Regresion Md'!$O$6:$S$10,4,1)*$P53+VLOOKUP($P53,'Regresion Md'!$O$6:$S$10,5,1)</f>
        <v>3606723.9192566434</v>
      </c>
      <c r="AG53" s="94">
        <f ca="1">VLOOKUP($P53,'Regresion Q3'!$E$6:$I$10,4,1)*$P53+VLOOKUP($P53,'Regresion Q3'!$E$6:$I$10,5,1)</f>
        <v>4358844.5234439801</v>
      </c>
      <c r="AH53" s="94">
        <f ca="1">VLOOKUP($P53,'Regresion Q3'!$J$6:$N$10,4,1)*$P53+VLOOKUP($P53,'Regresion Q3'!$J$6:$N$10,5,1)</f>
        <v>4428963.769505132</v>
      </c>
      <c r="AI53" s="94">
        <f ca="1">VLOOKUP($P53,'Regresion Q3'!$O$6:$S$10,4,1)*$P53+VLOOKUP($P53,'Regresion Q3'!$O$6:$S$10,5,1)</f>
        <v>4616870.672884129</v>
      </c>
      <c r="AJ53" s="94">
        <f ca="1">VLOOKUP($P53,'Regresion Q1'!$T$6:$V$10,2,1)*$P53+VLOOKUP($P53,'Regresion Q1'!$T$6:$V$10,3,1)</f>
        <v>2951705.3261128506</v>
      </c>
      <c r="AK53" s="94">
        <f ca="1">VLOOKUP($P53,'Regresion Q1'!$W$6:$Y$10,2,1)*$P53+VLOOKUP($P53,'Regresion Q1'!$W$6:$Y$10,3,1)</f>
        <v>3052001.0731104333</v>
      </c>
      <c r="AL53" s="94">
        <f ca="1">VLOOKUP($P53,'Regresion Q1'!$Z$6:$AB$10,2,1)*$P53+VLOOKUP($P53,'Regresion Q1'!$Z$6:$AB$10,3,1)</f>
        <v>3174576.5190582364</v>
      </c>
      <c r="AM53" s="94">
        <f ca="1">VLOOKUP($P53,'Regresion Md'!$T$6:$V$10,2,1)*$P53+VLOOKUP($P53,'Regresion Md'!$T$6:$V$10,3,1)</f>
        <v>3340546.0832048133</v>
      </c>
      <c r="AN53" s="94">
        <f ca="1">VLOOKUP($P53,'Regresion Md'!$W$6:$Y$10,2,1)*$P53+VLOOKUP($P53,'Regresion Md'!$W$6:$Y$10,3,1)</f>
        <v>3394789.7704435727</v>
      </c>
      <c r="AO53" s="94">
        <f ca="1">VLOOKUP($P53,'Regresion Md'!$Z$6:$AB$10,2,1)*$P53+VLOOKUP($P53,'Regresion Md'!$Z$6:$AB$10,3,1)</f>
        <v>3601517.7467967356</v>
      </c>
      <c r="AP53" s="94">
        <f ca="1">VLOOKUP($P53,'Regresion Q3'!$T$6:$V$10,2,1)*$P53+VLOOKUP($P53,'Regresion Q3'!$T$6:$V$10,3,1)</f>
        <v>4829727.4983834513</v>
      </c>
      <c r="AQ53" s="94">
        <f ca="1">VLOOKUP($P53,'Regresion Q3'!$W$6:$Y$10,2,1)*$P53+VLOOKUP($P53,'Regresion Q3'!$W$6:$Y$10,3,1)</f>
        <v>4966033.1027816813</v>
      </c>
      <c r="AR53" s="94">
        <f ca="1">VLOOKUP($P53,'Regresion Q3'!$Z$6:$AB$10,2,1)*$P53+VLOOKUP($P53,'Regresion Q3'!$Z$6:$AB$10,3,1)</f>
        <v>5096566.3494822765</v>
      </c>
      <c r="AS53" s="94">
        <f>IF($BN53=$BN54,-1,DatosHoy[[#This Row],[G ajus PM Q1]]-BO54)</f>
        <v>-1</v>
      </c>
      <c r="AT53" s="94">
        <f>IF($BN53=$BN54,-1,DatosHoy[[#This Row],[G+V ajus PM Q1]]-BP54)</f>
        <v>-1</v>
      </c>
      <c r="AU53" s="94">
        <f>IF($BN53=$BN54,-1,DatosHoy[[#This Row],[CT ajus PM Q1]]-BQ54)</f>
        <v>-1</v>
      </c>
      <c r="AV53" s="94">
        <f ca="1">IF(DatosHoy[[#This Row],[G ajus PM Q1]]=DatosHoy[[#This Row],[G+V ajus PM Q1]],-1,DatosHoy[[#This Row],[G ajus PM Q1]]-DatosHoy[[#This Row],[G+V ajus PM Q1]])</f>
        <v>-101680.378090051</v>
      </c>
      <c r="AW53" s="94">
        <f ca="1">IF(DatosHoy[[#This Row],[G+V ajus PM Q1]]=DatosHoy[[#This Row],[CT ajus PM Q1]],-1,DatosHoy[[#This Row],[G+V ajus PM Q1]]-DatosHoy[[#This Row],[CT ajus PM Q1]])</f>
        <v>-128488.92517813062</v>
      </c>
      <c r="AX53" s="94">
        <f>IF($BN53=$BN54,-1,DatosHoy[[#This Row],[G ajus PMd]]-BR54)</f>
        <v>-1</v>
      </c>
      <c r="AY53" s="94">
        <f>IF($BN53=$BN54,-1,DatosHoy[[#This Row],[G+V ajus PM Md]]-BS54)</f>
        <v>-1</v>
      </c>
      <c r="AZ53" s="94">
        <f>IF($BN53=$BN54,-1,DatosHoy[[#This Row],[CT ajus PM Md]]-BT54)</f>
        <v>-1</v>
      </c>
      <c r="BA53" s="94">
        <f ca="1">IF(DatosHoy[[#This Row],[G ajus PMd]]=DatosHoy[[#This Row],[G+V ajus PM Md]],-1,DatosHoy[[#This Row],[G ajus PMd]]-DatosHoy[[#This Row],[G+V ajus PM Md]])</f>
        <v>-79026.399522230029</v>
      </c>
      <c r="BB53" s="94">
        <f ca="1">IF(DatosHoy[[#This Row],[G+V ajus PM Md]]=DatosHoy[[#This Row],[CT ajus PM Md]],-1,DatosHoy[[#This Row],[G+V ajus PM Md]]-DatosHoy[[#This Row],[CT ajus PM Md]])</f>
        <v>-215775.76833814103</v>
      </c>
      <c r="BC53" s="94">
        <f>IF($BN53=$BN54,-1,DatosHoy[[#This Row],[G ajus PM Q3]]-BU54)</f>
        <v>-1</v>
      </c>
      <c r="BD53" s="94">
        <f>IF($BN53=$BN54,-1,DatosHoy[[#This Row],[G+V ajus PM Q3]]-BV54)</f>
        <v>-1</v>
      </c>
      <c r="BE53" s="94">
        <f>IF($BN53=$BN54,-1,DatosHoy[[#This Row],[CT ajus PM Q3]]-BW54)</f>
        <v>-1</v>
      </c>
      <c r="BF53" s="94">
        <f ca="1">IF(DatosHoy[[#This Row],[G ajus PM Q3]]=DatosHoy[[#This Row],[G+V ajus PM Q3]],-1,DatosHoy[[#This Row],[G ajus PM Q3]]-DatosHoy[[#This Row],[G+V ajus PM Q3]])</f>
        <v>-141957.38259856775</v>
      </c>
      <c r="BG53" s="94">
        <f ca="1">IF(DatosHoy[[#This Row],[G+V ajus PM Q3]]=DatosHoy[[#This Row],[CT ajus PM Q3]],-1,DatosHoy[[#This Row],[G+V ajus PM Q3]]-DatosHoy[[#This Row],[CT ajus PM Q3]])</f>
        <v>-135155.96678343322</v>
      </c>
      <c r="BH53" s="94">
        <f ca="1">IF(DatosHoy[[#This Row],[G ajus PM Q1]]=DatosHoy[[#This Row],[G ajus PMd]],-1,DatosHoy[[#This Row],[G ajus PM Q1]]-DatosHoy[[#This Row],[G ajus PMd]])</f>
        <v>-556984.6632774421</v>
      </c>
      <c r="BI53" s="94">
        <f ca="1">IF(DatosHoy[[#This Row],[G+V ajus PM Q1]]=DatosHoy[[#This Row],[G+V ajus PM Md]],-1,DatosHoy[[#This Row],[G+V ajus PM Q1]]-DatosHoy[[#This Row],[G+V ajus PM Md]])</f>
        <v>-534330.68470962113</v>
      </c>
      <c r="BJ53" s="94">
        <f ca="1">IF(DatosHoy[[#This Row],[CT ajus PM Q1]]=DatosHoy[[#This Row],[CT ajus PM Md]],-1,DatosHoy[[#This Row],[CT ajus PM Q1]]-DatosHoy[[#This Row],[CT ajus PM Md]])</f>
        <v>-621617.52786963154</v>
      </c>
      <c r="BK53" s="94">
        <f ca="1">IF(DatosHoy[[#This Row],[G ajus PMd]]=DatosHoy[[#This Row],[G ajus PM Q3]],-1,DatosHoy[[#This Row],[G ajus PMd]]-DatosHoy[[#This Row],[G ajus PM Q3]])</f>
        <v>-1430977.9926799387</v>
      </c>
      <c r="BL53" s="94">
        <f ca="1">IF(DatosHoy[[#This Row],[G+V ajus PM Md]]=DatosHoy[[#This Row],[G+V ajus PM Q3]],-1,DatosHoy[[#This Row],[G+V ajus PM Md]]-DatosHoy[[#This Row],[G+V ajus PM Q3]])</f>
        <v>-1493908.9757562764</v>
      </c>
      <c r="BM53" s="94">
        <f ca="1">IF(DatosHoy[[#This Row],[CT ajus PM Md]]=DatosHoy[[#This Row],[CT ajus PM Q3]],-1,DatosHoy[[#This Row],[CT ajus PM Md]]-DatosHoy[[#This Row],[CT ajus PM Q3]])</f>
        <v>-1413289.1742015686</v>
      </c>
      <c r="BN53" s="74">
        <v>249</v>
      </c>
      <c r="BO53" s="94">
        <f ca="1">IFERROR(VLOOKUP($BN53,'Regresion Q1'!$T$6:$V$10,2,1)*$BN53+VLOOKUP($BN53,'Regresion Q1'!$T$6:$V$10,3,1),VLOOKUP(MIN(DatosHoy[Puntos]),'Regresion Q1'!$T$6:$V$10,2,1)*$BN53+VLOOKUP(MIN(DatosHoy[Puntos]),'Regresion Q1'!$T$6:$V$10,3,1))</f>
        <v>3081749.760508724</v>
      </c>
      <c r="BP53" s="94">
        <f ca="1">IFERROR(VLOOKUP($BN53,'Regresion Q1'!$W$6:$Y$10,2,1)*$BN53+VLOOKUP($BN53,'Regresion Q1'!$W$6:$Y$10,3,1),VLOOKUP(MIN(DatosHoy[Puntos]),'Regresion Q1'!$W$6:$Y$10,2,1)*$BN53+VLOOKUP(MIN(DatosHoy[Puntos]),'Regresion Q1'!$W$6:$Y$10,3,1))</f>
        <v>3183430.138598775</v>
      </c>
      <c r="BQ53" s="94">
        <f ca="1">IFERROR(VLOOKUP($BN53,'Regresion Q1'!$Z$6:$AB$10,2,1)*$BN53+VLOOKUP($BN53,'Regresion Q1'!$Z$6:$AB$10,3,1),VLOOKUP(MIN(DatosHoy[Puntos]),'Regresion Q1'!$Z$6:$AB$10,2,1)*$BN53+VLOOKUP(MIN(DatosHoy[Puntos]),'Regresion Q1'!$Z$6:$AB$10,3,1))</f>
        <v>3311919.0637769056</v>
      </c>
      <c r="BR53" s="94">
        <f ca="1">IFERROR(VLOOKUP($BN53,'Regresion Md'!$T$6:$V$10,2,1)*$BN53+VLOOKUP($BN53,'Regresion Md'!$T$6:$V$10,3,1),VLOOKUP(MIN(DatosHoy[Puntos]),'Regresion Md'!$T$6:$V$10,2,1)*$BN53+VLOOKUP(MIN(DatosHoy[Puntos]),'Regresion Md'!$T$6:$V$10,3,1))</f>
        <v>3638734.4237861661</v>
      </c>
      <c r="BS53" s="94">
        <f ca="1">IFERROR(VLOOKUP($BN53,'Regresion Md'!$W$6:$Y$10,2,1)*$BN53+VLOOKUP($BN53,'Regresion Md'!$W$6:$Y$10,3,1),VLOOKUP(MIN(DatosHoy[Puntos]),'Regresion Md'!$W$6:$Y$10,2,1)*$BN53+VLOOKUP(MIN(DatosHoy[Puntos]),'Regresion Md'!$W$6:$Y$10,3,1))</f>
        <v>3717760.8233083962</v>
      </c>
      <c r="BT53" s="94">
        <f ca="1">IFERROR(VLOOKUP($BN53,'Regresion Md'!$Z$6:$AB$10,2,1)*$BN53+VLOOKUP($BN53,'Regresion Md'!$Z$6:$AB$10,3,1),VLOOKUP(MIN(DatosHoy[Puntos]),'Regresion Md'!$Z$6:$AB$10,2,1)*$BN53+VLOOKUP(MIN(DatosHoy[Puntos]),'Regresion Md'!$Z$6:$AB$10,3,1))</f>
        <v>3933536.5916465372</v>
      </c>
      <c r="BU53" s="94">
        <f ca="1">IFERROR(VLOOKUP($BN53,'Regresion Q3'!$T$6:$V$10,2,1)*$BN53+VLOOKUP($BN53,'Regresion Q3'!$T$6:$V$10,3,1),VLOOKUP(MIN(DatosHoy[Puntos]),'Regresion Q3'!$T$6:$V$10,2,1)*$BN53+VLOOKUP(MIN(DatosHoy[Puntos]),'Regresion Q3'!$T$6:$V$10,3,1))</f>
        <v>5069712.4164661048</v>
      </c>
      <c r="BV53" s="94">
        <f ca="1">IFERROR(VLOOKUP($BN53,'Regresion Q3'!$W$6:$Y$10,2,1)*$BN53+VLOOKUP($BN53,'Regresion Q3'!$W$6:$Y$10,3,1),VLOOKUP(MIN(DatosHoy[Puntos]),'Regresion Q3'!$W$6:$Y$10,2,1)*$BN53+VLOOKUP(MIN(DatosHoy[Puntos]),'Regresion Q3'!$W$6:$Y$10,3,1))</f>
        <v>5211669.7990646726</v>
      </c>
      <c r="BW53" s="94">
        <f ca="1">IFERROR(VLOOKUP($BN53,'Regresion Q3'!$Z$6:$AB$10,2,1)*$BN53+VLOOKUP($BN53,'Regresion Q3'!$Z$6:$AB$10,3,1),VLOOKUP(MIN(DatosHoy[Puntos]),'Regresion Q3'!$Z$6:$AB$10,2,1)*$BN53+VLOOKUP(MIN(DatosHoy[Puntos]),'Regresion Q3'!$Z$6:$AB$10,3,1))</f>
        <v>5346825.7658481058</v>
      </c>
      <c r="BX53" s="96">
        <f ca="1">DatosHoy[[#This Row],[CT Actual]]/DatosHoy[[#This Row],[CT ajus PM Md]]</f>
        <v>0.71912758762870177</v>
      </c>
      <c r="BY53" s="125" t="str">
        <f>VLOOKUP(DatosHoy[[#This Row],[Cargo Valorado]],Estadísticos[[Cargo]:[Nivel]],2,FALSE)</f>
        <v>Soporte</v>
      </c>
      <c r="BZ53" s="96">
        <f>(DatosHoy[[#This Row],[G+V Actual]]-DatosHoy[[#This Row],[G Actual]])/DatosHoy[[#This Row],[CT Actual]]</f>
        <v>0</v>
      </c>
      <c r="CA53" s="96">
        <f>(DatosHoy[[#This Row],[CT Actual]]-DatosHoy[[#This Row],[G+V Actual]])/DatosHoy[[#This Row],[CT Actual]]</f>
        <v>0</v>
      </c>
      <c r="CB53" s="139" t="s">
        <v>255</v>
      </c>
    </row>
    <row r="54" spans="2:80" x14ac:dyDescent="0.25">
      <c r="B54" s="73">
        <f t="shared" si="34"/>
        <v>49</v>
      </c>
      <c r="C54" s="74">
        <v>2828714.68</v>
      </c>
      <c r="D54" s="74">
        <v>2828714.68</v>
      </c>
      <c r="E54" s="74">
        <v>2828714.68</v>
      </c>
      <c r="F54" s="94">
        <f>VLOOKUP(DatosHoy[[#This Row],[Cargo Valorado]],Estadísticos[],3,0)</f>
        <v>4613092.9458434805</v>
      </c>
      <c r="G54" s="94">
        <f>VLOOKUP(DatosHoy[[#This Row],[Cargo Valorado]],Estadísticos[],4,0)</f>
        <v>4812785.1061318982</v>
      </c>
      <c r="H54" s="94">
        <f>VLOOKUP(DatosHoy[[#This Row],[Cargo Valorado]],Estadísticos[],5,0)</f>
        <v>4812785.1061318982</v>
      </c>
      <c r="I54" s="94">
        <f>VLOOKUP(DatosHoy[[#This Row],[Cargo Valorado]],Estadísticos[],6,0)</f>
        <v>5438773.2770206826</v>
      </c>
      <c r="J54" s="94">
        <f>VLOOKUP(DatosHoy[[#This Row],[Cargo Valorado]],Estadísticos[],7,0)</f>
        <v>5438773.2770206826</v>
      </c>
      <c r="K54" s="94">
        <f>VLOOKUP(DatosHoy[[#This Row],[Cargo Valorado]],Estadísticos[],8,0)</f>
        <v>5438773.2770206826</v>
      </c>
      <c r="L54" s="94">
        <f>VLOOKUP(DatosHoy[[#This Row],[Cargo Valorado]],Estadísticos[],9,0)</f>
        <v>6401802.7050787518</v>
      </c>
      <c r="M54" s="94">
        <f>VLOOKUP(DatosHoy[[#This Row],[Cargo Valorado]],Estadísticos[],10,0)</f>
        <v>6401802.7050787518</v>
      </c>
      <c r="N54" s="94">
        <f>VLOOKUP(DatosHoy[[#This Row],[Cargo Valorado]],Estadísticos[],11,0)</f>
        <v>6584083.4023262067</v>
      </c>
      <c r="O54" s="75" t="s">
        <v>229</v>
      </c>
      <c r="P54" s="75">
        <v>236</v>
      </c>
      <c r="Q54" s="95" t="str">
        <f t="shared" si="35"/>
        <v>$P$54</v>
      </c>
      <c r="R54" s="95" t="str">
        <f t="shared" si="36"/>
        <v>$F$54</v>
      </c>
      <c r="S54" s="95" t="str">
        <f t="shared" si="37"/>
        <v>$G$54</v>
      </c>
      <c r="T54" s="95" t="str">
        <f t="shared" si="38"/>
        <v>$H$54</v>
      </c>
      <c r="U54" s="95" t="str">
        <f t="shared" si="39"/>
        <v>$I$54</v>
      </c>
      <c r="V54" s="95" t="str">
        <f t="shared" si="40"/>
        <v>$J$54</v>
      </c>
      <c r="W54" s="95" t="str">
        <f t="shared" si="41"/>
        <v>$K$54</v>
      </c>
      <c r="X54" s="95" t="str">
        <f t="shared" si="42"/>
        <v>$L$54</v>
      </c>
      <c r="Y54" s="95" t="str">
        <f t="shared" si="43"/>
        <v>$M$54</v>
      </c>
      <c r="Z54" s="95" t="str">
        <f t="shared" si="44"/>
        <v>$N$54</v>
      </c>
      <c r="AA54" s="94">
        <f ca="1">VLOOKUP($P54,'Regresion Q1'!$E$6:$I$10,4,1)*$P54+VLOOKUP($P54,'Regresion Q1'!$E$6:$I$10,5,1)</f>
        <v>3052053.5615121243</v>
      </c>
      <c r="AB54" s="94">
        <f ca="1">VLOOKUP($P54,'Regresion Q1'!$J$6:$N$10,4,1)*$P54+VLOOKUP($P54,'Regresion Q1'!$J$6:$N$10,5,1)</f>
        <v>3119234.9693745696</v>
      </c>
      <c r="AC54" s="94">
        <f ca="1">VLOOKUP($P54,'Regresion Q1'!$O$6:$S$10,4,1)*$P54+VLOOKUP($P54,'Regresion Q1'!$O$6:$S$10,5,1)</f>
        <v>3297580.1960458197</v>
      </c>
      <c r="AD54" s="94">
        <f ca="1">VLOOKUP($P54,'Regresion Md'!$E$6:$I$10,4,1)*$P54+VLOOKUP($P54,'Regresion Md'!$E$6:$I$10,5,1)</f>
        <v>3381365.1084489869</v>
      </c>
      <c r="AE54" s="94">
        <f ca="1">VLOOKUP($P54,'Regresion Md'!$J$6:$N$10,4,1)*$P54+VLOOKUP($P54,'Regresion Md'!$J$6:$N$10,5,1)</f>
        <v>3415540.567478816</v>
      </c>
      <c r="AF54" s="94">
        <f ca="1">VLOOKUP($P54,'Regresion Md'!$O$6:$S$10,4,1)*$P54+VLOOKUP($P54,'Regresion Md'!$O$6:$S$10,5,1)</f>
        <v>3606723.9192566434</v>
      </c>
      <c r="AG54" s="94">
        <f ca="1">VLOOKUP($P54,'Regresion Q3'!$E$6:$I$10,4,1)*$P54+VLOOKUP($P54,'Regresion Q3'!$E$6:$I$10,5,1)</f>
        <v>4358844.5234439801</v>
      </c>
      <c r="AH54" s="94">
        <f ca="1">VLOOKUP($P54,'Regresion Q3'!$J$6:$N$10,4,1)*$P54+VLOOKUP($P54,'Regresion Q3'!$J$6:$N$10,5,1)</f>
        <v>4428963.769505132</v>
      </c>
      <c r="AI54" s="94">
        <f ca="1">VLOOKUP($P54,'Regresion Q3'!$O$6:$S$10,4,1)*$P54+VLOOKUP($P54,'Regresion Q3'!$O$6:$S$10,5,1)</f>
        <v>4616870.672884129</v>
      </c>
      <c r="AJ54" s="94">
        <f ca="1">VLOOKUP($P54,'Regresion Q1'!$T$6:$V$10,2,1)*$P54+VLOOKUP($P54,'Regresion Q1'!$T$6:$V$10,3,1)</f>
        <v>2951705.3261128506</v>
      </c>
      <c r="AK54" s="94">
        <f ca="1">VLOOKUP($P54,'Regresion Q1'!$W$6:$Y$10,2,1)*$P54+VLOOKUP($P54,'Regresion Q1'!$W$6:$Y$10,3,1)</f>
        <v>3052001.0731104333</v>
      </c>
      <c r="AL54" s="94">
        <f ca="1">VLOOKUP($P54,'Regresion Q1'!$Z$6:$AB$10,2,1)*$P54+VLOOKUP($P54,'Regresion Q1'!$Z$6:$AB$10,3,1)</f>
        <v>3174576.5190582364</v>
      </c>
      <c r="AM54" s="94">
        <f ca="1">VLOOKUP($P54,'Regresion Md'!$T$6:$V$10,2,1)*$P54+VLOOKUP($P54,'Regresion Md'!$T$6:$V$10,3,1)</f>
        <v>3340546.0832048133</v>
      </c>
      <c r="AN54" s="94">
        <f ca="1">VLOOKUP($P54,'Regresion Md'!$W$6:$Y$10,2,1)*$P54+VLOOKUP($P54,'Regresion Md'!$W$6:$Y$10,3,1)</f>
        <v>3394789.7704435727</v>
      </c>
      <c r="AO54" s="94">
        <f ca="1">VLOOKUP($P54,'Regresion Md'!$Z$6:$AB$10,2,1)*$P54+VLOOKUP($P54,'Regresion Md'!$Z$6:$AB$10,3,1)</f>
        <v>3601517.7467967356</v>
      </c>
      <c r="AP54" s="94">
        <f ca="1">VLOOKUP($P54,'Regresion Q3'!$T$6:$V$10,2,1)*$P54+VLOOKUP($P54,'Regresion Q3'!$T$6:$V$10,3,1)</f>
        <v>4829727.4983834513</v>
      </c>
      <c r="AQ54" s="94">
        <f ca="1">VLOOKUP($P54,'Regresion Q3'!$W$6:$Y$10,2,1)*$P54+VLOOKUP($P54,'Regresion Q3'!$W$6:$Y$10,3,1)</f>
        <v>4966033.1027816813</v>
      </c>
      <c r="AR54" s="94">
        <f ca="1">VLOOKUP($P54,'Regresion Q3'!$Z$6:$AB$10,2,1)*$P54+VLOOKUP($P54,'Regresion Q3'!$Z$6:$AB$10,3,1)</f>
        <v>5096566.3494822765</v>
      </c>
      <c r="AS54" s="94">
        <f>IF($BN54=$BN55,-1,DatosHoy[[#This Row],[G ajus PM Q1]]-BO55)</f>
        <v>-1</v>
      </c>
      <c r="AT54" s="94">
        <f>IF($BN54=$BN55,-1,DatosHoy[[#This Row],[G+V ajus PM Q1]]-BP55)</f>
        <v>-1</v>
      </c>
      <c r="AU54" s="94">
        <f>IF($BN54=$BN55,-1,DatosHoy[[#This Row],[CT ajus PM Q1]]-BQ55)</f>
        <v>-1</v>
      </c>
      <c r="AV54" s="94">
        <f ca="1">IF(DatosHoy[[#This Row],[G ajus PM Q1]]=DatosHoy[[#This Row],[G+V ajus PM Q1]],-1,DatosHoy[[#This Row],[G ajus PM Q1]]-DatosHoy[[#This Row],[G+V ajus PM Q1]])</f>
        <v>-101680.378090051</v>
      </c>
      <c r="AW54" s="94">
        <f ca="1">IF(DatosHoy[[#This Row],[G+V ajus PM Q1]]=DatosHoy[[#This Row],[CT ajus PM Q1]],-1,DatosHoy[[#This Row],[G+V ajus PM Q1]]-DatosHoy[[#This Row],[CT ajus PM Q1]])</f>
        <v>-128488.92517813062</v>
      </c>
      <c r="AX54" s="94">
        <f>IF($BN54=$BN55,-1,DatosHoy[[#This Row],[G ajus PMd]]-BR55)</f>
        <v>-1</v>
      </c>
      <c r="AY54" s="94">
        <f>IF($BN54=$BN55,-1,DatosHoy[[#This Row],[G+V ajus PM Md]]-BS55)</f>
        <v>-1</v>
      </c>
      <c r="AZ54" s="94">
        <f>IF($BN54=$BN55,-1,DatosHoy[[#This Row],[CT ajus PM Md]]-BT55)</f>
        <v>-1</v>
      </c>
      <c r="BA54" s="94">
        <f ca="1">IF(DatosHoy[[#This Row],[G ajus PMd]]=DatosHoy[[#This Row],[G+V ajus PM Md]],-1,DatosHoy[[#This Row],[G ajus PMd]]-DatosHoy[[#This Row],[G+V ajus PM Md]])</f>
        <v>-79026.399522230029</v>
      </c>
      <c r="BB54" s="94">
        <f ca="1">IF(DatosHoy[[#This Row],[G+V ajus PM Md]]=DatosHoy[[#This Row],[CT ajus PM Md]],-1,DatosHoy[[#This Row],[G+V ajus PM Md]]-DatosHoy[[#This Row],[CT ajus PM Md]])</f>
        <v>-215775.76833814103</v>
      </c>
      <c r="BC54" s="94">
        <f>IF($BN54=$BN55,-1,DatosHoy[[#This Row],[G ajus PM Q3]]-BU55)</f>
        <v>-1</v>
      </c>
      <c r="BD54" s="94">
        <f>IF($BN54=$BN55,-1,DatosHoy[[#This Row],[G+V ajus PM Q3]]-BV55)</f>
        <v>-1</v>
      </c>
      <c r="BE54" s="94">
        <f>IF($BN54=$BN55,-1,DatosHoy[[#This Row],[CT ajus PM Q3]]-BW55)</f>
        <v>-1</v>
      </c>
      <c r="BF54" s="94">
        <f ca="1">IF(DatosHoy[[#This Row],[G ajus PM Q3]]=DatosHoy[[#This Row],[G+V ajus PM Q3]],-1,DatosHoy[[#This Row],[G ajus PM Q3]]-DatosHoy[[#This Row],[G+V ajus PM Q3]])</f>
        <v>-141957.38259856775</v>
      </c>
      <c r="BG54" s="94">
        <f ca="1">IF(DatosHoy[[#This Row],[G+V ajus PM Q3]]=DatosHoy[[#This Row],[CT ajus PM Q3]],-1,DatosHoy[[#This Row],[G+V ajus PM Q3]]-DatosHoy[[#This Row],[CT ajus PM Q3]])</f>
        <v>-135155.96678343322</v>
      </c>
      <c r="BH54" s="94">
        <f ca="1">IF(DatosHoy[[#This Row],[G ajus PM Q1]]=DatosHoy[[#This Row],[G ajus PMd]],-1,DatosHoy[[#This Row],[G ajus PM Q1]]-DatosHoy[[#This Row],[G ajus PMd]])</f>
        <v>-556984.6632774421</v>
      </c>
      <c r="BI54" s="94">
        <f ca="1">IF(DatosHoy[[#This Row],[G+V ajus PM Q1]]=DatosHoy[[#This Row],[G+V ajus PM Md]],-1,DatosHoy[[#This Row],[G+V ajus PM Q1]]-DatosHoy[[#This Row],[G+V ajus PM Md]])</f>
        <v>-534330.68470962113</v>
      </c>
      <c r="BJ54" s="94">
        <f ca="1">IF(DatosHoy[[#This Row],[CT ajus PM Q1]]=DatosHoy[[#This Row],[CT ajus PM Md]],-1,DatosHoy[[#This Row],[CT ajus PM Q1]]-DatosHoy[[#This Row],[CT ajus PM Md]])</f>
        <v>-621617.52786963154</v>
      </c>
      <c r="BK54" s="94">
        <f ca="1">IF(DatosHoy[[#This Row],[G ajus PMd]]=DatosHoy[[#This Row],[G ajus PM Q3]],-1,DatosHoy[[#This Row],[G ajus PMd]]-DatosHoy[[#This Row],[G ajus PM Q3]])</f>
        <v>-1430977.9926799387</v>
      </c>
      <c r="BL54" s="94">
        <f ca="1">IF(DatosHoy[[#This Row],[G+V ajus PM Md]]=DatosHoy[[#This Row],[G+V ajus PM Q3]],-1,DatosHoy[[#This Row],[G+V ajus PM Md]]-DatosHoy[[#This Row],[G+V ajus PM Q3]])</f>
        <v>-1493908.9757562764</v>
      </c>
      <c r="BM54" s="94">
        <f ca="1">IF(DatosHoy[[#This Row],[CT ajus PM Md]]=DatosHoy[[#This Row],[CT ajus PM Q3]],-1,DatosHoy[[#This Row],[CT ajus PM Md]]-DatosHoy[[#This Row],[CT ajus PM Q3]])</f>
        <v>-1413289.1742015686</v>
      </c>
      <c r="BN54" s="74">
        <v>249</v>
      </c>
      <c r="BO54" s="94">
        <f ca="1">IFERROR(VLOOKUP($BN54,'Regresion Q1'!$T$6:$V$10,2,1)*$BN54+VLOOKUP($BN54,'Regresion Q1'!$T$6:$V$10,3,1),VLOOKUP(MIN(DatosHoy[Puntos]),'Regresion Q1'!$T$6:$V$10,2,1)*$BN54+VLOOKUP(MIN(DatosHoy[Puntos]),'Regresion Q1'!$T$6:$V$10,3,1))</f>
        <v>3081749.760508724</v>
      </c>
      <c r="BP54" s="94">
        <f ca="1">IFERROR(VLOOKUP($BN54,'Regresion Q1'!$W$6:$Y$10,2,1)*$BN54+VLOOKUP($BN54,'Regresion Q1'!$W$6:$Y$10,3,1),VLOOKUP(MIN(DatosHoy[Puntos]),'Regresion Q1'!$W$6:$Y$10,2,1)*$BN54+VLOOKUP(MIN(DatosHoy[Puntos]),'Regresion Q1'!$W$6:$Y$10,3,1))</f>
        <v>3183430.138598775</v>
      </c>
      <c r="BQ54" s="94">
        <f ca="1">IFERROR(VLOOKUP($BN54,'Regresion Q1'!$Z$6:$AB$10,2,1)*$BN54+VLOOKUP($BN54,'Regresion Q1'!$Z$6:$AB$10,3,1),VLOOKUP(MIN(DatosHoy[Puntos]),'Regresion Q1'!$Z$6:$AB$10,2,1)*$BN54+VLOOKUP(MIN(DatosHoy[Puntos]),'Regresion Q1'!$Z$6:$AB$10,3,1))</f>
        <v>3311919.0637769056</v>
      </c>
      <c r="BR54" s="94">
        <f ca="1">IFERROR(VLOOKUP($BN54,'Regresion Md'!$T$6:$V$10,2,1)*$BN54+VLOOKUP($BN54,'Regresion Md'!$T$6:$V$10,3,1),VLOOKUP(MIN(DatosHoy[Puntos]),'Regresion Md'!$T$6:$V$10,2,1)*$BN54+VLOOKUP(MIN(DatosHoy[Puntos]),'Regresion Md'!$T$6:$V$10,3,1))</f>
        <v>3638734.4237861661</v>
      </c>
      <c r="BS54" s="94">
        <f ca="1">IFERROR(VLOOKUP($BN54,'Regresion Md'!$W$6:$Y$10,2,1)*$BN54+VLOOKUP($BN54,'Regresion Md'!$W$6:$Y$10,3,1),VLOOKUP(MIN(DatosHoy[Puntos]),'Regresion Md'!$W$6:$Y$10,2,1)*$BN54+VLOOKUP(MIN(DatosHoy[Puntos]),'Regresion Md'!$W$6:$Y$10,3,1))</f>
        <v>3717760.8233083962</v>
      </c>
      <c r="BT54" s="94">
        <f ca="1">IFERROR(VLOOKUP($BN54,'Regresion Md'!$Z$6:$AB$10,2,1)*$BN54+VLOOKUP($BN54,'Regresion Md'!$Z$6:$AB$10,3,1),VLOOKUP(MIN(DatosHoy[Puntos]),'Regresion Md'!$Z$6:$AB$10,2,1)*$BN54+VLOOKUP(MIN(DatosHoy[Puntos]),'Regresion Md'!$Z$6:$AB$10,3,1))</f>
        <v>3933536.5916465372</v>
      </c>
      <c r="BU54" s="94">
        <f ca="1">IFERROR(VLOOKUP($BN54,'Regresion Q3'!$T$6:$V$10,2,1)*$BN54+VLOOKUP($BN54,'Regresion Q3'!$T$6:$V$10,3,1),VLOOKUP(MIN(DatosHoy[Puntos]),'Regresion Q3'!$T$6:$V$10,2,1)*$BN54+VLOOKUP(MIN(DatosHoy[Puntos]),'Regresion Q3'!$T$6:$V$10,3,1))</f>
        <v>5069712.4164661048</v>
      </c>
      <c r="BV54" s="94">
        <f ca="1">IFERROR(VLOOKUP($BN54,'Regresion Q3'!$W$6:$Y$10,2,1)*$BN54+VLOOKUP($BN54,'Regresion Q3'!$W$6:$Y$10,3,1),VLOOKUP(MIN(DatosHoy[Puntos]),'Regresion Q3'!$W$6:$Y$10,2,1)*$BN54+VLOOKUP(MIN(DatosHoy[Puntos]),'Regresion Q3'!$W$6:$Y$10,3,1))</f>
        <v>5211669.7990646726</v>
      </c>
      <c r="BW54" s="94">
        <f ca="1">IFERROR(VLOOKUP($BN54,'Regresion Q3'!$Z$6:$AB$10,2,1)*$BN54+VLOOKUP($BN54,'Regresion Q3'!$Z$6:$AB$10,3,1),VLOOKUP(MIN(DatosHoy[Puntos]),'Regresion Q3'!$Z$6:$AB$10,2,1)*$BN54+VLOOKUP(MIN(DatosHoy[Puntos]),'Regresion Q3'!$Z$6:$AB$10,3,1))</f>
        <v>5346825.7658481058</v>
      </c>
      <c r="BX54" s="96">
        <f ca="1">DatosHoy[[#This Row],[CT Actual]]/DatosHoy[[#This Row],[CT ajus PM Md]]</f>
        <v>0.71912758762870177</v>
      </c>
      <c r="BY54" s="125" t="str">
        <f>VLOOKUP(DatosHoy[[#This Row],[Cargo Valorado]],Estadísticos[[Cargo]:[Nivel]],2,FALSE)</f>
        <v>Soporte</v>
      </c>
      <c r="BZ54" s="96">
        <f>(DatosHoy[[#This Row],[G+V Actual]]-DatosHoy[[#This Row],[G Actual]])/DatosHoy[[#This Row],[CT Actual]]</f>
        <v>0</v>
      </c>
      <c r="CA54" s="96">
        <f>(DatosHoy[[#This Row],[CT Actual]]-DatosHoy[[#This Row],[G+V Actual]])/DatosHoy[[#This Row],[CT Actual]]</f>
        <v>0</v>
      </c>
      <c r="CB54" s="139" t="s">
        <v>255</v>
      </c>
    </row>
    <row r="55" spans="2:80" x14ac:dyDescent="0.25">
      <c r="B55" s="73">
        <f t="shared" si="34"/>
        <v>50</v>
      </c>
      <c r="C55" s="74">
        <v>2828714.68</v>
      </c>
      <c r="D55" s="74">
        <v>2828714.68</v>
      </c>
      <c r="E55" s="74">
        <v>2828714.68</v>
      </c>
      <c r="F55" s="94">
        <f>VLOOKUP(DatosHoy[[#This Row],[Cargo Valorado]],Estadísticos[],3,0)</f>
        <v>4613092.9458434805</v>
      </c>
      <c r="G55" s="94">
        <f>VLOOKUP(DatosHoy[[#This Row],[Cargo Valorado]],Estadísticos[],4,0)</f>
        <v>4812785.1061318982</v>
      </c>
      <c r="H55" s="94">
        <f>VLOOKUP(DatosHoy[[#This Row],[Cargo Valorado]],Estadísticos[],5,0)</f>
        <v>4812785.1061318982</v>
      </c>
      <c r="I55" s="94">
        <f>VLOOKUP(DatosHoy[[#This Row],[Cargo Valorado]],Estadísticos[],6,0)</f>
        <v>5438773.2770206826</v>
      </c>
      <c r="J55" s="94">
        <f>VLOOKUP(DatosHoy[[#This Row],[Cargo Valorado]],Estadísticos[],7,0)</f>
        <v>5438773.2770206826</v>
      </c>
      <c r="K55" s="94">
        <f>VLOOKUP(DatosHoy[[#This Row],[Cargo Valorado]],Estadísticos[],8,0)</f>
        <v>5438773.2770206826</v>
      </c>
      <c r="L55" s="94">
        <f>VLOOKUP(DatosHoy[[#This Row],[Cargo Valorado]],Estadísticos[],9,0)</f>
        <v>6401802.7050787518</v>
      </c>
      <c r="M55" s="94">
        <f>VLOOKUP(DatosHoy[[#This Row],[Cargo Valorado]],Estadísticos[],10,0)</f>
        <v>6401802.7050787518</v>
      </c>
      <c r="N55" s="94">
        <f>VLOOKUP(DatosHoy[[#This Row],[Cargo Valorado]],Estadísticos[],11,0)</f>
        <v>6584083.4023262067</v>
      </c>
      <c r="O55" s="75" t="s">
        <v>229</v>
      </c>
      <c r="P55" s="75">
        <v>236</v>
      </c>
      <c r="Q55" s="95" t="str">
        <f t="shared" si="35"/>
        <v>$P$55</v>
      </c>
      <c r="R55" s="95" t="str">
        <f t="shared" si="36"/>
        <v>$F$55</v>
      </c>
      <c r="S55" s="95" t="str">
        <f t="shared" si="37"/>
        <v>$G$55</v>
      </c>
      <c r="T55" s="95" t="str">
        <f t="shared" si="38"/>
        <v>$H$55</v>
      </c>
      <c r="U55" s="95" t="str">
        <f t="shared" si="39"/>
        <v>$I$55</v>
      </c>
      <c r="V55" s="95" t="str">
        <f t="shared" si="40"/>
        <v>$J$55</v>
      </c>
      <c r="W55" s="95" t="str">
        <f t="shared" si="41"/>
        <v>$K$55</v>
      </c>
      <c r="X55" s="95" t="str">
        <f t="shared" si="42"/>
        <v>$L$55</v>
      </c>
      <c r="Y55" s="95" t="str">
        <f t="shared" si="43"/>
        <v>$M$55</v>
      </c>
      <c r="Z55" s="95" t="str">
        <f t="shared" si="44"/>
        <v>$N$55</v>
      </c>
      <c r="AA55" s="94">
        <f ca="1">VLOOKUP($P55,'Regresion Q1'!$E$6:$I$10,4,1)*$P55+VLOOKUP($P55,'Regresion Q1'!$E$6:$I$10,5,1)</f>
        <v>3052053.5615121243</v>
      </c>
      <c r="AB55" s="94">
        <f ca="1">VLOOKUP($P55,'Regresion Q1'!$J$6:$N$10,4,1)*$P55+VLOOKUP($P55,'Regresion Q1'!$J$6:$N$10,5,1)</f>
        <v>3119234.9693745696</v>
      </c>
      <c r="AC55" s="94">
        <f ca="1">VLOOKUP($P55,'Regresion Q1'!$O$6:$S$10,4,1)*$P55+VLOOKUP($P55,'Regresion Q1'!$O$6:$S$10,5,1)</f>
        <v>3297580.1960458197</v>
      </c>
      <c r="AD55" s="94">
        <f ca="1">VLOOKUP($P55,'Regresion Md'!$E$6:$I$10,4,1)*$P55+VLOOKUP($P55,'Regresion Md'!$E$6:$I$10,5,1)</f>
        <v>3381365.1084489869</v>
      </c>
      <c r="AE55" s="94">
        <f ca="1">VLOOKUP($P55,'Regresion Md'!$J$6:$N$10,4,1)*$P55+VLOOKUP($P55,'Regresion Md'!$J$6:$N$10,5,1)</f>
        <v>3415540.567478816</v>
      </c>
      <c r="AF55" s="94">
        <f ca="1">VLOOKUP($P55,'Regresion Md'!$O$6:$S$10,4,1)*$P55+VLOOKUP($P55,'Regresion Md'!$O$6:$S$10,5,1)</f>
        <v>3606723.9192566434</v>
      </c>
      <c r="AG55" s="94">
        <f ca="1">VLOOKUP($P55,'Regresion Q3'!$E$6:$I$10,4,1)*$P55+VLOOKUP($P55,'Regresion Q3'!$E$6:$I$10,5,1)</f>
        <v>4358844.5234439801</v>
      </c>
      <c r="AH55" s="94">
        <f ca="1">VLOOKUP($P55,'Regresion Q3'!$J$6:$N$10,4,1)*$P55+VLOOKUP($P55,'Regresion Q3'!$J$6:$N$10,5,1)</f>
        <v>4428963.769505132</v>
      </c>
      <c r="AI55" s="94">
        <f ca="1">VLOOKUP($P55,'Regresion Q3'!$O$6:$S$10,4,1)*$P55+VLOOKUP($P55,'Regresion Q3'!$O$6:$S$10,5,1)</f>
        <v>4616870.672884129</v>
      </c>
      <c r="AJ55" s="94">
        <f ca="1">VLOOKUP($P55,'Regresion Q1'!$T$6:$V$10,2,1)*$P55+VLOOKUP($P55,'Regresion Q1'!$T$6:$V$10,3,1)</f>
        <v>2951705.3261128506</v>
      </c>
      <c r="AK55" s="94">
        <f ca="1">VLOOKUP($P55,'Regresion Q1'!$W$6:$Y$10,2,1)*$P55+VLOOKUP($P55,'Regresion Q1'!$W$6:$Y$10,3,1)</f>
        <v>3052001.0731104333</v>
      </c>
      <c r="AL55" s="94">
        <f ca="1">VLOOKUP($P55,'Regresion Q1'!$Z$6:$AB$10,2,1)*$P55+VLOOKUP($P55,'Regresion Q1'!$Z$6:$AB$10,3,1)</f>
        <v>3174576.5190582364</v>
      </c>
      <c r="AM55" s="94">
        <f ca="1">VLOOKUP($P55,'Regresion Md'!$T$6:$V$10,2,1)*$P55+VLOOKUP($P55,'Regresion Md'!$T$6:$V$10,3,1)</f>
        <v>3340546.0832048133</v>
      </c>
      <c r="AN55" s="94">
        <f ca="1">VLOOKUP($P55,'Regresion Md'!$W$6:$Y$10,2,1)*$P55+VLOOKUP($P55,'Regresion Md'!$W$6:$Y$10,3,1)</f>
        <v>3394789.7704435727</v>
      </c>
      <c r="AO55" s="94">
        <f ca="1">VLOOKUP($P55,'Regresion Md'!$Z$6:$AB$10,2,1)*$P55+VLOOKUP($P55,'Regresion Md'!$Z$6:$AB$10,3,1)</f>
        <v>3601517.7467967356</v>
      </c>
      <c r="AP55" s="94">
        <f ca="1">VLOOKUP($P55,'Regresion Q3'!$T$6:$V$10,2,1)*$P55+VLOOKUP($P55,'Regresion Q3'!$T$6:$V$10,3,1)</f>
        <v>4829727.4983834513</v>
      </c>
      <c r="AQ55" s="94">
        <f ca="1">VLOOKUP($P55,'Regresion Q3'!$W$6:$Y$10,2,1)*$P55+VLOOKUP($P55,'Regresion Q3'!$W$6:$Y$10,3,1)</f>
        <v>4966033.1027816813</v>
      </c>
      <c r="AR55" s="94">
        <f ca="1">VLOOKUP($P55,'Regresion Q3'!$Z$6:$AB$10,2,1)*$P55+VLOOKUP($P55,'Regresion Q3'!$Z$6:$AB$10,3,1)</f>
        <v>5096566.3494822765</v>
      </c>
      <c r="AS55" s="94">
        <f>IF($BN55=$BN56,-1,DatosHoy[[#This Row],[G ajus PM Q1]]-BO56)</f>
        <v>-1</v>
      </c>
      <c r="AT55" s="94">
        <f>IF($BN55=$BN56,-1,DatosHoy[[#This Row],[G+V ajus PM Q1]]-BP56)</f>
        <v>-1</v>
      </c>
      <c r="AU55" s="94">
        <f>IF($BN55=$BN56,-1,DatosHoy[[#This Row],[CT ajus PM Q1]]-BQ56)</f>
        <v>-1</v>
      </c>
      <c r="AV55" s="94">
        <f ca="1">IF(DatosHoy[[#This Row],[G ajus PM Q1]]=DatosHoy[[#This Row],[G+V ajus PM Q1]],-1,DatosHoy[[#This Row],[G ajus PM Q1]]-DatosHoy[[#This Row],[G+V ajus PM Q1]])</f>
        <v>-101680.378090051</v>
      </c>
      <c r="AW55" s="94">
        <f ca="1">IF(DatosHoy[[#This Row],[G+V ajus PM Q1]]=DatosHoy[[#This Row],[CT ajus PM Q1]],-1,DatosHoy[[#This Row],[G+V ajus PM Q1]]-DatosHoy[[#This Row],[CT ajus PM Q1]])</f>
        <v>-128488.92517813062</v>
      </c>
      <c r="AX55" s="94">
        <f>IF($BN55=$BN56,-1,DatosHoy[[#This Row],[G ajus PMd]]-BR56)</f>
        <v>-1</v>
      </c>
      <c r="AY55" s="94">
        <f>IF($BN55=$BN56,-1,DatosHoy[[#This Row],[G+V ajus PM Md]]-BS56)</f>
        <v>-1</v>
      </c>
      <c r="AZ55" s="94">
        <f>IF($BN55=$BN56,-1,DatosHoy[[#This Row],[CT ajus PM Md]]-BT56)</f>
        <v>-1</v>
      </c>
      <c r="BA55" s="94">
        <f ca="1">IF(DatosHoy[[#This Row],[G ajus PMd]]=DatosHoy[[#This Row],[G+V ajus PM Md]],-1,DatosHoy[[#This Row],[G ajus PMd]]-DatosHoy[[#This Row],[G+V ajus PM Md]])</f>
        <v>-79026.399522230029</v>
      </c>
      <c r="BB55" s="94">
        <f ca="1">IF(DatosHoy[[#This Row],[G+V ajus PM Md]]=DatosHoy[[#This Row],[CT ajus PM Md]],-1,DatosHoy[[#This Row],[G+V ajus PM Md]]-DatosHoy[[#This Row],[CT ajus PM Md]])</f>
        <v>-215775.76833814103</v>
      </c>
      <c r="BC55" s="94">
        <f>IF($BN55=$BN56,-1,DatosHoy[[#This Row],[G ajus PM Q3]]-BU56)</f>
        <v>-1</v>
      </c>
      <c r="BD55" s="94">
        <f>IF($BN55=$BN56,-1,DatosHoy[[#This Row],[G+V ajus PM Q3]]-BV56)</f>
        <v>-1</v>
      </c>
      <c r="BE55" s="94">
        <f>IF($BN55=$BN56,-1,DatosHoy[[#This Row],[CT ajus PM Q3]]-BW56)</f>
        <v>-1</v>
      </c>
      <c r="BF55" s="94">
        <f ca="1">IF(DatosHoy[[#This Row],[G ajus PM Q3]]=DatosHoy[[#This Row],[G+V ajus PM Q3]],-1,DatosHoy[[#This Row],[G ajus PM Q3]]-DatosHoy[[#This Row],[G+V ajus PM Q3]])</f>
        <v>-141957.38259856775</v>
      </c>
      <c r="BG55" s="94">
        <f ca="1">IF(DatosHoy[[#This Row],[G+V ajus PM Q3]]=DatosHoy[[#This Row],[CT ajus PM Q3]],-1,DatosHoy[[#This Row],[G+V ajus PM Q3]]-DatosHoy[[#This Row],[CT ajus PM Q3]])</f>
        <v>-135155.96678343322</v>
      </c>
      <c r="BH55" s="94">
        <f ca="1">IF(DatosHoy[[#This Row],[G ajus PM Q1]]=DatosHoy[[#This Row],[G ajus PMd]],-1,DatosHoy[[#This Row],[G ajus PM Q1]]-DatosHoy[[#This Row],[G ajus PMd]])</f>
        <v>-556984.6632774421</v>
      </c>
      <c r="BI55" s="94">
        <f ca="1">IF(DatosHoy[[#This Row],[G+V ajus PM Q1]]=DatosHoy[[#This Row],[G+V ajus PM Md]],-1,DatosHoy[[#This Row],[G+V ajus PM Q1]]-DatosHoy[[#This Row],[G+V ajus PM Md]])</f>
        <v>-534330.68470962113</v>
      </c>
      <c r="BJ55" s="94">
        <f ca="1">IF(DatosHoy[[#This Row],[CT ajus PM Q1]]=DatosHoy[[#This Row],[CT ajus PM Md]],-1,DatosHoy[[#This Row],[CT ajus PM Q1]]-DatosHoy[[#This Row],[CT ajus PM Md]])</f>
        <v>-621617.52786963154</v>
      </c>
      <c r="BK55" s="94">
        <f ca="1">IF(DatosHoy[[#This Row],[G ajus PMd]]=DatosHoy[[#This Row],[G ajus PM Q3]],-1,DatosHoy[[#This Row],[G ajus PMd]]-DatosHoy[[#This Row],[G ajus PM Q3]])</f>
        <v>-1430977.9926799387</v>
      </c>
      <c r="BL55" s="94">
        <f ca="1">IF(DatosHoy[[#This Row],[G+V ajus PM Md]]=DatosHoy[[#This Row],[G+V ajus PM Q3]],-1,DatosHoy[[#This Row],[G+V ajus PM Md]]-DatosHoy[[#This Row],[G+V ajus PM Q3]])</f>
        <v>-1493908.9757562764</v>
      </c>
      <c r="BM55" s="94">
        <f ca="1">IF(DatosHoy[[#This Row],[CT ajus PM Md]]=DatosHoy[[#This Row],[CT ajus PM Q3]],-1,DatosHoy[[#This Row],[CT ajus PM Md]]-DatosHoy[[#This Row],[CT ajus PM Q3]])</f>
        <v>-1413289.1742015686</v>
      </c>
      <c r="BN55" s="74">
        <v>249</v>
      </c>
      <c r="BO55" s="94">
        <f ca="1">IFERROR(VLOOKUP($BN55,'Regresion Q1'!$T$6:$V$10,2,1)*$BN55+VLOOKUP($BN55,'Regresion Q1'!$T$6:$V$10,3,1),VLOOKUP(MIN(DatosHoy[Puntos]),'Regresion Q1'!$T$6:$V$10,2,1)*$BN55+VLOOKUP(MIN(DatosHoy[Puntos]),'Regresion Q1'!$T$6:$V$10,3,1))</f>
        <v>3081749.760508724</v>
      </c>
      <c r="BP55" s="94">
        <f ca="1">IFERROR(VLOOKUP($BN55,'Regresion Q1'!$W$6:$Y$10,2,1)*$BN55+VLOOKUP($BN55,'Regresion Q1'!$W$6:$Y$10,3,1),VLOOKUP(MIN(DatosHoy[Puntos]),'Regresion Q1'!$W$6:$Y$10,2,1)*$BN55+VLOOKUP(MIN(DatosHoy[Puntos]),'Regresion Q1'!$W$6:$Y$10,3,1))</f>
        <v>3183430.138598775</v>
      </c>
      <c r="BQ55" s="94">
        <f ca="1">IFERROR(VLOOKUP($BN55,'Regresion Q1'!$Z$6:$AB$10,2,1)*$BN55+VLOOKUP($BN55,'Regresion Q1'!$Z$6:$AB$10,3,1),VLOOKUP(MIN(DatosHoy[Puntos]),'Regresion Q1'!$Z$6:$AB$10,2,1)*$BN55+VLOOKUP(MIN(DatosHoy[Puntos]),'Regresion Q1'!$Z$6:$AB$10,3,1))</f>
        <v>3311919.0637769056</v>
      </c>
      <c r="BR55" s="94">
        <f ca="1">IFERROR(VLOOKUP($BN55,'Regresion Md'!$T$6:$V$10,2,1)*$BN55+VLOOKUP($BN55,'Regresion Md'!$T$6:$V$10,3,1),VLOOKUP(MIN(DatosHoy[Puntos]),'Regresion Md'!$T$6:$V$10,2,1)*$BN55+VLOOKUP(MIN(DatosHoy[Puntos]),'Regresion Md'!$T$6:$V$10,3,1))</f>
        <v>3638734.4237861661</v>
      </c>
      <c r="BS55" s="94">
        <f ca="1">IFERROR(VLOOKUP($BN55,'Regresion Md'!$W$6:$Y$10,2,1)*$BN55+VLOOKUP($BN55,'Regresion Md'!$W$6:$Y$10,3,1),VLOOKUP(MIN(DatosHoy[Puntos]),'Regresion Md'!$W$6:$Y$10,2,1)*$BN55+VLOOKUP(MIN(DatosHoy[Puntos]),'Regresion Md'!$W$6:$Y$10,3,1))</f>
        <v>3717760.8233083962</v>
      </c>
      <c r="BT55" s="94">
        <f ca="1">IFERROR(VLOOKUP($BN55,'Regresion Md'!$Z$6:$AB$10,2,1)*$BN55+VLOOKUP($BN55,'Regresion Md'!$Z$6:$AB$10,3,1),VLOOKUP(MIN(DatosHoy[Puntos]),'Regresion Md'!$Z$6:$AB$10,2,1)*$BN55+VLOOKUP(MIN(DatosHoy[Puntos]),'Regresion Md'!$Z$6:$AB$10,3,1))</f>
        <v>3933536.5916465372</v>
      </c>
      <c r="BU55" s="94">
        <f ca="1">IFERROR(VLOOKUP($BN55,'Regresion Q3'!$T$6:$V$10,2,1)*$BN55+VLOOKUP($BN55,'Regresion Q3'!$T$6:$V$10,3,1),VLOOKUP(MIN(DatosHoy[Puntos]),'Regresion Q3'!$T$6:$V$10,2,1)*$BN55+VLOOKUP(MIN(DatosHoy[Puntos]),'Regresion Q3'!$T$6:$V$10,3,1))</f>
        <v>5069712.4164661048</v>
      </c>
      <c r="BV55" s="94">
        <f ca="1">IFERROR(VLOOKUP($BN55,'Regresion Q3'!$W$6:$Y$10,2,1)*$BN55+VLOOKUP($BN55,'Regresion Q3'!$W$6:$Y$10,3,1),VLOOKUP(MIN(DatosHoy[Puntos]),'Regresion Q3'!$W$6:$Y$10,2,1)*$BN55+VLOOKUP(MIN(DatosHoy[Puntos]),'Regresion Q3'!$W$6:$Y$10,3,1))</f>
        <v>5211669.7990646726</v>
      </c>
      <c r="BW55" s="94">
        <f ca="1">IFERROR(VLOOKUP($BN55,'Regresion Q3'!$Z$6:$AB$10,2,1)*$BN55+VLOOKUP($BN55,'Regresion Q3'!$Z$6:$AB$10,3,1),VLOOKUP(MIN(DatosHoy[Puntos]),'Regresion Q3'!$Z$6:$AB$10,2,1)*$BN55+VLOOKUP(MIN(DatosHoy[Puntos]),'Regresion Q3'!$Z$6:$AB$10,3,1))</f>
        <v>5346825.7658481058</v>
      </c>
      <c r="BX55" s="96">
        <f ca="1">DatosHoy[[#This Row],[CT Actual]]/DatosHoy[[#This Row],[CT ajus PM Md]]</f>
        <v>0.71912758762870177</v>
      </c>
      <c r="BY55" s="125" t="str">
        <f>VLOOKUP(DatosHoy[[#This Row],[Cargo Valorado]],Estadísticos[[Cargo]:[Nivel]],2,FALSE)</f>
        <v>Soporte</v>
      </c>
      <c r="BZ55" s="96">
        <f>(DatosHoy[[#This Row],[G+V Actual]]-DatosHoy[[#This Row],[G Actual]])/DatosHoy[[#This Row],[CT Actual]]</f>
        <v>0</v>
      </c>
      <c r="CA55" s="96">
        <f>(DatosHoy[[#This Row],[CT Actual]]-DatosHoy[[#This Row],[G+V Actual]])/DatosHoy[[#This Row],[CT Actual]]</f>
        <v>0</v>
      </c>
      <c r="CB55" s="139" t="s">
        <v>255</v>
      </c>
    </row>
    <row r="56" spans="2:80" x14ac:dyDescent="0.25">
      <c r="B56" s="73">
        <f t="shared" si="34"/>
        <v>51</v>
      </c>
      <c r="C56" s="74">
        <v>3061695.3400000003</v>
      </c>
      <c r="D56" s="74">
        <v>3061695.3400000003</v>
      </c>
      <c r="E56" s="74">
        <v>3061695.3400000003</v>
      </c>
      <c r="F56" s="94">
        <f>VLOOKUP(DatosHoy[[#This Row],[Cargo Valorado]],Estadísticos[],3,0)</f>
        <v>3438704.400144909</v>
      </c>
      <c r="G56" s="94">
        <f>VLOOKUP(DatosHoy[[#This Row],[Cargo Valorado]],Estadísticos[],4,0)</f>
        <v>3438704.400144909</v>
      </c>
      <c r="H56" s="94">
        <f>VLOOKUP(DatosHoy[[#This Row],[Cargo Valorado]],Estadísticos[],5,0)</f>
        <v>3438704.400144909</v>
      </c>
      <c r="I56" s="94">
        <f>VLOOKUP(DatosHoy[[#This Row],[Cargo Valorado]],Estadísticos[],6,0)</f>
        <v>3520668.1743876603</v>
      </c>
      <c r="J56" s="94">
        <f>VLOOKUP(DatosHoy[[#This Row],[Cargo Valorado]],Estadísticos[],7,0)</f>
        <v>3520668.1743876603</v>
      </c>
      <c r="K56" s="94">
        <f>VLOOKUP(DatosHoy[[#This Row],[Cargo Valorado]],Estadísticos[],8,0)</f>
        <v>3617652.0718073961</v>
      </c>
      <c r="L56" s="94">
        <f>VLOOKUP(DatosHoy[[#This Row],[Cargo Valorado]],Estadísticos[],9,0)</f>
        <v>5848630.997348831</v>
      </c>
      <c r="M56" s="94">
        <f>VLOOKUP(DatosHoy[[#This Row],[Cargo Valorado]],Estadísticos[],10,0)</f>
        <v>5848630.997348831</v>
      </c>
      <c r="N56" s="94">
        <f>VLOOKUP(DatosHoy[[#This Row],[Cargo Valorado]],Estadísticos[],11,0)</f>
        <v>5848630.997348831</v>
      </c>
      <c r="O56" s="75" t="s">
        <v>228</v>
      </c>
      <c r="P56" s="75">
        <v>246</v>
      </c>
      <c r="Q56" s="95" t="str">
        <f t="shared" si="35"/>
        <v>$P$56</v>
      </c>
      <c r="R56" s="95" t="str">
        <f t="shared" si="36"/>
        <v>$F$56</v>
      </c>
      <c r="S56" s="95" t="str">
        <f t="shared" si="37"/>
        <v>$G$56</v>
      </c>
      <c r="T56" s="95" t="str">
        <f t="shared" si="38"/>
        <v>$H$56</v>
      </c>
      <c r="U56" s="95" t="str">
        <f t="shared" si="39"/>
        <v>$I$56</v>
      </c>
      <c r="V56" s="95" t="str">
        <f t="shared" si="40"/>
        <v>$J$56</v>
      </c>
      <c r="W56" s="95" t="str">
        <f t="shared" si="41"/>
        <v>$K$56</v>
      </c>
      <c r="X56" s="95" t="str">
        <f t="shared" si="42"/>
        <v>$L$56</v>
      </c>
      <c r="Y56" s="95" t="str">
        <f t="shared" si="43"/>
        <v>$M$56</v>
      </c>
      <c r="Z56" s="95" t="str">
        <f t="shared" si="44"/>
        <v>$N$56</v>
      </c>
      <c r="AA56" s="94">
        <f ca="1">VLOOKUP($P56,'Regresion Q1'!$E$6:$I$10,4,1)*$P56+VLOOKUP($P56,'Regresion Q1'!$E$6:$I$10,5,1)</f>
        <v>3186576.2751019918</v>
      </c>
      <c r="AB56" s="94">
        <f ca="1">VLOOKUP($P56,'Regresion Q1'!$J$6:$N$10,4,1)*$P56+VLOOKUP($P56,'Regresion Q1'!$J$6:$N$10,5,1)</f>
        <v>3257617.9732789672</v>
      </c>
      <c r="AC56" s="94">
        <f ca="1">VLOOKUP($P56,'Regresion Q1'!$O$6:$S$10,4,1)*$P56+VLOOKUP($P56,'Regresion Q1'!$O$6:$S$10,5,1)</f>
        <v>3440381.235547171</v>
      </c>
      <c r="AD56" s="94">
        <f ca="1">VLOOKUP($P56,'Regresion Md'!$E$6:$I$10,4,1)*$P56+VLOOKUP($P56,'Regresion Md'!$E$6:$I$10,5,1)</f>
        <v>3632224.4525469597</v>
      </c>
      <c r="AE56" s="94">
        <f ca="1">VLOOKUP($P56,'Regresion Md'!$J$6:$N$10,4,1)*$P56+VLOOKUP($P56,'Regresion Md'!$J$6:$N$10,5,1)</f>
        <v>3674901.3110371083</v>
      </c>
      <c r="AF56" s="94">
        <f ca="1">VLOOKUP($P56,'Regresion Md'!$O$6:$S$10,4,1)*$P56+VLOOKUP($P56,'Regresion Md'!$O$6:$S$10,5,1)</f>
        <v>3864863.1214479394</v>
      </c>
      <c r="AG56" s="94">
        <f ca="1">VLOOKUP($P56,'Regresion Q3'!$E$6:$I$10,4,1)*$P56+VLOOKUP($P56,'Regresion Q3'!$E$6:$I$10,5,1)</f>
        <v>4607772.4019376067</v>
      </c>
      <c r="AH56" s="94">
        <f ca="1">VLOOKUP($P56,'Regresion Q3'!$J$6:$N$10,4,1)*$P56+VLOOKUP($P56,'Regresion Q3'!$J$6:$N$10,5,1)</f>
        <v>4681032.2877160115</v>
      </c>
      <c r="AI56" s="94">
        <f ca="1">VLOOKUP($P56,'Regresion Q3'!$O$6:$S$10,4,1)*$P56+VLOOKUP($P56,'Regresion Q3'!$O$6:$S$10,5,1)</f>
        <v>4867447.7772095948</v>
      </c>
      <c r="AJ56" s="94">
        <f ca="1">VLOOKUP($P56,'Regresion Q1'!$T$6:$V$10,2,1)*$P56+VLOOKUP($P56,'Regresion Q1'!$T$6:$V$10,3,1)</f>
        <v>3051739.5064173685</v>
      </c>
      <c r="AK56" s="94">
        <f ca="1">VLOOKUP($P56,'Regresion Q1'!$W$6:$Y$10,2,1)*$P56+VLOOKUP($P56,'Regresion Q1'!$W$6:$Y$10,3,1)</f>
        <v>3153100.3542553112</v>
      </c>
      <c r="AL56" s="94">
        <f ca="1">VLOOKUP($P56,'Regresion Q1'!$Z$6:$AB$10,2,1)*$P56+VLOOKUP($P56,'Regresion Q1'!$Z$6:$AB$10,3,1)</f>
        <v>3280224.6303802896</v>
      </c>
      <c r="AM56" s="94">
        <f ca="1">VLOOKUP($P56,'Regresion Md'!$T$6:$V$10,2,1)*$P56+VLOOKUP($P56,'Regresion Md'!$T$6:$V$10,3,1)</f>
        <v>3569921.7298058532</v>
      </c>
      <c r="AN56" s="94">
        <f ca="1">VLOOKUP($P56,'Regresion Md'!$W$6:$Y$10,2,1)*$P56+VLOOKUP($P56,'Regresion Md'!$W$6:$Y$10,3,1)</f>
        <v>3643229.0418780521</v>
      </c>
      <c r="AO56" s="94">
        <f ca="1">VLOOKUP($P56,'Regresion Md'!$Z$6:$AB$10,2,1)*$P56+VLOOKUP($P56,'Regresion Md'!$Z$6:$AB$10,3,1)</f>
        <v>3856916.8582196599</v>
      </c>
      <c r="AP56" s="94">
        <f ca="1">VLOOKUP($P56,'Regresion Q3'!$T$6:$V$10,2,1)*$P56+VLOOKUP($P56,'Regresion Q3'!$T$6:$V$10,3,1)</f>
        <v>5014331.2815239541</v>
      </c>
      <c r="AQ56" s="94">
        <f ca="1">VLOOKUP($P56,'Regresion Q3'!$W$6:$Y$10,2,1)*$P56+VLOOKUP($P56,'Regresion Q3'!$W$6:$Y$10,3,1)</f>
        <v>5154984.4076147517</v>
      </c>
      <c r="AR56" s="94">
        <f ca="1">VLOOKUP($P56,'Regresion Q3'!$Z$6:$AB$10,2,1)*$P56+VLOOKUP($P56,'Regresion Q3'!$Z$6:$AB$10,3,1)</f>
        <v>5289073.5928406063</v>
      </c>
      <c r="AS56" s="94">
        <f>IF($BN56=$BN57,-1,DatosHoy[[#This Row],[G ajus PM Q1]]-BO57)</f>
        <v>-1</v>
      </c>
      <c r="AT56" s="94">
        <f>IF($BN56=$BN57,-1,DatosHoy[[#This Row],[G+V ajus PM Q1]]-BP57)</f>
        <v>-1</v>
      </c>
      <c r="AU56" s="94">
        <f>IF($BN56=$BN57,-1,DatosHoy[[#This Row],[CT ajus PM Q1]]-BQ57)</f>
        <v>-1</v>
      </c>
      <c r="AV56" s="94">
        <f ca="1">IF(DatosHoy[[#This Row],[G ajus PM Q1]]=DatosHoy[[#This Row],[G+V ajus PM Q1]],-1,DatosHoy[[#This Row],[G ajus PM Q1]]-DatosHoy[[#This Row],[G+V ajus PM Q1]])</f>
        <v>-101680.378090051</v>
      </c>
      <c r="AW56" s="94">
        <f ca="1">IF(DatosHoy[[#This Row],[G+V ajus PM Q1]]=DatosHoy[[#This Row],[CT ajus PM Q1]],-1,DatosHoy[[#This Row],[G+V ajus PM Q1]]-DatosHoy[[#This Row],[CT ajus PM Q1]])</f>
        <v>-128488.92517813062</v>
      </c>
      <c r="AX56" s="94">
        <f>IF($BN56=$BN57,-1,DatosHoy[[#This Row],[G ajus PMd]]-BR57)</f>
        <v>-1</v>
      </c>
      <c r="AY56" s="94">
        <f>IF($BN56=$BN57,-1,DatosHoy[[#This Row],[G+V ajus PM Md]]-BS57)</f>
        <v>-1</v>
      </c>
      <c r="AZ56" s="94">
        <f>IF($BN56=$BN57,-1,DatosHoy[[#This Row],[CT ajus PM Md]]-BT57)</f>
        <v>-1</v>
      </c>
      <c r="BA56" s="94">
        <f ca="1">IF(DatosHoy[[#This Row],[G ajus PMd]]=DatosHoy[[#This Row],[G+V ajus PM Md]],-1,DatosHoy[[#This Row],[G ajus PMd]]-DatosHoy[[#This Row],[G+V ajus PM Md]])</f>
        <v>-79026.399522230029</v>
      </c>
      <c r="BB56" s="94">
        <f ca="1">IF(DatosHoy[[#This Row],[G+V ajus PM Md]]=DatosHoy[[#This Row],[CT ajus PM Md]],-1,DatosHoy[[#This Row],[G+V ajus PM Md]]-DatosHoy[[#This Row],[CT ajus PM Md]])</f>
        <v>-215775.76833814103</v>
      </c>
      <c r="BC56" s="94">
        <f>IF($BN56=$BN57,-1,DatosHoy[[#This Row],[G ajus PM Q3]]-BU57)</f>
        <v>-1</v>
      </c>
      <c r="BD56" s="94">
        <f>IF($BN56=$BN57,-1,DatosHoy[[#This Row],[G+V ajus PM Q3]]-BV57)</f>
        <v>-1</v>
      </c>
      <c r="BE56" s="94">
        <f>IF($BN56=$BN57,-1,DatosHoy[[#This Row],[CT ajus PM Q3]]-BW57)</f>
        <v>-1</v>
      </c>
      <c r="BF56" s="94">
        <f ca="1">IF(DatosHoy[[#This Row],[G ajus PM Q3]]=DatosHoy[[#This Row],[G+V ajus PM Q3]],-1,DatosHoy[[#This Row],[G ajus PM Q3]]-DatosHoy[[#This Row],[G+V ajus PM Q3]])</f>
        <v>-141957.38259856775</v>
      </c>
      <c r="BG56" s="94">
        <f ca="1">IF(DatosHoy[[#This Row],[G+V ajus PM Q3]]=DatosHoy[[#This Row],[CT ajus PM Q3]],-1,DatosHoy[[#This Row],[G+V ajus PM Q3]]-DatosHoy[[#This Row],[CT ajus PM Q3]])</f>
        <v>-135155.96678343322</v>
      </c>
      <c r="BH56" s="94">
        <f ca="1">IF(DatosHoy[[#This Row],[G ajus PM Q1]]=DatosHoy[[#This Row],[G ajus PMd]],-1,DatosHoy[[#This Row],[G ajus PM Q1]]-DatosHoy[[#This Row],[G ajus PMd]])</f>
        <v>-556984.6632774421</v>
      </c>
      <c r="BI56" s="94">
        <f ca="1">IF(DatosHoy[[#This Row],[G+V ajus PM Q1]]=DatosHoy[[#This Row],[G+V ajus PM Md]],-1,DatosHoy[[#This Row],[G+V ajus PM Q1]]-DatosHoy[[#This Row],[G+V ajus PM Md]])</f>
        <v>-534330.68470962113</v>
      </c>
      <c r="BJ56" s="94">
        <f ca="1">IF(DatosHoy[[#This Row],[CT ajus PM Q1]]=DatosHoy[[#This Row],[CT ajus PM Md]],-1,DatosHoy[[#This Row],[CT ajus PM Q1]]-DatosHoy[[#This Row],[CT ajus PM Md]])</f>
        <v>-621617.52786963154</v>
      </c>
      <c r="BK56" s="94">
        <f ca="1">IF(DatosHoy[[#This Row],[G ajus PMd]]=DatosHoy[[#This Row],[G ajus PM Q3]],-1,DatosHoy[[#This Row],[G ajus PMd]]-DatosHoy[[#This Row],[G ajus PM Q3]])</f>
        <v>-1430977.9926799387</v>
      </c>
      <c r="BL56" s="94">
        <f ca="1">IF(DatosHoy[[#This Row],[G+V ajus PM Md]]=DatosHoy[[#This Row],[G+V ajus PM Q3]],-1,DatosHoy[[#This Row],[G+V ajus PM Md]]-DatosHoy[[#This Row],[G+V ajus PM Q3]])</f>
        <v>-1493908.9757562764</v>
      </c>
      <c r="BM56" s="94">
        <f ca="1">IF(DatosHoy[[#This Row],[CT ajus PM Md]]=DatosHoy[[#This Row],[CT ajus PM Q3]],-1,DatosHoy[[#This Row],[CT ajus PM Md]]-DatosHoy[[#This Row],[CT ajus PM Q3]])</f>
        <v>-1413289.1742015686</v>
      </c>
      <c r="BN56" s="74">
        <v>249</v>
      </c>
      <c r="BO56" s="94">
        <f ca="1">IFERROR(VLOOKUP($BN56,'Regresion Q1'!$T$6:$V$10,2,1)*$BN56+VLOOKUP($BN56,'Regresion Q1'!$T$6:$V$10,3,1),VLOOKUP(MIN(DatosHoy[Puntos]),'Regresion Q1'!$T$6:$V$10,2,1)*$BN56+VLOOKUP(MIN(DatosHoy[Puntos]),'Regresion Q1'!$T$6:$V$10,3,1))</f>
        <v>3081749.760508724</v>
      </c>
      <c r="BP56" s="94">
        <f ca="1">IFERROR(VLOOKUP($BN56,'Regresion Q1'!$W$6:$Y$10,2,1)*$BN56+VLOOKUP($BN56,'Regresion Q1'!$W$6:$Y$10,3,1),VLOOKUP(MIN(DatosHoy[Puntos]),'Regresion Q1'!$W$6:$Y$10,2,1)*$BN56+VLOOKUP(MIN(DatosHoy[Puntos]),'Regresion Q1'!$W$6:$Y$10,3,1))</f>
        <v>3183430.138598775</v>
      </c>
      <c r="BQ56" s="94">
        <f ca="1">IFERROR(VLOOKUP($BN56,'Regresion Q1'!$Z$6:$AB$10,2,1)*$BN56+VLOOKUP($BN56,'Regresion Q1'!$Z$6:$AB$10,3,1),VLOOKUP(MIN(DatosHoy[Puntos]),'Regresion Q1'!$Z$6:$AB$10,2,1)*$BN56+VLOOKUP(MIN(DatosHoy[Puntos]),'Regresion Q1'!$Z$6:$AB$10,3,1))</f>
        <v>3311919.0637769056</v>
      </c>
      <c r="BR56" s="94">
        <f ca="1">IFERROR(VLOOKUP($BN56,'Regresion Md'!$T$6:$V$10,2,1)*$BN56+VLOOKUP($BN56,'Regresion Md'!$T$6:$V$10,3,1),VLOOKUP(MIN(DatosHoy[Puntos]),'Regresion Md'!$T$6:$V$10,2,1)*$BN56+VLOOKUP(MIN(DatosHoy[Puntos]),'Regresion Md'!$T$6:$V$10,3,1))</f>
        <v>3638734.4237861661</v>
      </c>
      <c r="BS56" s="94">
        <f ca="1">IFERROR(VLOOKUP($BN56,'Regresion Md'!$W$6:$Y$10,2,1)*$BN56+VLOOKUP($BN56,'Regresion Md'!$W$6:$Y$10,3,1),VLOOKUP(MIN(DatosHoy[Puntos]),'Regresion Md'!$W$6:$Y$10,2,1)*$BN56+VLOOKUP(MIN(DatosHoy[Puntos]),'Regresion Md'!$W$6:$Y$10,3,1))</f>
        <v>3717760.8233083962</v>
      </c>
      <c r="BT56" s="94">
        <f ca="1">IFERROR(VLOOKUP($BN56,'Regresion Md'!$Z$6:$AB$10,2,1)*$BN56+VLOOKUP($BN56,'Regresion Md'!$Z$6:$AB$10,3,1),VLOOKUP(MIN(DatosHoy[Puntos]),'Regresion Md'!$Z$6:$AB$10,2,1)*$BN56+VLOOKUP(MIN(DatosHoy[Puntos]),'Regresion Md'!$Z$6:$AB$10,3,1))</f>
        <v>3933536.5916465372</v>
      </c>
      <c r="BU56" s="94">
        <f ca="1">IFERROR(VLOOKUP($BN56,'Regresion Q3'!$T$6:$V$10,2,1)*$BN56+VLOOKUP($BN56,'Regresion Q3'!$T$6:$V$10,3,1),VLOOKUP(MIN(DatosHoy[Puntos]),'Regresion Q3'!$T$6:$V$10,2,1)*$BN56+VLOOKUP(MIN(DatosHoy[Puntos]),'Regresion Q3'!$T$6:$V$10,3,1))</f>
        <v>5069712.4164661048</v>
      </c>
      <c r="BV56" s="94">
        <f ca="1">IFERROR(VLOOKUP($BN56,'Regresion Q3'!$W$6:$Y$10,2,1)*$BN56+VLOOKUP($BN56,'Regresion Q3'!$W$6:$Y$10,3,1),VLOOKUP(MIN(DatosHoy[Puntos]),'Regresion Q3'!$W$6:$Y$10,2,1)*$BN56+VLOOKUP(MIN(DatosHoy[Puntos]),'Regresion Q3'!$W$6:$Y$10,3,1))</f>
        <v>5211669.7990646726</v>
      </c>
      <c r="BW56" s="94">
        <f ca="1">IFERROR(VLOOKUP($BN56,'Regresion Q3'!$Z$6:$AB$10,2,1)*$BN56+VLOOKUP($BN56,'Regresion Q3'!$Z$6:$AB$10,3,1),VLOOKUP(MIN(DatosHoy[Puntos]),'Regresion Q3'!$Z$6:$AB$10,2,1)*$BN56+VLOOKUP(MIN(DatosHoy[Puntos]),'Regresion Q3'!$Z$6:$AB$10,3,1))</f>
        <v>5346825.7658481058</v>
      </c>
      <c r="BX56" s="96">
        <f ca="1">DatosHoy[[#This Row],[CT Actual]]/DatosHoy[[#This Row],[CT ajus PM Md]]</f>
        <v>0.77835689809063313</v>
      </c>
      <c r="BY56" s="125" t="str">
        <f>VLOOKUP(DatosHoy[[#This Row],[Cargo Valorado]],Estadísticos[[Cargo]:[Nivel]],2,FALSE)</f>
        <v>Soporte</v>
      </c>
      <c r="BZ56" s="96">
        <f>(DatosHoy[[#This Row],[G+V Actual]]-DatosHoy[[#This Row],[G Actual]])/DatosHoy[[#This Row],[CT Actual]]</f>
        <v>0</v>
      </c>
      <c r="CA56" s="96">
        <f>(DatosHoy[[#This Row],[CT Actual]]-DatosHoy[[#This Row],[G+V Actual]])/DatosHoy[[#This Row],[CT Actual]]</f>
        <v>0</v>
      </c>
      <c r="CB56" s="139" t="s">
        <v>255</v>
      </c>
    </row>
    <row r="57" spans="2:80" x14ac:dyDescent="0.25">
      <c r="B57" s="73">
        <f t="shared" si="34"/>
        <v>52</v>
      </c>
      <c r="C57" s="74">
        <v>2828714.68</v>
      </c>
      <c r="D57" s="74">
        <v>2828714.68</v>
      </c>
      <c r="E57" s="74">
        <v>2828714.68</v>
      </c>
      <c r="F57" s="94">
        <f>VLOOKUP(DatosHoy[[#This Row],[Cargo Valorado]],Estadísticos[],3,0)</f>
        <v>2851592.5360258492</v>
      </c>
      <c r="G57" s="94">
        <f>VLOOKUP(DatosHoy[[#This Row],[Cargo Valorado]],Estadísticos[],4,0)</f>
        <v>2851592.5360258492</v>
      </c>
      <c r="H57" s="94">
        <f>VLOOKUP(DatosHoy[[#This Row],[Cargo Valorado]],Estadísticos[],5,0)</f>
        <v>2929047.7961641597</v>
      </c>
      <c r="I57" s="94">
        <f>VLOOKUP(DatosHoy[[#This Row],[Cargo Valorado]],Estadísticos[],6,0)</f>
        <v>3471743.5312153441</v>
      </c>
      <c r="J57" s="94">
        <f>VLOOKUP(DatosHoy[[#This Row],[Cargo Valorado]],Estadísticos[],7,0)</f>
        <v>3471743.5312153441</v>
      </c>
      <c r="K57" s="94">
        <f>VLOOKUP(DatosHoy[[#This Row],[Cargo Valorado]],Estadísticos[],8,0)</f>
        <v>3557439.4512153445</v>
      </c>
      <c r="L57" s="94">
        <f>VLOOKUP(DatosHoy[[#This Row],[Cargo Valorado]],Estadísticos[],9,0)</f>
        <v>4085695.37002273</v>
      </c>
      <c r="M57" s="94">
        <f>VLOOKUP(DatosHoy[[#This Row],[Cargo Valorado]],Estadísticos[],10,0)</f>
        <v>4177164.0820844108</v>
      </c>
      <c r="N57" s="94">
        <f>VLOOKUP(DatosHoy[[#This Row],[Cargo Valorado]],Estadísticos[],11,0)</f>
        <v>4220012.0420844108</v>
      </c>
      <c r="O57" s="75" t="s">
        <v>227</v>
      </c>
      <c r="P57" s="75">
        <v>246</v>
      </c>
      <c r="Q57" s="95" t="str">
        <f t="shared" si="35"/>
        <v>$P$57</v>
      </c>
      <c r="R57" s="95" t="str">
        <f t="shared" si="36"/>
        <v>$F$57</v>
      </c>
      <c r="S57" s="95" t="str">
        <f t="shared" si="37"/>
        <v>$G$57</v>
      </c>
      <c r="T57" s="95" t="str">
        <f t="shared" si="38"/>
        <v>$H$57</v>
      </c>
      <c r="U57" s="95" t="str">
        <f t="shared" si="39"/>
        <v>$I$57</v>
      </c>
      <c r="V57" s="95" t="str">
        <f t="shared" si="40"/>
        <v>$J$57</v>
      </c>
      <c r="W57" s="95" t="str">
        <f t="shared" si="41"/>
        <v>$K$57</v>
      </c>
      <c r="X57" s="95" t="str">
        <f t="shared" si="42"/>
        <v>$L$57</v>
      </c>
      <c r="Y57" s="95" t="str">
        <f t="shared" si="43"/>
        <v>$M$57</v>
      </c>
      <c r="Z57" s="95" t="str">
        <f t="shared" si="44"/>
        <v>$N$57</v>
      </c>
      <c r="AA57" s="94">
        <f ca="1">VLOOKUP($P57,'Regresion Q1'!$E$6:$I$10,4,1)*$P57+VLOOKUP($P57,'Regresion Q1'!$E$6:$I$10,5,1)</f>
        <v>3186576.2751019918</v>
      </c>
      <c r="AB57" s="94">
        <f ca="1">VLOOKUP($P57,'Regresion Q1'!$J$6:$N$10,4,1)*$P57+VLOOKUP($P57,'Regresion Q1'!$J$6:$N$10,5,1)</f>
        <v>3257617.9732789672</v>
      </c>
      <c r="AC57" s="94">
        <f ca="1">VLOOKUP($P57,'Regresion Q1'!$O$6:$S$10,4,1)*$P57+VLOOKUP($P57,'Regresion Q1'!$O$6:$S$10,5,1)</f>
        <v>3440381.235547171</v>
      </c>
      <c r="AD57" s="94">
        <f ca="1">VLOOKUP($P57,'Regresion Md'!$E$6:$I$10,4,1)*$P57+VLOOKUP($P57,'Regresion Md'!$E$6:$I$10,5,1)</f>
        <v>3632224.4525469597</v>
      </c>
      <c r="AE57" s="94">
        <f ca="1">VLOOKUP($P57,'Regresion Md'!$J$6:$N$10,4,1)*$P57+VLOOKUP($P57,'Regresion Md'!$J$6:$N$10,5,1)</f>
        <v>3674901.3110371083</v>
      </c>
      <c r="AF57" s="94">
        <f ca="1">VLOOKUP($P57,'Regresion Md'!$O$6:$S$10,4,1)*$P57+VLOOKUP($P57,'Regresion Md'!$O$6:$S$10,5,1)</f>
        <v>3864863.1214479394</v>
      </c>
      <c r="AG57" s="94">
        <f ca="1">VLOOKUP($P57,'Regresion Q3'!$E$6:$I$10,4,1)*$P57+VLOOKUP($P57,'Regresion Q3'!$E$6:$I$10,5,1)</f>
        <v>4607772.4019376067</v>
      </c>
      <c r="AH57" s="94">
        <f ca="1">VLOOKUP($P57,'Regresion Q3'!$J$6:$N$10,4,1)*$P57+VLOOKUP($P57,'Regresion Q3'!$J$6:$N$10,5,1)</f>
        <v>4681032.2877160115</v>
      </c>
      <c r="AI57" s="94">
        <f ca="1">VLOOKUP($P57,'Regresion Q3'!$O$6:$S$10,4,1)*$P57+VLOOKUP($P57,'Regresion Q3'!$O$6:$S$10,5,1)</f>
        <v>4867447.7772095948</v>
      </c>
      <c r="AJ57" s="94">
        <f ca="1">VLOOKUP($P57,'Regresion Q1'!$T$6:$V$10,2,1)*$P57+VLOOKUP($P57,'Regresion Q1'!$T$6:$V$10,3,1)</f>
        <v>3051739.5064173685</v>
      </c>
      <c r="AK57" s="94">
        <f ca="1">VLOOKUP($P57,'Regresion Q1'!$W$6:$Y$10,2,1)*$P57+VLOOKUP($P57,'Regresion Q1'!$W$6:$Y$10,3,1)</f>
        <v>3153100.3542553112</v>
      </c>
      <c r="AL57" s="94">
        <f ca="1">VLOOKUP($P57,'Regresion Q1'!$Z$6:$AB$10,2,1)*$P57+VLOOKUP($P57,'Regresion Q1'!$Z$6:$AB$10,3,1)</f>
        <v>3280224.6303802896</v>
      </c>
      <c r="AM57" s="94">
        <f ca="1">VLOOKUP($P57,'Regresion Md'!$T$6:$V$10,2,1)*$P57+VLOOKUP($P57,'Regresion Md'!$T$6:$V$10,3,1)</f>
        <v>3569921.7298058532</v>
      </c>
      <c r="AN57" s="94">
        <f ca="1">VLOOKUP($P57,'Regresion Md'!$W$6:$Y$10,2,1)*$P57+VLOOKUP($P57,'Regresion Md'!$W$6:$Y$10,3,1)</f>
        <v>3643229.0418780521</v>
      </c>
      <c r="AO57" s="94">
        <f ca="1">VLOOKUP($P57,'Regresion Md'!$Z$6:$AB$10,2,1)*$P57+VLOOKUP($P57,'Regresion Md'!$Z$6:$AB$10,3,1)</f>
        <v>3856916.8582196599</v>
      </c>
      <c r="AP57" s="94">
        <f ca="1">VLOOKUP($P57,'Regresion Q3'!$T$6:$V$10,2,1)*$P57+VLOOKUP($P57,'Regresion Q3'!$T$6:$V$10,3,1)</f>
        <v>5014331.2815239541</v>
      </c>
      <c r="AQ57" s="94">
        <f ca="1">VLOOKUP($P57,'Regresion Q3'!$W$6:$Y$10,2,1)*$P57+VLOOKUP($P57,'Regresion Q3'!$W$6:$Y$10,3,1)</f>
        <v>5154984.4076147517</v>
      </c>
      <c r="AR57" s="94">
        <f ca="1">VLOOKUP($P57,'Regresion Q3'!$Z$6:$AB$10,2,1)*$P57+VLOOKUP($P57,'Regresion Q3'!$Z$6:$AB$10,3,1)</f>
        <v>5289073.5928406063</v>
      </c>
      <c r="AS57" s="94">
        <f>IF($BN57=$BN58,-1,DatosHoy[[#This Row],[G ajus PM Q1]]-BO58)</f>
        <v>-1</v>
      </c>
      <c r="AT57" s="94">
        <f>IF($BN57=$BN58,-1,DatosHoy[[#This Row],[G+V ajus PM Q1]]-BP58)</f>
        <v>-1</v>
      </c>
      <c r="AU57" s="94">
        <f>IF($BN57=$BN58,-1,DatosHoy[[#This Row],[CT ajus PM Q1]]-BQ58)</f>
        <v>-1</v>
      </c>
      <c r="AV57" s="94">
        <f ca="1">IF(DatosHoy[[#This Row],[G ajus PM Q1]]=DatosHoy[[#This Row],[G+V ajus PM Q1]],-1,DatosHoy[[#This Row],[G ajus PM Q1]]-DatosHoy[[#This Row],[G+V ajus PM Q1]])</f>
        <v>-101680.378090051</v>
      </c>
      <c r="AW57" s="94">
        <f ca="1">IF(DatosHoy[[#This Row],[G+V ajus PM Q1]]=DatosHoy[[#This Row],[CT ajus PM Q1]],-1,DatosHoy[[#This Row],[G+V ajus PM Q1]]-DatosHoy[[#This Row],[CT ajus PM Q1]])</f>
        <v>-128488.92517813062</v>
      </c>
      <c r="AX57" s="94">
        <f>IF($BN57=$BN58,-1,DatosHoy[[#This Row],[G ajus PMd]]-BR58)</f>
        <v>-1</v>
      </c>
      <c r="AY57" s="94">
        <f>IF($BN57=$BN58,-1,DatosHoy[[#This Row],[G+V ajus PM Md]]-BS58)</f>
        <v>-1</v>
      </c>
      <c r="AZ57" s="94">
        <f>IF($BN57=$BN58,-1,DatosHoy[[#This Row],[CT ajus PM Md]]-BT58)</f>
        <v>-1</v>
      </c>
      <c r="BA57" s="94">
        <f ca="1">IF(DatosHoy[[#This Row],[G ajus PMd]]=DatosHoy[[#This Row],[G+V ajus PM Md]],-1,DatosHoy[[#This Row],[G ajus PMd]]-DatosHoy[[#This Row],[G+V ajus PM Md]])</f>
        <v>-79026.399522230029</v>
      </c>
      <c r="BB57" s="94">
        <f ca="1">IF(DatosHoy[[#This Row],[G+V ajus PM Md]]=DatosHoy[[#This Row],[CT ajus PM Md]],-1,DatosHoy[[#This Row],[G+V ajus PM Md]]-DatosHoy[[#This Row],[CT ajus PM Md]])</f>
        <v>-215775.76833814103</v>
      </c>
      <c r="BC57" s="94">
        <f>IF($BN57=$BN58,-1,DatosHoy[[#This Row],[G ajus PM Q3]]-BU58)</f>
        <v>-1</v>
      </c>
      <c r="BD57" s="94">
        <f>IF($BN57=$BN58,-1,DatosHoy[[#This Row],[G+V ajus PM Q3]]-BV58)</f>
        <v>-1</v>
      </c>
      <c r="BE57" s="94">
        <f>IF($BN57=$BN58,-1,DatosHoy[[#This Row],[CT ajus PM Q3]]-BW58)</f>
        <v>-1</v>
      </c>
      <c r="BF57" s="94">
        <f ca="1">IF(DatosHoy[[#This Row],[G ajus PM Q3]]=DatosHoy[[#This Row],[G+V ajus PM Q3]],-1,DatosHoy[[#This Row],[G ajus PM Q3]]-DatosHoy[[#This Row],[G+V ajus PM Q3]])</f>
        <v>-141957.38259856775</v>
      </c>
      <c r="BG57" s="94">
        <f ca="1">IF(DatosHoy[[#This Row],[G+V ajus PM Q3]]=DatosHoy[[#This Row],[CT ajus PM Q3]],-1,DatosHoy[[#This Row],[G+V ajus PM Q3]]-DatosHoy[[#This Row],[CT ajus PM Q3]])</f>
        <v>-135155.96678343322</v>
      </c>
      <c r="BH57" s="94">
        <f ca="1">IF(DatosHoy[[#This Row],[G ajus PM Q1]]=DatosHoy[[#This Row],[G ajus PMd]],-1,DatosHoy[[#This Row],[G ajus PM Q1]]-DatosHoy[[#This Row],[G ajus PMd]])</f>
        <v>-556984.6632774421</v>
      </c>
      <c r="BI57" s="94">
        <f ca="1">IF(DatosHoy[[#This Row],[G+V ajus PM Q1]]=DatosHoy[[#This Row],[G+V ajus PM Md]],-1,DatosHoy[[#This Row],[G+V ajus PM Q1]]-DatosHoy[[#This Row],[G+V ajus PM Md]])</f>
        <v>-534330.68470962113</v>
      </c>
      <c r="BJ57" s="94">
        <f ca="1">IF(DatosHoy[[#This Row],[CT ajus PM Q1]]=DatosHoy[[#This Row],[CT ajus PM Md]],-1,DatosHoy[[#This Row],[CT ajus PM Q1]]-DatosHoy[[#This Row],[CT ajus PM Md]])</f>
        <v>-621617.52786963154</v>
      </c>
      <c r="BK57" s="94">
        <f ca="1">IF(DatosHoy[[#This Row],[G ajus PMd]]=DatosHoy[[#This Row],[G ajus PM Q3]],-1,DatosHoy[[#This Row],[G ajus PMd]]-DatosHoy[[#This Row],[G ajus PM Q3]])</f>
        <v>-1430977.9926799387</v>
      </c>
      <c r="BL57" s="94">
        <f ca="1">IF(DatosHoy[[#This Row],[G+V ajus PM Md]]=DatosHoy[[#This Row],[G+V ajus PM Q3]],-1,DatosHoy[[#This Row],[G+V ajus PM Md]]-DatosHoy[[#This Row],[G+V ajus PM Q3]])</f>
        <v>-1493908.9757562764</v>
      </c>
      <c r="BM57" s="94">
        <f ca="1">IF(DatosHoy[[#This Row],[CT ajus PM Md]]=DatosHoy[[#This Row],[CT ajus PM Q3]],-1,DatosHoy[[#This Row],[CT ajus PM Md]]-DatosHoy[[#This Row],[CT ajus PM Q3]])</f>
        <v>-1413289.1742015686</v>
      </c>
      <c r="BN57" s="74">
        <v>249</v>
      </c>
      <c r="BO57" s="94">
        <f ca="1">IFERROR(VLOOKUP($BN57,'Regresion Q1'!$T$6:$V$10,2,1)*$BN57+VLOOKUP($BN57,'Regresion Q1'!$T$6:$V$10,3,1),VLOOKUP(MIN(DatosHoy[Puntos]),'Regresion Q1'!$T$6:$V$10,2,1)*$BN57+VLOOKUP(MIN(DatosHoy[Puntos]),'Regresion Q1'!$T$6:$V$10,3,1))</f>
        <v>3081749.760508724</v>
      </c>
      <c r="BP57" s="94">
        <f ca="1">IFERROR(VLOOKUP($BN57,'Regresion Q1'!$W$6:$Y$10,2,1)*$BN57+VLOOKUP($BN57,'Regresion Q1'!$W$6:$Y$10,3,1),VLOOKUP(MIN(DatosHoy[Puntos]),'Regresion Q1'!$W$6:$Y$10,2,1)*$BN57+VLOOKUP(MIN(DatosHoy[Puntos]),'Regresion Q1'!$W$6:$Y$10,3,1))</f>
        <v>3183430.138598775</v>
      </c>
      <c r="BQ57" s="94">
        <f ca="1">IFERROR(VLOOKUP($BN57,'Regresion Q1'!$Z$6:$AB$10,2,1)*$BN57+VLOOKUP($BN57,'Regresion Q1'!$Z$6:$AB$10,3,1),VLOOKUP(MIN(DatosHoy[Puntos]),'Regresion Q1'!$Z$6:$AB$10,2,1)*$BN57+VLOOKUP(MIN(DatosHoy[Puntos]),'Regresion Q1'!$Z$6:$AB$10,3,1))</f>
        <v>3311919.0637769056</v>
      </c>
      <c r="BR57" s="94">
        <f ca="1">IFERROR(VLOOKUP($BN57,'Regresion Md'!$T$6:$V$10,2,1)*$BN57+VLOOKUP($BN57,'Regresion Md'!$T$6:$V$10,3,1),VLOOKUP(MIN(DatosHoy[Puntos]),'Regresion Md'!$T$6:$V$10,2,1)*$BN57+VLOOKUP(MIN(DatosHoy[Puntos]),'Regresion Md'!$T$6:$V$10,3,1))</f>
        <v>3638734.4237861661</v>
      </c>
      <c r="BS57" s="94">
        <f ca="1">IFERROR(VLOOKUP($BN57,'Regresion Md'!$W$6:$Y$10,2,1)*$BN57+VLOOKUP($BN57,'Regresion Md'!$W$6:$Y$10,3,1),VLOOKUP(MIN(DatosHoy[Puntos]),'Regresion Md'!$W$6:$Y$10,2,1)*$BN57+VLOOKUP(MIN(DatosHoy[Puntos]),'Regresion Md'!$W$6:$Y$10,3,1))</f>
        <v>3717760.8233083962</v>
      </c>
      <c r="BT57" s="94">
        <f ca="1">IFERROR(VLOOKUP($BN57,'Regresion Md'!$Z$6:$AB$10,2,1)*$BN57+VLOOKUP($BN57,'Regresion Md'!$Z$6:$AB$10,3,1),VLOOKUP(MIN(DatosHoy[Puntos]),'Regresion Md'!$Z$6:$AB$10,2,1)*$BN57+VLOOKUP(MIN(DatosHoy[Puntos]),'Regresion Md'!$Z$6:$AB$10,3,1))</f>
        <v>3933536.5916465372</v>
      </c>
      <c r="BU57" s="94">
        <f ca="1">IFERROR(VLOOKUP($BN57,'Regresion Q3'!$T$6:$V$10,2,1)*$BN57+VLOOKUP($BN57,'Regresion Q3'!$T$6:$V$10,3,1),VLOOKUP(MIN(DatosHoy[Puntos]),'Regresion Q3'!$T$6:$V$10,2,1)*$BN57+VLOOKUP(MIN(DatosHoy[Puntos]),'Regresion Q3'!$T$6:$V$10,3,1))</f>
        <v>5069712.4164661048</v>
      </c>
      <c r="BV57" s="94">
        <f ca="1">IFERROR(VLOOKUP($BN57,'Regresion Q3'!$W$6:$Y$10,2,1)*$BN57+VLOOKUP($BN57,'Regresion Q3'!$W$6:$Y$10,3,1),VLOOKUP(MIN(DatosHoy[Puntos]),'Regresion Q3'!$W$6:$Y$10,2,1)*$BN57+VLOOKUP(MIN(DatosHoy[Puntos]),'Regresion Q3'!$W$6:$Y$10,3,1))</f>
        <v>5211669.7990646726</v>
      </c>
      <c r="BW57" s="94">
        <f ca="1">IFERROR(VLOOKUP($BN57,'Regresion Q3'!$Z$6:$AB$10,2,1)*$BN57+VLOOKUP($BN57,'Regresion Q3'!$Z$6:$AB$10,3,1),VLOOKUP(MIN(DatosHoy[Puntos]),'Regresion Q3'!$Z$6:$AB$10,2,1)*$BN57+VLOOKUP(MIN(DatosHoy[Puntos]),'Regresion Q3'!$Z$6:$AB$10,3,1))</f>
        <v>5346825.7658481058</v>
      </c>
      <c r="BX57" s="96">
        <f ca="1">DatosHoy[[#This Row],[CT Actual]]/DatosHoy[[#This Row],[CT ajus PM Md]]</f>
        <v>0.71912758762870177</v>
      </c>
      <c r="BY57" s="125" t="str">
        <f>VLOOKUP(DatosHoy[[#This Row],[Cargo Valorado]],Estadísticos[[Cargo]:[Nivel]],2,FALSE)</f>
        <v>Soporte</v>
      </c>
      <c r="BZ57" s="96">
        <f>(DatosHoy[[#This Row],[G+V Actual]]-DatosHoy[[#This Row],[G Actual]])/DatosHoy[[#This Row],[CT Actual]]</f>
        <v>0</v>
      </c>
      <c r="CA57" s="96">
        <f>(DatosHoy[[#This Row],[CT Actual]]-DatosHoy[[#This Row],[G+V Actual]])/DatosHoy[[#This Row],[CT Actual]]</f>
        <v>0</v>
      </c>
      <c r="CB57" s="139" t="s">
        <v>255</v>
      </c>
    </row>
    <row r="58" spans="2:80" x14ac:dyDescent="0.25">
      <c r="B58" s="73">
        <f t="shared" si="34"/>
        <v>53</v>
      </c>
      <c r="C58" s="74">
        <v>2828714.68</v>
      </c>
      <c r="D58" s="74">
        <v>2828714.68</v>
      </c>
      <c r="E58" s="74">
        <v>2828714.68</v>
      </c>
      <c r="F58" s="94">
        <f>VLOOKUP(DatosHoy[[#This Row],[Cargo Valorado]],Estadísticos[],3,0)</f>
        <v>2359458.5156745845</v>
      </c>
      <c r="G58" s="94">
        <f>VLOOKUP(DatosHoy[[#This Row],[Cargo Valorado]],Estadísticos[],4,0)</f>
        <v>2373076.4993133405</v>
      </c>
      <c r="H58" s="94">
        <f>VLOOKUP(DatosHoy[[#This Row],[Cargo Valorado]],Estadísticos[],5,0)</f>
        <v>2597196.332646674</v>
      </c>
      <c r="I58" s="94">
        <f>VLOOKUP(DatosHoy[[#This Row],[Cargo Valorado]],Estadísticos[],6,0)</f>
        <v>2796009.0432593538</v>
      </c>
      <c r="J58" s="94">
        <f>VLOOKUP(DatosHoy[[#This Row],[Cargo Valorado]],Estadísticos[],7,0)</f>
        <v>2796009.0432593538</v>
      </c>
      <c r="K58" s="94">
        <f>VLOOKUP(DatosHoy[[#This Row],[Cargo Valorado]],Estadísticos[],8,0)</f>
        <v>3244248.7099260204</v>
      </c>
      <c r="L58" s="94">
        <f>VLOOKUP(DatosHoy[[#This Row],[Cargo Valorado]],Estadísticos[],9,0)</f>
        <v>2801035.9228258505</v>
      </c>
      <c r="M58" s="94">
        <f>VLOOKUP(DatosHoy[[#This Row],[Cargo Valorado]],Estadísticos[],10,0)</f>
        <v>2801035.9228258505</v>
      </c>
      <c r="N58" s="94">
        <f>VLOOKUP(DatosHoy[[#This Row],[Cargo Valorado]],Estadísticos[],11,0)</f>
        <v>3840218.3110036342</v>
      </c>
      <c r="O58" s="75" t="s">
        <v>189</v>
      </c>
      <c r="P58" s="75">
        <v>248</v>
      </c>
      <c r="Q58" s="95" t="str">
        <f t="shared" si="35"/>
        <v>$P$58</v>
      </c>
      <c r="R58" s="95" t="str">
        <f t="shared" si="36"/>
        <v>$F$58</v>
      </c>
      <c r="S58" s="95" t="str">
        <f t="shared" si="37"/>
        <v>$G$58</v>
      </c>
      <c r="T58" s="95" t="str">
        <f t="shared" si="38"/>
        <v>$H$58</v>
      </c>
      <c r="U58" s="95" t="str">
        <f t="shared" si="39"/>
        <v>$I$58</v>
      </c>
      <c r="V58" s="95" t="str">
        <f t="shared" si="40"/>
        <v>$J$58</v>
      </c>
      <c r="W58" s="95" t="str">
        <f t="shared" si="41"/>
        <v>$K$58</v>
      </c>
      <c r="X58" s="95" t="str">
        <f t="shared" si="42"/>
        <v>$L$58</v>
      </c>
      <c r="Y58" s="95" t="str">
        <f t="shared" si="43"/>
        <v>$M$58</v>
      </c>
      <c r="Z58" s="95" t="str">
        <f t="shared" si="44"/>
        <v>$N$58</v>
      </c>
      <c r="AA58" s="94">
        <f ca="1">VLOOKUP($P58,'Regresion Q1'!$E$6:$I$10,4,1)*$P58+VLOOKUP($P58,'Regresion Q1'!$E$6:$I$10,5,1)</f>
        <v>3213480.8178199655</v>
      </c>
      <c r="AB58" s="94">
        <f ca="1">VLOOKUP($P58,'Regresion Q1'!$J$6:$N$10,4,1)*$P58+VLOOKUP($P58,'Regresion Q1'!$J$6:$N$10,5,1)</f>
        <v>3285294.5740598468</v>
      </c>
      <c r="AC58" s="94">
        <f ca="1">VLOOKUP($P58,'Regresion Q1'!$O$6:$S$10,4,1)*$P58+VLOOKUP($P58,'Regresion Q1'!$O$6:$S$10,5,1)</f>
        <v>3468941.4434474413</v>
      </c>
      <c r="AD58" s="94">
        <f ca="1">VLOOKUP($P58,'Regresion Md'!$E$6:$I$10,4,1)*$P58+VLOOKUP($P58,'Regresion Md'!$E$6:$I$10,5,1)</f>
        <v>3682396.3213665551</v>
      </c>
      <c r="AE58" s="94">
        <f ca="1">VLOOKUP($P58,'Regresion Md'!$J$6:$N$10,4,1)*$P58+VLOOKUP($P58,'Regresion Md'!$J$6:$N$10,5,1)</f>
        <v>3726773.4597487673</v>
      </c>
      <c r="AF58" s="94">
        <f ca="1">VLOOKUP($P58,'Regresion Md'!$O$6:$S$10,4,1)*$P58+VLOOKUP($P58,'Regresion Md'!$O$6:$S$10,5,1)</f>
        <v>3916490.9618861983</v>
      </c>
      <c r="AG58" s="94">
        <f ca="1">VLOOKUP($P58,'Regresion Q3'!$E$6:$I$10,4,1)*$P58+VLOOKUP($P58,'Regresion Q3'!$E$6:$I$10,5,1)</f>
        <v>4657557.9776363317</v>
      </c>
      <c r="AH58" s="94">
        <f ca="1">VLOOKUP($P58,'Regresion Q3'!$J$6:$N$10,4,1)*$P58+VLOOKUP($P58,'Regresion Q3'!$J$6:$N$10,5,1)</f>
        <v>4731445.991358188</v>
      </c>
      <c r="AI58" s="94">
        <f ca="1">VLOOKUP($P58,'Regresion Q3'!$O$6:$S$10,4,1)*$P58+VLOOKUP($P58,'Regresion Q3'!$O$6:$S$10,5,1)</f>
        <v>4917563.1980746882</v>
      </c>
      <c r="AJ58" s="94">
        <f ca="1">VLOOKUP($P58,'Regresion Q1'!$T$6:$V$10,2,1)*$P58+VLOOKUP($P58,'Regresion Q1'!$T$6:$V$10,3,1)</f>
        <v>3071746.3424782725</v>
      </c>
      <c r="AK58" s="94">
        <f ca="1">VLOOKUP($P58,'Regresion Q1'!$W$6:$Y$10,2,1)*$P58+VLOOKUP($P58,'Regresion Q1'!$W$6:$Y$10,3,1)</f>
        <v>3173320.2104842872</v>
      </c>
      <c r="AL58" s="94">
        <f ca="1">VLOOKUP($P58,'Regresion Q1'!$Z$6:$AB$10,2,1)*$P58+VLOOKUP($P58,'Regresion Q1'!$Z$6:$AB$10,3,1)</f>
        <v>3301354.2526447</v>
      </c>
      <c r="AM58" s="94">
        <f ca="1">VLOOKUP($P58,'Regresion Md'!$T$6:$V$10,2,1)*$P58+VLOOKUP($P58,'Regresion Md'!$T$6:$V$10,3,1)</f>
        <v>3615796.8591260621</v>
      </c>
      <c r="AN58" s="94">
        <f ca="1">VLOOKUP($P58,'Regresion Md'!$W$6:$Y$10,2,1)*$P58+VLOOKUP($P58,'Regresion Md'!$W$6:$Y$10,3,1)</f>
        <v>3692916.8961649481</v>
      </c>
      <c r="AO58" s="94">
        <f ca="1">VLOOKUP($P58,'Regresion Md'!$Z$6:$AB$10,2,1)*$P58+VLOOKUP($P58,'Regresion Md'!$Z$6:$AB$10,3,1)</f>
        <v>3907996.6805042448</v>
      </c>
      <c r="AP58" s="94">
        <f ca="1">VLOOKUP($P58,'Regresion Q3'!$T$6:$V$10,2,1)*$P58+VLOOKUP($P58,'Regresion Q3'!$T$6:$V$10,3,1)</f>
        <v>5051252.038152054</v>
      </c>
      <c r="AQ58" s="94">
        <f ca="1">VLOOKUP($P58,'Regresion Q3'!$W$6:$Y$10,2,1)*$P58+VLOOKUP($P58,'Regresion Q3'!$W$6:$Y$10,3,1)</f>
        <v>5192774.6685813656</v>
      </c>
      <c r="AR58" s="94">
        <f ca="1">VLOOKUP($P58,'Regresion Q3'!$Z$6:$AB$10,2,1)*$P58+VLOOKUP($P58,'Regresion Q3'!$Z$6:$AB$10,3,1)</f>
        <v>5327575.0415122723</v>
      </c>
      <c r="AS58" s="94">
        <f>IF($BN58=$BN59,-1,DatosHoy[[#This Row],[G ajus PM Q1]]-BO59)</f>
        <v>-1</v>
      </c>
      <c r="AT58" s="94">
        <f>IF($BN58=$BN59,-1,DatosHoy[[#This Row],[G+V ajus PM Q1]]-BP59)</f>
        <v>-1</v>
      </c>
      <c r="AU58" s="94">
        <f>IF($BN58=$BN59,-1,DatosHoy[[#This Row],[CT ajus PM Q1]]-BQ59)</f>
        <v>-1</v>
      </c>
      <c r="AV58" s="94">
        <f ca="1">IF(DatosHoy[[#This Row],[G ajus PM Q1]]=DatosHoy[[#This Row],[G+V ajus PM Q1]],-1,DatosHoy[[#This Row],[G ajus PM Q1]]-DatosHoy[[#This Row],[G+V ajus PM Q1]])</f>
        <v>-101680.378090051</v>
      </c>
      <c r="AW58" s="94">
        <f ca="1">IF(DatosHoy[[#This Row],[G+V ajus PM Q1]]=DatosHoy[[#This Row],[CT ajus PM Q1]],-1,DatosHoy[[#This Row],[G+V ajus PM Q1]]-DatosHoy[[#This Row],[CT ajus PM Q1]])</f>
        <v>-128488.92517813062</v>
      </c>
      <c r="AX58" s="94">
        <f>IF($BN58=$BN59,-1,DatosHoy[[#This Row],[G ajus PMd]]-BR59)</f>
        <v>-1</v>
      </c>
      <c r="AY58" s="94">
        <f>IF($BN58=$BN59,-1,DatosHoy[[#This Row],[G+V ajus PM Md]]-BS59)</f>
        <v>-1</v>
      </c>
      <c r="AZ58" s="94">
        <f>IF($BN58=$BN59,-1,DatosHoy[[#This Row],[CT ajus PM Md]]-BT59)</f>
        <v>-1</v>
      </c>
      <c r="BA58" s="94">
        <f ca="1">IF(DatosHoy[[#This Row],[G ajus PMd]]=DatosHoy[[#This Row],[G+V ajus PM Md]],-1,DatosHoy[[#This Row],[G ajus PMd]]-DatosHoy[[#This Row],[G+V ajus PM Md]])</f>
        <v>-79026.399522230029</v>
      </c>
      <c r="BB58" s="94">
        <f ca="1">IF(DatosHoy[[#This Row],[G+V ajus PM Md]]=DatosHoy[[#This Row],[CT ajus PM Md]],-1,DatosHoy[[#This Row],[G+V ajus PM Md]]-DatosHoy[[#This Row],[CT ajus PM Md]])</f>
        <v>-215775.76833814103</v>
      </c>
      <c r="BC58" s="94">
        <f>IF($BN58=$BN59,-1,DatosHoy[[#This Row],[G ajus PM Q3]]-BU59)</f>
        <v>-1</v>
      </c>
      <c r="BD58" s="94">
        <f>IF($BN58=$BN59,-1,DatosHoy[[#This Row],[G+V ajus PM Q3]]-BV59)</f>
        <v>-1</v>
      </c>
      <c r="BE58" s="94">
        <f>IF($BN58=$BN59,-1,DatosHoy[[#This Row],[CT ajus PM Q3]]-BW59)</f>
        <v>-1</v>
      </c>
      <c r="BF58" s="94">
        <f ca="1">IF(DatosHoy[[#This Row],[G ajus PM Q3]]=DatosHoy[[#This Row],[G+V ajus PM Q3]],-1,DatosHoy[[#This Row],[G ajus PM Q3]]-DatosHoy[[#This Row],[G+V ajus PM Q3]])</f>
        <v>-141957.38259856775</v>
      </c>
      <c r="BG58" s="94">
        <f ca="1">IF(DatosHoy[[#This Row],[G+V ajus PM Q3]]=DatosHoy[[#This Row],[CT ajus PM Q3]],-1,DatosHoy[[#This Row],[G+V ajus PM Q3]]-DatosHoy[[#This Row],[CT ajus PM Q3]])</f>
        <v>-135155.96678343322</v>
      </c>
      <c r="BH58" s="94">
        <f ca="1">IF(DatosHoy[[#This Row],[G ajus PM Q1]]=DatosHoy[[#This Row],[G ajus PMd]],-1,DatosHoy[[#This Row],[G ajus PM Q1]]-DatosHoy[[#This Row],[G ajus PMd]])</f>
        <v>-556984.6632774421</v>
      </c>
      <c r="BI58" s="94">
        <f ca="1">IF(DatosHoy[[#This Row],[G+V ajus PM Q1]]=DatosHoy[[#This Row],[G+V ajus PM Md]],-1,DatosHoy[[#This Row],[G+V ajus PM Q1]]-DatosHoy[[#This Row],[G+V ajus PM Md]])</f>
        <v>-534330.68470962113</v>
      </c>
      <c r="BJ58" s="94">
        <f ca="1">IF(DatosHoy[[#This Row],[CT ajus PM Q1]]=DatosHoy[[#This Row],[CT ajus PM Md]],-1,DatosHoy[[#This Row],[CT ajus PM Q1]]-DatosHoy[[#This Row],[CT ajus PM Md]])</f>
        <v>-621617.52786963154</v>
      </c>
      <c r="BK58" s="94">
        <f ca="1">IF(DatosHoy[[#This Row],[G ajus PMd]]=DatosHoy[[#This Row],[G ajus PM Q3]],-1,DatosHoy[[#This Row],[G ajus PMd]]-DatosHoy[[#This Row],[G ajus PM Q3]])</f>
        <v>-1430977.9926799387</v>
      </c>
      <c r="BL58" s="94">
        <f ca="1">IF(DatosHoy[[#This Row],[G+V ajus PM Md]]=DatosHoy[[#This Row],[G+V ajus PM Q3]],-1,DatosHoy[[#This Row],[G+V ajus PM Md]]-DatosHoy[[#This Row],[G+V ajus PM Q3]])</f>
        <v>-1493908.9757562764</v>
      </c>
      <c r="BM58" s="94">
        <f ca="1">IF(DatosHoy[[#This Row],[CT ajus PM Md]]=DatosHoy[[#This Row],[CT ajus PM Q3]],-1,DatosHoy[[#This Row],[CT ajus PM Md]]-DatosHoy[[#This Row],[CT ajus PM Q3]])</f>
        <v>-1413289.1742015686</v>
      </c>
      <c r="BN58" s="74">
        <v>249</v>
      </c>
      <c r="BO58" s="94">
        <f ca="1">IFERROR(VLOOKUP($BN58,'Regresion Q1'!$T$6:$V$10,2,1)*$BN58+VLOOKUP($BN58,'Regresion Q1'!$T$6:$V$10,3,1),VLOOKUP(MIN(DatosHoy[Puntos]),'Regresion Q1'!$T$6:$V$10,2,1)*$BN58+VLOOKUP(MIN(DatosHoy[Puntos]),'Regresion Q1'!$T$6:$V$10,3,1))</f>
        <v>3081749.760508724</v>
      </c>
      <c r="BP58" s="94">
        <f ca="1">IFERROR(VLOOKUP($BN58,'Regresion Q1'!$W$6:$Y$10,2,1)*$BN58+VLOOKUP($BN58,'Regresion Q1'!$W$6:$Y$10,3,1),VLOOKUP(MIN(DatosHoy[Puntos]),'Regresion Q1'!$W$6:$Y$10,2,1)*$BN58+VLOOKUP(MIN(DatosHoy[Puntos]),'Regresion Q1'!$W$6:$Y$10,3,1))</f>
        <v>3183430.138598775</v>
      </c>
      <c r="BQ58" s="94">
        <f ca="1">IFERROR(VLOOKUP($BN58,'Regresion Q1'!$Z$6:$AB$10,2,1)*$BN58+VLOOKUP($BN58,'Regresion Q1'!$Z$6:$AB$10,3,1),VLOOKUP(MIN(DatosHoy[Puntos]),'Regresion Q1'!$Z$6:$AB$10,2,1)*$BN58+VLOOKUP(MIN(DatosHoy[Puntos]),'Regresion Q1'!$Z$6:$AB$10,3,1))</f>
        <v>3311919.0637769056</v>
      </c>
      <c r="BR58" s="94">
        <f ca="1">IFERROR(VLOOKUP($BN58,'Regresion Md'!$T$6:$V$10,2,1)*$BN58+VLOOKUP($BN58,'Regresion Md'!$T$6:$V$10,3,1),VLOOKUP(MIN(DatosHoy[Puntos]),'Regresion Md'!$T$6:$V$10,2,1)*$BN58+VLOOKUP(MIN(DatosHoy[Puntos]),'Regresion Md'!$T$6:$V$10,3,1))</f>
        <v>3638734.4237861661</v>
      </c>
      <c r="BS58" s="94">
        <f ca="1">IFERROR(VLOOKUP($BN58,'Regresion Md'!$W$6:$Y$10,2,1)*$BN58+VLOOKUP($BN58,'Regresion Md'!$W$6:$Y$10,3,1),VLOOKUP(MIN(DatosHoy[Puntos]),'Regresion Md'!$W$6:$Y$10,2,1)*$BN58+VLOOKUP(MIN(DatosHoy[Puntos]),'Regresion Md'!$W$6:$Y$10,3,1))</f>
        <v>3717760.8233083962</v>
      </c>
      <c r="BT58" s="94">
        <f ca="1">IFERROR(VLOOKUP($BN58,'Regresion Md'!$Z$6:$AB$10,2,1)*$BN58+VLOOKUP($BN58,'Regresion Md'!$Z$6:$AB$10,3,1),VLOOKUP(MIN(DatosHoy[Puntos]),'Regresion Md'!$Z$6:$AB$10,2,1)*$BN58+VLOOKUP(MIN(DatosHoy[Puntos]),'Regresion Md'!$Z$6:$AB$10,3,1))</f>
        <v>3933536.5916465372</v>
      </c>
      <c r="BU58" s="94">
        <f ca="1">IFERROR(VLOOKUP($BN58,'Regresion Q3'!$T$6:$V$10,2,1)*$BN58+VLOOKUP($BN58,'Regresion Q3'!$T$6:$V$10,3,1),VLOOKUP(MIN(DatosHoy[Puntos]),'Regresion Q3'!$T$6:$V$10,2,1)*$BN58+VLOOKUP(MIN(DatosHoy[Puntos]),'Regresion Q3'!$T$6:$V$10,3,1))</f>
        <v>5069712.4164661048</v>
      </c>
      <c r="BV58" s="94">
        <f ca="1">IFERROR(VLOOKUP($BN58,'Regresion Q3'!$W$6:$Y$10,2,1)*$BN58+VLOOKUP($BN58,'Regresion Q3'!$W$6:$Y$10,3,1),VLOOKUP(MIN(DatosHoy[Puntos]),'Regresion Q3'!$W$6:$Y$10,2,1)*$BN58+VLOOKUP(MIN(DatosHoy[Puntos]),'Regresion Q3'!$W$6:$Y$10,3,1))</f>
        <v>5211669.7990646726</v>
      </c>
      <c r="BW58" s="94">
        <f ca="1">IFERROR(VLOOKUP($BN58,'Regresion Q3'!$Z$6:$AB$10,2,1)*$BN58+VLOOKUP($BN58,'Regresion Q3'!$Z$6:$AB$10,3,1),VLOOKUP(MIN(DatosHoy[Puntos]),'Regresion Q3'!$Z$6:$AB$10,2,1)*$BN58+VLOOKUP(MIN(DatosHoy[Puntos]),'Regresion Q3'!$Z$6:$AB$10,3,1))</f>
        <v>5346825.7658481058</v>
      </c>
      <c r="BX58" s="96">
        <f ca="1">DatosHoy[[#This Row],[CT Actual]]/DatosHoy[[#This Row],[CT ajus PM Md]]</f>
        <v>0.71912758762870177</v>
      </c>
      <c r="BY58" s="125" t="str">
        <f>VLOOKUP(DatosHoy[[#This Row],[Cargo Valorado]],Estadísticos[[Cargo]:[Nivel]],2,FALSE)</f>
        <v>Soporte</v>
      </c>
      <c r="BZ58" s="96">
        <f>(DatosHoy[[#This Row],[G+V Actual]]-DatosHoy[[#This Row],[G Actual]])/DatosHoy[[#This Row],[CT Actual]]</f>
        <v>0</v>
      </c>
      <c r="CA58" s="96">
        <f>(DatosHoy[[#This Row],[CT Actual]]-DatosHoy[[#This Row],[G+V Actual]])/DatosHoy[[#This Row],[CT Actual]]</f>
        <v>0</v>
      </c>
      <c r="CB58" s="139" t="s">
        <v>255</v>
      </c>
    </row>
    <row r="59" spans="2:80" x14ac:dyDescent="0.25">
      <c r="B59" s="73">
        <f t="shared" si="34"/>
        <v>54</v>
      </c>
      <c r="C59" s="74">
        <v>2828714.68</v>
      </c>
      <c r="D59" s="74">
        <v>2828714.68</v>
      </c>
      <c r="E59" s="74">
        <v>2828714.68</v>
      </c>
      <c r="F59" s="94">
        <f>VLOOKUP(DatosHoy[[#This Row],[Cargo Valorado]],Estadísticos[],3,0)</f>
        <v>2386543.0617605187</v>
      </c>
      <c r="G59" s="94">
        <f>VLOOKUP(DatosHoy[[#This Row],[Cargo Valorado]],Estadísticos[],4,0)</f>
        <v>2661693.8242140524</v>
      </c>
      <c r="H59" s="94">
        <f>VLOOKUP(DatosHoy[[#This Row],[Cargo Valorado]],Estadísticos[],5,0)</f>
        <v>2661693.8242140524</v>
      </c>
      <c r="I59" s="94">
        <f>VLOOKUP(DatosHoy[[#This Row],[Cargo Valorado]],Estadísticos[],6,0)</f>
        <v>2775633.7474348932</v>
      </c>
      <c r="J59" s="94">
        <f>VLOOKUP(DatosHoy[[#This Row],[Cargo Valorado]],Estadísticos[],7,0)</f>
        <v>2883129.1322692675</v>
      </c>
      <c r="K59" s="94">
        <f>VLOOKUP(DatosHoy[[#This Row],[Cargo Valorado]],Estadísticos[],8,0)</f>
        <v>2914083.4406770347</v>
      </c>
      <c r="L59" s="94">
        <f>VLOOKUP(DatosHoy[[#This Row],[Cargo Valorado]],Estadísticos[],9,0)</f>
        <v>3774492.5735761314</v>
      </c>
      <c r="M59" s="94">
        <f>VLOOKUP(DatosHoy[[#This Row],[Cargo Valorado]],Estadísticos[],10,0)</f>
        <v>3774492.5735761314</v>
      </c>
      <c r="N59" s="94">
        <f>VLOOKUP(DatosHoy[[#This Row],[Cargo Valorado]],Estadísticos[],11,0)</f>
        <v>3822984.5222859988</v>
      </c>
      <c r="O59" s="75" t="s">
        <v>188</v>
      </c>
      <c r="P59" s="75">
        <v>262</v>
      </c>
      <c r="Q59" s="95" t="str">
        <f t="shared" si="35"/>
        <v>$P$59</v>
      </c>
      <c r="R59" s="95" t="str">
        <f t="shared" si="36"/>
        <v>$F$59</v>
      </c>
      <c r="S59" s="95" t="str">
        <f t="shared" si="37"/>
        <v>$G$59</v>
      </c>
      <c r="T59" s="95" t="str">
        <f t="shared" si="38"/>
        <v>$H$59</v>
      </c>
      <c r="U59" s="95" t="str">
        <f t="shared" si="39"/>
        <v>$I$59</v>
      </c>
      <c r="V59" s="95" t="str">
        <f t="shared" si="40"/>
        <v>$J$59</v>
      </c>
      <c r="W59" s="95" t="str">
        <f t="shared" si="41"/>
        <v>$K$59</v>
      </c>
      <c r="X59" s="95" t="str">
        <f t="shared" si="42"/>
        <v>$L$59</v>
      </c>
      <c r="Y59" s="95" t="str">
        <f t="shared" si="43"/>
        <v>$M$59</v>
      </c>
      <c r="Z59" s="95" t="str">
        <f t="shared" si="44"/>
        <v>$N$59</v>
      </c>
      <c r="AA59" s="94">
        <f ca="1">VLOOKUP($P59,'Regresion Q1'!$E$6:$I$10,4,1)*$P59+VLOOKUP($P59,'Regresion Q1'!$E$6:$I$10,5,1)</f>
        <v>3401812.6168457801</v>
      </c>
      <c r="AB59" s="94">
        <f ca="1">VLOOKUP($P59,'Regresion Q1'!$J$6:$N$10,4,1)*$P59+VLOOKUP($P59,'Regresion Q1'!$J$6:$N$10,5,1)</f>
        <v>3479030.7795260036</v>
      </c>
      <c r="AC59" s="94">
        <f ca="1">VLOOKUP($P59,'Regresion Q1'!$O$6:$S$10,4,1)*$P59+VLOOKUP($P59,'Regresion Q1'!$O$6:$S$10,5,1)</f>
        <v>3668862.8987493329</v>
      </c>
      <c r="AD59" s="94">
        <f ca="1">VLOOKUP($P59,'Regresion Md'!$E$6:$I$10,4,1)*$P59+VLOOKUP($P59,'Regresion Md'!$E$6:$I$10,5,1)</f>
        <v>4033599.4031037176</v>
      </c>
      <c r="AE59" s="94">
        <f ca="1">VLOOKUP($P59,'Regresion Md'!$J$6:$N$10,4,1)*$P59+VLOOKUP($P59,'Regresion Md'!$J$6:$N$10,5,1)</f>
        <v>4089878.5007303767</v>
      </c>
      <c r="AF59" s="94">
        <f ca="1">VLOOKUP($P59,'Regresion Md'!$O$6:$S$10,4,1)*$P59+VLOOKUP($P59,'Regresion Md'!$O$6:$S$10,5,1)</f>
        <v>4277885.8449540129</v>
      </c>
      <c r="AG59" s="94">
        <f ca="1">VLOOKUP($P59,'Regresion Q3'!$E$6:$I$10,4,1)*$P59+VLOOKUP($P59,'Regresion Q3'!$E$6:$I$10,5,1)</f>
        <v>5006057.0075274082</v>
      </c>
      <c r="AH59" s="94">
        <f ca="1">VLOOKUP($P59,'Regresion Q3'!$J$6:$N$10,4,1)*$P59+VLOOKUP($P59,'Regresion Q3'!$J$6:$N$10,5,1)</f>
        <v>5084341.9168534186</v>
      </c>
      <c r="AI59" s="94">
        <f ca="1">VLOOKUP($P59,'Regresion Q3'!$O$6:$S$10,4,1)*$P59+VLOOKUP($P59,'Regresion Q3'!$O$6:$S$10,5,1)</f>
        <v>5268371.1441303417</v>
      </c>
      <c r="AJ59" s="94">
        <f ca="1">VLOOKUP($P59,'Regresion Q1'!$T$6:$V$10,2,1)*$P59+VLOOKUP($P59,'Regresion Q1'!$T$6:$V$10,3,1)</f>
        <v>3211794.1949045979</v>
      </c>
      <c r="AK59" s="94">
        <f ca="1">VLOOKUP($P59,'Regresion Q1'!$W$6:$Y$10,2,1)*$P59+VLOOKUP($P59,'Regresion Q1'!$W$6:$Y$10,3,1)</f>
        <v>3314859.2040871163</v>
      </c>
      <c r="AL59" s="94">
        <f ca="1">VLOOKUP($P59,'Regresion Q1'!$Z$6:$AB$10,2,1)*$P59+VLOOKUP($P59,'Regresion Q1'!$Z$6:$AB$10,3,1)</f>
        <v>3449261.6084955749</v>
      </c>
      <c r="AM59" s="94">
        <f ca="1">VLOOKUP($P59,'Regresion Md'!$T$6:$V$10,2,1)*$P59+VLOOKUP($P59,'Regresion Md'!$T$6:$V$10,3,1)</f>
        <v>3936922.764367518</v>
      </c>
      <c r="AN59" s="94">
        <f ca="1">VLOOKUP($P59,'Regresion Md'!$W$6:$Y$10,2,1)*$P59+VLOOKUP($P59,'Regresion Md'!$W$6:$Y$10,3,1)</f>
        <v>4040731.8761732206</v>
      </c>
      <c r="AO59" s="94">
        <f ca="1">VLOOKUP($P59,'Regresion Md'!$Z$6:$AB$10,2,1)*$P59+VLOOKUP($P59,'Regresion Md'!$Z$6:$AB$10,3,1)</f>
        <v>4265555.4364963388</v>
      </c>
      <c r="AP59" s="94">
        <f ca="1">VLOOKUP($P59,'Regresion Q3'!$T$6:$V$10,2,1)*$P59+VLOOKUP($P59,'Regresion Q3'!$T$6:$V$10,3,1)</f>
        <v>5309697.3345487574</v>
      </c>
      <c r="AQ59" s="94">
        <f ca="1">VLOOKUP($P59,'Regresion Q3'!$W$6:$Y$10,2,1)*$P59+VLOOKUP($P59,'Regresion Q3'!$W$6:$Y$10,3,1)</f>
        <v>5457306.4953476647</v>
      </c>
      <c r="AR59" s="94">
        <f ca="1">VLOOKUP($P59,'Regresion Q3'!$Z$6:$AB$10,2,1)*$P59+VLOOKUP($P59,'Regresion Q3'!$Z$6:$AB$10,3,1)</f>
        <v>5597085.1822139351</v>
      </c>
      <c r="AS59" s="94">
        <f>IF($BN59=$BN60,-1,DatosHoy[[#This Row],[G ajus PM Q1]]-BO60)</f>
        <v>-1</v>
      </c>
      <c r="AT59" s="94">
        <f>IF($BN59=$BN60,-1,DatosHoy[[#This Row],[G+V ajus PM Q1]]-BP60)</f>
        <v>-1</v>
      </c>
      <c r="AU59" s="94">
        <f>IF($BN59=$BN60,-1,DatosHoy[[#This Row],[CT ajus PM Q1]]-BQ60)</f>
        <v>-1</v>
      </c>
      <c r="AV59" s="94">
        <f ca="1">IF(DatosHoy[[#This Row],[G ajus PM Q1]]=DatosHoy[[#This Row],[G+V ajus PM Q1]],-1,DatosHoy[[#This Row],[G ajus PM Q1]]-DatosHoy[[#This Row],[G+V ajus PM Q1]])</f>
        <v>-101680.378090051</v>
      </c>
      <c r="AW59" s="94">
        <f ca="1">IF(DatosHoy[[#This Row],[G+V ajus PM Q1]]=DatosHoy[[#This Row],[CT ajus PM Q1]],-1,DatosHoy[[#This Row],[G+V ajus PM Q1]]-DatosHoy[[#This Row],[CT ajus PM Q1]])</f>
        <v>-128488.92517813062</v>
      </c>
      <c r="AX59" s="94">
        <f>IF($BN59=$BN60,-1,DatosHoy[[#This Row],[G ajus PMd]]-BR60)</f>
        <v>-1</v>
      </c>
      <c r="AY59" s="94">
        <f>IF($BN59=$BN60,-1,DatosHoy[[#This Row],[G+V ajus PM Md]]-BS60)</f>
        <v>-1</v>
      </c>
      <c r="AZ59" s="94">
        <f>IF($BN59=$BN60,-1,DatosHoy[[#This Row],[CT ajus PM Md]]-BT60)</f>
        <v>-1</v>
      </c>
      <c r="BA59" s="94">
        <f ca="1">IF(DatosHoy[[#This Row],[G ajus PMd]]=DatosHoy[[#This Row],[G+V ajus PM Md]],-1,DatosHoy[[#This Row],[G ajus PMd]]-DatosHoy[[#This Row],[G+V ajus PM Md]])</f>
        <v>-79026.399522230029</v>
      </c>
      <c r="BB59" s="94">
        <f ca="1">IF(DatosHoy[[#This Row],[G+V ajus PM Md]]=DatosHoy[[#This Row],[CT ajus PM Md]],-1,DatosHoy[[#This Row],[G+V ajus PM Md]]-DatosHoy[[#This Row],[CT ajus PM Md]])</f>
        <v>-215775.76833814103</v>
      </c>
      <c r="BC59" s="94">
        <f>IF($BN59=$BN60,-1,DatosHoy[[#This Row],[G ajus PM Q3]]-BU60)</f>
        <v>-1</v>
      </c>
      <c r="BD59" s="94">
        <f>IF($BN59=$BN60,-1,DatosHoy[[#This Row],[G+V ajus PM Q3]]-BV60)</f>
        <v>-1</v>
      </c>
      <c r="BE59" s="94">
        <f>IF($BN59=$BN60,-1,DatosHoy[[#This Row],[CT ajus PM Q3]]-BW60)</f>
        <v>-1</v>
      </c>
      <c r="BF59" s="94">
        <f ca="1">IF(DatosHoy[[#This Row],[G ajus PM Q3]]=DatosHoy[[#This Row],[G+V ajus PM Q3]],-1,DatosHoy[[#This Row],[G ajus PM Q3]]-DatosHoy[[#This Row],[G+V ajus PM Q3]])</f>
        <v>-141957.38259856775</v>
      </c>
      <c r="BG59" s="94">
        <f ca="1">IF(DatosHoy[[#This Row],[G+V ajus PM Q3]]=DatosHoy[[#This Row],[CT ajus PM Q3]],-1,DatosHoy[[#This Row],[G+V ajus PM Q3]]-DatosHoy[[#This Row],[CT ajus PM Q3]])</f>
        <v>-135155.96678343322</v>
      </c>
      <c r="BH59" s="94">
        <f ca="1">IF(DatosHoy[[#This Row],[G ajus PM Q1]]=DatosHoy[[#This Row],[G ajus PMd]],-1,DatosHoy[[#This Row],[G ajus PM Q1]]-DatosHoy[[#This Row],[G ajus PMd]])</f>
        <v>-556984.6632774421</v>
      </c>
      <c r="BI59" s="94">
        <f ca="1">IF(DatosHoy[[#This Row],[G+V ajus PM Q1]]=DatosHoy[[#This Row],[G+V ajus PM Md]],-1,DatosHoy[[#This Row],[G+V ajus PM Q1]]-DatosHoy[[#This Row],[G+V ajus PM Md]])</f>
        <v>-534330.68470962113</v>
      </c>
      <c r="BJ59" s="94">
        <f ca="1">IF(DatosHoy[[#This Row],[CT ajus PM Q1]]=DatosHoy[[#This Row],[CT ajus PM Md]],-1,DatosHoy[[#This Row],[CT ajus PM Q1]]-DatosHoy[[#This Row],[CT ajus PM Md]])</f>
        <v>-621617.52786963154</v>
      </c>
      <c r="BK59" s="94">
        <f ca="1">IF(DatosHoy[[#This Row],[G ajus PMd]]=DatosHoy[[#This Row],[G ajus PM Q3]],-1,DatosHoy[[#This Row],[G ajus PMd]]-DatosHoy[[#This Row],[G ajus PM Q3]])</f>
        <v>-1430977.9926799387</v>
      </c>
      <c r="BL59" s="94">
        <f ca="1">IF(DatosHoy[[#This Row],[G+V ajus PM Md]]=DatosHoy[[#This Row],[G+V ajus PM Q3]],-1,DatosHoy[[#This Row],[G+V ajus PM Md]]-DatosHoy[[#This Row],[G+V ajus PM Q3]])</f>
        <v>-1493908.9757562764</v>
      </c>
      <c r="BM59" s="94">
        <f ca="1">IF(DatosHoy[[#This Row],[CT ajus PM Md]]=DatosHoy[[#This Row],[CT ajus PM Q3]],-1,DatosHoy[[#This Row],[CT ajus PM Md]]-DatosHoy[[#This Row],[CT ajus PM Q3]])</f>
        <v>-1413289.1742015686</v>
      </c>
      <c r="BN59" s="74">
        <v>249</v>
      </c>
      <c r="BO59" s="94">
        <f ca="1">IFERROR(VLOOKUP($BN59,'Regresion Q1'!$T$6:$V$10,2,1)*$BN59+VLOOKUP($BN59,'Regresion Q1'!$T$6:$V$10,3,1),VLOOKUP(MIN(DatosHoy[Puntos]),'Regresion Q1'!$T$6:$V$10,2,1)*$BN59+VLOOKUP(MIN(DatosHoy[Puntos]),'Regresion Q1'!$T$6:$V$10,3,1))</f>
        <v>3081749.760508724</v>
      </c>
      <c r="BP59" s="94">
        <f ca="1">IFERROR(VLOOKUP($BN59,'Regresion Q1'!$W$6:$Y$10,2,1)*$BN59+VLOOKUP($BN59,'Regresion Q1'!$W$6:$Y$10,3,1),VLOOKUP(MIN(DatosHoy[Puntos]),'Regresion Q1'!$W$6:$Y$10,2,1)*$BN59+VLOOKUP(MIN(DatosHoy[Puntos]),'Regresion Q1'!$W$6:$Y$10,3,1))</f>
        <v>3183430.138598775</v>
      </c>
      <c r="BQ59" s="94">
        <f ca="1">IFERROR(VLOOKUP($BN59,'Regresion Q1'!$Z$6:$AB$10,2,1)*$BN59+VLOOKUP($BN59,'Regresion Q1'!$Z$6:$AB$10,3,1),VLOOKUP(MIN(DatosHoy[Puntos]),'Regresion Q1'!$Z$6:$AB$10,2,1)*$BN59+VLOOKUP(MIN(DatosHoy[Puntos]),'Regresion Q1'!$Z$6:$AB$10,3,1))</f>
        <v>3311919.0637769056</v>
      </c>
      <c r="BR59" s="94">
        <f ca="1">IFERROR(VLOOKUP($BN59,'Regresion Md'!$T$6:$V$10,2,1)*$BN59+VLOOKUP($BN59,'Regresion Md'!$T$6:$V$10,3,1),VLOOKUP(MIN(DatosHoy[Puntos]),'Regresion Md'!$T$6:$V$10,2,1)*$BN59+VLOOKUP(MIN(DatosHoy[Puntos]),'Regresion Md'!$T$6:$V$10,3,1))</f>
        <v>3638734.4237861661</v>
      </c>
      <c r="BS59" s="94">
        <f ca="1">IFERROR(VLOOKUP($BN59,'Regresion Md'!$W$6:$Y$10,2,1)*$BN59+VLOOKUP($BN59,'Regresion Md'!$W$6:$Y$10,3,1),VLOOKUP(MIN(DatosHoy[Puntos]),'Regresion Md'!$W$6:$Y$10,2,1)*$BN59+VLOOKUP(MIN(DatosHoy[Puntos]),'Regresion Md'!$W$6:$Y$10,3,1))</f>
        <v>3717760.8233083962</v>
      </c>
      <c r="BT59" s="94">
        <f ca="1">IFERROR(VLOOKUP($BN59,'Regresion Md'!$Z$6:$AB$10,2,1)*$BN59+VLOOKUP($BN59,'Regresion Md'!$Z$6:$AB$10,3,1),VLOOKUP(MIN(DatosHoy[Puntos]),'Regresion Md'!$Z$6:$AB$10,2,1)*$BN59+VLOOKUP(MIN(DatosHoy[Puntos]),'Regresion Md'!$Z$6:$AB$10,3,1))</f>
        <v>3933536.5916465372</v>
      </c>
      <c r="BU59" s="94">
        <f ca="1">IFERROR(VLOOKUP($BN59,'Regresion Q3'!$T$6:$V$10,2,1)*$BN59+VLOOKUP($BN59,'Regresion Q3'!$T$6:$V$10,3,1),VLOOKUP(MIN(DatosHoy[Puntos]),'Regresion Q3'!$T$6:$V$10,2,1)*$BN59+VLOOKUP(MIN(DatosHoy[Puntos]),'Regresion Q3'!$T$6:$V$10,3,1))</f>
        <v>5069712.4164661048</v>
      </c>
      <c r="BV59" s="94">
        <f ca="1">IFERROR(VLOOKUP($BN59,'Regresion Q3'!$W$6:$Y$10,2,1)*$BN59+VLOOKUP($BN59,'Regresion Q3'!$W$6:$Y$10,3,1),VLOOKUP(MIN(DatosHoy[Puntos]),'Regresion Q3'!$W$6:$Y$10,2,1)*$BN59+VLOOKUP(MIN(DatosHoy[Puntos]),'Regresion Q3'!$W$6:$Y$10,3,1))</f>
        <v>5211669.7990646726</v>
      </c>
      <c r="BW59" s="94">
        <f ca="1">IFERROR(VLOOKUP($BN59,'Regresion Q3'!$Z$6:$AB$10,2,1)*$BN59+VLOOKUP($BN59,'Regresion Q3'!$Z$6:$AB$10,3,1),VLOOKUP(MIN(DatosHoy[Puntos]),'Regresion Q3'!$Z$6:$AB$10,2,1)*$BN59+VLOOKUP(MIN(DatosHoy[Puntos]),'Regresion Q3'!$Z$6:$AB$10,3,1))</f>
        <v>5346825.7658481058</v>
      </c>
      <c r="BX59" s="96">
        <f ca="1">DatosHoy[[#This Row],[CT Actual]]/DatosHoy[[#This Row],[CT ajus PM Md]]</f>
        <v>0.71912758762870177</v>
      </c>
      <c r="BY59" s="125" t="str">
        <f>VLOOKUP(DatosHoy[[#This Row],[Cargo Valorado]],Estadísticos[[Cargo]:[Nivel]],2,FALSE)</f>
        <v>Soporte</v>
      </c>
      <c r="BZ59" s="96">
        <f>(DatosHoy[[#This Row],[G+V Actual]]-DatosHoy[[#This Row],[G Actual]])/DatosHoy[[#This Row],[CT Actual]]</f>
        <v>0</v>
      </c>
      <c r="CA59" s="96">
        <f>(DatosHoy[[#This Row],[CT Actual]]-DatosHoy[[#This Row],[G+V Actual]])/DatosHoy[[#This Row],[CT Actual]]</f>
        <v>0</v>
      </c>
      <c r="CB59" s="139" t="s">
        <v>255</v>
      </c>
    </row>
    <row r="60" spans="2:80" x14ac:dyDescent="0.25">
      <c r="B60" s="73">
        <f t="shared" si="34"/>
        <v>55</v>
      </c>
      <c r="C60" s="74">
        <v>2828714.68</v>
      </c>
      <c r="D60" s="74">
        <v>2828714.68</v>
      </c>
      <c r="E60" s="74">
        <v>2828714.68</v>
      </c>
      <c r="F60" s="94">
        <f>VLOOKUP(DatosHoy[[#This Row],[Cargo Valorado]],Estadísticos[],3,0)</f>
        <v>2386543.0617605187</v>
      </c>
      <c r="G60" s="94">
        <f>VLOOKUP(DatosHoy[[#This Row],[Cargo Valorado]],Estadísticos[],4,0)</f>
        <v>2661693.8242140524</v>
      </c>
      <c r="H60" s="94">
        <f>VLOOKUP(DatosHoy[[#This Row],[Cargo Valorado]],Estadísticos[],5,0)</f>
        <v>2661693.8242140524</v>
      </c>
      <c r="I60" s="94">
        <f>VLOOKUP(DatosHoy[[#This Row],[Cargo Valorado]],Estadísticos[],6,0)</f>
        <v>2775633.7474348932</v>
      </c>
      <c r="J60" s="94">
        <f>VLOOKUP(DatosHoy[[#This Row],[Cargo Valorado]],Estadísticos[],7,0)</f>
        <v>2883129.1322692675</v>
      </c>
      <c r="K60" s="94">
        <f>VLOOKUP(DatosHoy[[#This Row],[Cargo Valorado]],Estadísticos[],8,0)</f>
        <v>2914083.4406770347</v>
      </c>
      <c r="L60" s="94">
        <f>VLOOKUP(DatosHoy[[#This Row],[Cargo Valorado]],Estadísticos[],9,0)</f>
        <v>3774492.5735761314</v>
      </c>
      <c r="M60" s="94">
        <f>VLOOKUP(DatosHoy[[#This Row],[Cargo Valorado]],Estadísticos[],10,0)</f>
        <v>3774492.5735761314</v>
      </c>
      <c r="N60" s="94">
        <f>VLOOKUP(DatosHoy[[#This Row],[Cargo Valorado]],Estadísticos[],11,0)</f>
        <v>3822984.5222859988</v>
      </c>
      <c r="O60" s="75" t="s">
        <v>188</v>
      </c>
      <c r="P60" s="75">
        <v>262</v>
      </c>
      <c r="Q60" s="95" t="str">
        <f t="shared" si="35"/>
        <v>$P$60</v>
      </c>
      <c r="R60" s="95" t="str">
        <f t="shared" si="36"/>
        <v>$F$60</v>
      </c>
      <c r="S60" s="95" t="str">
        <f t="shared" si="37"/>
        <v>$G$60</v>
      </c>
      <c r="T60" s="95" t="str">
        <f t="shared" si="38"/>
        <v>$H$60</v>
      </c>
      <c r="U60" s="95" t="str">
        <f t="shared" si="39"/>
        <v>$I$60</v>
      </c>
      <c r="V60" s="95" t="str">
        <f t="shared" si="40"/>
        <v>$J$60</v>
      </c>
      <c r="W60" s="95" t="str">
        <f t="shared" si="41"/>
        <v>$K$60</v>
      </c>
      <c r="X60" s="95" t="str">
        <f t="shared" si="42"/>
        <v>$L$60</v>
      </c>
      <c r="Y60" s="95" t="str">
        <f t="shared" si="43"/>
        <v>$M$60</v>
      </c>
      <c r="Z60" s="95" t="str">
        <f t="shared" si="44"/>
        <v>$N$60</v>
      </c>
      <c r="AA60" s="94">
        <f ca="1">VLOOKUP($P60,'Regresion Q1'!$E$6:$I$10,4,1)*$P60+VLOOKUP($P60,'Regresion Q1'!$E$6:$I$10,5,1)</f>
        <v>3401812.6168457801</v>
      </c>
      <c r="AB60" s="94">
        <f ca="1">VLOOKUP($P60,'Regresion Q1'!$J$6:$N$10,4,1)*$P60+VLOOKUP($P60,'Regresion Q1'!$J$6:$N$10,5,1)</f>
        <v>3479030.7795260036</v>
      </c>
      <c r="AC60" s="94">
        <f ca="1">VLOOKUP($P60,'Regresion Q1'!$O$6:$S$10,4,1)*$P60+VLOOKUP($P60,'Regresion Q1'!$O$6:$S$10,5,1)</f>
        <v>3668862.8987493329</v>
      </c>
      <c r="AD60" s="94">
        <f ca="1">VLOOKUP($P60,'Regresion Md'!$E$6:$I$10,4,1)*$P60+VLOOKUP($P60,'Regresion Md'!$E$6:$I$10,5,1)</f>
        <v>4033599.4031037176</v>
      </c>
      <c r="AE60" s="94">
        <f ca="1">VLOOKUP($P60,'Regresion Md'!$J$6:$N$10,4,1)*$P60+VLOOKUP($P60,'Regresion Md'!$J$6:$N$10,5,1)</f>
        <v>4089878.5007303767</v>
      </c>
      <c r="AF60" s="94">
        <f ca="1">VLOOKUP($P60,'Regresion Md'!$O$6:$S$10,4,1)*$P60+VLOOKUP($P60,'Regresion Md'!$O$6:$S$10,5,1)</f>
        <v>4277885.8449540129</v>
      </c>
      <c r="AG60" s="94">
        <f ca="1">VLOOKUP($P60,'Regresion Q3'!$E$6:$I$10,4,1)*$P60+VLOOKUP($P60,'Regresion Q3'!$E$6:$I$10,5,1)</f>
        <v>5006057.0075274082</v>
      </c>
      <c r="AH60" s="94">
        <f ca="1">VLOOKUP($P60,'Regresion Q3'!$J$6:$N$10,4,1)*$P60+VLOOKUP($P60,'Regresion Q3'!$J$6:$N$10,5,1)</f>
        <v>5084341.9168534186</v>
      </c>
      <c r="AI60" s="94">
        <f ca="1">VLOOKUP($P60,'Regresion Q3'!$O$6:$S$10,4,1)*$P60+VLOOKUP($P60,'Regresion Q3'!$O$6:$S$10,5,1)</f>
        <v>5268371.1441303417</v>
      </c>
      <c r="AJ60" s="94">
        <f ca="1">VLOOKUP($P60,'Regresion Q1'!$T$6:$V$10,2,1)*$P60+VLOOKUP($P60,'Regresion Q1'!$T$6:$V$10,3,1)</f>
        <v>3211794.1949045979</v>
      </c>
      <c r="AK60" s="94">
        <f ca="1">VLOOKUP($P60,'Regresion Q1'!$W$6:$Y$10,2,1)*$P60+VLOOKUP($P60,'Regresion Q1'!$W$6:$Y$10,3,1)</f>
        <v>3314859.2040871163</v>
      </c>
      <c r="AL60" s="94">
        <f ca="1">VLOOKUP($P60,'Regresion Q1'!$Z$6:$AB$10,2,1)*$P60+VLOOKUP($P60,'Regresion Q1'!$Z$6:$AB$10,3,1)</f>
        <v>3449261.6084955749</v>
      </c>
      <c r="AM60" s="94">
        <f ca="1">VLOOKUP($P60,'Regresion Md'!$T$6:$V$10,2,1)*$P60+VLOOKUP($P60,'Regresion Md'!$T$6:$V$10,3,1)</f>
        <v>3936922.764367518</v>
      </c>
      <c r="AN60" s="94">
        <f ca="1">VLOOKUP($P60,'Regresion Md'!$W$6:$Y$10,2,1)*$P60+VLOOKUP($P60,'Regresion Md'!$W$6:$Y$10,3,1)</f>
        <v>4040731.8761732206</v>
      </c>
      <c r="AO60" s="94">
        <f ca="1">VLOOKUP($P60,'Regresion Md'!$Z$6:$AB$10,2,1)*$P60+VLOOKUP($P60,'Regresion Md'!$Z$6:$AB$10,3,1)</f>
        <v>4265555.4364963388</v>
      </c>
      <c r="AP60" s="94">
        <f ca="1">VLOOKUP($P60,'Regresion Q3'!$T$6:$V$10,2,1)*$P60+VLOOKUP($P60,'Regresion Q3'!$T$6:$V$10,3,1)</f>
        <v>5309697.3345487574</v>
      </c>
      <c r="AQ60" s="94">
        <f ca="1">VLOOKUP($P60,'Regresion Q3'!$W$6:$Y$10,2,1)*$P60+VLOOKUP($P60,'Regresion Q3'!$W$6:$Y$10,3,1)</f>
        <v>5457306.4953476647</v>
      </c>
      <c r="AR60" s="94">
        <f ca="1">VLOOKUP($P60,'Regresion Q3'!$Z$6:$AB$10,2,1)*$P60+VLOOKUP($P60,'Regresion Q3'!$Z$6:$AB$10,3,1)</f>
        <v>5597085.1822139351</v>
      </c>
      <c r="AS60" s="94">
        <f>IF($BN60=$BN61,-1,DatosHoy[[#This Row],[G ajus PM Q1]]-BO61)</f>
        <v>-1</v>
      </c>
      <c r="AT60" s="94">
        <f>IF($BN60=$BN61,-1,DatosHoy[[#This Row],[G+V ajus PM Q1]]-BP61)</f>
        <v>-1</v>
      </c>
      <c r="AU60" s="94">
        <f>IF($BN60=$BN61,-1,DatosHoy[[#This Row],[CT ajus PM Q1]]-BQ61)</f>
        <v>-1</v>
      </c>
      <c r="AV60" s="94">
        <f ca="1">IF(DatosHoy[[#This Row],[G ajus PM Q1]]=DatosHoy[[#This Row],[G+V ajus PM Q1]],-1,DatosHoy[[#This Row],[G ajus PM Q1]]-DatosHoy[[#This Row],[G+V ajus PM Q1]])</f>
        <v>-101680.378090051</v>
      </c>
      <c r="AW60" s="94">
        <f ca="1">IF(DatosHoy[[#This Row],[G+V ajus PM Q1]]=DatosHoy[[#This Row],[CT ajus PM Q1]],-1,DatosHoy[[#This Row],[G+V ajus PM Q1]]-DatosHoy[[#This Row],[CT ajus PM Q1]])</f>
        <v>-128488.92517813062</v>
      </c>
      <c r="AX60" s="94">
        <f>IF($BN60=$BN61,-1,DatosHoy[[#This Row],[G ajus PMd]]-BR61)</f>
        <v>-1</v>
      </c>
      <c r="AY60" s="94">
        <f>IF($BN60=$BN61,-1,DatosHoy[[#This Row],[G+V ajus PM Md]]-BS61)</f>
        <v>-1</v>
      </c>
      <c r="AZ60" s="94">
        <f>IF($BN60=$BN61,-1,DatosHoy[[#This Row],[CT ajus PM Md]]-BT61)</f>
        <v>-1</v>
      </c>
      <c r="BA60" s="94">
        <f ca="1">IF(DatosHoy[[#This Row],[G ajus PMd]]=DatosHoy[[#This Row],[G+V ajus PM Md]],-1,DatosHoy[[#This Row],[G ajus PMd]]-DatosHoy[[#This Row],[G+V ajus PM Md]])</f>
        <v>-79026.399522230029</v>
      </c>
      <c r="BB60" s="94">
        <f ca="1">IF(DatosHoy[[#This Row],[G+V ajus PM Md]]=DatosHoy[[#This Row],[CT ajus PM Md]],-1,DatosHoy[[#This Row],[G+V ajus PM Md]]-DatosHoy[[#This Row],[CT ajus PM Md]])</f>
        <v>-215775.76833814103</v>
      </c>
      <c r="BC60" s="94">
        <f>IF($BN60=$BN61,-1,DatosHoy[[#This Row],[G ajus PM Q3]]-BU61)</f>
        <v>-1</v>
      </c>
      <c r="BD60" s="94">
        <f>IF($BN60=$BN61,-1,DatosHoy[[#This Row],[G+V ajus PM Q3]]-BV61)</f>
        <v>-1</v>
      </c>
      <c r="BE60" s="94">
        <f>IF($BN60=$BN61,-1,DatosHoy[[#This Row],[CT ajus PM Q3]]-BW61)</f>
        <v>-1</v>
      </c>
      <c r="BF60" s="94">
        <f ca="1">IF(DatosHoy[[#This Row],[G ajus PM Q3]]=DatosHoy[[#This Row],[G+V ajus PM Q3]],-1,DatosHoy[[#This Row],[G ajus PM Q3]]-DatosHoy[[#This Row],[G+V ajus PM Q3]])</f>
        <v>-141957.38259856775</v>
      </c>
      <c r="BG60" s="94">
        <f ca="1">IF(DatosHoy[[#This Row],[G+V ajus PM Q3]]=DatosHoy[[#This Row],[CT ajus PM Q3]],-1,DatosHoy[[#This Row],[G+V ajus PM Q3]]-DatosHoy[[#This Row],[CT ajus PM Q3]])</f>
        <v>-135155.96678343322</v>
      </c>
      <c r="BH60" s="94">
        <f ca="1">IF(DatosHoy[[#This Row],[G ajus PM Q1]]=DatosHoy[[#This Row],[G ajus PMd]],-1,DatosHoy[[#This Row],[G ajus PM Q1]]-DatosHoy[[#This Row],[G ajus PMd]])</f>
        <v>-556984.6632774421</v>
      </c>
      <c r="BI60" s="94">
        <f ca="1">IF(DatosHoy[[#This Row],[G+V ajus PM Q1]]=DatosHoy[[#This Row],[G+V ajus PM Md]],-1,DatosHoy[[#This Row],[G+V ajus PM Q1]]-DatosHoy[[#This Row],[G+V ajus PM Md]])</f>
        <v>-534330.68470962113</v>
      </c>
      <c r="BJ60" s="94">
        <f ca="1">IF(DatosHoy[[#This Row],[CT ajus PM Q1]]=DatosHoy[[#This Row],[CT ajus PM Md]],-1,DatosHoy[[#This Row],[CT ajus PM Q1]]-DatosHoy[[#This Row],[CT ajus PM Md]])</f>
        <v>-621617.52786963154</v>
      </c>
      <c r="BK60" s="94">
        <f ca="1">IF(DatosHoy[[#This Row],[G ajus PMd]]=DatosHoy[[#This Row],[G ajus PM Q3]],-1,DatosHoy[[#This Row],[G ajus PMd]]-DatosHoy[[#This Row],[G ajus PM Q3]])</f>
        <v>-1430977.9926799387</v>
      </c>
      <c r="BL60" s="94">
        <f ca="1">IF(DatosHoy[[#This Row],[G+V ajus PM Md]]=DatosHoy[[#This Row],[G+V ajus PM Q3]],-1,DatosHoy[[#This Row],[G+V ajus PM Md]]-DatosHoy[[#This Row],[G+V ajus PM Q3]])</f>
        <v>-1493908.9757562764</v>
      </c>
      <c r="BM60" s="94">
        <f ca="1">IF(DatosHoy[[#This Row],[CT ajus PM Md]]=DatosHoy[[#This Row],[CT ajus PM Q3]],-1,DatosHoy[[#This Row],[CT ajus PM Md]]-DatosHoy[[#This Row],[CT ajus PM Q3]])</f>
        <v>-1413289.1742015686</v>
      </c>
      <c r="BN60" s="74">
        <v>249</v>
      </c>
      <c r="BO60" s="94">
        <f ca="1">IFERROR(VLOOKUP($BN60,'Regresion Q1'!$T$6:$V$10,2,1)*$BN60+VLOOKUP($BN60,'Regresion Q1'!$T$6:$V$10,3,1),VLOOKUP(MIN(DatosHoy[Puntos]),'Regresion Q1'!$T$6:$V$10,2,1)*$BN60+VLOOKUP(MIN(DatosHoy[Puntos]),'Regresion Q1'!$T$6:$V$10,3,1))</f>
        <v>3081749.760508724</v>
      </c>
      <c r="BP60" s="94">
        <f ca="1">IFERROR(VLOOKUP($BN60,'Regresion Q1'!$W$6:$Y$10,2,1)*$BN60+VLOOKUP($BN60,'Regresion Q1'!$W$6:$Y$10,3,1),VLOOKUP(MIN(DatosHoy[Puntos]),'Regresion Q1'!$W$6:$Y$10,2,1)*$BN60+VLOOKUP(MIN(DatosHoy[Puntos]),'Regresion Q1'!$W$6:$Y$10,3,1))</f>
        <v>3183430.138598775</v>
      </c>
      <c r="BQ60" s="94">
        <f ca="1">IFERROR(VLOOKUP($BN60,'Regresion Q1'!$Z$6:$AB$10,2,1)*$BN60+VLOOKUP($BN60,'Regresion Q1'!$Z$6:$AB$10,3,1),VLOOKUP(MIN(DatosHoy[Puntos]),'Regresion Q1'!$Z$6:$AB$10,2,1)*$BN60+VLOOKUP(MIN(DatosHoy[Puntos]),'Regresion Q1'!$Z$6:$AB$10,3,1))</f>
        <v>3311919.0637769056</v>
      </c>
      <c r="BR60" s="94">
        <f ca="1">IFERROR(VLOOKUP($BN60,'Regresion Md'!$T$6:$V$10,2,1)*$BN60+VLOOKUP($BN60,'Regresion Md'!$T$6:$V$10,3,1),VLOOKUP(MIN(DatosHoy[Puntos]),'Regresion Md'!$T$6:$V$10,2,1)*$BN60+VLOOKUP(MIN(DatosHoy[Puntos]),'Regresion Md'!$T$6:$V$10,3,1))</f>
        <v>3638734.4237861661</v>
      </c>
      <c r="BS60" s="94">
        <f ca="1">IFERROR(VLOOKUP($BN60,'Regresion Md'!$W$6:$Y$10,2,1)*$BN60+VLOOKUP($BN60,'Regresion Md'!$W$6:$Y$10,3,1),VLOOKUP(MIN(DatosHoy[Puntos]),'Regresion Md'!$W$6:$Y$10,2,1)*$BN60+VLOOKUP(MIN(DatosHoy[Puntos]),'Regresion Md'!$W$6:$Y$10,3,1))</f>
        <v>3717760.8233083962</v>
      </c>
      <c r="BT60" s="94">
        <f ca="1">IFERROR(VLOOKUP($BN60,'Regresion Md'!$Z$6:$AB$10,2,1)*$BN60+VLOOKUP($BN60,'Regresion Md'!$Z$6:$AB$10,3,1),VLOOKUP(MIN(DatosHoy[Puntos]),'Regresion Md'!$Z$6:$AB$10,2,1)*$BN60+VLOOKUP(MIN(DatosHoy[Puntos]),'Regresion Md'!$Z$6:$AB$10,3,1))</f>
        <v>3933536.5916465372</v>
      </c>
      <c r="BU60" s="94">
        <f ca="1">IFERROR(VLOOKUP($BN60,'Regresion Q3'!$T$6:$V$10,2,1)*$BN60+VLOOKUP($BN60,'Regresion Q3'!$T$6:$V$10,3,1),VLOOKUP(MIN(DatosHoy[Puntos]),'Regresion Q3'!$T$6:$V$10,2,1)*$BN60+VLOOKUP(MIN(DatosHoy[Puntos]),'Regresion Q3'!$T$6:$V$10,3,1))</f>
        <v>5069712.4164661048</v>
      </c>
      <c r="BV60" s="94">
        <f ca="1">IFERROR(VLOOKUP($BN60,'Regresion Q3'!$W$6:$Y$10,2,1)*$BN60+VLOOKUP($BN60,'Regresion Q3'!$W$6:$Y$10,3,1),VLOOKUP(MIN(DatosHoy[Puntos]),'Regresion Q3'!$W$6:$Y$10,2,1)*$BN60+VLOOKUP(MIN(DatosHoy[Puntos]),'Regresion Q3'!$W$6:$Y$10,3,1))</f>
        <v>5211669.7990646726</v>
      </c>
      <c r="BW60" s="94">
        <f ca="1">IFERROR(VLOOKUP($BN60,'Regresion Q3'!$Z$6:$AB$10,2,1)*$BN60+VLOOKUP($BN60,'Regresion Q3'!$Z$6:$AB$10,3,1),VLOOKUP(MIN(DatosHoy[Puntos]),'Regresion Q3'!$Z$6:$AB$10,2,1)*$BN60+VLOOKUP(MIN(DatosHoy[Puntos]),'Regresion Q3'!$Z$6:$AB$10,3,1))</f>
        <v>5346825.7658481058</v>
      </c>
      <c r="BX60" s="96">
        <f ca="1">DatosHoy[[#This Row],[CT Actual]]/DatosHoy[[#This Row],[CT ajus PM Md]]</f>
        <v>0.71912758762870177</v>
      </c>
      <c r="BY60" s="125" t="str">
        <f>VLOOKUP(DatosHoy[[#This Row],[Cargo Valorado]],Estadísticos[[Cargo]:[Nivel]],2,FALSE)</f>
        <v>Soporte</v>
      </c>
      <c r="BZ60" s="96">
        <f>(DatosHoy[[#This Row],[G+V Actual]]-DatosHoy[[#This Row],[G Actual]])/DatosHoy[[#This Row],[CT Actual]]</f>
        <v>0</v>
      </c>
      <c r="CA60" s="96">
        <f>(DatosHoy[[#This Row],[CT Actual]]-DatosHoy[[#This Row],[G+V Actual]])/DatosHoy[[#This Row],[CT Actual]]</f>
        <v>0</v>
      </c>
      <c r="CB60" s="139" t="s">
        <v>255</v>
      </c>
    </row>
    <row r="61" spans="2:80" x14ac:dyDescent="0.25">
      <c r="B61" s="73">
        <f t="shared" si="34"/>
        <v>56</v>
      </c>
      <c r="C61" s="74">
        <v>2828714.68</v>
      </c>
      <c r="D61" s="74">
        <v>2828714.68</v>
      </c>
      <c r="E61" s="74">
        <v>2828714.68</v>
      </c>
      <c r="F61" s="94">
        <f>VLOOKUP(DatosHoy[[#This Row],[Cargo Valorado]],Estadísticos[],3,0)</f>
        <v>2386543.0617605187</v>
      </c>
      <c r="G61" s="94">
        <f>VLOOKUP(DatosHoy[[#This Row],[Cargo Valorado]],Estadísticos[],4,0)</f>
        <v>2661693.8242140524</v>
      </c>
      <c r="H61" s="94">
        <f>VLOOKUP(DatosHoy[[#This Row],[Cargo Valorado]],Estadísticos[],5,0)</f>
        <v>2661693.8242140524</v>
      </c>
      <c r="I61" s="94">
        <f>VLOOKUP(DatosHoy[[#This Row],[Cargo Valorado]],Estadísticos[],6,0)</f>
        <v>2775633.7474348932</v>
      </c>
      <c r="J61" s="94">
        <f>VLOOKUP(DatosHoy[[#This Row],[Cargo Valorado]],Estadísticos[],7,0)</f>
        <v>2883129.1322692675</v>
      </c>
      <c r="K61" s="94">
        <f>VLOOKUP(DatosHoy[[#This Row],[Cargo Valorado]],Estadísticos[],8,0)</f>
        <v>2914083.4406770347</v>
      </c>
      <c r="L61" s="94">
        <f>VLOOKUP(DatosHoy[[#This Row],[Cargo Valorado]],Estadísticos[],9,0)</f>
        <v>3774492.5735761314</v>
      </c>
      <c r="M61" s="94">
        <f>VLOOKUP(DatosHoy[[#This Row],[Cargo Valorado]],Estadísticos[],10,0)</f>
        <v>3774492.5735761314</v>
      </c>
      <c r="N61" s="94">
        <f>VLOOKUP(DatosHoy[[#This Row],[Cargo Valorado]],Estadísticos[],11,0)</f>
        <v>3822984.5222859988</v>
      </c>
      <c r="O61" s="75" t="s">
        <v>188</v>
      </c>
      <c r="P61" s="75">
        <v>262</v>
      </c>
      <c r="Q61" s="95" t="str">
        <f t="shared" si="35"/>
        <v>$P$61</v>
      </c>
      <c r="R61" s="95" t="str">
        <f t="shared" si="36"/>
        <v>$F$61</v>
      </c>
      <c r="S61" s="95" t="str">
        <f t="shared" si="37"/>
        <v>$G$61</v>
      </c>
      <c r="T61" s="95" t="str">
        <f t="shared" si="38"/>
        <v>$H$61</v>
      </c>
      <c r="U61" s="95" t="str">
        <f t="shared" si="39"/>
        <v>$I$61</v>
      </c>
      <c r="V61" s="95" t="str">
        <f t="shared" si="40"/>
        <v>$J$61</v>
      </c>
      <c r="W61" s="95" t="str">
        <f t="shared" si="41"/>
        <v>$K$61</v>
      </c>
      <c r="X61" s="95" t="str">
        <f t="shared" si="42"/>
        <v>$L$61</v>
      </c>
      <c r="Y61" s="95" t="str">
        <f t="shared" si="43"/>
        <v>$M$61</v>
      </c>
      <c r="Z61" s="95" t="str">
        <f t="shared" si="44"/>
        <v>$N$61</v>
      </c>
      <c r="AA61" s="94">
        <f ca="1">VLOOKUP($P61,'Regresion Q1'!$E$6:$I$10,4,1)*$P61+VLOOKUP($P61,'Regresion Q1'!$E$6:$I$10,5,1)</f>
        <v>3401812.6168457801</v>
      </c>
      <c r="AB61" s="94">
        <f ca="1">VLOOKUP($P61,'Regresion Q1'!$J$6:$N$10,4,1)*$P61+VLOOKUP($P61,'Regresion Q1'!$J$6:$N$10,5,1)</f>
        <v>3479030.7795260036</v>
      </c>
      <c r="AC61" s="94">
        <f ca="1">VLOOKUP($P61,'Regresion Q1'!$O$6:$S$10,4,1)*$P61+VLOOKUP($P61,'Regresion Q1'!$O$6:$S$10,5,1)</f>
        <v>3668862.8987493329</v>
      </c>
      <c r="AD61" s="94">
        <f ca="1">VLOOKUP($P61,'Regresion Md'!$E$6:$I$10,4,1)*$P61+VLOOKUP($P61,'Regresion Md'!$E$6:$I$10,5,1)</f>
        <v>4033599.4031037176</v>
      </c>
      <c r="AE61" s="94">
        <f ca="1">VLOOKUP($P61,'Regresion Md'!$J$6:$N$10,4,1)*$P61+VLOOKUP($P61,'Regresion Md'!$J$6:$N$10,5,1)</f>
        <v>4089878.5007303767</v>
      </c>
      <c r="AF61" s="94">
        <f ca="1">VLOOKUP($P61,'Regresion Md'!$O$6:$S$10,4,1)*$P61+VLOOKUP($P61,'Regresion Md'!$O$6:$S$10,5,1)</f>
        <v>4277885.8449540129</v>
      </c>
      <c r="AG61" s="94">
        <f ca="1">VLOOKUP($P61,'Regresion Q3'!$E$6:$I$10,4,1)*$P61+VLOOKUP($P61,'Regresion Q3'!$E$6:$I$10,5,1)</f>
        <v>5006057.0075274082</v>
      </c>
      <c r="AH61" s="94">
        <f ca="1">VLOOKUP($P61,'Regresion Q3'!$J$6:$N$10,4,1)*$P61+VLOOKUP($P61,'Regresion Q3'!$J$6:$N$10,5,1)</f>
        <v>5084341.9168534186</v>
      </c>
      <c r="AI61" s="94">
        <f ca="1">VLOOKUP($P61,'Regresion Q3'!$O$6:$S$10,4,1)*$P61+VLOOKUP($P61,'Regresion Q3'!$O$6:$S$10,5,1)</f>
        <v>5268371.1441303417</v>
      </c>
      <c r="AJ61" s="94">
        <f ca="1">VLOOKUP($P61,'Regresion Q1'!$T$6:$V$10,2,1)*$P61+VLOOKUP($P61,'Regresion Q1'!$T$6:$V$10,3,1)</f>
        <v>3211794.1949045979</v>
      </c>
      <c r="AK61" s="94">
        <f ca="1">VLOOKUP($P61,'Regresion Q1'!$W$6:$Y$10,2,1)*$P61+VLOOKUP($P61,'Regresion Q1'!$W$6:$Y$10,3,1)</f>
        <v>3314859.2040871163</v>
      </c>
      <c r="AL61" s="94">
        <f ca="1">VLOOKUP($P61,'Regresion Q1'!$Z$6:$AB$10,2,1)*$P61+VLOOKUP($P61,'Regresion Q1'!$Z$6:$AB$10,3,1)</f>
        <v>3449261.6084955749</v>
      </c>
      <c r="AM61" s="94">
        <f ca="1">VLOOKUP($P61,'Regresion Md'!$T$6:$V$10,2,1)*$P61+VLOOKUP($P61,'Regresion Md'!$T$6:$V$10,3,1)</f>
        <v>3936922.764367518</v>
      </c>
      <c r="AN61" s="94">
        <f ca="1">VLOOKUP($P61,'Regresion Md'!$W$6:$Y$10,2,1)*$P61+VLOOKUP($P61,'Regresion Md'!$W$6:$Y$10,3,1)</f>
        <v>4040731.8761732206</v>
      </c>
      <c r="AO61" s="94">
        <f ca="1">VLOOKUP($P61,'Regresion Md'!$Z$6:$AB$10,2,1)*$P61+VLOOKUP($P61,'Regresion Md'!$Z$6:$AB$10,3,1)</f>
        <v>4265555.4364963388</v>
      </c>
      <c r="AP61" s="94">
        <f ca="1">VLOOKUP($P61,'Regresion Q3'!$T$6:$V$10,2,1)*$P61+VLOOKUP($P61,'Regresion Q3'!$T$6:$V$10,3,1)</f>
        <v>5309697.3345487574</v>
      </c>
      <c r="AQ61" s="94">
        <f ca="1">VLOOKUP($P61,'Regresion Q3'!$W$6:$Y$10,2,1)*$P61+VLOOKUP($P61,'Regresion Q3'!$W$6:$Y$10,3,1)</f>
        <v>5457306.4953476647</v>
      </c>
      <c r="AR61" s="94">
        <f ca="1">VLOOKUP($P61,'Regresion Q3'!$Z$6:$AB$10,2,1)*$P61+VLOOKUP($P61,'Regresion Q3'!$Z$6:$AB$10,3,1)</f>
        <v>5597085.1822139351</v>
      </c>
      <c r="AS61" s="94">
        <f>IF($BN61=$BN62,-1,DatosHoy[[#This Row],[G ajus PM Q1]]-BO62)</f>
        <v>-1</v>
      </c>
      <c r="AT61" s="94">
        <f>IF($BN61=$BN62,-1,DatosHoy[[#This Row],[G+V ajus PM Q1]]-BP62)</f>
        <v>-1</v>
      </c>
      <c r="AU61" s="94">
        <f>IF($BN61=$BN62,-1,DatosHoy[[#This Row],[CT ajus PM Q1]]-BQ62)</f>
        <v>-1</v>
      </c>
      <c r="AV61" s="94">
        <f ca="1">IF(DatosHoy[[#This Row],[G ajus PM Q1]]=DatosHoy[[#This Row],[G+V ajus PM Q1]],-1,DatosHoy[[#This Row],[G ajus PM Q1]]-DatosHoy[[#This Row],[G+V ajus PM Q1]])</f>
        <v>-101680.378090051</v>
      </c>
      <c r="AW61" s="94">
        <f ca="1">IF(DatosHoy[[#This Row],[G+V ajus PM Q1]]=DatosHoy[[#This Row],[CT ajus PM Q1]],-1,DatosHoy[[#This Row],[G+V ajus PM Q1]]-DatosHoy[[#This Row],[CT ajus PM Q1]])</f>
        <v>-128488.92517813062</v>
      </c>
      <c r="AX61" s="94">
        <f>IF($BN61=$BN62,-1,DatosHoy[[#This Row],[G ajus PMd]]-BR62)</f>
        <v>-1</v>
      </c>
      <c r="AY61" s="94">
        <f>IF($BN61=$BN62,-1,DatosHoy[[#This Row],[G+V ajus PM Md]]-BS62)</f>
        <v>-1</v>
      </c>
      <c r="AZ61" s="94">
        <f>IF($BN61=$BN62,-1,DatosHoy[[#This Row],[CT ajus PM Md]]-BT62)</f>
        <v>-1</v>
      </c>
      <c r="BA61" s="94">
        <f ca="1">IF(DatosHoy[[#This Row],[G ajus PMd]]=DatosHoy[[#This Row],[G+V ajus PM Md]],-1,DatosHoy[[#This Row],[G ajus PMd]]-DatosHoy[[#This Row],[G+V ajus PM Md]])</f>
        <v>-79026.399522230029</v>
      </c>
      <c r="BB61" s="94">
        <f ca="1">IF(DatosHoy[[#This Row],[G+V ajus PM Md]]=DatosHoy[[#This Row],[CT ajus PM Md]],-1,DatosHoy[[#This Row],[G+V ajus PM Md]]-DatosHoy[[#This Row],[CT ajus PM Md]])</f>
        <v>-215775.76833814103</v>
      </c>
      <c r="BC61" s="94">
        <f>IF($BN61=$BN62,-1,DatosHoy[[#This Row],[G ajus PM Q3]]-BU62)</f>
        <v>-1</v>
      </c>
      <c r="BD61" s="94">
        <f>IF($BN61=$BN62,-1,DatosHoy[[#This Row],[G+V ajus PM Q3]]-BV62)</f>
        <v>-1</v>
      </c>
      <c r="BE61" s="94">
        <f>IF($BN61=$BN62,-1,DatosHoy[[#This Row],[CT ajus PM Q3]]-BW62)</f>
        <v>-1</v>
      </c>
      <c r="BF61" s="94">
        <f ca="1">IF(DatosHoy[[#This Row],[G ajus PM Q3]]=DatosHoy[[#This Row],[G+V ajus PM Q3]],-1,DatosHoy[[#This Row],[G ajus PM Q3]]-DatosHoy[[#This Row],[G+V ajus PM Q3]])</f>
        <v>-141957.38259856775</v>
      </c>
      <c r="BG61" s="94">
        <f ca="1">IF(DatosHoy[[#This Row],[G+V ajus PM Q3]]=DatosHoy[[#This Row],[CT ajus PM Q3]],-1,DatosHoy[[#This Row],[G+V ajus PM Q3]]-DatosHoy[[#This Row],[CT ajus PM Q3]])</f>
        <v>-135155.96678343322</v>
      </c>
      <c r="BH61" s="94">
        <f ca="1">IF(DatosHoy[[#This Row],[G ajus PM Q1]]=DatosHoy[[#This Row],[G ajus PMd]],-1,DatosHoy[[#This Row],[G ajus PM Q1]]-DatosHoy[[#This Row],[G ajus PMd]])</f>
        <v>-556984.6632774421</v>
      </c>
      <c r="BI61" s="94">
        <f ca="1">IF(DatosHoy[[#This Row],[G+V ajus PM Q1]]=DatosHoy[[#This Row],[G+V ajus PM Md]],-1,DatosHoy[[#This Row],[G+V ajus PM Q1]]-DatosHoy[[#This Row],[G+V ajus PM Md]])</f>
        <v>-534330.68470962113</v>
      </c>
      <c r="BJ61" s="94">
        <f ca="1">IF(DatosHoy[[#This Row],[CT ajus PM Q1]]=DatosHoy[[#This Row],[CT ajus PM Md]],-1,DatosHoy[[#This Row],[CT ajus PM Q1]]-DatosHoy[[#This Row],[CT ajus PM Md]])</f>
        <v>-621617.52786963154</v>
      </c>
      <c r="BK61" s="94">
        <f ca="1">IF(DatosHoy[[#This Row],[G ajus PMd]]=DatosHoy[[#This Row],[G ajus PM Q3]],-1,DatosHoy[[#This Row],[G ajus PMd]]-DatosHoy[[#This Row],[G ajus PM Q3]])</f>
        <v>-1430977.9926799387</v>
      </c>
      <c r="BL61" s="94">
        <f ca="1">IF(DatosHoy[[#This Row],[G+V ajus PM Md]]=DatosHoy[[#This Row],[G+V ajus PM Q3]],-1,DatosHoy[[#This Row],[G+V ajus PM Md]]-DatosHoy[[#This Row],[G+V ajus PM Q3]])</f>
        <v>-1493908.9757562764</v>
      </c>
      <c r="BM61" s="94">
        <f ca="1">IF(DatosHoy[[#This Row],[CT ajus PM Md]]=DatosHoy[[#This Row],[CT ajus PM Q3]],-1,DatosHoy[[#This Row],[CT ajus PM Md]]-DatosHoy[[#This Row],[CT ajus PM Q3]])</f>
        <v>-1413289.1742015686</v>
      </c>
      <c r="BN61" s="74">
        <v>249</v>
      </c>
      <c r="BO61" s="94">
        <f ca="1">IFERROR(VLOOKUP($BN61,'Regresion Q1'!$T$6:$V$10,2,1)*$BN61+VLOOKUP($BN61,'Regresion Q1'!$T$6:$V$10,3,1),VLOOKUP(MIN(DatosHoy[Puntos]),'Regresion Q1'!$T$6:$V$10,2,1)*$BN61+VLOOKUP(MIN(DatosHoy[Puntos]),'Regresion Q1'!$T$6:$V$10,3,1))</f>
        <v>3081749.760508724</v>
      </c>
      <c r="BP61" s="94">
        <f ca="1">IFERROR(VLOOKUP($BN61,'Regresion Q1'!$W$6:$Y$10,2,1)*$BN61+VLOOKUP($BN61,'Regresion Q1'!$W$6:$Y$10,3,1),VLOOKUP(MIN(DatosHoy[Puntos]),'Regresion Q1'!$W$6:$Y$10,2,1)*$BN61+VLOOKUP(MIN(DatosHoy[Puntos]),'Regresion Q1'!$W$6:$Y$10,3,1))</f>
        <v>3183430.138598775</v>
      </c>
      <c r="BQ61" s="94">
        <f ca="1">IFERROR(VLOOKUP($BN61,'Regresion Q1'!$Z$6:$AB$10,2,1)*$BN61+VLOOKUP($BN61,'Regresion Q1'!$Z$6:$AB$10,3,1),VLOOKUP(MIN(DatosHoy[Puntos]),'Regresion Q1'!$Z$6:$AB$10,2,1)*$BN61+VLOOKUP(MIN(DatosHoy[Puntos]),'Regresion Q1'!$Z$6:$AB$10,3,1))</f>
        <v>3311919.0637769056</v>
      </c>
      <c r="BR61" s="94">
        <f ca="1">IFERROR(VLOOKUP($BN61,'Regresion Md'!$T$6:$V$10,2,1)*$BN61+VLOOKUP($BN61,'Regresion Md'!$T$6:$V$10,3,1),VLOOKUP(MIN(DatosHoy[Puntos]),'Regresion Md'!$T$6:$V$10,2,1)*$BN61+VLOOKUP(MIN(DatosHoy[Puntos]),'Regresion Md'!$T$6:$V$10,3,1))</f>
        <v>3638734.4237861661</v>
      </c>
      <c r="BS61" s="94">
        <f ca="1">IFERROR(VLOOKUP($BN61,'Regresion Md'!$W$6:$Y$10,2,1)*$BN61+VLOOKUP($BN61,'Regresion Md'!$W$6:$Y$10,3,1),VLOOKUP(MIN(DatosHoy[Puntos]),'Regresion Md'!$W$6:$Y$10,2,1)*$BN61+VLOOKUP(MIN(DatosHoy[Puntos]),'Regresion Md'!$W$6:$Y$10,3,1))</f>
        <v>3717760.8233083962</v>
      </c>
      <c r="BT61" s="94">
        <f ca="1">IFERROR(VLOOKUP($BN61,'Regresion Md'!$Z$6:$AB$10,2,1)*$BN61+VLOOKUP($BN61,'Regresion Md'!$Z$6:$AB$10,3,1),VLOOKUP(MIN(DatosHoy[Puntos]),'Regresion Md'!$Z$6:$AB$10,2,1)*$BN61+VLOOKUP(MIN(DatosHoy[Puntos]),'Regresion Md'!$Z$6:$AB$10,3,1))</f>
        <v>3933536.5916465372</v>
      </c>
      <c r="BU61" s="94">
        <f ca="1">IFERROR(VLOOKUP($BN61,'Regresion Q3'!$T$6:$V$10,2,1)*$BN61+VLOOKUP($BN61,'Regresion Q3'!$T$6:$V$10,3,1),VLOOKUP(MIN(DatosHoy[Puntos]),'Regresion Q3'!$T$6:$V$10,2,1)*$BN61+VLOOKUP(MIN(DatosHoy[Puntos]),'Regresion Q3'!$T$6:$V$10,3,1))</f>
        <v>5069712.4164661048</v>
      </c>
      <c r="BV61" s="94">
        <f ca="1">IFERROR(VLOOKUP($BN61,'Regresion Q3'!$W$6:$Y$10,2,1)*$BN61+VLOOKUP($BN61,'Regresion Q3'!$W$6:$Y$10,3,1),VLOOKUP(MIN(DatosHoy[Puntos]),'Regresion Q3'!$W$6:$Y$10,2,1)*$BN61+VLOOKUP(MIN(DatosHoy[Puntos]),'Regresion Q3'!$W$6:$Y$10,3,1))</f>
        <v>5211669.7990646726</v>
      </c>
      <c r="BW61" s="94">
        <f ca="1">IFERROR(VLOOKUP($BN61,'Regresion Q3'!$Z$6:$AB$10,2,1)*$BN61+VLOOKUP($BN61,'Regresion Q3'!$Z$6:$AB$10,3,1),VLOOKUP(MIN(DatosHoy[Puntos]),'Regresion Q3'!$Z$6:$AB$10,2,1)*$BN61+VLOOKUP(MIN(DatosHoy[Puntos]),'Regresion Q3'!$Z$6:$AB$10,3,1))</f>
        <v>5346825.7658481058</v>
      </c>
      <c r="BX61" s="96">
        <f ca="1">DatosHoy[[#This Row],[CT Actual]]/DatosHoy[[#This Row],[CT ajus PM Md]]</f>
        <v>0.71912758762870177</v>
      </c>
      <c r="BY61" s="125" t="str">
        <f>VLOOKUP(DatosHoy[[#This Row],[Cargo Valorado]],Estadísticos[[Cargo]:[Nivel]],2,FALSE)</f>
        <v>Soporte</v>
      </c>
      <c r="BZ61" s="96">
        <f>(DatosHoy[[#This Row],[G+V Actual]]-DatosHoy[[#This Row],[G Actual]])/DatosHoy[[#This Row],[CT Actual]]</f>
        <v>0</v>
      </c>
      <c r="CA61" s="96">
        <f>(DatosHoy[[#This Row],[CT Actual]]-DatosHoy[[#This Row],[G+V Actual]])/DatosHoy[[#This Row],[CT Actual]]</f>
        <v>0</v>
      </c>
      <c r="CB61" s="139" t="s">
        <v>255</v>
      </c>
    </row>
    <row r="62" spans="2:80" x14ac:dyDescent="0.25">
      <c r="B62" s="73">
        <f t="shared" si="34"/>
        <v>57</v>
      </c>
      <c r="C62" s="74">
        <v>2828714.68</v>
      </c>
      <c r="D62" s="74">
        <v>2828714.68</v>
      </c>
      <c r="E62" s="74">
        <v>2828714.68</v>
      </c>
      <c r="F62" s="94">
        <f>VLOOKUP(DatosHoy[[#This Row],[Cargo Valorado]],Estadísticos[],3,0)</f>
        <v>2386543.0617605187</v>
      </c>
      <c r="G62" s="94">
        <f>VLOOKUP(DatosHoy[[#This Row],[Cargo Valorado]],Estadísticos[],4,0)</f>
        <v>2661693.8242140524</v>
      </c>
      <c r="H62" s="94">
        <f>VLOOKUP(DatosHoy[[#This Row],[Cargo Valorado]],Estadísticos[],5,0)</f>
        <v>2661693.8242140524</v>
      </c>
      <c r="I62" s="94">
        <f>VLOOKUP(DatosHoy[[#This Row],[Cargo Valorado]],Estadísticos[],6,0)</f>
        <v>2775633.7474348932</v>
      </c>
      <c r="J62" s="94">
        <f>VLOOKUP(DatosHoy[[#This Row],[Cargo Valorado]],Estadísticos[],7,0)</f>
        <v>2883129.1322692675</v>
      </c>
      <c r="K62" s="94">
        <f>VLOOKUP(DatosHoy[[#This Row],[Cargo Valorado]],Estadísticos[],8,0)</f>
        <v>2914083.4406770347</v>
      </c>
      <c r="L62" s="94">
        <f>VLOOKUP(DatosHoy[[#This Row],[Cargo Valorado]],Estadísticos[],9,0)</f>
        <v>3774492.5735761314</v>
      </c>
      <c r="M62" s="94">
        <f>VLOOKUP(DatosHoy[[#This Row],[Cargo Valorado]],Estadísticos[],10,0)</f>
        <v>3774492.5735761314</v>
      </c>
      <c r="N62" s="94">
        <f>VLOOKUP(DatosHoy[[#This Row],[Cargo Valorado]],Estadísticos[],11,0)</f>
        <v>3822984.5222859988</v>
      </c>
      <c r="O62" s="75" t="s">
        <v>188</v>
      </c>
      <c r="P62" s="75">
        <v>262</v>
      </c>
      <c r="Q62" s="95" t="str">
        <f t="shared" si="35"/>
        <v>$P$62</v>
      </c>
      <c r="R62" s="95" t="str">
        <f t="shared" si="36"/>
        <v>$F$62</v>
      </c>
      <c r="S62" s="95" t="str">
        <f t="shared" si="37"/>
        <v>$G$62</v>
      </c>
      <c r="T62" s="95" t="str">
        <f t="shared" si="38"/>
        <v>$H$62</v>
      </c>
      <c r="U62" s="95" t="str">
        <f t="shared" si="39"/>
        <v>$I$62</v>
      </c>
      <c r="V62" s="95" t="str">
        <f t="shared" si="40"/>
        <v>$J$62</v>
      </c>
      <c r="W62" s="95" t="str">
        <f t="shared" si="41"/>
        <v>$K$62</v>
      </c>
      <c r="X62" s="95" t="str">
        <f t="shared" si="42"/>
        <v>$L$62</v>
      </c>
      <c r="Y62" s="95" t="str">
        <f t="shared" si="43"/>
        <v>$M$62</v>
      </c>
      <c r="Z62" s="95" t="str">
        <f t="shared" si="44"/>
        <v>$N$62</v>
      </c>
      <c r="AA62" s="94">
        <f ca="1">VLOOKUP($P62,'Regresion Q1'!$E$6:$I$10,4,1)*$P62+VLOOKUP($P62,'Regresion Q1'!$E$6:$I$10,5,1)</f>
        <v>3401812.6168457801</v>
      </c>
      <c r="AB62" s="94">
        <f ca="1">VLOOKUP($P62,'Regresion Q1'!$J$6:$N$10,4,1)*$P62+VLOOKUP($P62,'Regresion Q1'!$J$6:$N$10,5,1)</f>
        <v>3479030.7795260036</v>
      </c>
      <c r="AC62" s="94">
        <f ca="1">VLOOKUP($P62,'Regresion Q1'!$O$6:$S$10,4,1)*$P62+VLOOKUP($P62,'Regresion Q1'!$O$6:$S$10,5,1)</f>
        <v>3668862.8987493329</v>
      </c>
      <c r="AD62" s="94">
        <f ca="1">VLOOKUP($P62,'Regresion Md'!$E$6:$I$10,4,1)*$P62+VLOOKUP($P62,'Regresion Md'!$E$6:$I$10,5,1)</f>
        <v>4033599.4031037176</v>
      </c>
      <c r="AE62" s="94">
        <f ca="1">VLOOKUP($P62,'Regresion Md'!$J$6:$N$10,4,1)*$P62+VLOOKUP($P62,'Regresion Md'!$J$6:$N$10,5,1)</f>
        <v>4089878.5007303767</v>
      </c>
      <c r="AF62" s="94">
        <f ca="1">VLOOKUP($P62,'Regresion Md'!$O$6:$S$10,4,1)*$P62+VLOOKUP($P62,'Regresion Md'!$O$6:$S$10,5,1)</f>
        <v>4277885.8449540129</v>
      </c>
      <c r="AG62" s="94">
        <f ca="1">VLOOKUP($P62,'Regresion Q3'!$E$6:$I$10,4,1)*$P62+VLOOKUP($P62,'Regresion Q3'!$E$6:$I$10,5,1)</f>
        <v>5006057.0075274082</v>
      </c>
      <c r="AH62" s="94">
        <f ca="1">VLOOKUP($P62,'Regresion Q3'!$J$6:$N$10,4,1)*$P62+VLOOKUP($P62,'Regresion Q3'!$J$6:$N$10,5,1)</f>
        <v>5084341.9168534186</v>
      </c>
      <c r="AI62" s="94">
        <f ca="1">VLOOKUP($P62,'Regresion Q3'!$O$6:$S$10,4,1)*$P62+VLOOKUP($P62,'Regresion Q3'!$O$6:$S$10,5,1)</f>
        <v>5268371.1441303417</v>
      </c>
      <c r="AJ62" s="94">
        <f ca="1">VLOOKUP($P62,'Regresion Q1'!$T$6:$V$10,2,1)*$P62+VLOOKUP($P62,'Regresion Q1'!$T$6:$V$10,3,1)</f>
        <v>3211794.1949045979</v>
      </c>
      <c r="AK62" s="94">
        <f ca="1">VLOOKUP($P62,'Regresion Q1'!$W$6:$Y$10,2,1)*$P62+VLOOKUP($P62,'Regresion Q1'!$W$6:$Y$10,3,1)</f>
        <v>3314859.2040871163</v>
      </c>
      <c r="AL62" s="94">
        <f ca="1">VLOOKUP($P62,'Regresion Q1'!$Z$6:$AB$10,2,1)*$P62+VLOOKUP($P62,'Regresion Q1'!$Z$6:$AB$10,3,1)</f>
        <v>3449261.6084955749</v>
      </c>
      <c r="AM62" s="94">
        <f ca="1">VLOOKUP($P62,'Regresion Md'!$T$6:$V$10,2,1)*$P62+VLOOKUP($P62,'Regresion Md'!$T$6:$V$10,3,1)</f>
        <v>3936922.764367518</v>
      </c>
      <c r="AN62" s="94">
        <f ca="1">VLOOKUP($P62,'Regresion Md'!$W$6:$Y$10,2,1)*$P62+VLOOKUP($P62,'Regresion Md'!$W$6:$Y$10,3,1)</f>
        <v>4040731.8761732206</v>
      </c>
      <c r="AO62" s="94">
        <f ca="1">VLOOKUP($P62,'Regresion Md'!$Z$6:$AB$10,2,1)*$P62+VLOOKUP($P62,'Regresion Md'!$Z$6:$AB$10,3,1)</f>
        <v>4265555.4364963388</v>
      </c>
      <c r="AP62" s="94">
        <f ca="1">VLOOKUP($P62,'Regresion Q3'!$T$6:$V$10,2,1)*$P62+VLOOKUP($P62,'Regresion Q3'!$T$6:$V$10,3,1)</f>
        <v>5309697.3345487574</v>
      </c>
      <c r="AQ62" s="94">
        <f ca="1">VLOOKUP($P62,'Regresion Q3'!$W$6:$Y$10,2,1)*$P62+VLOOKUP($P62,'Regresion Q3'!$W$6:$Y$10,3,1)</f>
        <v>5457306.4953476647</v>
      </c>
      <c r="AR62" s="94">
        <f ca="1">VLOOKUP($P62,'Regresion Q3'!$Z$6:$AB$10,2,1)*$P62+VLOOKUP($P62,'Regresion Q3'!$Z$6:$AB$10,3,1)</f>
        <v>5597085.1822139351</v>
      </c>
      <c r="AS62" s="94">
        <f ca="1">IF($BN62=$BN63,-1,DatosHoy[[#This Row],[G ajus PM Q1]]-BO63)</f>
        <v>-380129.88515716931</v>
      </c>
      <c r="AT62" s="94">
        <f ca="1">IF($BN62=$BN63,-1,DatosHoy[[#This Row],[G+V ajus PM Q1]]-BP63)</f>
        <v>-384177.26835053694</v>
      </c>
      <c r="AU62" s="94">
        <f ca="1">IF($BN62=$BN63,-1,DatosHoy[[#This Row],[CT ajus PM Q1]]-BQ63)</f>
        <v>-401462.8230238026</v>
      </c>
      <c r="AV62" s="94">
        <f ca="1">IF(DatosHoy[[#This Row],[G ajus PM Q1]]=DatosHoy[[#This Row],[G+V ajus PM Q1]],-1,DatosHoy[[#This Row],[G ajus PM Q1]]-DatosHoy[[#This Row],[G+V ajus PM Q1]])</f>
        <v>-101680.378090051</v>
      </c>
      <c r="AW62" s="94">
        <f ca="1">IF(DatosHoy[[#This Row],[G+V ajus PM Q1]]=DatosHoy[[#This Row],[CT ajus PM Q1]],-1,DatosHoy[[#This Row],[G+V ajus PM Q1]]-DatosHoy[[#This Row],[CT ajus PM Q1]])</f>
        <v>-128488.92517813062</v>
      </c>
      <c r="AX62" s="94">
        <f ca="1">IF($BN62=$BN63,-1,DatosHoy[[#This Row],[G ajus PMd]]-BR63)</f>
        <v>-871627.45708395354</v>
      </c>
      <c r="AY62" s="94">
        <f ca="1">IF($BN62=$BN63,-1,DatosHoy[[#This Row],[G+V ajus PM Md]]-BS63)</f>
        <v>-944069.2314510243</v>
      </c>
      <c r="AZ62" s="94">
        <f ca="1">IF($BN62=$BN63,-1,DatosHoy[[#This Row],[CT ajus PM Md]]-BT63)</f>
        <v>-970516.62340711243</v>
      </c>
      <c r="BA62" s="94">
        <f ca="1">IF(DatosHoy[[#This Row],[G ajus PMd]]=DatosHoy[[#This Row],[G+V ajus PM Md]],-1,DatosHoy[[#This Row],[G ajus PMd]]-DatosHoy[[#This Row],[G+V ajus PM Md]])</f>
        <v>-79026.399522230029</v>
      </c>
      <c r="BB62" s="94">
        <f ca="1">IF(DatosHoy[[#This Row],[G+V ajus PM Md]]=DatosHoy[[#This Row],[CT ajus PM Md]],-1,DatosHoy[[#This Row],[G+V ajus PM Md]]-DatosHoy[[#This Row],[CT ajus PM Md]])</f>
        <v>-215775.76833814103</v>
      </c>
      <c r="BC62" s="94">
        <f ca="1">IF($BN62=$BN63,-1,DatosHoy[[#This Row],[G ajus PM Q3]]-BU63)</f>
        <v>-701494.37593390793</v>
      </c>
      <c r="BD62" s="94">
        <f ca="1">IF($BN62=$BN63,-1,DatosHoy[[#This Row],[G+V ajus PM Q3]]-BV63)</f>
        <v>-718014.95836566761</v>
      </c>
      <c r="BE62" s="94">
        <f ca="1">IF($BN62=$BN63,-1,DatosHoy[[#This Row],[CT ajus PM Q3]]-BW63)</f>
        <v>-731527.5247616563</v>
      </c>
      <c r="BF62" s="94">
        <f ca="1">IF(DatosHoy[[#This Row],[G ajus PM Q3]]=DatosHoy[[#This Row],[G+V ajus PM Q3]],-1,DatosHoy[[#This Row],[G ajus PM Q3]]-DatosHoy[[#This Row],[G+V ajus PM Q3]])</f>
        <v>-141957.38259856775</v>
      </c>
      <c r="BG62" s="94">
        <f ca="1">IF(DatosHoy[[#This Row],[G+V ajus PM Q3]]=DatosHoy[[#This Row],[CT ajus PM Q3]],-1,DatosHoy[[#This Row],[G+V ajus PM Q3]]-DatosHoy[[#This Row],[CT ajus PM Q3]])</f>
        <v>-135155.96678343322</v>
      </c>
      <c r="BH62" s="94">
        <f ca="1">IF(DatosHoy[[#This Row],[G ajus PM Q1]]=DatosHoy[[#This Row],[G ajus PMd]],-1,DatosHoy[[#This Row],[G ajus PM Q1]]-DatosHoy[[#This Row],[G ajus PMd]])</f>
        <v>-556984.6632774421</v>
      </c>
      <c r="BI62" s="94">
        <f ca="1">IF(DatosHoy[[#This Row],[G+V ajus PM Q1]]=DatosHoy[[#This Row],[G+V ajus PM Md]],-1,DatosHoy[[#This Row],[G+V ajus PM Q1]]-DatosHoy[[#This Row],[G+V ajus PM Md]])</f>
        <v>-534330.68470962113</v>
      </c>
      <c r="BJ62" s="94">
        <f ca="1">IF(DatosHoy[[#This Row],[CT ajus PM Q1]]=DatosHoy[[#This Row],[CT ajus PM Md]],-1,DatosHoy[[#This Row],[CT ajus PM Q1]]-DatosHoy[[#This Row],[CT ajus PM Md]])</f>
        <v>-621617.52786963154</v>
      </c>
      <c r="BK62" s="94">
        <f ca="1">IF(DatosHoy[[#This Row],[G ajus PMd]]=DatosHoy[[#This Row],[G ajus PM Q3]],-1,DatosHoy[[#This Row],[G ajus PMd]]-DatosHoy[[#This Row],[G ajus PM Q3]])</f>
        <v>-1430977.9926799387</v>
      </c>
      <c r="BL62" s="94">
        <f ca="1">IF(DatosHoy[[#This Row],[G+V ajus PM Md]]=DatosHoy[[#This Row],[G+V ajus PM Q3]],-1,DatosHoy[[#This Row],[G+V ajus PM Md]]-DatosHoy[[#This Row],[G+V ajus PM Q3]])</f>
        <v>-1493908.9757562764</v>
      </c>
      <c r="BM62" s="94">
        <f ca="1">IF(DatosHoy[[#This Row],[CT ajus PM Md]]=DatosHoy[[#This Row],[CT ajus PM Q3]],-1,DatosHoy[[#This Row],[CT ajus PM Md]]-DatosHoy[[#This Row],[CT ajus PM Q3]])</f>
        <v>-1413289.1742015686</v>
      </c>
      <c r="BN62" s="74">
        <v>249</v>
      </c>
      <c r="BO62" s="94">
        <f ca="1">IFERROR(VLOOKUP($BN62,'Regresion Q1'!$T$6:$V$10,2,1)*$BN62+VLOOKUP($BN62,'Regresion Q1'!$T$6:$V$10,3,1),VLOOKUP(MIN(DatosHoy[Puntos]),'Regresion Q1'!$T$6:$V$10,2,1)*$BN62+VLOOKUP(MIN(DatosHoy[Puntos]),'Regresion Q1'!$T$6:$V$10,3,1))</f>
        <v>3081749.760508724</v>
      </c>
      <c r="BP62" s="94">
        <f ca="1">IFERROR(VLOOKUP($BN62,'Regresion Q1'!$W$6:$Y$10,2,1)*$BN62+VLOOKUP($BN62,'Regresion Q1'!$W$6:$Y$10,3,1),VLOOKUP(MIN(DatosHoy[Puntos]),'Regresion Q1'!$W$6:$Y$10,2,1)*$BN62+VLOOKUP(MIN(DatosHoy[Puntos]),'Regresion Q1'!$W$6:$Y$10,3,1))</f>
        <v>3183430.138598775</v>
      </c>
      <c r="BQ62" s="94">
        <f ca="1">IFERROR(VLOOKUP($BN62,'Regresion Q1'!$Z$6:$AB$10,2,1)*$BN62+VLOOKUP($BN62,'Regresion Q1'!$Z$6:$AB$10,3,1),VLOOKUP(MIN(DatosHoy[Puntos]),'Regresion Q1'!$Z$6:$AB$10,2,1)*$BN62+VLOOKUP(MIN(DatosHoy[Puntos]),'Regresion Q1'!$Z$6:$AB$10,3,1))</f>
        <v>3311919.0637769056</v>
      </c>
      <c r="BR62" s="94">
        <f ca="1">IFERROR(VLOOKUP($BN62,'Regresion Md'!$T$6:$V$10,2,1)*$BN62+VLOOKUP($BN62,'Regresion Md'!$T$6:$V$10,3,1),VLOOKUP(MIN(DatosHoy[Puntos]),'Regresion Md'!$T$6:$V$10,2,1)*$BN62+VLOOKUP(MIN(DatosHoy[Puntos]),'Regresion Md'!$T$6:$V$10,3,1))</f>
        <v>3638734.4237861661</v>
      </c>
      <c r="BS62" s="94">
        <f ca="1">IFERROR(VLOOKUP($BN62,'Regresion Md'!$W$6:$Y$10,2,1)*$BN62+VLOOKUP($BN62,'Regresion Md'!$W$6:$Y$10,3,1),VLOOKUP(MIN(DatosHoy[Puntos]),'Regresion Md'!$W$6:$Y$10,2,1)*$BN62+VLOOKUP(MIN(DatosHoy[Puntos]),'Regresion Md'!$W$6:$Y$10,3,1))</f>
        <v>3717760.8233083962</v>
      </c>
      <c r="BT62" s="94">
        <f ca="1">IFERROR(VLOOKUP($BN62,'Regresion Md'!$Z$6:$AB$10,2,1)*$BN62+VLOOKUP($BN62,'Regresion Md'!$Z$6:$AB$10,3,1),VLOOKUP(MIN(DatosHoy[Puntos]),'Regresion Md'!$Z$6:$AB$10,2,1)*$BN62+VLOOKUP(MIN(DatosHoy[Puntos]),'Regresion Md'!$Z$6:$AB$10,3,1))</f>
        <v>3933536.5916465372</v>
      </c>
      <c r="BU62" s="94">
        <f ca="1">IFERROR(VLOOKUP($BN62,'Regresion Q3'!$T$6:$V$10,2,1)*$BN62+VLOOKUP($BN62,'Regresion Q3'!$T$6:$V$10,3,1),VLOOKUP(MIN(DatosHoy[Puntos]),'Regresion Q3'!$T$6:$V$10,2,1)*$BN62+VLOOKUP(MIN(DatosHoy[Puntos]),'Regresion Q3'!$T$6:$V$10,3,1))</f>
        <v>5069712.4164661048</v>
      </c>
      <c r="BV62" s="94">
        <f ca="1">IFERROR(VLOOKUP($BN62,'Regresion Q3'!$W$6:$Y$10,2,1)*$BN62+VLOOKUP($BN62,'Regresion Q3'!$W$6:$Y$10,3,1),VLOOKUP(MIN(DatosHoy[Puntos]),'Regresion Q3'!$W$6:$Y$10,2,1)*$BN62+VLOOKUP(MIN(DatosHoy[Puntos]),'Regresion Q3'!$W$6:$Y$10,3,1))</f>
        <v>5211669.7990646726</v>
      </c>
      <c r="BW62" s="94">
        <f ca="1">IFERROR(VLOOKUP($BN62,'Regresion Q3'!$Z$6:$AB$10,2,1)*$BN62+VLOOKUP($BN62,'Regresion Q3'!$Z$6:$AB$10,3,1),VLOOKUP(MIN(DatosHoy[Puntos]),'Regresion Q3'!$Z$6:$AB$10,2,1)*$BN62+VLOOKUP(MIN(DatosHoy[Puntos]),'Regresion Q3'!$Z$6:$AB$10,3,1))</f>
        <v>5346825.7658481058</v>
      </c>
      <c r="BX62" s="96">
        <f ca="1">DatosHoy[[#This Row],[CT Actual]]/DatosHoy[[#This Row],[CT ajus PM Md]]</f>
        <v>0.71912758762870177</v>
      </c>
      <c r="BY62" s="125" t="str">
        <f>VLOOKUP(DatosHoy[[#This Row],[Cargo Valorado]],Estadísticos[[Cargo]:[Nivel]],2,FALSE)</f>
        <v>Soporte</v>
      </c>
      <c r="BZ62" s="96">
        <f>(DatosHoy[[#This Row],[G+V Actual]]-DatosHoy[[#This Row],[G Actual]])/DatosHoy[[#This Row],[CT Actual]]</f>
        <v>0</v>
      </c>
      <c r="CA62" s="96">
        <f>(DatosHoy[[#This Row],[CT Actual]]-DatosHoy[[#This Row],[G+V Actual]])/DatosHoy[[#This Row],[CT Actual]]</f>
        <v>0</v>
      </c>
      <c r="CB62" s="139" t="s">
        <v>255</v>
      </c>
    </row>
    <row r="63" spans="2:80" x14ac:dyDescent="0.25">
      <c r="B63" s="73">
        <f t="shared" si="34"/>
        <v>58</v>
      </c>
      <c r="C63" s="74">
        <v>2828714.68</v>
      </c>
      <c r="D63" s="74">
        <v>2828714.68</v>
      </c>
      <c r="E63" s="74">
        <v>2828714.68</v>
      </c>
      <c r="F63" s="94">
        <f>VLOOKUP(DatosHoy[[#This Row],[Cargo Valorado]],Estadísticos[],3,0)</f>
        <v>2362963.493793983</v>
      </c>
      <c r="G63" s="94">
        <f>VLOOKUP(DatosHoy[[#This Row],[Cargo Valorado]],Estadísticos[],4,0)</f>
        <v>2362963.493793983</v>
      </c>
      <c r="H63" s="94">
        <f>VLOOKUP(DatosHoy[[#This Row],[Cargo Valorado]],Estadísticos[],5,0)</f>
        <v>2362963.493793983</v>
      </c>
      <c r="I63" s="94">
        <f>VLOOKUP(DatosHoy[[#This Row],[Cargo Valorado]],Estadísticos[],6,0)</f>
        <v>2362963.493793983</v>
      </c>
      <c r="J63" s="94">
        <f>VLOOKUP(DatosHoy[[#This Row],[Cargo Valorado]],Estadísticos[],7,0)</f>
        <v>2362963.493793983</v>
      </c>
      <c r="K63" s="94">
        <f>VLOOKUP(DatosHoy[[#This Row],[Cargo Valorado]],Estadísticos[],8,0)</f>
        <v>2362963.493793983</v>
      </c>
      <c r="L63" s="94">
        <f>VLOOKUP(DatosHoy[[#This Row],[Cargo Valorado]],Estadísticos[],9,0)</f>
        <v>2362963.493793983</v>
      </c>
      <c r="M63" s="94">
        <f>VLOOKUP(DatosHoy[[#This Row],[Cargo Valorado]],Estadísticos[],10,0)</f>
        <v>2362963.493793983</v>
      </c>
      <c r="N63" s="94">
        <f>VLOOKUP(DatosHoy[[#This Row],[Cargo Valorado]],Estadísticos[],11,0)</f>
        <v>2362963.493793983</v>
      </c>
      <c r="O63" s="75" t="s">
        <v>187</v>
      </c>
      <c r="P63" s="75">
        <v>268</v>
      </c>
      <c r="Q63" s="95" t="str">
        <f t="shared" si="35"/>
        <v>$P$63</v>
      </c>
      <c r="R63" s="95" t="str">
        <f t="shared" si="36"/>
        <v>$F$63</v>
      </c>
      <c r="S63" s="95" t="str">
        <f t="shared" si="37"/>
        <v>$G$63</v>
      </c>
      <c r="T63" s="95" t="str">
        <f t="shared" si="38"/>
        <v>$H$63</v>
      </c>
      <c r="U63" s="95" t="str">
        <f t="shared" si="39"/>
        <v>$I$63</v>
      </c>
      <c r="V63" s="95" t="str">
        <f t="shared" si="40"/>
        <v>$J$63</v>
      </c>
      <c r="W63" s="95" t="str">
        <f t="shared" si="41"/>
        <v>$K$63</v>
      </c>
      <c r="X63" s="95" t="str">
        <f t="shared" si="42"/>
        <v>$L$63</v>
      </c>
      <c r="Y63" s="95" t="str">
        <f t="shared" si="43"/>
        <v>$M$63</v>
      </c>
      <c r="Z63" s="95" t="str">
        <f t="shared" si="44"/>
        <v>$N$63</v>
      </c>
      <c r="AA63" s="94">
        <f ca="1">VLOOKUP($P63,'Regresion Q1'!$E$6:$I$10,4,1)*$P63+VLOOKUP($P63,'Regresion Q1'!$E$6:$I$10,5,1)</f>
        <v>3482526.2449997007</v>
      </c>
      <c r="AB63" s="94">
        <f ca="1">VLOOKUP($P63,'Regresion Q1'!$J$6:$N$10,4,1)*$P63+VLOOKUP($P63,'Regresion Q1'!$J$6:$N$10,5,1)</f>
        <v>3562060.581868642</v>
      </c>
      <c r="AC63" s="94">
        <f ca="1">VLOOKUP($P63,'Regresion Q1'!$O$6:$S$10,4,1)*$P63+VLOOKUP($P63,'Regresion Q1'!$O$6:$S$10,5,1)</f>
        <v>3754543.5224501439</v>
      </c>
      <c r="AD63" s="94">
        <f ca="1">VLOOKUP($P63,'Regresion Md'!$E$6:$I$10,4,1)*$P63+VLOOKUP($P63,'Regresion Md'!$E$6:$I$10,5,1)</f>
        <v>4184115.0095625017</v>
      </c>
      <c r="AE63" s="94">
        <f ca="1">VLOOKUP($P63,'Regresion Md'!$J$6:$N$10,4,1)*$P63+VLOOKUP($P63,'Regresion Md'!$J$6:$N$10,5,1)</f>
        <v>4245494.9468653528</v>
      </c>
      <c r="AF63" s="94">
        <f ca="1">VLOOKUP($P63,'Regresion Md'!$O$6:$S$10,4,1)*$P63+VLOOKUP($P63,'Regresion Md'!$O$6:$S$10,5,1)</f>
        <v>4432769.3662687903</v>
      </c>
      <c r="AG63" s="94">
        <f ca="1">VLOOKUP($P63,'Regresion Q3'!$E$6:$I$10,4,1)*$P63+VLOOKUP($P63,'Regresion Q3'!$E$6:$I$10,5,1)</f>
        <v>5155413.734623584</v>
      </c>
      <c r="AH63" s="94">
        <f ca="1">VLOOKUP($P63,'Regresion Q3'!$J$6:$N$10,4,1)*$P63+VLOOKUP($P63,'Regresion Q3'!$J$6:$N$10,5,1)</f>
        <v>5235583.0277799461</v>
      </c>
      <c r="AI63" s="94">
        <f ca="1">VLOOKUP($P63,'Regresion Q3'!$O$6:$S$10,4,1)*$P63+VLOOKUP($P63,'Regresion Q3'!$O$6:$S$10,5,1)</f>
        <v>5418717.4067256218</v>
      </c>
      <c r="AJ63" s="94">
        <f ca="1">VLOOKUP($P63,'Regresion Q1'!$T$6:$V$10,2,1)*$P63+VLOOKUP($P63,'Regresion Q1'!$T$6:$V$10,3,1)</f>
        <v>3271814.7030873089</v>
      </c>
      <c r="AK63" s="94">
        <f ca="1">VLOOKUP($P63,'Regresion Q1'!$W$6:$Y$10,2,1)*$P63+VLOOKUP($P63,'Regresion Q1'!$W$6:$Y$10,3,1)</f>
        <v>3375518.7727740435</v>
      </c>
      <c r="AL63" s="94">
        <f ca="1">VLOOKUP($P63,'Regresion Q1'!$Z$6:$AB$10,2,1)*$P63+VLOOKUP($P63,'Regresion Q1'!$Z$6:$AB$10,3,1)</f>
        <v>3512650.4752888069</v>
      </c>
      <c r="AM63" s="94">
        <f ca="1">VLOOKUP($P63,'Regresion Md'!$T$6:$V$10,2,1)*$P63+VLOOKUP($P63,'Regresion Md'!$T$6:$V$10,3,1)</f>
        <v>4074548.1523281429</v>
      </c>
      <c r="AN63" s="94">
        <f ca="1">VLOOKUP($P63,'Regresion Md'!$W$6:$Y$10,2,1)*$P63+VLOOKUP($P63,'Regresion Md'!$W$6:$Y$10,3,1)</f>
        <v>4189795.4390339078</v>
      </c>
      <c r="AO63" s="94">
        <f ca="1">VLOOKUP($P63,'Regresion Md'!$Z$6:$AB$10,2,1)*$P63+VLOOKUP($P63,'Regresion Md'!$Z$6:$AB$10,3,1)</f>
        <v>4418794.9033500934</v>
      </c>
      <c r="AP63" s="94">
        <f ca="1">VLOOKUP($P63,'Regresion Q3'!$T$6:$V$10,2,1)*$P63+VLOOKUP($P63,'Regresion Q3'!$T$6:$V$10,3,1)</f>
        <v>5420459.6044330588</v>
      </c>
      <c r="AQ63" s="94">
        <f ca="1">VLOOKUP($P63,'Regresion Q3'!$W$6:$Y$10,2,1)*$P63+VLOOKUP($P63,'Regresion Q3'!$W$6:$Y$10,3,1)</f>
        <v>5570677.2782475064</v>
      </c>
      <c r="AR63" s="94">
        <f ca="1">VLOOKUP($P63,'Regresion Q3'!$Z$6:$AB$10,2,1)*$P63+VLOOKUP($P63,'Regresion Q3'!$Z$6:$AB$10,3,1)</f>
        <v>5712589.5282289339</v>
      </c>
      <c r="AS63" s="94">
        <f>IF($BN63=$BN64,-1,DatosHoy[[#This Row],[G ajus PM Q1]]-BO64)</f>
        <v>-1</v>
      </c>
      <c r="AT63" s="94">
        <f>IF($BN63=$BN64,-1,DatosHoy[[#This Row],[G+V ajus PM Q1]]-BP64)</f>
        <v>-1</v>
      </c>
      <c r="AU63" s="94">
        <f>IF($BN63=$BN64,-1,DatosHoy[[#This Row],[CT ajus PM Q1]]-BQ64)</f>
        <v>-1</v>
      </c>
      <c r="AV63" s="94">
        <f ca="1">IF(DatosHoy[[#This Row],[G ajus PM Q1]]=DatosHoy[[#This Row],[G+V ajus PM Q1]],-1,DatosHoy[[#This Row],[G ajus PM Q1]]-DatosHoy[[#This Row],[G+V ajus PM Q1]])</f>
        <v>-105727.76128341863</v>
      </c>
      <c r="AW63" s="94">
        <f ca="1">IF(DatosHoy[[#This Row],[G+V ajus PM Q1]]=DatosHoy[[#This Row],[CT ajus PM Q1]],-1,DatosHoy[[#This Row],[G+V ajus PM Q1]]-DatosHoy[[#This Row],[CT ajus PM Q1]])</f>
        <v>-145774.47985139629</v>
      </c>
      <c r="AX63" s="94">
        <f>IF($BN63=$BN64,-1,DatosHoy[[#This Row],[G ajus PMd]]-BR64)</f>
        <v>-1</v>
      </c>
      <c r="AY63" s="94">
        <f>IF($BN63=$BN64,-1,DatosHoy[[#This Row],[G+V ajus PM Md]]-BS64)</f>
        <v>-1</v>
      </c>
      <c r="AZ63" s="94">
        <f>IF($BN63=$BN64,-1,DatosHoy[[#This Row],[CT ajus PM Md]]-BT64)</f>
        <v>-1</v>
      </c>
      <c r="BA63" s="94">
        <f ca="1">IF(DatosHoy[[#This Row],[G ajus PMd]]=DatosHoy[[#This Row],[G+V ajus PM Md]],-1,DatosHoy[[#This Row],[G ajus PMd]]-DatosHoy[[#This Row],[G+V ajus PM Md]])</f>
        <v>-151468.17388930079</v>
      </c>
      <c r="BB63" s="94">
        <f ca="1">IF(DatosHoy[[#This Row],[G+V ajus PM Md]]=DatosHoy[[#This Row],[CT ajus PM Md]],-1,DatosHoy[[#This Row],[G+V ajus PM Md]]-DatosHoy[[#This Row],[CT ajus PM Md]])</f>
        <v>-242223.16029422916</v>
      </c>
      <c r="BC63" s="94">
        <f>IF($BN63=$BN64,-1,DatosHoy[[#This Row],[G ajus PM Q3]]-BU64)</f>
        <v>-1</v>
      </c>
      <c r="BD63" s="94">
        <f>IF($BN63=$BN64,-1,DatosHoy[[#This Row],[G+V ajus PM Q3]]-BV64)</f>
        <v>-1</v>
      </c>
      <c r="BE63" s="94">
        <f>IF($BN63=$BN64,-1,DatosHoy[[#This Row],[CT ajus PM Q3]]-BW64)</f>
        <v>-1</v>
      </c>
      <c r="BF63" s="94">
        <f ca="1">IF(DatosHoy[[#This Row],[G ajus PM Q3]]=DatosHoy[[#This Row],[G+V ajus PM Q3]],-1,DatosHoy[[#This Row],[G ajus PM Q3]]-DatosHoy[[#This Row],[G+V ajus PM Q3]])</f>
        <v>-158477.96503032744</v>
      </c>
      <c r="BG63" s="94">
        <f ca="1">IF(DatosHoy[[#This Row],[G+V ajus PM Q3]]=DatosHoy[[#This Row],[CT ajus PM Q3]],-1,DatosHoy[[#This Row],[G+V ajus PM Q3]]-DatosHoy[[#This Row],[CT ajus PM Q3]])</f>
        <v>-148668.53317942191</v>
      </c>
      <c r="BH63" s="94">
        <f ca="1">IF(DatosHoy[[#This Row],[G ajus PM Q1]]=DatosHoy[[#This Row],[G ajus PMd]],-1,DatosHoy[[#This Row],[G ajus PM Q1]]-DatosHoy[[#This Row],[G ajus PMd]])</f>
        <v>-1048482.2352042263</v>
      </c>
      <c r="BI63" s="94">
        <f ca="1">IF(DatosHoy[[#This Row],[G+V ajus PM Q1]]=DatosHoy[[#This Row],[G+V ajus PM Md]],-1,DatosHoy[[#This Row],[G+V ajus PM Q1]]-DatosHoy[[#This Row],[G+V ajus PM Md]])</f>
        <v>-1094222.6478101085</v>
      </c>
      <c r="BJ63" s="94">
        <f ca="1">IF(DatosHoy[[#This Row],[CT ajus PM Q1]]=DatosHoy[[#This Row],[CT ajus PM Md]],-1,DatosHoy[[#This Row],[CT ajus PM Q1]]-DatosHoy[[#This Row],[CT ajus PM Md]])</f>
        <v>-1190671.3282529414</v>
      </c>
      <c r="BK63" s="94">
        <f ca="1">IF(DatosHoy[[#This Row],[G ajus PMd]]=DatosHoy[[#This Row],[G ajus PM Q3]],-1,DatosHoy[[#This Row],[G ajus PMd]]-DatosHoy[[#This Row],[G ajus PM Q3]])</f>
        <v>-1260844.9115298931</v>
      </c>
      <c r="BL63" s="94">
        <f ca="1">IF(DatosHoy[[#This Row],[G+V ajus PM Md]]=DatosHoy[[#This Row],[G+V ajus PM Q3]],-1,DatosHoy[[#This Row],[G+V ajus PM Md]]-DatosHoy[[#This Row],[G+V ajus PM Q3]])</f>
        <v>-1267854.7026709197</v>
      </c>
      <c r="BM63" s="94">
        <f ca="1">IF(DatosHoy[[#This Row],[CT ajus PM Md]]=DatosHoy[[#This Row],[CT ajus PM Q3]],-1,DatosHoy[[#This Row],[CT ajus PM Md]]-DatosHoy[[#This Row],[CT ajus PM Q3]])</f>
        <v>-1174300.0755561125</v>
      </c>
      <c r="BN63" s="74">
        <v>287</v>
      </c>
      <c r="BO63" s="94">
        <f ca="1">IFERROR(VLOOKUP($BN63,'Regresion Q1'!$T$6:$V$10,2,1)*$BN63+VLOOKUP($BN63,'Regresion Q1'!$T$6:$V$10,3,1),VLOOKUP(MIN(DatosHoy[Puntos]),'Regresion Q1'!$T$6:$V$10,2,1)*$BN63+VLOOKUP(MIN(DatosHoy[Puntos]),'Regresion Q1'!$T$6:$V$10,3,1))</f>
        <v>3461879.6456658933</v>
      </c>
      <c r="BP63" s="94">
        <f ca="1">IFERROR(VLOOKUP($BN63,'Regresion Q1'!$W$6:$Y$10,2,1)*$BN63+VLOOKUP($BN63,'Regresion Q1'!$W$6:$Y$10,3,1),VLOOKUP(MIN(DatosHoy[Puntos]),'Regresion Q1'!$W$6:$Y$10,2,1)*$BN63+VLOOKUP(MIN(DatosHoy[Puntos]),'Regresion Q1'!$W$6:$Y$10,3,1))</f>
        <v>3567607.406949312</v>
      </c>
      <c r="BQ63" s="94">
        <f ca="1">IFERROR(VLOOKUP($BN63,'Regresion Q1'!$Z$6:$AB$10,2,1)*$BN63+VLOOKUP($BN63,'Regresion Q1'!$Z$6:$AB$10,3,1),VLOOKUP(MIN(DatosHoy[Puntos]),'Regresion Q1'!$Z$6:$AB$10,2,1)*$BN63+VLOOKUP(MIN(DatosHoy[Puntos]),'Regresion Q1'!$Z$6:$AB$10,3,1))</f>
        <v>3713381.8868007082</v>
      </c>
      <c r="BR63" s="94">
        <f ca="1">IFERROR(VLOOKUP($BN63,'Regresion Md'!$T$6:$V$10,2,1)*$BN63+VLOOKUP($BN63,'Regresion Md'!$T$6:$V$10,3,1),VLOOKUP(MIN(DatosHoy[Puntos]),'Regresion Md'!$T$6:$V$10,2,1)*$BN63+VLOOKUP(MIN(DatosHoy[Puntos]),'Regresion Md'!$T$6:$V$10,3,1))</f>
        <v>4510361.8808701197</v>
      </c>
      <c r="BS63" s="94">
        <f ca="1">IFERROR(VLOOKUP($BN63,'Regresion Md'!$W$6:$Y$10,2,1)*$BN63+VLOOKUP($BN63,'Regresion Md'!$W$6:$Y$10,3,1),VLOOKUP(MIN(DatosHoy[Puntos]),'Regresion Md'!$W$6:$Y$10,2,1)*$BN63+VLOOKUP(MIN(DatosHoy[Puntos]),'Regresion Md'!$W$6:$Y$10,3,1))</f>
        <v>4661830.0547594205</v>
      </c>
      <c r="BT63" s="94">
        <f ca="1">IFERROR(VLOOKUP($BN63,'Regresion Md'!$Z$6:$AB$10,2,1)*$BN63+VLOOKUP($BN63,'Regresion Md'!$Z$6:$AB$10,3,1),VLOOKUP(MIN(DatosHoy[Puntos]),'Regresion Md'!$Z$6:$AB$10,2,1)*$BN63+VLOOKUP(MIN(DatosHoy[Puntos]),'Regresion Md'!$Z$6:$AB$10,3,1))</f>
        <v>4904053.2150536496</v>
      </c>
      <c r="BU63" s="94">
        <f ca="1">IFERROR(VLOOKUP($BN63,'Regresion Q3'!$T$6:$V$10,2,1)*$BN63+VLOOKUP($BN63,'Regresion Q3'!$T$6:$V$10,3,1),VLOOKUP(MIN(DatosHoy[Puntos]),'Regresion Q3'!$T$6:$V$10,2,1)*$BN63+VLOOKUP(MIN(DatosHoy[Puntos]),'Regresion Q3'!$T$6:$V$10,3,1))</f>
        <v>5771206.7924000127</v>
      </c>
      <c r="BV63" s="94">
        <f ca="1">IFERROR(VLOOKUP($BN63,'Regresion Q3'!$W$6:$Y$10,2,1)*$BN63+VLOOKUP($BN63,'Regresion Q3'!$W$6:$Y$10,3,1),VLOOKUP(MIN(DatosHoy[Puntos]),'Regresion Q3'!$W$6:$Y$10,2,1)*$BN63+VLOOKUP(MIN(DatosHoy[Puntos]),'Regresion Q3'!$W$6:$Y$10,3,1))</f>
        <v>5929684.7574303402</v>
      </c>
      <c r="BW63" s="94">
        <f ca="1">IFERROR(VLOOKUP($BN63,'Regresion Q3'!$Z$6:$AB$10,2,1)*$BN63+VLOOKUP($BN63,'Regresion Q3'!$Z$6:$AB$10,3,1),VLOOKUP(MIN(DatosHoy[Puntos]),'Regresion Q3'!$Z$6:$AB$10,2,1)*$BN63+VLOOKUP(MIN(DatosHoy[Puntos]),'Regresion Q3'!$Z$6:$AB$10,3,1))</f>
        <v>6078353.2906097621</v>
      </c>
      <c r="BX63" s="96">
        <f ca="1">DatosHoy[[#This Row],[CT Actual]]/DatosHoy[[#This Row],[CT ajus PM Md]]</f>
        <v>0.5768115793109424</v>
      </c>
      <c r="BY63" s="125" t="str">
        <f>VLOOKUP(DatosHoy[[#This Row],[Cargo Valorado]],Estadísticos[[Cargo]:[Nivel]],2,FALSE)</f>
        <v>Táctico</v>
      </c>
      <c r="BZ63" s="96">
        <f>(DatosHoy[[#This Row],[G+V Actual]]-DatosHoy[[#This Row],[G Actual]])/DatosHoy[[#This Row],[CT Actual]]</f>
        <v>0</v>
      </c>
      <c r="CA63" s="96">
        <f>(DatosHoy[[#This Row],[CT Actual]]-DatosHoy[[#This Row],[G+V Actual]])/DatosHoy[[#This Row],[CT Actual]]</f>
        <v>0</v>
      </c>
      <c r="CB63" s="139" t="s">
        <v>255</v>
      </c>
    </row>
    <row r="64" spans="2:80" x14ac:dyDescent="0.25">
      <c r="B64" s="73">
        <f t="shared" si="34"/>
        <v>59</v>
      </c>
      <c r="C64" s="74">
        <v>2828714.68</v>
      </c>
      <c r="D64" s="74">
        <v>2828714.68</v>
      </c>
      <c r="E64" s="74">
        <v>2828714.68</v>
      </c>
      <c r="F64" s="94">
        <f>VLOOKUP(DatosHoy[[#This Row],[Cargo Valorado]],Estadísticos[],3,0)</f>
        <v>2362963.493793983</v>
      </c>
      <c r="G64" s="94">
        <f>VLOOKUP(DatosHoy[[#This Row],[Cargo Valorado]],Estadísticos[],4,0)</f>
        <v>2362963.493793983</v>
      </c>
      <c r="H64" s="94">
        <f>VLOOKUP(DatosHoy[[#This Row],[Cargo Valorado]],Estadísticos[],5,0)</f>
        <v>2362963.493793983</v>
      </c>
      <c r="I64" s="94">
        <f>VLOOKUP(DatosHoy[[#This Row],[Cargo Valorado]],Estadísticos[],6,0)</f>
        <v>2362963.493793983</v>
      </c>
      <c r="J64" s="94">
        <f>VLOOKUP(DatosHoy[[#This Row],[Cargo Valorado]],Estadísticos[],7,0)</f>
        <v>2362963.493793983</v>
      </c>
      <c r="K64" s="94">
        <f>VLOOKUP(DatosHoy[[#This Row],[Cargo Valorado]],Estadísticos[],8,0)</f>
        <v>2362963.493793983</v>
      </c>
      <c r="L64" s="94">
        <f>VLOOKUP(DatosHoy[[#This Row],[Cargo Valorado]],Estadísticos[],9,0)</f>
        <v>2362963.493793983</v>
      </c>
      <c r="M64" s="94">
        <f>VLOOKUP(DatosHoy[[#This Row],[Cargo Valorado]],Estadísticos[],10,0)</f>
        <v>2362963.493793983</v>
      </c>
      <c r="N64" s="94">
        <f>VLOOKUP(DatosHoy[[#This Row],[Cargo Valorado]],Estadísticos[],11,0)</f>
        <v>2362963.493793983</v>
      </c>
      <c r="O64" s="75" t="s">
        <v>187</v>
      </c>
      <c r="P64" s="75">
        <v>268</v>
      </c>
      <c r="Q64" s="95" t="str">
        <f t="shared" si="35"/>
        <v>$P$64</v>
      </c>
      <c r="R64" s="95" t="str">
        <f t="shared" si="36"/>
        <v>$F$64</v>
      </c>
      <c r="S64" s="95" t="str">
        <f t="shared" si="37"/>
        <v>$G$64</v>
      </c>
      <c r="T64" s="95" t="str">
        <f t="shared" si="38"/>
        <v>$H$64</v>
      </c>
      <c r="U64" s="95" t="str">
        <f t="shared" si="39"/>
        <v>$I$64</v>
      </c>
      <c r="V64" s="95" t="str">
        <f t="shared" si="40"/>
        <v>$J$64</v>
      </c>
      <c r="W64" s="95" t="str">
        <f t="shared" si="41"/>
        <v>$K$64</v>
      </c>
      <c r="X64" s="95" t="str">
        <f t="shared" si="42"/>
        <v>$L$64</v>
      </c>
      <c r="Y64" s="95" t="str">
        <f t="shared" si="43"/>
        <v>$M$64</v>
      </c>
      <c r="Z64" s="95" t="str">
        <f t="shared" si="44"/>
        <v>$N$64</v>
      </c>
      <c r="AA64" s="94">
        <f ca="1">VLOOKUP($P64,'Regresion Q1'!$E$6:$I$10,4,1)*$P64+VLOOKUP($P64,'Regresion Q1'!$E$6:$I$10,5,1)</f>
        <v>3482526.2449997007</v>
      </c>
      <c r="AB64" s="94">
        <f ca="1">VLOOKUP($P64,'Regresion Q1'!$J$6:$N$10,4,1)*$P64+VLOOKUP($P64,'Regresion Q1'!$J$6:$N$10,5,1)</f>
        <v>3562060.581868642</v>
      </c>
      <c r="AC64" s="94">
        <f ca="1">VLOOKUP($P64,'Regresion Q1'!$O$6:$S$10,4,1)*$P64+VLOOKUP($P64,'Regresion Q1'!$O$6:$S$10,5,1)</f>
        <v>3754543.5224501439</v>
      </c>
      <c r="AD64" s="94">
        <f ca="1">VLOOKUP($P64,'Regresion Md'!$E$6:$I$10,4,1)*$P64+VLOOKUP($P64,'Regresion Md'!$E$6:$I$10,5,1)</f>
        <v>4184115.0095625017</v>
      </c>
      <c r="AE64" s="94">
        <f ca="1">VLOOKUP($P64,'Regresion Md'!$J$6:$N$10,4,1)*$P64+VLOOKUP($P64,'Regresion Md'!$J$6:$N$10,5,1)</f>
        <v>4245494.9468653528</v>
      </c>
      <c r="AF64" s="94">
        <f ca="1">VLOOKUP($P64,'Regresion Md'!$O$6:$S$10,4,1)*$P64+VLOOKUP($P64,'Regresion Md'!$O$6:$S$10,5,1)</f>
        <v>4432769.3662687903</v>
      </c>
      <c r="AG64" s="94">
        <f ca="1">VLOOKUP($P64,'Regresion Q3'!$E$6:$I$10,4,1)*$P64+VLOOKUP($P64,'Regresion Q3'!$E$6:$I$10,5,1)</f>
        <v>5155413.734623584</v>
      </c>
      <c r="AH64" s="94">
        <f ca="1">VLOOKUP($P64,'Regresion Q3'!$J$6:$N$10,4,1)*$P64+VLOOKUP($P64,'Regresion Q3'!$J$6:$N$10,5,1)</f>
        <v>5235583.0277799461</v>
      </c>
      <c r="AI64" s="94">
        <f ca="1">VLOOKUP($P64,'Regresion Q3'!$O$6:$S$10,4,1)*$P64+VLOOKUP($P64,'Regresion Q3'!$O$6:$S$10,5,1)</f>
        <v>5418717.4067256218</v>
      </c>
      <c r="AJ64" s="94">
        <f ca="1">VLOOKUP($P64,'Regresion Q1'!$T$6:$V$10,2,1)*$P64+VLOOKUP($P64,'Regresion Q1'!$T$6:$V$10,3,1)</f>
        <v>3271814.7030873089</v>
      </c>
      <c r="AK64" s="94">
        <f ca="1">VLOOKUP($P64,'Regresion Q1'!$W$6:$Y$10,2,1)*$P64+VLOOKUP($P64,'Regresion Q1'!$W$6:$Y$10,3,1)</f>
        <v>3375518.7727740435</v>
      </c>
      <c r="AL64" s="94">
        <f ca="1">VLOOKUP($P64,'Regresion Q1'!$Z$6:$AB$10,2,1)*$P64+VLOOKUP($P64,'Regresion Q1'!$Z$6:$AB$10,3,1)</f>
        <v>3512650.4752888069</v>
      </c>
      <c r="AM64" s="94">
        <f ca="1">VLOOKUP($P64,'Regresion Md'!$T$6:$V$10,2,1)*$P64+VLOOKUP($P64,'Regresion Md'!$T$6:$V$10,3,1)</f>
        <v>4074548.1523281429</v>
      </c>
      <c r="AN64" s="94">
        <f ca="1">VLOOKUP($P64,'Regresion Md'!$W$6:$Y$10,2,1)*$P64+VLOOKUP($P64,'Regresion Md'!$W$6:$Y$10,3,1)</f>
        <v>4189795.4390339078</v>
      </c>
      <c r="AO64" s="94">
        <f ca="1">VLOOKUP($P64,'Regresion Md'!$Z$6:$AB$10,2,1)*$P64+VLOOKUP($P64,'Regresion Md'!$Z$6:$AB$10,3,1)</f>
        <v>4418794.9033500934</v>
      </c>
      <c r="AP64" s="94">
        <f ca="1">VLOOKUP($P64,'Regresion Q3'!$T$6:$V$10,2,1)*$P64+VLOOKUP($P64,'Regresion Q3'!$T$6:$V$10,3,1)</f>
        <v>5420459.6044330588</v>
      </c>
      <c r="AQ64" s="94">
        <f ca="1">VLOOKUP($P64,'Regresion Q3'!$W$6:$Y$10,2,1)*$P64+VLOOKUP($P64,'Regresion Q3'!$W$6:$Y$10,3,1)</f>
        <v>5570677.2782475064</v>
      </c>
      <c r="AR64" s="94">
        <f ca="1">VLOOKUP($P64,'Regresion Q3'!$Z$6:$AB$10,2,1)*$P64+VLOOKUP($P64,'Regresion Q3'!$Z$6:$AB$10,3,1)</f>
        <v>5712589.5282289339</v>
      </c>
      <c r="AS64" s="94">
        <f>IF($BN64=$BN65,-1,DatosHoy[[#This Row],[G ajus PM Q1]]-BO65)</f>
        <v>-1</v>
      </c>
      <c r="AT64" s="94">
        <f>IF($BN64=$BN65,-1,DatosHoy[[#This Row],[G+V ajus PM Q1]]-BP65)</f>
        <v>-1</v>
      </c>
      <c r="AU64" s="94">
        <f>IF($BN64=$BN65,-1,DatosHoy[[#This Row],[CT ajus PM Q1]]-BQ65)</f>
        <v>-1</v>
      </c>
      <c r="AV64" s="94">
        <f ca="1">IF(DatosHoy[[#This Row],[G ajus PM Q1]]=DatosHoy[[#This Row],[G+V ajus PM Q1]],-1,DatosHoy[[#This Row],[G ajus PM Q1]]-DatosHoy[[#This Row],[G+V ajus PM Q1]])</f>
        <v>-105727.76128341863</v>
      </c>
      <c r="AW64" s="94">
        <f ca="1">IF(DatosHoy[[#This Row],[G+V ajus PM Q1]]=DatosHoy[[#This Row],[CT ajus PM Q1]],-1,DatosHoy[[#This Row],[G+V ajus PM Q1]]-DatosHoy[[#This Row],[CT ajus PM Q1]])</f>
        <v>-145774.47985139629</v>
      </c>
      <c r="AX64" s="94">
        <f>IF($BN64=$BN65,-1,DatosHoy[[#This Row],[G ajus PMd]]-BR65)</f>
        <v>-1</v>
      </c>
      <c r="AY64" s="94">
        <f>IF($BN64=$BN65,-1,DatosHoy[[#This Row],[G+V ajus PM Md]]-BS65)</f>
        <v>-1</v>
      </c>
      <c r="AZ64" s="94">
        <f>IF($BN64=$BN65,-1,DatosHoy[[#This Row],[CT ajus PM Md]]-BT65)</f>
        <v>-1</v>
      </c>
      <c r="BA64" s="94">
        <f ca="1">IF(DatosHoy[[#This Row],[G ajus PMd]]=DatosHoy[[#This Row],[G+V ajus PM Md]],-1,DatosHoy[[#This Row],[G ajus PMd]]-DatosHoy[[#This Row],[G+V ajus PM Md]])</f>
        <v>-151468.17388930079</v>
      </c>
      <c r="BB64" s="94">
        <f ca="1">IF(DatosHoy[[#This Row],[G+V ajus PM Md]]=DatosHoy[[#This Row],[CT ajus PM Md]],-1,DatosHoy[[#This Row],[G+V ajus PM Md]]-DatosHoy[[#This Row],[CT ajus PM Md]])</f>
        <v>-242223.16029422916</v>
      </c>
      <c r="BC64" s="94">
        <f>IF($BN64=$BN65,-1,DatosHoy[[#This Row],[G ajus PM Q3]]-BU65)</f>
        <v>-1</v>
      </c>
      <c r="BD64" s="94">
        <f>IF($BN64=$BN65,-1,DatosHoy[[#This Row],[G+V ajus PM Q3]]-BV65)</f>
        <v>-1</v>
      </c>
      <c r="BE64" s="94">
        <f>IF($BN64=$BN65,-1,DatosHoy[[#This Row],[CT ajus PM Q3]]-BW65)</f>
        <v>-1</v>
      </c>
      <c r="BF64" s="94">
        <f ca="1">IF(DatosHoy[[#This Row],[G ajus PM Q3]]=DatosHoy[[#This Row],[G+V ajus PM Q3]],-1,DatosHoy[[#This Row],[G ajus PM Q3]]-DatosHoy[[#This Row],[G+V ajus PM Q3]])</f>
        <v>-158477.96503032744</v>
      </c>
      <c r="BG64" s="94">
        <f ca="1">IF(DatosHoy[[#This Row],[G+V ajus PM Q3]]=DatosHoy[[#This Row],[CT ajus PM Q3]],-1,DatosHoy[[#This Row],[G+V ajus PM Q3]]-DatosHoy[[#This Row],[CT ajus PM Q3]])</f>
        <v>-148668.53317942191</v>
      </c>
      <c r="BH64" s="94">
        <f ca="1">IF(DatosHoy[[#This Row],[G ajus PM Q1]]=DatosHoy[[#This Row],[G ajus PMd]],-1,DatosHoy[[#This Row],[G ajus PM Q1]]-DatosHoy[[#This Row],[G ajus PMd]])</f>
        <v>-1048482.2352042263</v>
      </c>
      <c r="BI64" s="94">
        <f ca="1">IF(DatosHoy[[#This Row],[G+V ajus PM Q1]]=DatosHoy[[#This Row],[G+V ajus PM Md]],-1,DatosHoy[[#This Row],[G+V ajus PM Q1]]-DatosHoy[[#This Row],[G+V ajus PM Md]])</f>
        <v>-1094222.6478101085</v>
      </c>
      <c r="BJ64" s="94">
        <f ca="1">IF(DatosHoy[[#This Row],[CT ajus PM Q1]]=DatosHoy[[#This Row],[CT ajus PM Md]],-1,DatosHoy[[#This Row],[CT ajus PM Q1]]-DatosHoy[[#This Row],[CT ajus PM Md]])</f>
        <v>-1190671.3282529414</v>
      </c>
      <c r="BK64" s="94">
        <f ca="1">IF(DatosHoy[[#This Row],[G ajus PMd]]=DatosHoy[[#This Row],[G ajus PM Q3]],-1,DatosHoy[[#This Row],[G ajus PMd]]-DatosHoy[[#This Row],[G ajus PM Q3]])</f>
        <v>-1260844.9115298931</v>
      </c>
      <c r="BL64" s="94">
        <f ca="1">IF(DatosHoy[[#This Row],[G+V ajus PM Md]]=DatosHoy[[#This Row],[G+V ajus PM Q3]],-1,DatosHoy[[#This Row],[G+V ajus PM Md]]-DatosHoy[[#This Row],[G+V ajus PM Q3]])</f>
        <v>-1267854.7026709197</v>
      </c>
      <c r="BM64" s="94">
        <f ca="1">IF(DatosHoy[[#This Row],[CT ajus PM Md]]=DatosHoy[[#This Row],[CT ajus PM Q3]],-1,DatosHoy[[#This Row],[CT ajus PM Md]]-DatosHoy[[#This Row],[CT ajus PM Q3]])</f>
        <v>-1174300.0755561125</v>
      </c>
      <c r="BN64" s="74">
        <v>287</v>
      </c>
      <c r="BO64" s="94">
        <f ca="1">IFERROR(VLOOKUP($BN64,'Regresion Q1'!$T$6:$V$10,2,1)*$BN64+VLOOKUP($BN64,'Regresion Q1'!$T$6:$V$10,3,1),VLOOKUP(MIN(DatosHoy[Puntos]),'Regresion Q1'!$T$6:$V$10,2,1)*$BN64+VLOOKUP(MIN(DatosHoy[Puntos]),'Regresion Q1'!$T$6:$V$10,3,1))</f>
        <v>3461879.6456658933</v>
      </c>
      <c r="BP64" s="94">
        <f ca="1">IFERROR(VLOOKUP($BN64,'Regresion Q1'!$W$6:$Y$10,2,1)*$BN64+VLOOKUP($BN64,'Regresion Q1'!$W$6:$Y$10,3,1),VLOOKUP(MIN(DatosHoy[Puntos]),'Regresion Q1'!$W$6:$Y$10,2,1)*$BN64+VLOOKUP(MIN(DatosHoy[Puntos]),'Regresion Q1'!$W$6:$Y$10,3,1))</f>
        <v>3567607.406949312</v>
      </c>
      <c r="BQ64" s="94">
        <f ca="1">IFERROR(VLOOKUP($BN64,'Regresion Q1'!$Z$6:$AB$10,2,1)*$BN64+VLOOKUP($BN64,'Regresion Q1'!$Z$6:$AB$10,3,1),VLOOKUP(MIN(DatosHoy[Puntos]),'Regresion Q1'!$Z$6:$AB$10,2,1)*$BN64+VLOOKUP(MIN(DatosHoy[Puntos]),'Regresion Q1'!$Z$6:$AB$10,3,1))</f>
        <v>3713381.8868007082</v>
      </c>
      <c r="BR64" s="94">
        <f ca="1">IFERROR(VLOOKUP($BN64,'Regresion Md'!$T$6:$V$10,2,1)*$BN64+VLOOKUP($BN64,'Regresion Md'!$T$6:$V$10,3,1),VLOOKUP(MIN(DatosHoy[Puntos]),'Regresion Md'!$T$6:$V$10,2,1)*$BN64+VLOOKUP(MIN(DatosHoy[Puntos]),'Regresion Md'!$T$6:$V$10,3,1))</f>
        <v>4510361.8808701197</v>
      </c>
      <c r="BS64" s="94">
        <f ca="1">IFERROR(VLOOKUP($BN64,'Regresion Md'!$W$6:$Y$10,2,1)*$BN64+VLOOKUP($BN64,'Regresion Md'!$W$6:$Y$10,3,1),VLOOKUP(MIN(DatosHoy[Puntos]),'Regresion Md'!$W$6:$Y$10,2,1)*$BN64+VLOOKUP(MIN(DatosHoy[Puntos]),'Regresion Md'!$W$6:$Y$10,3,1))</f>
        <v>4661830.0547594205</v>
      </c>
      <c r="BT64" s="94">
        <f ca="1">IFERROR(VLOOKUP($BN64,'Regresion Md'!$Z$6:$AB$10,2,1)*$BN64+VLOOKUP($BN64,'Regresion Md'!$Z$6:$AB$10,3,1),VLOOKUP(MIN(DatosHoy[Puntos]),'Regresion Md'!$Z$6:$AB$10,2,1)*$BN64+VLOOKUP(MIN(DatosHoy[Puntos]),'Regresion Md'!$Z$6:$AB$10,3,1))</f>
        <v>4904053.2150536496</v>
      </c>
      <c r="BU64" s="94">
        <f ca="1">IFERROR(VLOOKUP($BN64,'Regresion Q3'!$T$6:$V$10,2,1)*$BN64+VLOOKUP($BN64,'Regresion Q3'!$T$6:$V$10,3,1),VLOOKUP(MIN(DatosHoy[Puntos]),'Regresion Q3'!$T$6:$V$10,2,1)*$BN64+VLOOKUP(MIN(DatosHoy[Puntos]),'Regresion Q3'!$T$6:$V$10,3,1))</f>
        <v>5771206.7924000127</v>
      </c>
      <c r="BV64" s="94">
        <f ca="1">IFERROR(VLOOKUP($BN64,'Regresion Q3'!$W$6:$Y$10,2,1)*$BN64+VLOOKUP($BN64,'Regresion Q3'!$W$6:$Y$10,3,1),VLOOKUP(MIN(DatosHoy[Puntos]),'Regresion Q3'!$W$6:$Y$10,2,1)*$BN64+VLOOKUP(MIN(DatosHoy[Puntos]),'Regresion Q3'!$W$6:$Y$10,3,1))</f>
        <v>5929684.7574303402</v>
      </c>
      <c r="BW64" s="94">
        <f ca="1">IFERROR(VLOOKUP($BN64,'Regresion Q3'!$Z$6:$AB$10,2,1)*$BN64+VLOOKUP($BN64,'Regresion Q3'!$Z$6:$AB$10,3,1),VLOOKUP(MIN(DatosHoy[Puntos]),'Regresion Q3'!$Z$6:$AB$10,2,1)*$BN64+VLOOKUP(MIN(DatosHoy[Puntos]),'Regresion Q3'!$Z$6:$AB$10,3,1))</f>
        <v>6078353.2906097621</v>
      </c>
      <c r="BX64" s="96">
        <f ca="1">DatosHoy[[#This Row],[CT Actual]]/DatosHoy[[#This Row],[CT ajus PM Md]]</f>
        <v>0.5768115793109424</v>
      </c>
      <c r="BY64" s="125" t="str">
        <f>VLOOKUP(DatosHoy[[#This Row],[Cargo Valorado]],Estadísticos[[Cargo]:[Nivel]],2,FALSE)</f>
        <v>Táctico</v>
      </c>
      <c r="BZ64" s="96">
        <f>(DatosHoy[[#This Row],[G+V Actual]]-DatosHoy[[#This Row],[G Actual]])/DatosHoy[[#This Row],[CT Actual]]</f>
        <v>0</v>
      </c>
      <c r="CA64" s="96">
        <f>(DatosHoy[[#This Row],[CT Actual]]-DatosHoy[[#This Row],[G+V Actual]])/DatosHoy[[#This Row],[CT Actual]]</f>
        <v>0</v>
      </c>
      <c r="CB64" s="139" t="s">
        <v>255</v>
      </c>
    </row>
    <row r="65" spans="2:80" x14ac:dyDescent="0.25">
      <c r="B65" s="73">
        <f t="shared" si="34"/>
        <v>60</v>
      </c>
      <c r="C65" s="74">
        <v>3353509.5000000005</v>
      </c>
      <c r="D65" s="74">
        <v>3353509.5000000005</v>
      </c>
      <c r="E65" s="74">
        <v>3353509.5000000005</v>
      </c>
      <c r="F65" s="94">
        <f>VLOOKUP(DatosHoy[[#This Row],[Cargo Valorado]],Estadísticos[],3,0)</f>
        <v>4089566.5803085933</v>
      </c>
      <c r="G65" s="94">
        <f>VLOOKUP(DatosHoy[[#This Row],[Cargo Valorado]],Estadísticos[],4,0)</f>
        <v>4089566.5803085933</v>
      </c>
      <c r="H65" s="94">
        <f>VLOOKUP(DatosHoy[[#This Row],[Cargo Valorado]],Estadísticos[],5,0)</f>
        <v>4645322.3801100645</v>
      </c>
      <c r="I65" s="94">
        <f>VLOOKUP(DatosHoy[[#This Row],[Cargo Valorado]],Estadísticos[],6,0)</f>
        <v>4772117.8965846505</v>
      </c>
      <c r="J65" s="94">
        <f>VLOOKUP(DatosHoy[[#This Row],[Cargo Valorado]],Estadísticos[],7,0)</f>
        <v>4772117.8965846505</v>
      </c>
      <c r="K65" s="94">
        <f>VLOOKUP(DatosHoy[[#This Row],[Cargo Valorado]],Estadísticos[],8,0)</f>
        <v>5164372.9384717913</v>
      </c>
      <c r="L65" s="94">
        <f>VLOOKUP(DatosHoy[[#This Row],[Cargo Valorado]],Estadísticos[],9,0)</f>
        <v>5494490.178075688</v>
      </c>
      <c r="M65" s="94">
        <f>VLOOKUP(DatosHoy[[#This Row],[Cargo Valorado]],Estadísticos[],10,0)</f>
        <v>5494490.178075688</v>
      </c>
      <c r="N65" s="94">
        <f>VLOOKUP(DatosHoy[[#This Row],[Cargo Valorado]],Estadísticos[],11,0)</f>
        <v>5665882.0180756878</v>
      </c>
      <c r="O65" s="75" t="s">
        <v>226</v>
      </c>
      <c r="P65" s="75">
        <v>273</v>
      </c>
      <c r="Q65" s="95" t="str">
        <f t="shared" si="35"/>
        <v>$P$65</v>
      </c>
      <c r="R65" s="95" t="str">
        <f t="shared" si="36"/>
        <v>$F$65</v>
      </c>
      <c r="S65" s="95" t="str">
        <f t="shared" si="37"/>
        <v>$G$65</v>
      </c>
      <c r="T65" s="95" t="str">
        <f t="shared" si="38"/>
        <v>$H$65</v>
      </c>
      <c r="U65" s="95" t="str">
        <f t="shared" si="39"/>
        <v>$I$65</v>
      </c>
      <c r="V65" s="95" t="str">
        <f t="shared" si="40"/>
        <v>$J$65</v>
      </c>
      <c r="W65" s="95" t="str">
        <f t="shared" si="41"/>
        <v>$K$65</v>
      </c>
      <c r="X65" s="95" t="str">
        <f t="shared" si="42"/>
        <v>$L$65</v>
      </c>
      <c r="Y65" s="95" t="str">
        <f t="shared" si="43"/>
        <v>$M$65</v>
      </c>
      <c r="Z65" s="95" t="str">
        <f t="shared" si="44"/>
        <v>$N$65</v>
      </c>
      <c r="AA65" s="94">
        <f ca="1">VLOOKUP($P65,'Regresion Q1'!$E$6:$I$10,4,1)*$P65+VLOOKUP($P65,'Regresion Q1'!$E$6:$I$10,5,1)</f>
        <v>3549787.6017946345</v>
      </c>
      <c r="AB65" s="94">
        <f ca="1">VLOOKUP($P65,'Regresion Q1'!$J$6:$N$10,4,1)*$P65+VLOOKUP($P65,'Regresion Q1'!$J$6:$N$10,5,1)</f>
        <v>3631252.0838208408</v>
      </c>
      <c r="AC65" s="94">
        <f ca="1">VLOOKUP($P65,'Regresion Q1'!$O$6:$S$10,4,1)*$P65+VLOOKUP($P65,'Regresion Q1'!$O$6:$S$10,5,1)</f>
        <v>3825944.0422008196</v>
      </c>
      <c r="AD65" s="94">
        <f ca="1">VLOOKUP($P65,'Regresion Md'!$E$6:$I$10,4,1)*$P65+VLOOKUP($P65,'Regresion Md'!$E$6:$I$10,5,1)</f>
        <v>4309544.6816114886</v>
      </c>
      <c r="AE65" s="94">
        <f ca="1">VLOOKUP($P65,'Regresion Md'!$J$6:$N$10,4,1)*$P65+VLOOKUP($P65,'Regresion Md'!$J$6:$N$10,5,1)</f>
        <v>4375175.3186444994</v>
      </c>
      <c r="AF65" s="94">
        <f ca="1">VLOOKUP($P65,'Regresion Md'!$O$6:$S$10,4,1)*$P65+VLOOKUP($P65,'Regresion Md'!$O$6:$S$10,5,1)</f>
        <v>4561838.9673644388</v>
      </c>
      <c r="AG65" s="94">
        <f ca="1">VLOOKUP($P65,'Regresion Q3'!$E$6:$I$10,4,1)*$P65+VLOOKUP($P65,'Regresion Q3'!$E$6:$I$10,5,1)</f>
        <v>5279877.6738703968</v>
      </c>
      <c r="AH65" s="94">
        <f ca="1">VLOOKUP($P65,'Regresion Q3'!$J$6:$N$10,4,1)*$P65+VLOOKUP($P65,'Regresion Q3'!$J$6:$N$10,5,1)</f>
        <v>5361617.2868853854</v>
      </c>
      <c r="AI65" s="94">
        <f ca="1">VLOOKUP($P65,'Regresion Q3'!$O$6:$S$10,4,1)*$P65+VLOOKUP($P65,'Regresion Q3'!$O$6:$S$10,5,1)</f>
        <v>5544005.9588883547</v>
      </c>
      <c r="AJ65" s="94">
        <f ca="1">VLOOKUP($P65,'Regresion Q1'!$T$6:$V$10,2,1)*$P65+VLOOKUP($P65,'Regresion Q1'!$T$6:$V$10,3,1)</f>
        <v>3321831.7932395679</v>
      </c>
      <c r="AK65" s="94">
        <f ca="1">VLOOKUP($P65,'Regresion Q1'!$W$6:$Y$10,2,1)*$P65+VLOOKUP($P65,'Regresion Q1'!$W$6:$Y$10,3,1)</f>
        <v>3426068.4133464824</v>
      </c>
      <c r="AL65" s="94">
        <f ca="1">VLOOKUP($P65,'Regresion Q1'!$Z$6:$AB$10,2,1)*$P65+VLOOKUP($P65,'Regresion Q1'!$Z$6:$AB$10,3,1)</f>
        <v>3565474.5309498338</v>
      </c>
      <c r="AM65" s="94">
        <f ca="1">VLOOKUP($P65,'Regresion Md'!$T$6:$V$10,2,1)*$P65+VLOOKUP($P65,'Regresion Md'!$T$6:$V$10,3,1)</f>
        <v>4189235.9756286629</v>
      </c>
      <c r="AN65" s="94">
        <f ca="1">VLOOKUP($P65,'Regresion Md'!$W$6:$Y$10,2,1)*$P65+VLOOKUP($P65,'Regresion Md'!$W$6:$Y$10,3,1)</f>
        <v>4314015.074751148</v>
      </c>
      <c r="AO65" s="94">
        <f ca="1">VLOOKUP($P65,'Regresion Md'!$Z$6:$AB$10,2,1)*$P65+VLOOKUP($P65,'Regresion Md'!$Z$6:$AB$10,3,1)</f>
        <v>4546494.4590615556</v>
      </c>
      <c r="AP65" s="94">
        <f ca="1">VLOOKUP($P65,'Regresion Q3'!$T$6:$V$10,2,1)*$P65+VLOOKUP($P65,'Regresion Q3'!$T$6:$V$10,3,1)</f>
        <v>5512761.4960033102</v>
      </c>
      <c r="AQ65" s="94">
        <f ca="1">VLOOKUP($P65,'Regresion Q3'!$W$6:$Y$10,2,1)*$P65+VLOOKUP($P65,'Regresion Q3'!$W$6:$Y$10,3,1)</f>
        <v>5665152.930664042</v>
      </c>
      <c r="AR65" s="94">
        <f ca="1">VLOOKUP($P65,'Regresion Q3'!$Z$6:$AB$10,2,1)*$P65+VLOOKUP($P65,'Regresion Q3'!$Z$6:$AB$10,3,1)</f>
        <v>5808843.1499080993</v>
      </c>
      <c r="AS65" s="94">
        <f>IF($BN65=$BN66,-1,DatosHoy[[#This Row],[G ajus PM Q1]]-BO66)</f>
        <v>-1</v>
      </c>
      <c r="AT65" s="94">
        <f>IF($BN65=$BN66,-1,DatosHoy[[#This Row],[G+V ajus PM Q1]]-BP66)</f>
        <v>-1</v>
      </c>
      <c r="AU65" s="94">
        <f>IF($BN65=$BN66,-1,DatosHoy[[#This Row],[CT ajus PM Q1]]-BQ66)</f>
        <v>-1</v>
      </c>
      <c r="AV65" s="94">
        <f ca="1">IF(DatosHoy[[#This Row],[G ajus PM Q1]]=DatosHoy[[#This Row],[G+V ajus PM Q1]],-1,DatosHoy[[#This Row],[G ajus PM Q1]]-DatosHoy[[#This Row],[G+V ajus PM Q1]])</f>
        <v>-105727.76128341863</v>
      </c>
      <c r="AW65" s="94">
        <f ca="1">IF(DatosHoy[[#This Row],[G+V ajus PM Q1]]=DatosHoy[[#This Row],[CT ajus PM Q1]],-1,DatosHoy[[#This Row],[G+V ajus PM Q1]]-DatosHoy[[#This Row],[CT ajus PM Q1]])</f>
        <v>-145774.47985139629</v>
      </c>
      <c r="AX65" s="94">
        <f>IF($BN65=$BN66,-1,DatosHoy[[#This Row],[G ajus PMd]]-BR66)</f>
        <v>-1</v>
      </c>
      <c r="AY65" s="94">
        <f>IF($BN65=$BN66,-1,DatosHoy[[#This Row],[G+V ajus PM Md]]-BS66)</f>
        <v>-1</v>
      </c>
      <c r="AZ65" s="94">
        <f>IF($BN65=$BN66,-1,DatosHoy[[#This Row],[CT ajus PM Md]]-BT66)</f>
        <v>-1</v>
      </c>
      <c r="BA65" s="94">
        <f ca="1">IF(DatosHoy[[#This Row],[G ajus PMd]]=DatosHoy[[#This Row],[G+V ajus PM Md]],-1,DatosHoy[[#This Row],[G ajus PMd]]-DatosHoy[[#This Row],[G+V ajus PM Md]])</f>
        <v>-151468.17388930079</v>
      </c>
      <c r="BB65" s="94">
        <f ca="1">IF(DatosHoy[[#This Row],[G+V ajus PM Md]]=DatosHoy[[#This Row],[CT ajus PM Md]],-1,DatosHoy[[#This Row],[G+V ajus PM Md]]-DatosHoy[[#This Row],[CT ajus PM Md]])</f>
        <v>-242223.16029422916</v>
      </c>
      <c r="BC65" s="94">
        <f>IF($BN65=$BN66,-1,DatosHoy[[#This Row],[G ajus PM Q3]]-BU66)</f>
        <v>-1</v>
      </c>
      <c r="BD65" s="94">
        <f>IF($BN65=$BN66,-1,DatosHoy[[#This Row],[G+V ajus PM Q3]]-BV66)</f>
        <v>-1</v>
      </c>
      <c r="BE65" s="94">
        <f>IF($BN65=$BN66,-1,DatosHoy[[#This Row],[CT ajus PM Q3]]-BW66)</f>
        <v>-1</v>
      </c>
      <c r="BF65" s="94">
        <f ca="1">IF(DatosHoy[[#This Row],[G ajus PM Q3]]=DatosHoy[[#This Row],[G+V ajus PM Q3]],-1,DatosHoy[[#This Row],[G ajus PM Q3]]-DatosHoy[[#This Row],[G+V ajus PM Q3]])</f>
        <v>-158477.96503032744</v>
      </c>
      <c r="BG65" s="94">
        <f ca="1">IF(DatosHoy[[#This Row],[G+V ajus PM Q3]]=DatosHoy[[#This Row],[CT ajus PM Q3]],-1,DatosHoy[[#This Row],[G+V ajus PM Q3]]-DatosHoy[[#This Row],[CT ajus PM Q3]])</f>
        <v>-148668.53317942191</v>
      </c>
      <c r="BH65" s="94">
        <f ca="1">IF(DatosHoy[[#This Row],[G ajus PM Q1]]=DatosHoy[[#This Row],[G ajus PMd]],-1,DatosHoy[[#This Row],[G ajus PM Q1]]-DatosHoy[[#This Row],[G ajus PMd]])</f>
        <v>-1048482.2352042263</v>
      </c>
      <c r="BI65" s="94">
        <f ca="1">IF(DatosHoy[[#This Row],[G+V ajus PM Q1]]=DatosHoy[[#This Row],[G+V ajus PM Md]],-1,DatosHoy[[#This Row],[G+V ajus PM Q1]]-DatosHoy[[#This Row],[G+V ajus PM Md]])</f>
        <v>-1094222.6478101085</v>
      </c>
      <c r="BJ65" s="94">
        <f ca="1">IF(DatosHoy[[#This Row],[CT ajus PM Q1]]=DatosHoy[[#This Row],[CT ajus PM Md]],-1,DatosHoy[[#This Row],[CT ajus PM Q1]]-DatosHoy[[#This Row],[CT ajus PM Md]])</f>
        <v>-1190671.3282529414</v>
      </c>
      <c r="BK65" s="94">
        <f ca="1">IF(DatosHoy[[#This Row],[G ajus PMd]]=DatosHoy[[#This Row],[G ajus PM Q3]],-1,DatosHoy[[#This Row],[G ajus PMd]]-DatosHoy[[#This Row],[G ajus PM Q3]])</f>
        <v>-1260844.9115298931</v>
      </c>
      <c r="BL65" s="94">
        <f ca="1">IF(DatosHoy[[#This Row],[G+V ajus PM Md]]=DatosHoy[[#This Row],[G+V ajus PM Q3]],-1,DatosHoy[[#This Row],[G+V ajus PM Md]]-DatosHoy[[#This Row],[G+V ajus PM Q3]])</f>
        <v>-1267854.7026709197</v>
      </c>
      <c r="BM65" s="94">
        <f ca="1">IF(DatosHoy[[#This Row],[CT ajus PM Md]]=DatosHoy[[#This Row],[CT ajus PM Q3]],-1,DatosHoy[[#This Row],[CT ajus PM Md]]-DatosHoy[[#This Row],[CT ajus PM Q3]])</f>
        <v>-1174300.0755561125</v>
      </c>
      <c r="BN65" s="74">
        <v>287</v>
      </c>
      <c r="BO65" s="94">
        <f ca="1">IFERROR(VLOOKUP($BN65,'Regresion Q1'!$T$6:$V$10,2,1)*$BN65+VLOOKUP($BN65,'Regresion Q1'!$T$6:$V$10,3,1),VLOOKUP(MIN(DatosHoy[Puntos]),'Regresion Q1'!$T$6:$V$10,2,1)*$BN65+VLOOKUP(MIN(DatosHoy[Puntos]),'Regresion Q1'!$T$6:$V$10,3,1))</f>
        <v>3461879.6456658933</v>
      </c>
      <c r="BP65" s="94">
        <f ca="1">IFERROR(VLOOKUP($BN65,'Regresion Q1'!$W$6:$Y$10,2,1)*$BN65+VLOOKUP($BN65,'Regresion Q1'!$W$6:$Y$10,3,1),VLOOKUP(MIN(DatosHoy[Puntos]),'Regresion Q1'!$W$6:$Y$10,2,1)*$BN65+VLOOKUP(MIN(DatosHoy[Puntos]),'Regresion Q1'!$W$6:$Y$10,3,1))</f>
        <v>3567607.406949312</v>
      </c>
      <c r="BQ65" s="94">
        <f ca="1">IFERROR(VLOOKUP($BN65,'Regresion Q1'!$Z$6:$AB$10,2,1)*$BN65+VLOOKUP($BN65,'Regresion Q1'!$Z$6:$AB$10,3,1),VLOOKUP(MIN(DatosHoy[Puntos]),'Regresion Q1'!$Z$6:$AB$10,2,1)*$BN65+VLOOKUP(MIN(DatosHoy[Puntos]),'Regresion Q1'!$Z$6:$AB$10,3,1))</f>
        <v>3713381.8868007082</v>
      </c>
      <c r="BR65" s="94">
        <f ca="1">IFERROR(VLOOKUP($BN65,'Regresion Md'!$T$6:$V$10,2,1)*$BN65+VLOOKUP($BN65,'Regresion Md'!$T$6:$V$10,3,1),VLOOKUP(MIN(DatosHoy[Puntos]),'Regresion Md'!$T$6:$V$10,2,1)*$BN65+VLOOKUP(MIN(DatosHoy[Puntos]),'Regresion Md'!$T$6:$V$10,3,1))</f>
        <v>4510361.8808701197</v>
      </c>
      <c r="BS65" s="94">
        <f ca="1">IFERROR(VLOOKUP($BN65,'Regresion Md'!$W$6:$Y$10,2,1)*$BN65+VLOOKUP($BN65,'Regresion Md'!$W$6:$Y$10,3,1),VLOOKUP(MIN(DatosHoy[Puntos]),'Regresion Md'!$W$6:$Y$10,2,1)*$BN65+VLOOKUP(MIN(DatosHoy[Puntos]),'Regresion Md'!$W$6:$Y$10,3,1))</f>
        <v>4661830.0547594205</v>
      </c>
      <c r="BT65" s="94">
        <f ca="1">IFERROR(VLOOKUP($BN65,'Regresion Md'!$Z$6:$AB$10,2,1)*$BN65+VLOOKUP($BN65,'Regresion Md'!$Z$6:$AB$10,3,1),VLOOKUP(MIN(DatosHoy[Puntos]),'Regresion Md'!$Z$6:$AB$10,2,1)*$BN65+VLOOKUP(MIN(DatosHoy[Puntos]),'Regresion Md'!$Z$6:$AB$10,3,1))</f>
        <v>4904053.2150536496</v>
      </c>
      <c r="BU65" s="94">
        <f ca="1">IFERROR(VLOOKUP($BN65,'Regresion Q3'!$T$6:$V$10,2,1)*$BN65+VLOOKUP($BN65,'Regresion Q3'!$T$6:$V$10,3,1),VLOOKUP(MIN(DatosHoy[Puntos]),'Regresion Q3'!$T$6:$V$10,2,1)*$BN65+VLOOKUP(MIN(DatosHoy[Puntos]),'Regresion Q3'!$T$6:$V$10,3,1))</f>
        <v>5771206.7924000127</v>
      </c>
      <c r="BV65" s="94">
        <f ca="1">IFERROR(VLOOKUP($BN65,'Regresion Q3'!$W$6:$Y$10,2,1)*$BN65+VLOOKUP($BN65,'Regresion Q3'!$W$6:$Y$10,3,1),VLOOKUP(MIN(DatosHoy[Puntos]),'Regresion Q3'!$W$6:$Y$10,2,1)*$BN65+VLOOKUP(MIN(DatosHoy[Puntos]),'Regresion Q3'!$W$6:$Y$10,3,1))</f>
        <v>5929684.7574303402</v>
      </c>
      <c r="BW65" s="94">
        <f ca="1">IFERROR(VLOOKUP($BN65,'Regresion Q3'!$Z$6:$AB$10,2,1)*$BN65+VLOOKUP($BN65,'Regresion Q3'!$Z$6:$AB$10,3,1),VLOOKUP(MIN(DatosHoy[Puntos]),'Regresion Q3'!$Z$6:$AB$10,2,1)*$BN65+VLOOKUP(MIN(DatosHoy[Puntos]),'Regresion Q3'!$Z$6:$AB$10,3,1))</f>
        <v>6078353.2906097621</v>
      </c>
      <c r="BX65" s="96">
        <f ca="1">DatosHoy[[#This Row],[CT Actual]]/DatosHoy[[#This Row],[CT ajus PM Md]]</f>
        <v>0.68382404369225702</v>
      </c>
      <c r="BY65" s="125" t="str">
        <f>VLOOKUP(DatosHoy[[#This Row],[Cargo Valorado]],Estadísticos[[Cargo]:[Nivel]],2,FALSE)</f>
        <v>Táctico</v>
      </c>
      <c r="BZ65" s="96">
        <f>(DatosHoy[[#This Row],[G+V Actual]]-DatosHoy[[#This Row],[G Actual]])/DatosHoy[[#This Row],[CT Actual]]</f>
        <v>0</v>
      </c>
      <c r="CA65" s="96">
        <f>(DatosHoy[[#This Row],[CT Actual]]-DatosHoy[[#This Row],[G+V Actual]])/DatosHoy[[#This Row],[CT Actual]]</f>
        <v>0</v>
      </c>
      <c r="CB65" s="139" t="s">
        <v>255</v>
      </c>
    </row>
    <row r="66" spans="2:80" x14ac:dyDescent="0.25">
      <c r="B66" s="73">
        <f t="shared" si="34"/>
        <v>61</v>
      </c>
      <c r="C66" s="74">
        <v>3353509.5000000005</v>
      </c>
      <c r="D66" s="74">
        <v>3353509.5000000005</v>
      </c>
      <c r="E66" s="74">
        <v>3353509.5000000005</v>
      </c>
      <c r="F66" s="94">
        <f>VLOOKUP(DatosHoy[[#This Row],[Cargo Valorado]],Estadísticos[],3,0)</f>
        <v>4089566.5803085933</v>
      </c>
      <c r="G66" s="94">
        <f>VLOOKUP(DatosHoy[[#This Row],[Cargo Valorado]],Estadísticos[],4,0)</f>
        <v>4089566.5803085933</v>
      </c>
      <c r="H66" s="94">
        <f>VLOOKUP(DatosHoy[[#This Row],[Cargo Valorado]],Estadísticos[],5,0)</f>
        <v>4645322.3801100645</v>
      </c>
      <c r="I66" s="94">
        <f>VLOOKUP(DatosHoy[[#This Row],[Cargo Valorado]],Estadísticos[],6,0)</f>
        <v>4772117.8965846505</v>
      </c>
      <c r="J66" s="94">
        <f>VLOOKUP(DatosHoy[[#This Row],[Cargo Valorado]],Estadísticos[],7,0)</f>
        <v>4772117.8965846505</v>
      </c>
      <c r="K66" s="94">
        <f>VLOOKUP(DatosHoy[[#This Row],[Cargo Valorado]],Estadísticos[],8,0)</f>
        <v>5164372.9384717913</v>
      </c>
      <c r="L66" s="94">
        <f>VLOOKUP(DatosHoy[[#This Row],[Cargo Valorado]],Estadísticos[],9,0)</f>
        <v>5494490.178075688</v>
      </c>
      <c r="M66" s="94">
        <f>VLOOKUP(DatosHoy[[#This Row],[Cargo Valorado]],Estadísticos[],10,0)</f>
        <v>5494490.178075688</v>
      </c>
      <c r="N66" s="94">
        <f>VLOOKUP(DatosHoy[[#This Row],[Cargo Valorado]],Estadísticos[],11,0)</f>
        <v>5665882.0180756878</v>
      </c>
      <c r="O66" s="75" t="s">
        <v>226</v>
      </c>
      <c r="P66" s="75">
        <v>273</v>
      </c>
      <c r="Q66" s="95" t="str">
        <f t="shared" si="35"/>
        <v>$P$66</v>
      </c>
      <c r="R66" s="95" t="str">
        <f t="shared" si="36"/>
        <v>$F$66</v>
      </c>
      <c r="S66" s="95" t="str">
        <f t="shared" si="37"/>
        <v>$G$66</v>
      </c>
      <c r="T66" s="95" t="str">
        <f t="shared" si="38"/>
        <v>$H$66</v>
      </c>
      <c r="U66" s="95" t="str">
        <f t="shared" si="39"/>
        <v>$I$66</v>
      </c>
      <c r="V66" s="95" t="str">
        <f t="shared" si="40"/>
        <v>$J$66</v>
      </c>
      <c r="W66" s="95" t="str">
        <f t="shared" si="41"/>
        <v>$K$66</v>
      </c>
      <c r="X66" s="95" t="str">
        <f t="shared" si="42"/>
        <v>$L$66</v>
      </c>
      <c r="Y66" s="95" t="str">
        <f t="shared" si="43"/>
        <v>$M$66</v>
      </c>
      <c r="Z66" s="95" t="str">
        <f t="shared" si="44"/>
        <v>$N$66</v>
      </c>
      <c r="AA66" s="94">
        <f ca="1">VLOOKUP($P66,'Regresion Q1'!$E$6:$I$10,4,1)*$P66+VLOOKUP($P66,'Regresion Q1'!$E$6:$I$10,5,1)</f>
        <v>3549787.6017946345</v>
      </c>
      <c r="AB66" s="94">
        <f ca="1">VLOOKUP($P66,'Regresion Q1'!$J$6:$N$10,4,1)*$P66+VLOOKUP($P66,'Regresion Q1'!$J$6:$N$10,5,1)</f>
        <v>3631252.0838208408</v>
      </c>
      <c r="AC66" s="94">
        <f ca="1">VLOOKUP($P66,'Regresion Q1'!$O$6:$S$10,4,1)*$P66+VLOOKUP($P66,'Regresion Q1'!$O$6:$S$10,5,1)</f>
        <v>3825944.0422008196</v>
      </c>
      <c r="AD66" s="94">
        <f ca="1">VLOOKUP($P66,'Regresion Md'!$E$6:$I$10,4,1)*$P66+VLOOKUP($P66,'Regresion Md'!$E$6:$I$10,5,1)</f>
        <v>4309544.6816114886</v>
      </c>
      <c r="AE66" s="94">
        <f ca="1">VLOOKUP($P66,'Regresion Md'!$J$6:$N$10,4,1)*$P66+VLOOKUP($P66,'Regresion Md'!$J$6:$N$10,5,1)</f>
        <v>4375175.3186444994</v>
      </c>
      <c r="AF66" s="94">
        <f ca="1">VLOOKUP($P66,'Regresion Md'!$O$6:$S$10,4,1)*$P66+VLOOKUP($P66,'Regresion Md'!$O$6:$S$10,5,1)</f>
        <v>4561838.9673644388</v>
      </c>
      <c r="AG66" s="94">
        <f ca="1">VLOOKUP($P66,'Regresion Q3'!$E$6:$I$10,4,1)*$P66+VLOOKUP($P66,'Regresion Q3'!$E$6:$I$10,5,1)</f>
        <v>5279877.6738703968</v>
      </c>
      <c r="AH66" s="94">
        <f ca="1">VLOOKUP($P66,'Regresion Q3'!$J$6:$N$10,4,1)*$P66+VLOOKUP($P66,'Regresion Q3'!$J$6:$N$10,5,1)</f>
        <v>5361617.2868853854</v>
      </c>
      <c r="AI66" s="94">
        <f ca="1">VLOOKUP($P66,'Regresion Q3'!$O$6:$S$10,4,1)*$P66+VLOOKUP($P66,'Regresion Q3'!$O$6:$S$10,5,1)</f>
        <v>5544005.9588883547</v>
      </c>
      <c r="AJ66" s="94">
        <f ca="1">VLOOKUP($P66,'Regresion Q1'!$T$6:$V$10,2,1)*$P66+VLOOKUP($P66,'Regresion Q1'!$T$6:$V$10,3,1)</f>
        <v>3321831.7932395679</v>
      </c>
      <c r="AK66" s="94">
        <f ca="1">VLOOKUP($P66,'Regresion Q1'!$W$6:$Y$10,2,1)*$P66+VLOOKUP($P66,'Regresion Q1'!$W$6:$Y$10,3,1)</f>
        <v>3426068.4133464824</v>
      </c>
      <c r="AL66" s="94">
        <f ca="1">VLOOKUP($P66,'Regresion Q1'!$Z$6:$AB$10,2,1)*$P66+VLOOKUP($P66,'Regresion Q1'!$Z$6:$AB$10,3,1)</f>
        <v>3565474.5309498338</v>
      </c>
      <c r="AM66" s="94">
        <f ca="1">VLOOKUP($P66,'Regresion Md'!$T$6:$V$10,2,1)*$P66+VLOOKUP($P66,'Regresion Md'!$T$6:$V$10,3,1)</f>
        <v>4189235.9756286629</v>
      </c>
      <c r="AN66" s="94">
        <f ca="1">VLOOKUP($P66,'Regresion Md'!$W$6:$Y$10,2,1)*$P66+VLOOKUP($P66,'Regresion Md'!$W$6:$Y$10,3,1)</f>
        <v>4314015.074751148</v>
      </c>
      <c r="AO66" s="94">
        <f ca="1">VLOOKUP($P66,'Regresion Md'!$Z$6:$AB$10,2,1)*$P66+VLOOKUP($P66,'Regresion Md'!$Z$6:$AB$10,3,1)</f>
        <v>4546494.4590615556</v>
      </c>
      <c r="AP66" s="94">
        <f ca="1">VLOOKUP($P66,'Regresion Q3'!$T$6:$V$10,2,1)*$P66+VLOOKUP($P66,'Regresion Q3'!$T$6:$V$10,3,1)</f>
        <v>5512761.4960033102</v>
      </c>
      <c r="AQ66" s="94">
        <f ca="1">VLOOKUP($P66,'Regresion Q3'!$W$6:$Y$10,2,1)*$P66+VLOOKUP($P66,'Regresion Q3'!$W$6:$Y$10,3,1)</f>
        <v>5665152.930664042</v>
      </c>
      <c r="AR66" s="94">
        <f ca="1">VLOOKUP($P66,'Regresion Q3'!$Z$6:$AB$10,2,1)*$P66+VLOOKUP($P66,'Regresion Q3'!$Z$6:$AB$10,3,1)</f>
        <v>5808843.1499080993</v>
      </c>
      <c r="AS66" s="94">
        <f>IF($BN66=$BN67,-1,DatosHoy[[#This Row],[G ajus PM Q1]]-BO67)</f>
        <v>-1</v>
      </c>
      <c r="AT66" s="94">
        <f>IF($BN66=$BN67,-1,DatosHoy[[#This Row],[G+V ajus PM Q1]]-BP67)</f>
        <v>-1</v>
      </c>
      <c r="AU66" s="94">
        <f>IF($BN66=$BN67,-1,DatosHoy[[#This Row],[CT ajus PM Q1]]-BQ67)</f>
        <v>-1</v>
      </c>
      <c r="AV66" s="94">
        <f ca="1">IF(DatosHoy[[#This Row],[G ajus PM Q1]]=DatosHoy[[#This Row],[G+V ajus PM Q1]],-1,DatosHoy[[#This Row],[G ajus PM Q1]]-DatosHoy[[#This Row],[G+V ajus PM Q1]])</f>
        <v>-105727.76128341863</v>
      </c>
      <c r="AW66" s="94">
        <f ca="1">IF(DatosHoy[[#This Row],[G+V ajus PM Q1]]=DatosHoy[[#This Row],[CT ajus PM Q1]],-1,DatosHoy[[#This Row],[G+V ajus PM Q1]]-DatosHoy[[#This Row],[CT ajus PM Q1]])</f>
        <v>-145774.47985139629</v>
      </c>
      <c r="AX66" s="94">
        <f>IF($BN66=$BN67,-1,DatosHoy[[#This Row],[G ajus PMd]]-BR67)</f>
        <v>-1</v>
      </c>
      <c r="AY66" s="94">
        <f>IF($BN66=$BN67,-1,DatosHoy[[#This Row],[G+V ajus PM Md]]-BS67)</f>
        <v>-1</v>
      </c>
      <c r="AZ66" s="94">
        <f>IF($BN66=$BN67,-1,DatosHoy[[#This Row],[CT ajus PM Md]]-BT67)</f>
        <v>-1</v>
      </c>
      <c r="BA66" s="94">
        <f ca="1">IF(DatosHoy[[#This Row],[G ajus PMd]]=DatosHoy[[#This Row],[G+V ajus PM Md]],-1,DatosHoy[[#This Row],[G ajus PMd]]-DatosHoy[[#This Row],[G+V ajus PM Md]])</f>
        <v>-151468.17388930079</v>
      </c>
      <c r="BB66" s="94">
        <f ca="1">IF(DatosHoy[[#This Row],[G+V ajus PM Md]]=DatosHoy[[#This Row],[CT ajus PM Md]],-1,DatosHoy[[#This Row],[G+V ajus PM Md]]-DatosHoy[[#This Row],[CT ajus PM Md]])</f>
        <v>-242223.16029422916</v>
      </c>
      <c r="BC66" s="94">
        <f>IF($BN66=$BN67,-1,DatosHoy[[#This Row],[G ajus PM Q3]]-BU67)</f>
        <v>-1</v>
      </c>
      <c r="BD66" s="94">
        <f>IF($BN66=$BN67,-1,DatosHoy[[#This Row],[G+V ajus PM Q3]]-BV67)</f>
        <v>-1</v>
      </c>
      <c r="BE66" s="94">
        <f>IF($BN66=$BN67,-1,DatosHoy[[#This Row],[CT ajus PM Q3]]-BW67)</f>
        <v>-1</v>
      </c>
      <c r="BF66" s="94">
        <f ca="1">IF(DatosHoy[[#This Row],[G ajus PM Q3]]=DatosHoy[[#This Row],[G+V ajus PM Q3]],-1,DatosHoy[[#This Row],[G ajus PM Q3]]-DatosHoy[[#This Row],[G+V ajus PM Q3]])</f>
        <v>-158477.96503032744</v>
      </c>
      <c r="BG66" s="94">
        <f ca="1">IF(DatosHoy[[#This Row],[G+V ajus PM Q3]]=DatosHoy[[#This Row],[CT ajus PM Q3]],-1,DatosHoy[[#This Row],[G+V ajus PM Q3]]-DatosHoy[[#This Row],[CT ajus PM Q3]])</f>
        <v>-148668.53317942191</v>
      </c>
      <c r="BH66" s="94">
        <f ca="1">IF(DatosHoy[[#This Row],[G ajus PM Q1]]=DatosHoy[[#This Row],[G ajus PMd]],-1,DatosHoy[[#This Row],[G ajus PM Q1]]-DatosHoy[[#This Row],[G ajus PMd]])</f>
        <v>-1048482.2352042263</v>
      </c>
      <c r="BI66" s="94">
        <f ca="1">IF(DatosHoy[[#This Row],[G+V ajus PM Q1]]=DatosHoy[[#This Row],[G+V ajus PM Md]],-1,DatosHoy[[#This Row],[G+V ajus PM Q1]]-DatosHoy[[#This Row],[G+V ajus PM Md]])</f>
        <v>-1094222.6478101085</v>
      </c>
      <c r="BJ66" s="94">
        <f ca="1">IF(DatosHoy[[#This Row],[CT ajus PM Q1]]=DatosHoy[[#This Row],[CT ajus PM Md]],-1,DatosHoy[[#This Row],[CT ajus PM Q1]]-DatosHoy[[#This Row],[CT ajus PM Md]])</f>
        <v>-1190671.3282529414</v>
      </c>
      <c r="BK66" s="94">
        <f ca="1">IF(DatosHoy[[#This Row],[G ajus PMd]]=DatosHoy[[#This Row],[G ajus PM Q3]],-1,DatosHoy[[#This Row],[G ajus PMd]]-DatosHoy[[#This Row],[G ajus PM Q3]])</f>
        <v>-1260844.9115298931</v>
      </c>
      <c r="BL66" s="94">
        <f ca="1">IF(DatosHoy[[#This Row],[G+V ajus PM Md]]=DatosHoy[[#This Row],[G+V ajus PM Q3]],-1,DatosHoy[[#This Row],[G+V ajus PM Md]]-DatosHoy[[#This Row],[G+V ajus PM Q3]])</f>
        <v>-1267854.7026709197</v>
      </c>
      <c r="BM66" s="94">
        <f ca="1">IF(DatosHoy[[#This Row],[CT ajus PM Md]]=DatosHoy[[#This Row],[CT ajus PM Q3]],-1,DatosHoy[[#This Row],[CT ajus PM Md]]-DatosHoy[[#This Row],[CT ajus PM Q3]])</f>
        <v>-1174300.0755561125</v>
      </c>
      <c r="BN66" s="74">
        <v>287</v>
      </c>
      <c r="BO66" s="94">
        <f ca="1">IFERROR(VLOOKUP($BN66,'Regresion Q1'!$T$6:$V$10,2,1)*$BN66+VLOOKUP($BN66,'Regresion Q1'!$T$6:$V$10,3,1),VLOOKUP(MIN(DatosHoy[Puntos]),'Regresion Q1'!$T$6:$V$10,2,1)*$BN66+VLOOKUP(MIN(DatosHoy[Puntos]),'Regresion Q1'!$T$6:$V$10,3,1))</f>
        <v>3461879.6456658933</v>
      </c>
      <c r="BP66" s="94">
        <f ca="1">IFERROR(VLOOKUP($BN66,'Regresion Q1'!$W$6:$Y$10,2,1)*$BN66+VLOOKUP($BN66,'Regresion Q1'!$W$6:$Y$10,3,1),VLOOKUP(MIN(DatosHoy[Puntos]),'Regresion Q1'!$W$6:$Y$10,2,1)*$BN66+VLOOKUP(MIN(DatosHoy[Puntos]),'Regresion Q1'!$W$6:$Y$10,3,1))</f>
        <v>3567607.406949312</v>
      </c>
      <c r="BQ66" s="94">
        <f ca="1">IFERROR(VLOOKUP($BN66,'Regresion Q1'!$Z$6:$AB$10,2,1)*$BN66+VLOOKUP($BN66,'Regresion Q1'!$Z$6:$AB$10,3,1),VLOOKUP(MIN(DatosHoy[Puntos]),'Regresion Q1'!$Z$6:$AB$10,2,1)*$BN66+VLOOKUP(MIN(DatosHoy[Puntos]),'Regresion Q1'!$Z$6:$AB$10,3,1))</f>
        <v>3713381.8868007082</v>
      </c>
      <c r="BR66" s="94">
        <f ca="1">IFERROR(VLOOKUP($BN66,'Regresion Md'!$T$6:$V$10,2,1)*$BN66+VLOOKUP($BN66,'Regresion Md'!$T$6:$V$10,3,1),VLOOKUP(MIN(DatosHoy[Puntos]),'Regresion Md'!$T$6:$V$10,2,1)*$BN66+VLOOKUP(MIN(DatosHoy[Puntos]),'Regresion Md'!$T$6:$V$10,3,1))</f>
        <v>4510361.8808701197</v>
      </c>
      <c r="BS66" s="94">
        <f ca="1">IFERROR(VLOOKUP($BN66,'Regresion Md'!$W$6:$Y$10,2,1)*$BN66+VLOOKUP($BN66,'Regresion Md'!$W$6:$Y$10,3,1),VLOOKUP(MIN(DatosHoy[Puntos]),'Regresion Md'!$W$6:$Y$10,2,1)*$BN66+VLOOKUP(MIN(DatosHoy[Puntos]),'Regresion Md'!$W$6:$Y$10,3,1))</f>
        <v>4661830.0547594205</v>
      </c>
      <c r="BT66" s="94">
        <f ca="1">IFERROR(VLOOKUP($BN66,'Regresion Md'!$Z$6:$AB$10,2,1)*$BN66+VLOOKUP($BN66,'Regresion Md'!$Z$6:$AB$10,3,1),VLOOKUP(MIN(DatosHoy[Puntos]),'Regresion Md'!$Z$6:$AB$10,2,1)*$BN66+VLOOKUP(MIN(DatosHoy[Puntos]),'Regresion Md'!$Z$6:$AB$10,3,1))</f>
        <v>4904053.2150536496</v>
      </c>
      <c r="BU66" s="94">
        <f ca="1">IFERROR(VLOOKUP($BN66,'Regresion Q3'!$T$6:$V$10,2,1)*$BN66+VLOOKUP($BN66,'Regresion Q3'!$T$6:$V$10,3,1),VLOOKUP(MIN(DatosHoy[Puntos]),'Regresion Q3'!$T$6:$V$10,2,1)*$BN66+VLOOKUP(MIN(DatosHoy[Puntos]),'Regresion Q3'!$T$6:$V$10,3,1))</f>
        <v>5771206.7924000127</v>
      </c>
      <c r="BV66" s="94">
        <f ca="1">IFERROR(VLOOKUP($BN66,'Regresion Q3'!$W$6:$Y$10,2,1)*$BN66+VLOOKUP($BN66,'Regresion Q3'!$W$6:$Y$10,3,1),VLOOKUP(MIN(DatosHoy[Puntos]),'Regresion Q3'!$W$6:$Y$10,2,1)*$BN66+VLOOKUP(MIN(DatosHoy[Puntos]),'Regresion Q3'!$W$6:$Y$10,3,1))</f>
        <v>5929684.7574303402</v>
      </c>
      <c r="BW66" s="94">
        <f ca="1">IFERROR(VLOOKUP($BN66,'Regresion Q3'!$Z$6:$AB$10,2,1)*$BN66+VLOOKUP($BN66,'Regresion Q3'!$Z$6:$AB$10,3,1),VLOOKUP(MIN(DatosHoy[Puntos]),'Regresion Q3'!$Z$6:$AB$10,2,1)*$BN66+VLOOKUP(MIN(DatosHoy[Puntos]),'Regresion Q3'!$Z$6:$AB$10,3,1))</f>
        <v>6078353.2906097621</v>
      </c>
      <c r="BX66" s="96">
        <f ca="1">DatosHoy[[#This Row],[CT Actual]]/DatosHoy[[#This Row],[CT ajus PM Md]]</f>
        <v>0.68382404369225702</v>
      </c>
      <c r="BY66" s="125" t="str">
        <f>VLOOKUP(DatosHoy[[#This Row],[Cargo Valorado]],Estadísticos[[Cargo]:[Nivel]],2,FALSE)</f>
        <v>Táctico</v>
      </c>
      <c r="BZ66" s="96">
        <f>(DatosHoy[[#This Row],[G+V Actual]]-DatosHoy[[#This Row],[G Actual]])/DatosHoy[[#This Row],[CT Actual]]</f>
        <v>0</v>
      </c>
      <c r="CA66" s="96">
        <f>(DatosHoy[[#This Row],[CT Actual]]-DatosHoy[[#This Row],[G+V Actual]])/DatosHoy[[#This Row],[CT Actual]]</f>
        <v>0</v>
      </c>
      <c r="CB66" s="139" t="s">
        <v>255</v>
      </c>
    </row>
    <row r="67" spans="2:80" x14ac:dyDescent="0.25">
      <c r="B67" s="73">
        <f t="shared" si="34"/>
        <v>62</v>
      </c>
      <c r="C67" s="74">
        <v>3353509.5000000005</v>
      </c>
      <c r="D67" s="74">
        <v>3353509.5000000005</v>
      </c>
      <c r="E67" s="74">
        <v>3353509.5000000005</v>
      </c>
      <c r="F67" s="94">
        <f>VLOOKUP(DatosHoy[[#This Row],[Cargo Valorado]],Estadísticos[],3,0)</f>
        <v>4089566.5803085933</v>
      </c>
      <c r="G67" s="94">
        <f>VLOOKUP(DatosHoy[[#This Row],[Cargo Valorado]],Estadísticos[],4,0)</f>
        <v>4089566.5803085933</v>
      </c>
      <c r="H67" s="94">
        <f>VLOOKUP(DatosHoy[[#This Row],[Cargo Valorado]],Estadísticos[],5,0)</f>
        <v>4645322.3801100645</v>
      </c>
      <c r="I67" s="94">
        <f>VLOOKUP(DatosHoy[[#This Row],[Cargo Valorado]],Estadísticos[],6,0)</f>
        <v>4772117.8965846505</v>
      </c>
      <c r="J67" s="94">
        <f>VLOOKUP(DatosHoy[[#This Row],[Cargo Valorado]],Estadísticos[],7,0)</f>
        <v>4772117.8965846505</v>
      </c>
      <c r="K67" s="94">
        <f>VLOOKUP(DatosHoy[[#This Row],[Cargo Valorado]],Estadísticos[],8,0)</f>
        <v>5164372.9384717913</v>
      </c>
      <c r="L67" s="94">
        <f>VLOOKUP(DatosHoy[[#This Row],[Cargo Valorado]],Estadísticos[],9,0)</f>
        <v>5494490.178075688</v>
      </c>
      <c r="M67" s="94">
        <f>VLOOKUP(DatosHoy[[#This Row],[Cargo Valorado]],Estadísticos[],10,0)</f>
        <v>5494490.178075688</v>
      </c>
      <c r="N67" s="94">
        <f>VLOOKUP(DatosHoy[[#This Row],[Cargo Valorado]],Estadísticos[],11,0)</f>
        <v>5665882.0180756878</v>
      </c>
      <c r="O67" s="75" t="s">
        <v>226</v>
      </c>
      <c r="P67" s="75">
        <v>273</v>
      </c>
      <c r="Q67" s="95" t="str">
        <f t="shared" si="35"/>
        <v>$P$67</v>
      </c>
      <c r="R67" s="95" t="str">
        <f t="shared" si="36"/>
        <v>$F$67</v>
      </c>
      <c r="S67" s="95" t="str">
        <f t="shared" si="37"/>
        <v>$G$67</v>
      </c>
      <c r="T67" s="95" t="str">
        <f t="shared" si="38"/>
        <v>$H$67</v>
      </c>
      <c r="U67" s="95" t="str">
        <f t="shared" si="39"/>
        <v>$I$67</v>
      </c>
      <c r="V67" s="95" t="str">
        <f t="shared" si="40"/>
        <v>$J$67</v>
      </c>
      <c r="W67" s="95" t="str">
        <f t="shared" si="41"/>
        <v>$K$67</v>
      </c>
      <c r="X67" s="95" t="str">
        <f t="shared" si="42"/>
        <v>$L$67</v>
      </c>
      <c r="Y67" s="95" t="str">
        <f t="shared" si="43"/>
        <v>$M$67</v>
      </c>
      <c r="Z67" s="95" t="str">
        <f t="shared" si="44"/>
        <v>$N$67</v>
      </c>
      <c r="AA67" s="94">
        <f ca="1">VLOOKUP($P67,'Regresion Q1'!$E$6:$I$10,4,1)*$P67+VLOOKUP($P67,'Regresion Q1'!$E$6:$I$10,5,1)</f>
        <v>3549787.6017946345</v>
      </c>
      <c r="AB67" s="94">
        <f ca="1">VLOOKUP($P67,'Regresion Q1'!$J$6:$N$10,4,1)*$P67+VLOOKUP($P67,'Regresion Q1'!$J$6:$N$10,5,1)</f>
        <v>3631252.0838208408</v>
      </c>
      <c r="AC67" s="94">
        <f ca="1">VLOOKUP($P67,'Regresion Q1'!$O$6:$S$10,4,1)*$P67+VLOOKUP($P67,'Regresion Q1'!$O$6:$S$10,5,1)</f>
        <v>3825944.0422008196</v>
      </c>
      <c r="AD67" s="94">
        <f ca="1">VLOOKUP($P67,'Regresion Md'!$E$6:$I$10,4,1)*$P67+VLOOKUP($P67,'Regresion Md'!$E$6:$I$10,5,1)</f>
        <v>4309544.6816114886</v>
      </c>
      <c r="AE67" s="94">
        <f ca="1">VLOOKUP($P67,'Regresion Md'!$J$6:$N$10,4,1)*$P67+VLOOKUP($P67,'Regresion Md'!$J$6:$N$10,5,1)</f>
        <v>4375175.3186444994</v>
      </c>
      <c r="AF67" s="94">
        <f ca="1">VLOOKUP($P67,'Regresion Md'!$O$6:$S$10,4,1)*$P67+VLOOKUP($P67,'Regresion Md'!$O$6:$S$10,5,1)</f>
        <v>4561838.9673644388</v>
      </c>
      <c r="AG67" s="94">
        <f ca="1">VLOOKUP($P67,'Regresion Q3'!$E$6:$I$10,4,1)*$P67+VLOOKUP($P67,'Regresion Q3'!$E$6:$I$10,5,1)</f>
        <v>5279877.6738703968</v>
      </c>
      <c r="AH67" s="94">
        <f ca="1">VLOOKUP($P67,'Regresion Q3'!$J$6:$N$10,4,1)*$P67+VLOOKUP($P67,'Regresion Q3'!$J$6:$N$10,5,1)</f>
        <v>5361617.2868853854</v>
      </c>
      <c r="AI67" s="94">
        <f ca="1">VLOOKUP($P67,'Regresion Q3'!$O$6:$S$10,4,1)*$P67+VLOOKUP($P67,'Regresion Q3'!$O$6:$S$10,5,1)</f>
        <v>5544005.9588883547</v>
      </c>
      <c r="AJ67" s="94">
        <f ca="1">VLOOKUP($P67,'Regresion Q1'!$T$6:$V$10,2,1)*$P67+VLOOKUP($P67,'Regresion Q1'!$T$6:$V$10,3,1)</f>
        <v>3321831.7932395679</v>
      </c>
      <c r="AK67" s="94">
        <f ca="1">VLOOKUP($P67,'Regresion Q1'!$W$6:$Y$10,2,1)*$P67+VLOOKUP($P67,'Regresion Q1'!$W$6:$Y$10,3,1)</f>
        <v>3426068.4133464824</v>
      </c>
      <c r="AL67" s="94">
        <f ca="1">VLOOKUP($P67,'Regresion Q1'!$Z$6:$AB$10,2,1)*$P67+VLOOKUP($P67,'Regresion Q1'!$Z$6:$AB$10,3,1)</f>
        <v>3565474.5309498338</v>
      </c>
      <c r="AM67" s="94">
        <f ca="1">VLOOKUP($P67,'Regresion Md'!$T$6:$V$10,2,1)*$P67+VLOOKUP($P67,'Regresion Md'!$T$6:$V$10,3,1)</f>
        <v>4189235.9756286629</v>
      </c>
      <c r="AN67" s="94">
        <f ca="1">VLOOKUP($P67,'Regresion Md'!$W$6:$Y$10,2,1)*$P67+VLOOKUP($P67,'Regresion Md'!$W$6:$Y$10,3,1)</f>
        <v>4314015.074751148</v>
      </c>
      <c r="AO67" s="94">
        <f ca="1">VLOOKUP($P67,'Regresion Md'!$Z$6:$AB$10,2,1)*$P67+VLOOKUP($P67,'Regresion Md'!$Z$6:$AB$10,3,1)</f>
        <v>4546494.4590615556</v>
      </c>
      <c r="AP67" s="94">
        <f ca="1">VLOOKUP($P67,'Regresion Q3'!$T$6:$V$10,2,1)*$P67+VLOOKUP($P67,'Regresion Q3'!$T$6:$V$10,3,1)</f>
        <v>5512761.4960033102</v>
      </c>
      <c r="AQ67" s="94">
        <f ca="1">VLOOKUP($P67,'Regresion Q3'!$W$6:$Y$10,2,1)*$P67+VLOOKUP($P67,'Regresion Q3'!$W$6:$Y$10,3,1)</f>
        <v>5665152.930664042</v>
      </c>
      <c r="AR67" s="94">
        <f ca="1">VLOOKUP($P67,'Regresion Q3'!$Z$6:$AB$10,2,1)*$P67+VLOOKUP($P67,'Regresion Q3'!$Z$6:$AB$10,3,1)</f>
        <v>5808843.1499080993</v>
      </c>
      <c r="AS67" s="94">
        <f>IF($BN67=$BN68,-1,DatosHoy[[#This Row],[G ajus PM Q1]]-BO68)</f>
        <v>-1</v>
      </c>
      <c r="AT67" s="94">
        <f>IF($BN67=$BN68,-1,DatosHoy[[#This Row],[G+V ajus PM Q1]]-BP68)</f>
        <v>-1</v>
      </c>
      <c r="AU67" s="94">
        <f>IF($BN67=$BN68,-1,DatosHoy[[#This Row],[CT ajus PM Q1]]-BQ68)</f>
        <v>-1</v>
      </c>
      <c r="AV67" s="94">
        <f ca="1">IF(DatosHoy[[#This Row],[G ajus PM Q1]]=DatosHoy[[#This Row],[G+V ajus PM Q1]],-1,DatosHoy[[#This Row],[G ajus PM Q1]]-DatosHoy[[#This Row],[G+V ajus PM Q1]])</f>
        <v>-105727.76128341863</v>
      </c>
      <c r="AW67" s="94">
        <f ca="1">IF(DatosHoy[[#This Row],[G+V ajus PM Q1]]=DatosHoy[[#This Row],[CT ajus PM Q1]],-1,DatosHoy[[#This Row],[G+V ajus PM Q1]]-DatosHoy[[#This Row],[CT ajus PM Q1]])</f>
        <v>-145774.47985139629</v>
      </c>
      <c r="AX67" s="94">
        <f>IF($BN67=$BN68,-1,DatosHoy[[#This Row],[G ajus PMd]]-BR68)</f>
        <v>-1</v>
      </c>
      <c r="AY67" s="94">
        <f>IF($BN67=$BN68,-1,DatosHoy[[#This Row],[G+V ajus PM Md]]-BS68)</f>
        <v>-1</v>
      </c>
      <c r="AZ67" s="94">
        <f>IF($BN67=$BN68,-1,DatosHoy[[#This Row],[CT ajus PM Md]]-BT68)</f>
        <v>-1</v>
      </c>
      <c r="BA67" s="94">
        <f ca="1">IF(DatosHoy[[#This Row],[G ajus PMd]]=DatosHoy[[#This Row],[G+V ajus PM Md]],-1,DatosHoy[[#This Row],[G ajus PMd]]-DatosHoy[[#This Row],[G+V ajus PM Md]])</f>
        <v>-151468.17388930079</v>
      </c>
      <c r="BB67" s="94">
        <f ca="1">IF(DatosHoy[[#This Row],[G+V ajus PM Md]]=DatosHoy[[#This Row],[CT ajus PM Md]],-1,DatosHoy[[#This Row],[G+V ajus PM Md]]-DatosHoy[[#This Row],[CT ajus PM Md]])</f>
        <v>-242223.16029422916</v>
      </c>
      <c r="BC67" s="94">
        <f>IF($BN67=$BN68,-1,DatosHoy[[#This Row],[G ajus PM Q3]]-BU68)</f>
        <v>-1</v>
      </c>
      <c r="BD67" s="94">
        <f>IF($BN67=$BN68,-1,DatosHoy[[#This Row],[G+V ajus PM Q3]]-BV68)</f>
        <v>-1</v>
      </c>
      <c r="BE67" s="94">
        <f>IF($BN67=$BN68,-1,DatosHoy[[#This Row],[CT ajus PM Q3]]-BW68)</f>
        <v>-1</v>
      </c>
      <c r="BF67" s="94">
        <f ca="1">IF(DatosHoy[[#This Row],[G ajus PM Q3]]=DatosHoy[[#This Row],[G+V ajus PM Q3]],-1,DatosHoy[[#This Row],[G ajus PM Q3]]-DatosHoy[[#This Row],[G+V ajus PM Q3]])</f>
        <v>-158477.96503032744</v>
      </c>
      <c r="BG67" s="94">
        <f ca="1">IF(DatosHoy[[#This Row],[G+V ajus PM Q3]]=DatosHoy[[#This Row],[CT ajus PM Q3]],-1,DatosHoy[[#This Row],[G+V ajus PM Q3]]-DatosHoy[[#This Row],[CT ajus PM Q3]])</f>
        <v>-148668.53317942191</v>
      </c>
      <c r="BH67" s="94">
        <f ca="1">IF(DatosHoy[[#This Row],[G ajus PM Q1]]=DatosHoy[[#This Row],[G ajus PMd]],-1,DatosHoy[[#This Row],[G ajus PM Q1]]-DatosHoy[[#This Row],[G ajus PMd]])</f>
        <v>-1048482.2352042263</v>
      </c>
      <c r="BI67" s="94">
        <f ca="1">IF(DatosHoy[[#This Row],[G+V ajus PM Q1]]=DatosHoy[[#This Row],[G+V ajus PM Md]],-1,DatosHoy[[#This Row],[G+V ajus PM Q1]]-DatosHoy[[#This Row],[G+V ajus PM Md]])</f>
        <v>-1094222.6478101085</v>
      </c>
      <c r="BJ67" s="94">
        <f ca="1">IF(DatosHoy[[#This Row],[CT ajus PM Q1]]=DatosHoy[[#This Row],[CT ajus PM Md]],-1,DatosHoy[[#This Row],[CT ajus PM Q1]]-DatosHoy[[#This Row],[CT ajus PM Md]])</f>
        <v>-1190671.3282529414</v>
      </c>
      <c r="BK67" s="94">
        <f ca="1">IF(DatosHoy[[#This Row],[G ajus PMd]]=DatosHoy[[#This Row],[G ajus PM Q3]],-1,DatosHoy[[#This Row],[G ajus PMd]]-DatosHoy[[#This Row],[G ajus PM Q3]])</f>
        <v>-1260844.9115298931</v>
      </c>
      <c r="BL67" s="94">
        <f ca="1">IF(DatosHoy[[#This Row],[G+V ajus PM Md]]=DatosHoy[[#This Row],[G+V ajus PM Q3]],-1,DatosHoy[[#This Row],[G+V ajus PM Md]]-DatosHoy[[#This Row],[G+V ajus PM Q3]])</f>
        <v>-1267854.7026709197</v>
      </c>
      <c r="BM67" s="94">
        <f ca="1">IF(DatosHoy[[#This Row],[CT ajus PM Md]]=DatosHoy[[#This Row],[CT ajus PM Q3]],-1,DatosHoy[[#This Row],[CT ajus PM Md]]-DatosHoy[[#This Row],[CT ajus PM Q3]])</f>
        <v>-1174300.0755561125</v>
      </c>
      <c r="BN67" s="74">
        <v>287</v>
      </c>
      <c r="BO67" s="94">
        <f ca="1">IFERROR(VLOOKUP($BN67,'Regresion Q1'!$T$6:$V$10,2,1)*$BN67+VLOOKUP($BN67,'Regresion Q1'!$T$6:$V$10,3,1),VLOOKUP(MIN(DatosHoy[Puntos]),'Regresion Q1'!$T$6:$V$10,2,1)*$BN67+VLOOKUP(MIN(DatosHoy[Puntos]),'Regresion Q1'!$T$6:$V$10,3,1))</f>
        <v>3461879.6456658933</v>
      </c>
      <c r="BP67" s="94">
        <f ca="1">IFERROR(VLOOKUP($BN67,'Regresion Q1'!$W$6:$Y$10,2,1)*$BN67+VLOOKUP($BN67,'Regresion Q1'!$W$6:$Y$10,3,1),VLOOKUP(MIN(DatosHoy[Puntos]),'Regresion Q1'!$W$6:$Y$10,2,1)*$BN67+VLOOKUP(MIN(DatosHoy[Puntos]),'Regresion Q1'!$W$6:$Y$10,3,1))</f>
        <v>3567607.406949312</v>
      </c>
      <c r="BQ67" s="94">
        <f ca="1">IFERROR(VLOOKUP($BN67,'Regresion Q1'!$Z$6:$AB$10,2,1)*$BN67+VLOOKUP($BN67,'Regresion Q1'!$Z$6:$AB$10,3,1),VLOOKUP(MIN(DatosHoy[Puntos]),'Regresion Q1'!$Z$6:$AB$10,2,1)*$BN67+VLOOKUP(MIN(DatosHoy[Puntos]),'Regresion Q1'!$Z$6:$AB$10,3,1))</f>
        <v>3713381.8868007082</v>
      </c>
      <c r="BR67" s="94">
        <f ca="1">IFERROR(VLOOKUP($BN67,'Regresion Md'!$T$6:$V$10,2,1)*$BN67+VLOOKUP($BN67,'Regresion Md'!$T$6:$V$10,3,1),VLOOKUP(MIN(DatosHoy[Puntos]),'Regresion Md'!$T$6:$V$10,2,1)*$BN67+VLOOKUP(MIN(DatosHoy[Puntos]),'Regresion Md'!$T$6:$V$10,3,1))</f>
        <v>4510361.8808701197</v>
      </c>
      <c r="BS67" s="94">
        <f ca="1">IFERROR(VLOOKUP($BN67,'Regresion Md'!$W$6:$Y$10,2,1)*$BN67+VLOOKUP($BN67,'Regresion Md'!$W$6:$Y$10,3,1),VLOOKUP(MIN(DatosHoy[Puntos]),'Regresion Md'!$W$6:$Y$10,2,1)*$BN67+VLOOKUP(MIN(DatosHoy[Puntos]),'Regresion Md'!$W$6:$Y$10,3,1))</f>
        <v>4661830.0547594205</v>
      </c>
      <c r="BT67" s="94">
        <f ca="1">IFERROR(VLOOKUP($BN67,'Regresion Md'!$Z$6:$AB$10,2,1)*$BN67+VLOOKUP($BN67,'Regresion Md'!$Z$6:$AB$10,3,1),VLOOKUP(MIN(DatosHoy[Puntos]),'Regresion Md'!$Z$6:$AB$10,2,1)*$BN67+VLOOKUP(MIN(DatosHoy[Puntos]),'Regresion Md'!$Z$6:$AB$10,3,1))</f>
        <v>4904053.2150536496</v>
      </c>
      <c r="BU67" s="94">
        <f ca="1">IFERROR(VLOOKUP($BN67,'Regresion Q3'!$T$6:$V$10,2,1)*$BN67+VLOOKUP($BN67,'Regresion Q3'!$T$6:$V$10,3,1),VLOOKUP(MIN(DatosHoy[Puntos]),'Regresion Q3'!$T$6:$V$10,2,1)*$BN67+VLOOKUP(MIN(DatosHoy[Puntos]),'Regresion Q3'!$T$6:$V$10,3,1))</f>
        <v>5771206.7924000127</v>
      </c>
      <c r="BV67" s="94">
        <f ca="1">IFERROR(VLOOKUP($BN67,'Regresion Q3'!$W$6:$Y$10,2,1)*$BN67+VLOOKUP($BN67,'Regresion Q3'!$W$6:$Y$10,3,1),VLOOKUP(MIN(DatosHoy[Puntos]),'Regresion Q3'!$W$6:$Y$10,2,1)*$BN67+VLOOKUP(MIN(DatosHoy[Puntos]),'Regresion Q3'!$W$6:$Y$10,3,1))</f>
        <v>5929684.7574303402</v>
      </c>
      <c r="BW67" s="94">
        <f ca="1">IFERROR(VLOOKUP($BN67,'Regresion Q3'!$Z$6:$AB$10,2,1)*$BN67+VLOOKUP($BN67,'Regresion Q3'!$Z$6:$AB$10,3,1),VLOOKUP(MIN(DatosHoy[Puntos]),'Regresion Q3'!$Z$6:$AB$10,2,1)*$BN67+VLOOKUP(MIN(DatosHoy[Puntos]),'Regresion Q3'!$Z$6:$AB$10,3,1))</f>
        <v>6078353.2906097621</v>
      </c>
      <c r="BX67" s="96">
        <f ca="1">DatosHoy[[#This Row],[CT Actual]]/DatosHoy[[#This Row],[CT ajus PM Md]]</f>
        <v>0.68382404369225702</v>
      </c>
      <c r="BY67" s="125" t="str">
        <f>VLOOKUP(DatosHoy[[#This Row],[Cargo Valorado]],Estadísticos[[Cargo]:[Nivel]],2,FALSE)</f>
        <v>Táctico</v>
      </c>
      <c r="BZ67" s="96">
        <f>(DatosHoy[[#This Row],[G+V Actual]]-DatosHoy[[#This Row],[G Actual]])/DatosHoy[[#This Row],[CT Actual]]</f>
        <v>0</v>
      </c>
      <c r="CA67" s="96">
        <f>(DatosHoy[[#This Row],[CT Actual]]-DatosHoy[[#This Row],[G+V Actual]])/DatosHoy[[#This Row],[CT Actual]]</f>
        <v>0</v>
      </c>
      <c r="CB67" s="139" t="s">
        <v>255</v>
      </c>
    </row>
    <row r="68" spans="2:80" x14ac:dyDescent="0.25">
      <c r="B68" s="73">
        <f t="shared" si="34"/>
        <v>63</v>
      </c>
      <c r="C68" s="74">
        <v>3353509.5000000005</v>
      </c>
      <c r="D68" s="74">
        <v>3353509.5000000005</v>
      </c>
      <c r="E68" s="74">
        <v>3353509.5000000005</v>
      </c>
      <c r="F68" s="94">
        <f>VLOOKUP(DatosHoy[[#This Row],[Cargo Valorado]],Estadísticos[],3,0)</f>
        <v>4089566.5803085933</v>
      </c>
      <c r="G68" s="94">
        <f>VLOOKUP(DatosHoy[[#This Row],[Cargo Valorado]],Estadísticos[],4,0)</f>
        <v>4089566.5803085933</v>
      </c>
      <c r="H68" s="94">
        <f>VLOOKUP(DatosHoy[[#This Row],[Cargo Valorado]],Estadísticos[],5,0)</f>
        <v>4645322.3801100645</v>
      </c>
      <c r="I68" s="94">
        <f>VLOOKUP(DatosHoy[[#This Row],[Cargo Valorado]],Estadísticos[],6,0)</f>
        <v>4772117.8965846505</v>
      </c>
      <c r="J68" s="94">
        <f>VLOOKUP(DatosHoy[[#This Row],[Cargo Valorado]],Estadísticos[],7,0)</f>
        <v>4772117.8965846505</v>
      </c>
      <c r="K68" s="94">
        <f>VLOOKUP(DatosHoy[[#This Row],[Cargo Valorado]],Estadísticos[],8,0)</f>
        <v>5164372.9384717913</v>
      </c>
      <c r="L68" s="94">
        <f>VLOOKUP(DatosHoy[[#This Row],[Cargo Valorado]],Estadísticos[],9,0)</f>
        <v>5494490.178075688</v>
      </c>
      <c r="M68" s="94">
        <f>VLOOKUP(DatosHoy[[#This Row],[Cargo Valorado]],Estadísticos[],10,0)</f>
        <v>5494490.178075688</v>
      </c>
      <c r="N68" s="94">
        <f>VLOOKUP(DatosHoy[[#This Row],[Cargo Valorado]],Estadísticos[],11,0)</f>
        <v>5665882.0180756878</v>
      </c>
      <c r="O68" s="75" t="s">
        <v>226</v>
      </c>
      <c r="P68" s="75">
        <v>273</v>
      </c>
      <c r="Q68" s="95" t="str">
        <f t="shared" si="35"/>
        <v>$P$68</v>
      </c>
      <c r="R68" s="95" t="str">
        <f t="shared" si="36"/>
        <v>$F$68</v>
      </c>
      <c r="S68" s="95" t="str">
        <f t="shared" si="37"/>
        <v>$G$68</v>
      </c>
      <c r="T68" s="95" t="str">
        <f t="shared" si="38"/>
        <v>$H$68</v>
      </c>
      <c r="U68" s="95" t="str">
        <f t="shared" si="39"/>
        <v>$I$68</v>
      </c>
      <c r="V68" s="95" t="str">
        <f t="shared" si="40"/>
        <v>$J$68</v>
      </c>
      <c r="W68" s="95" t="str">
        <f t="shared" si="41"/>
        <v>$K$68</v>
      </c>
      <c r="X68" s="95" t="str">
        <f t="shared" si="42"/>
        <v>$L$68</v>
      </c>
      <c r="Y68" s="95" t="str">
        <f t="shared" si="43"/>
        <v>$M$68</v>
      </c>
      <c r="Z68" s="95" t="str">
        <f t="shared" si="44"/>
        <v>$N$68</v>
      </c>
      <c r="AA68" s="94">
        <f ca="1">VLOOKUP($P68,'Regresion Q1'!$E$6:$I$10,4,1)*$P68+VLOOKUP($P68,'Regresion Q1'!$E$6:$I$10,5,1)</f>
        <v>3549787.6017946345</v>
      </c>
      <c r="AB68" s="94">
        <f ca="1">VLOOKUP($P68,'Regresion Q1'!$J$6:$N$10,4,1)*$P68+VLOOKUP($P68,'Regresion Q1'!$J$6:$N$10,5,1)</f>
        <v>3631252.0838208408</v>
      </c>
      <c r="AC68" s="94">
        <f ca="1">VLOOKUP($P68,'Regresion Q1'!$O$6:$S$10,4,1)*$P68+VLOOKUP($P68,'Regresion Q1'!$O$6:$S$10,5,1)</f>
        <v>3825944.0422008196</v>
      </c>
      <c r="AD68" s="94">
        <f ca="1">VLOOKUP($P68,'Regresion Md'!$E$6:$I$10,4,1)*$P68+VLOOKUP($P68,'Regresion Md'!$E$6:$I$10,5,1)</f>
        <v>4309544.6816114886</v>
      </c>
      <c r="AE68" s="94">
        <f ca="1">VLOOKUP($P68,'Regresion Md'!$J$6:$N$10,4,1)*$P68+VLOOKUP($P68,'Regresion Md'!$J$6:$N$10,5,1)</f>
        <v>4375175.3186444994</v>
      </c>
      <c r="AF68" s="94">
        <f ca="1">VLOOKUP($P68,'Regresion Md'!$O$6:$S$10,4,1)*$P68+VLOOKUP($P68,'Regresion Md'!$O$6:$S$10,5,1)</f>
        <v>4561838.9673644388</v>
      </c>
      <c r="AG68" s="94">
        <f ca="1">VLOOKUP($P68,'Regresion Q3'!$E$6:$I$10,4,1)*$P68+VLOOKUP($P68,'Regresion Q3'!$E$6:$I$10,5,1)</f>
        <v>5279877.6738703968</v>
      </c>
      <c r="AH68" s="94">
        <f ca="1">VLOOKUP($P68,'Regresion Q3'!$J$6:$N$10,4,1)*$P68+VLOOKUP($P68,'Regresion Q3'!$J$6:$N$10,5,1)</f>
        <v>5361617.2868853854</v>
      </c>
      <c r="AI68" s="94">
        <f ca="1">VLOOKUP($P68,'Regresion Q3'!$O$6:$S$10,4,1)*$P68+VLOOKUP($P68,'Regresion Q3'!$O$6:$S$10,5,1)</f>
        <v>5544005.9588883547</v>
      </c>
      <c r="AJ68" s="94">
        <f ca="1">VLOOKUP($P68,'Regresion Q1'!$T$6:$V$10,2,1)*$P68+VLOOKUP($P68,'Regresion Q1'!$T$6:$V$10,3,1)</f>
        <v>3321831.7932395679</v>
      </c>
      <c r="AK68" s="94">
        <f ca="1">VLOOKUP($P68,'Regresion Q1'!$W$6:$Y$10,2,1)*$P68+VLOOKUP($P68,'Regresion Q1'!$W$6:$Y$10,3,1)</f>
        <v>3426068.4133464824</v>
      </c>
      <c r="AL68" s="94">
        <f ca="1">VLOOKUP($P68,'Regresion Q1'!$Z$6:$AB$10,2,1)*$P68+VLOOKUP($P68,'Regresion Q1'!$Z$6:$AB$10,3,1)</f>
        <v>3565474.5309498338</v>
      </c>
      <c r="AM68" s="94">
        <f ca="1">VLOOKUP($P68,'Regresion Md'!$T$6:$V$10,2,1)*$P68+VLOOKUP($P68,'Regresion Md'!$T$6:$V$10,3,1)</f>
        <v>4189235.9756286629</v>
      </c>
      <c r="AN68" s="94">
        <f ca="1">VLOOKUP($P68,'Regresion Md'!$W$6:$Y$10,2,1)*$P68+VLOOKUP($P68,'Regresion Md'!$W$6:$Y$10,3,1)</f>
        <v>4314015.074751148</v>
      </c>
      <c r="AO68" s="94">
        <f ca="1">VLOOKUP($P68,'Regresion Md'!$Z$6:$AB$10,2,1)*$P68+VLOOKUP($P68,'Regresion Md'!$Z$6:$AB$10,3,1)</f>
        <v>4546494.4590615556</v>
      </c>
      <c r="AP68" s="94">
        <f ca="1">VLOOKUP($P68,'Regresion Q3'!$T$6:$V$10,2,1)*$P68+VLOOKUP($P68,'Regresion Q3'!$T$6:$V$10,3,1)</f>
        <v>5512761.4960033102</v>
      </c>
      <c r="AQ68" s="94">
        <f ca="1">VLOOKUP($P68,'Regresion Q3'!$W$6:$Y$10,2,1)*$P68+VLOOKUP($P68,'Regresion Q3'!$W$6:$Y$10,3,1)</f>
        <v>5665152.930664042</v>
      </c>
      <c r="AR68" s="94">
        <f ca="1">VLOOKUP($P68,'Regresion Q3'!$Z$6:$AB$10,2,1)*$P68+VLOOKUP($P68,'Regresion Q3'!$Z$6:$AB$10,3,1)</f>
        <v>5808843.1499080993</v>
      </c>
      <c r="AS68" s="94">
        <f>IF($BN68=$BN69,-1,DatosHoy[[#This Row],[G ajus PM Q1]]-BO69)</f>
        <v>-1</v>
      </c>
      <c r="AT68" s="94">
        <f>IF($BN68=$BN69,-1,DatosHoy[[#This Row],[G+V ajus PM Q1]]-BP69)</f>
        <v>-1</v>
      </c>
      <c r="AU68" s="94">
        <f>IF($BN68=$BN69,-1,DatosHoy[[#This Row],[CT ajus PM Q1]]-BQ69)</f>
        <v>-1</v>
      </c>
      <c r="AV68" s="94">
        <f ca="1">IF(DatosHoy[[#This Row],[G ajus PM Q1]]=DatosHoy[[#This Row],[G+V ajus PM Q1]],-1,DatosHoy[[#This Row],[G ajus PM Q1]]-DatosHoy[[#This Row],[G+V ajus PM Q1]])</f>
        <v>-105727.76128341863</v>
      </c>
      <c r="AW68" s="94">
        <f ca="1">IF(DatosHoy[[#This Row],[G+V ajus PM Q1]]=DatosHoy[[#This Row],[CT ajus PM Q1]],-1,DatosHoy[[#This Row],[G+V ajus PM Q1]]-DatosHoy[[#This Row],[CT ajus PM Q1]])</f>
        <v>-145774.47985139629</v>
      </c>
      <c r="AX68" s="94">
        <f>IF($BN68=$BN69,-1,DatosHoy[[#This Row],[G ajus PMd]]-BR69)</f>
        <v>-1</v>
      </c>
      <c r="AY68" s="94">
        <f>IF($BN68=$BN69,-1,DatosHoy[[#This Row],[G+V ajus PM Md]]-BS69)</f>
        <v>-1</v>
      </c>
      <c r="AZ68" s="94">
        <f>IF($BN68=$BN69,-1,DatosHoy[[#This Row],[CT ajus PM Md]]-BT69)</f>
        <v>-1</v>
      </c>
      <c r="BA68" s="94">
        <f ca="1">IF(DatosHoy[[#This Row],[G ajus PMd]]=DatosHoy[[#This Row],[G+V ajus PM Md]],-1,DatosHoy[[#This Row],[G ajus PMd]]-DatosHoy[[#This Row],[G+V ajus PM Md]])</f>
        <v>-151468.17388930079</v>
      </c>
      <c r="BB68" s="94">
        <f ca="1">IF(DatosHoy[[#This Row],[G+V ajus PM Md]]=DatosHoy[[#This Row],[CT ajus PM Md]],-1,DatosHoy[[#This Row],[G+V ajus PM Md]]-DatosHoy[[#This Row],[CT ajus PM Md]])</f>
        <v>-242223.16029422916</v>
      </c>
      <c r="BC68" s="94">
        <f>IF($BN68=$BN69,-1,DatosHoy[[#This Row],[G ajus PM Q3]]-BU69)</f>
        <v>-1</v>
      </c>
      <c r="BD68" s="94">
        <f>IF($BN68=$BN69,-1,DatosHoy[[#This Row],[G+V ajus PM Q3]]-BV69)</f>
        <v>-1</v>
      </c>
      <c r="BE68" s="94">
        <f>IF($BN68=$BN69,-1,DatosHoy[[#This Row],[CT ajus PM Q3]]-BW69)</f>
        <v>-1</v>
      </c>
      <c r="BF68" s="94">
        <f ca="1">IF(DatosHoy[[#This Row],[G ajus PM Q3]]=DatosHoy[[#This Row],[G+V ajus PM Q3]],-1,DatosHoy[[#This Row],[G ajus PM Q3]]-DatosHoy[[#This Row],[G+V ajus PM Q3]])</f>
        <v>-158477.96503032744</v>
      </c>
      <c r="BG68" s="94">
        <f ca="1">IF(DatosHoy[[#This Row],[G+V ajus PM Q3]]=DatosHoy[[#This Row],[CT ajus PM Q3]],-1,DatosHoy[[#This Row],[G+V ajus PM Q3]]-DatosHoy[[#This Row],[CT ajus PM Q3]])</f>
        <v>-148668.53317942191</v>
      </c>
      <c r="BH68" s="94">
        <f ca="1">IF(DatosHoy[[#This Row],[G ajus PM Q1]]=DatosHoy[[#This Row],[G ajus PMd]],-1,DatosHoy[[#This Row],[G ajus PM Q1]]-DatosHoy[[#This Row],[G ajus PMd]])</f>
        <v>-1048482.2352042263</v>
      </c>
      <c r="BI68" s="94">
        <f ca="1">IF(DatosHoy[[#This Row],[G+V ajus PM Q1]]=DatosHoy[[#This Row],[G+V ajus PM Md]],-1,DatosHoy[[#This Row],[G+V ajus PM Q1]]-DatosHoy[[#This Row],[G+V ajus PM Md]])</f>
        <v>-1094222.6478101085</v>
      </c>
      <c r="BJ68" s="94">
        <f ca="1">IF(DatosHoy[[#This Row],[CT ajus PM Q1]]=DatosHoy[[#This Row],[CT ajus PM Md]],-1,DatosHoy[[#This Row],[CT ajus PM Q1]]-DatosHoy[[#This Row],[CT ajus PM Md]])</f>
        <v>-1190671.3282529414</v>
      </c>
      <c r="BK68" s="94">
        <f ca="1">IF(DatosHoy[[#This Row],[G ajus PMd]]=DatosHoy[[#This Row],[G ajus PM Q3]],-1,DatosHoy[[#This Row],[G ajus PMd]]-DatosHoy[[#This Row],[G ajus PM Q3]])</f>
        <v>-1260844.9115298931</v>
      </c>
      <c r="BL68" s="94">
        <f ca="1">IF(DatosHoy[[#This Row],[G+V ajus PM Md]]=DatosHoy[[#This Row],[G+V ajus PM Q3]],-1,DatosHoy[[#This Row],[G+V ajus PM Md]]-DatosHoy[[#This Row],[G+V ajus PM Q3]])</f>
        <v>-1267854.7026709197</v>
      </c>
      <c r="BM68" s="94">
        <f ca="1">IF(DatosHoy[[#This Row],[CT ajus PM Md]]=DatosHoy[[#This Row],[CT ajus PM Q3]],-1,DatosHoy[[#This Row],[CT ajus PM Md]]-DatosHoy[[#This Row],[CT ajus PM Q3]])</f>
        <v>-1174300.0755561125</v>
      </c>
      <c r="BN68" s="74">
        <v>287</v>
      </c>
      <c r="BO68" s="94">
        <f ca="1">IFERROR(VLOOKUP($BN68,'Regresion Q1'!$T$6:$V$10,2,1)*$BN68+VLOOKUP($BN68,'Regresion Q1'!$T$6:$V$10,3,1),VLOOKUP(MIN(DatosHoy[Puntos]),'Regresion Q1'!$T$6:$V$10,2,1)*$BN68+VLOOKUP(MIN(DatosHoy[Puntos]),'Regresion Q1'!$T$6:$V$10,3,1))</f>
        <v>3461879.6456658933</v>
      </c>
      <c r="BP68" s="94">
        <f ca="1">IFERROR(VLOOKUP($BN68,'Regresion Q1'!$W$6:$Y$10,2,1)*$BN68+VLOOKUP($BN68,'Regresion Q1'!$W$6:$Y$10,3,1),VLOOKUP(MIN(DatosHoy[Puntos]),'Regresion Q1'!$W$6:$Y$10,2,1)*$BN68+VLOOKUP(MIN(DatosHoy[Puntos]),'Regresion Q1'!$W$6:$Y$10,3,1))</f>
        <v>3567607.406949312</v>
      </c>
      <c r="BQ68" s="94">
        <f ca="1">IFERROR(VLOOKUP($BN68,'Regresion Q1'!$Z$6:$AB$10,2,1)*$BN68+VLOOKUP($BN68,'Regresion Q1'!$Z$6:$AB$10,3,1),VLOOKUP(MIN(DatosHoy[Puntos]),'Regresion Q1'!$Z$6:$AB$10,2,1)*$BN68+VLOOKUP(MIN(DatosHoy[Puntos]),'Regresion Q1'!$Z$6:$AB$10,3,1))</f>
        <v>3713381.8868007082</v>
      </c>
      <c r="BR68" s="94">
        <f ca="1">IFERROR(VLOOKUP($BN68,'Regresion Md'!$T$6:$V$10,2,1)*$BN68+VLOOKUP($BN68,'Regresion Md'!$T$6:$V$10,3,1),VLOOKUP(MIN(DatosHoy[Puntos]),'Regresion Md'!$T$6:$V$10,2,1)*$BN68+VLOOKUP(MIN(DatosHoy[Puntos]),'Regresion Md'!$T$6:$V$10,3,1))</f>
        <v>4510361.8808701197</v>
      </c>
      <c r="BS68" s="94">
        <f ca="1">IFERROR(VLOOKUP($BN68,'Regresion Md'!$W$6:$Y$10,2,1)*$BN68+VLOOKUP($BN68,'Regresion Md'!$W$6:$Y$10,3,1),VLOOKUP(MIN(DatosHoy[Puntos]),'Regresion Md'!$W$6:$Y$10,2,1)*$BN68+VLOOKUP(MIN(DatosHoy[Puntos]),'Regresion Md'!$W$6:$Y$10,3,1))</f>
        <v>4661830.0547594205</v>
      </c>
      <c r="BT68" s="94">
        <f ca="1">IFERROR(VLOOKUP($BN68,'Regresion Md'!$Z$6:$AB$10,2,1)*$BN68+VLOOKUP($BN68,'Regresion Md'!$Z$6:$AB$10,3,1),VLOOKUP(MIN(DatosHoy[Puntos]),'Regresion Md'!$Z$6:$AB$10,2,1)*$BN68+VLOOKUP(MIN(DatosHoy[Puntos]),'Regresion Md'!$Z$6:$AB$10,3,1))</f>
        <v>4904053.2150536496</v>
      </c>
      <c r="BU68" s="94">
        <f ca="1">IFERROR(VLOOKUP($BN68,'Regresion Q3'!$T$6:$V$10,2,1)*$BN68+VLOOKUP($BN68,'Regresion Q3'!$T$6:$V$10,3,1),VLOOKUP(MIN(DatosHoy[Puntos]),'Regresion Q3'!$T$6:$V$10,2,1)*$BN68+VLOOKUP(MIN(DatosHoy[Puntos]),'Regresion Q3'!$T$6:$V$10,3,1))</f>
        <v>5771206.7924000127</v>
      </c>
      <c r="BV68" s="94">
        <f ca="1">IFERROR(VLOOKUP($BN68,'Regresion Q3'!$W$6:$Y$10,2,1)*$BN68+VLOOKUP($BN68,'Regresion Q3'!$W$6:$Y$10,3,1),VLOOKUP(MIN(DatosHoy[Puntos]),'Regresion Q3'!$W$6:$Y$10,2,1)*$BN68+VLOOKUP(MIN(DatosHoy[Puntos]),'Regresion Q3'!$W$6:$Y$10,3,1))</f>
        <v>5929684.7574303402</v>
      </c>
      <c r="BW68" s="94">
        <f ca="1">IFERROR(VLOOKUP($BN68,'Regresion Q3'!$Z$6:$AB$10,2,1)*$BN68+VLOOKUP($BN68,'Regresion Q3'!$Z$6:$AB$10,3,1),VLOOKUP(MIN(DatosHoy[Puntos]),'Regresion Q3'!$Z$6:$AB$10,2,1)*$BN68+VLOOKUP(MIN(DatosHoy[Puntos]),'Regresion Q3'!$Z$6:$AB$10,3,1))</f>
        <v>6078353.2906097621</v>
      </c>
      <c r="BX68" s="96">
        <f ca="1">DatosHoy[[#This Row],[CT Actual]]/DatosHoy[[#This Row],[CT ajus PM Md]]</f>
        <v>0.68382404369225702</v>
      </c>
      <c r="BY68" s="125" t="str">
        <f>VLOOKUP(DatosHoy[[#This Row],[Cargo Valorado]],Estadísticos[[Cargo]:[Nivel]],2,FALSE)</f>
        <v>Táctico</v>
      </c>
      <c r="BZ68" s="96">
        <f>(DatosHoy[[#This Row],[G+V Actual]]-DatosHoy[[#This Row],[G Actual]])/DatosHoy[[#This Row],[CT Actual]]</f>
        <v>0</v>
      </c>
      <c r="CA68" s="96">
        <f>(DatosHoy[[#This Row],[CT Actual]]-DatosHoy[[#This Row],[G+V Actual]])/DatosHoy[[#This Row],[CT Actual]]</f>
        <v>0</v>
      </c>
      <c r="CB68" s="139" t="s">
        <v>255</v>
      </c>
    </row>
    <row r="69" spans="2:80" x14ac:dyDescent="0.25">
      <c r="B69" s="73">
        <f t="shared" si="34"/>
        <v>64</v>
      </c>
      <c r="C69" s="74">
        <v>3353509.5000000005</v>
      </c>
      <c r="D69" s="74">
        <v>3353509.5000000005</v>
      </c>
      <c r="E69" s="74">
        <v>3353509.5000000005</v>
      </c>
      <c r="F69" s="94">
        <f>VLOOKUP(DatosHoy[[#This Row],[Cargo Valorado]],Estadísticos[],3,0)</f>
        <v>4089566.5803085933</v>
      </c>
      <c r="G69" s="94">
        <f>VLOOKUP(DatosHoy[[#This Row],[Cargo Valorado]],Estadísticos[],4,0)</f>
        <v>4089566.5803085933</v>
      </c>
      <c r="H69" s="94">
        <f>VLOOKUP(DatosHoy[[#This Row],[Cargo Valorado]],Estadísticos[],5,0)</f>
        <v>4645322.3801100645</v>
      </c>
      <c r="I69" s="94">
        <f>VLOOKUP(DatosHoy[[#This Row],[Cargo Valorado]],Estadísticos[],6,0)</f>
        <v>4772117.8965846505</v>
      </c>
      <c r="J69" s="94">
        <f>VLOOKUP(DatosHoy[[#This Row],[Cargo Valorado]],Estadísticos[],7,0)</f>
        <v>4772117.8965846505</v>
      </c>
      <c r="K69" s="94">
        <f>VLOOKUP(DatosHoy[[#This Row],[Cargo Valorado]],Estadísticos[],8,0)</f>
        <v>5164372.9384717913</v>
      </c>
      <c r="L69" s="94">
        <f>VLOOKUP(DatosHoy[[#This Row],[Cargo Valorado]],Estadísticos[],9,0)</f>
        <v>5494490.178075688</v>
      </c>
      <c r="M69" s="94">
        <f>VLOOKUP(DatosHoy[[#This Row],[Cargo Valorado]],Estadísticos[],10,0)</f>
        <v>5494490.178075688</v>
      </c>
      <c r="N69" s="94">
        <f>VLOOKUP(DatosHoy[[#This Row],[Cargo Valorado]],Estadísticos[],11,0)</f>
        <v>5665882.0180756878</v>
      </c>
      <c r="O69" s="75" t="s">
        <v>226</v>
      </c>
      <c r="P69" s="75">
        <v>273</v>
      </c>
      <c r="Q69" s="95" t="str">
        <f t="shared" si="35"/>
        <v>$P$69</v>
      </c>
      <c r="R69" s="95" t="str">
        <f t="shared" si="36"/>
        <v>$F$69</v>
      </c>
      <c r="S69" s="95" t="str">
        <f t="shared" si="37"/>
        <v>$G$69</v>
      </c>
      <c r="T69" s="95" t="str">
        <f t="shared" si="38"/>
        <v>$H$69</v>
      </c>
      <c r="U69" s="95" t="str">
        <f t="shared" si="39"/>
        <v>$I$69</v>
      </c>
      <c r="V69" s="95" t="str">
        <f t="shared" si="40"/>
        <v>$J$69</v>
      </c>
      <c r="W69" s="95" t="str">
        <f t="shared" si="41"/>
        <v>$K$69</v>
      </c>
      <c r="X69" s="95" t="str">
        <f t="shared" si="42"/>
        <v>$L$69</v>
      </c>
      <c r="Y69" s="95" t="str">
        <f t="shared" si="43"/>
        <v>$M$69</v>
      </c>
      <c r="Z69" s="95" t="str">
        <f t="shared" si="44"/>
        <v>$N$69</v>
      </c>
      <c r="AA69" s="94">
        <f ca="1">VLOOKUP($P69,'Regresion Q1'!$E$6:$I$10,4,1)*$P69+VLOOKUP($P69,'Regresion Q1'!$E$6:$I$10,5,1)</f>
        <v>3549787.6017946345</v>
      </c>
      <c r="AB69" s="94">
        <f ca="1">VLOOKUP($P69,'Regresion Q1'!$J$6:$N$10,4,1)*$P69+VLOOKUP($P69,'Regresion Q1'!$J$6:$N$10,5,1)</f>
        <v>3631252.0838208408</v>
      </c>
      <c r="AC69" s="94">
        <f ca="1">VLOOKUP($P69,'Regresion Q1'!$O$6:$S$10,4,1)*$P69+VLOOKUP($P69,'Regresion Q1'!$O$6:$S$10,5,1)</f>
        <v>3825944.0422008196</v>
      </c>
      <c r="AD69" s="94">
        <f ca="1">VLOOKUP($P69,'Regresion Md'!$E$6:$I$10,4,1)*$P69+VLOOKUP($P69,'Regresion Md'!$E$6:$I$10,5,1)</f>
        <v>4309544.6816114886</v>
      </c>
      <c r="AE69" s="94">
        <f ca="1">VLOOKUP($P69,'Regresion Md'!$J$6:$N$10,4,1)*$P69+VLOOKUP($P69,'Regresion Md'!$J$6:$N$10,5,1)</f>
        <v>4375175.3186444994</v>
      </c>
      <c r="AF69" s="94">
        <f ca="1">VLOOKUP($P69,'Regresion Md'!$O$6:$S$10,4,1)*$P69+VLOOKUP($P69,'Regresion Md'!$O$6:$S$10,5,1)</f>
        <v>4561838.9673644388</v>
      </c>
      <c r="AG69" s="94">
        <f ca="1">VLOOKUP($P69,'Regresion Q3'!$E$6:$I$10,4,1)*$P69+VLOOKUP($P69,'Regresion Q3'!$E$6:$I$10,5,1)</f>
        <v>5279877.6738703968</v>
      </c>
      <c r="AH69" s="94">
        <f ca="1">VLOOKUP($P69,'Regresion Q3'!$J$6:$N$10,4,1)*$P69+VLOOKUP($P69,'Regresion Q3'!$J$6:$N$10,5,1)</f>
        <v>5361617.2868853854</v>
      </c>
      <c r="AI69" s="94">
        <f ca="1">VLOOKUP($P69,'Regresion Q3'!$O$6:$S$10,4,1)*$P69+VLOOKUP($P69,'Regresion Q3'!$O$6:$S$10,5,1)</f>
        <v>5544005.9588883547</v>
      </c>
      <c r="AJ69" s="94">
        <f ca="1">VLOOKUP($P69,'Regresion Q1'!$T$6:$V$10,2,1)*$P69+VLOOKUP($P69,'Regresion Q1'!$T$6:$V$10,3,1)</f>
        <v>3321831.7932395679</v>
      </c>
      <c r="AK69" s="94">
        <f ca="1">VLOOKUP($P69,'Regresion Q1'!$W$6:$Y$10,2,1)*$P69+VLOOKUP($P69,'Regresion Q1'!$W$6:$Y$10,3,1)</f>
        <v>3426068.4133464824</v>
      </c>
      <c r="AL69" s="94">
        <f ca="1">VLOOKUP($P69,'Regresion Q1'!$Z$6:$AB$10,2,1)*$P69+VLOOKUP($P69,'Regresion Q1'!$Z$6:$AB$10,3,1)</f>
        <v>3565474.5309498338</v>
      </c>
      <c r="AM69" s="94">
        <f ca="1">VLOOKUP($P69,'Regresion Md'!$T$6:$V$10,2,1)*$P69+VLOOKUP($P69,'Regresion Md'!$T$6:$V$10,3,1)</f>
        <v>4189235.9756286629</v>
      </c>
      <c r="AN69" s="94">
        <f ca="1">VLOOKUP($P69,'Regresion Md'!$W$6:$Y$10,2,1)*$P69+VLOOKUP($P69,'Regresion Md'!$W$6:$Y$10,3,1)</f>
        <v>4314015.074751148</v>
      </c>
      <c r="AO69" s="94">
        <f ca="1">VLOOKUP($P69,'Regresion Md'!$Z$6:$AB$10,2,1)*$P69+VLOOKUP($P69,'Regresion Md'!$Z$6:$AB$10,3,1)</f>
        <v>4546494.4590615556</v>
      </c>
      <c r="AP69" s="94">
        <f ca="1">VLOOKUP($P69,'Regresion Q3'!$T$6:$V$10,2,1)*$P69+VLOOKUP($P69,'Regresion Q3'!$T$6:$V$10,3,1)</f>
        <v>5512761.4960033102</v>
      </c>
      <c r="AQ69" s="94">
        <f ca="1">VLOOKUP($P69,'Regresion Q3'!$W$6:$Y$10,2,1)*$P69+VLOOKUP($P69,'Regresion Q3'!$W$6:$Y$10,3,1)</f>
        <v>5665152.930664042</v>
      </c>
      <c r="AR69" s="94">
        <f ca="1">VLOOKUP($P69,'Regresion Q3'!$Z$6:$AB$10,2,1)*$P69+VLOOKUP($P69,'Regresion Q3'!$Z$6:$AB$10,3,1)</f>
        <v>5808843.1499080993</v>
      </c>
      <c r="AS69" s="94">
        <f>IF($BN69=$BN70,-1,DatosHoy[[#This Row],[G ajus PM Q1]]-BO70)</f>
        <v>-1</v>
      </c>
      <c r="AT69" s="94">
        <f>IF($BN69=$BN70,-1,DatosHoy[[#This Row],[G+V ajus PM Q1]]-BP70)</f>
        <v>-1</v>
      </c>
      <c r="AU69" s="94">
        <f>IF($BN69=$BN70,-1,DatosHoy[[#This Row],[CT ajus PM Q1]]-BQ70)</f>
        <v>-1</v>
      </c>
      <c r="AV69" s="94">
        <f ca="1">IF(DatosHoy[[#This Row],[G ajus PM Q1]]=DatosHoy[[#This Row],[G+V ajus PM Q1]],-1,DatosHoy[[#This Row],[G ajus PM Q1]]-DatosHoy[[#This Row],[G+V ajus PM Q1]])</f>
        <v>-105727.76128341863</v>
      </c>
      <c r="AW69" s="94">
        <f ca="1">IF(DatosHoy[[#This Row],[G+V ajus PM Q1]]=DatosHoy[[#This Row],[CT ajus PM Q1]],-1,DatosHoy[[#This Row],[G+V ajus PM Q1]]-DatosHoy[[#This Row],[CT ajus PM Q1]])</f>
        <v>-145774.47985139629</v>
      </c>
      <c r="AX69" s="94">
        <f>IF($BN69=$BN70,-1,DatosHoy[[#This Row],[G ajus PMd]]-BR70)</f>
        <v>-1</v>
      </c>
      <c r="AY69" s="94">
        <f>IF($BN69=$BN70,-1,DatosHoy[[#This Row],[G+V ajus PM Md]]-BS70)</f>
        <v>-1</v>
      </c>
      <c r="AZ69" s="94">
        <f>IF($BN69=$BN70,-1,DatosHoy[[#This Row],[CT ajus PM Md]]-BT70)</f>
        <v>-1</v>
      </c>
      <c r="BA69" s="94">
        <f ca="1">IF(DatosHoy[[#This Row],[G ajus PMd]]=DatosHoy[[#This Row],[G+V ajus PM Md]],-1,DatosHoy[[#This Row],[G ajus PMd]]-DatosHoy[[#This Row],[G+V ajus PM Md]])</f>
        <v>-151468.17388930079</v>
      </c>
      <c r="BB69" s="94">
        <f ca="1">IF(DatosHoy[[#This Row],[G+V ajus PM Md]]=DatosHoy[[#This Row],[CT ajus PM Md]],-1,DatosHoy[[#This Row],[G+V ajus PM Md]]-DatosHoy[[#This Row],[CT ajus PM Md]])</f>
        <v>-242223.16029422916</v>
      </c>
      <c r="BC69" s="94">
        <f>IF($BN69=$BN70,-1,DatosHoy[[#This Row],[G ajus PM Q3]]-BU70)</f>
        <v>-1</v>
      </c>
      <c r="BD69" s="94">
        <f>IF($BN69=$BN70,-1,DatosHoy[[#This Row],[G+V ajus PM Q3]]-BV70)</f>
        <v>-1</v>
      </c>
      <c r="BE69" s="94">
        <f>IF($BN69=$BN70,-1,DatosHoy[[#This Row],[CT ajus PM Q3]]-BW70)</f>
        <v>-1</v>
      </c>
      <c r="BF69" s="94">
        <f ca="1">IF(DatosHoy[[#This Row],[G ajus PM Q3]]=DatosHoy[[#This Row],[G+V ajus PM Q3]],-1,DatosHoy[[#This Row],[G ajus PM Q3]]-DatosHoy[[#This Row],[G+V ajus PM Q3]])</f>
        <v>-158477.96503032744</v>
      </c>
      <c r="BG69" s="94">
        <f ca="1">IF(DatosHoy[[#This Row],[G+V ajus PM Q3]]=DatosHoy[[#This Row],[CT ajus PM Q3]],-1,DatosHoy[[#This Row],[G+V ajus PM Q3]]-DatosHoy[[#This Row],[CT ajus PM Q3]])</f>
        <v>-148668.53317942191</v>
      </c>
      <c r="BH69" s="94">
        <f ca="1">IF(DatosHoy[[#This Row],[G ajus PM Q1]]=DatosHoy[[#This Row],[G ajus PMd]],-1,DatosHoy[[#This Row],[G ajus PM Q1]]-DatosHoy[[#This Row],[G ajus PMd]])</f>
        <v>-1048482.2352042263</v>
      </c>
      <c r="BI69" s="94">
        <f ca="1">IF(DatosHoy[[#This Row],[G+V ajus PM Q1]]=DatosHoy[[#This Row],[G+V ajus PM Md]],-1,DatosHoy[[#This Row],[G+V ajus PM Q1]]-DatosHoy[[#This Row],[G+V ajus PM Md]])</f>
        <v>-1094222.6478101085</v>
      </c>
      <c r="BJ69" s="94">
        <f ca="1">IF(DatosHoy[[#This Row],[CT ajus PM Q1]]=DatosHoy[[#This Row],[CT ajus PM Md]],-1,DatosHoy[[#This Row],[CT ajus PM Q1]]-DatosHoy[[#This Row],[CT ajus PM Md]])</f>
        <v>-1190671.3282529414</v>
      </c>
      <c r="BK69" s="94">
        <f ca="1">IF(DatosHoy[[#This Row],[G ajus PMd]]=DatosHoy[[#This Row],[G ajus PM Q3]],-1,DatosHoy[[#This Row],[G ajus PMd]]-DatosHoy[[#This Row],[G ajus PM Q3]])</f>
        <v>-1260844.9115298931</v>
      </c>
      <c r="BL69" s="94">
        <f ca="1">IF(DatosHoy[[#This Row],[G+V ajus PM Md]]=DatosHoy[[#This Row],[G+V ajus PM Q3]],-1,DatosHoy[[#This Row],[G+V ajus PM Md]]-DatosHoy[[#This Row],[G+V ajus PM Q3]])</f>
        <v>-1267854.7026709197</v>
      </c>
      <c r="BM69" s="94">
        <f ca="1">IF(DatosHoy[[#This Row],[CT ajus PM Md]]=DatosHoy[[#This Row],[CT ajus PM Q3]],-1,DatosHoy[[#This Row],[CT ajus PM Md]]-DatosHoy[[#This Row],[CT ajus PM Q3]])</f>
        <v>-1174300.0755561125</v>
      </c>
      <c r="BN69" s="74">
        <v>287</v>
      </c>
      <c r="BO69" s="94">
        <f ca="1">IFERROR(VLOOKUP($BN69,'Regresion Q1'!$T$6:$V$10,2,1)*$BN69+VLOOKUP($BN69,'Regresion Q1'!$T$6:$V$10,3,1),VLOOKUP(MIN(DatosHoy[Puntos]),'Regresion Q1'!$T$6:$V$10,2,1)*$BN69+VLOOKUP(MIN(DatosHoy[Puntos]),'Regresion Q1'!$T$6:$V$10,3,1))</f>
        <v>3461879.6456658933</v>
      </c>
      <c r="BP69" s="94">
        <f ca="1">IFERROR(VLOOKUP($BN69,'Regresion Q1'!$W$6:$Y$10,2,1)*$BN69+VLOOKUP($BN69,'Regresion Q1'!$W$6:$Y$10,3,1),VLOOKUP(MIN(DatosHoy[Puntos]),'Regresion Q1'!$W$6:$Y$10,2,1)*$BN69+VLOOKUP(MIN(DatosHoy[Puntos]),'Regresion Q1'!$W$6:$Y$10,3,1))</f>
        <v>3567607.406949312</v>
      </c>
      <c r="BQ69" s="94">
        <f ca="1">IFERROR(VLOOKUP($BN69,'Regresion Q1'!$Z$6:$AB$10,2,1)*$BN69+VLOOKUP($BN69,'Regresion Q1'!$Z$6:$AB$10,3,1),VLOOKUP(MIN(DatosHoy[Puntos]),'Regresion Q1'!$Z$6:$AB$10,2,1)*$BN69+VLOOKUP(MIN(DatosHoy[Puntos]),'Regresion Q1'!$Z$6:$AB$10,3,1))</f>
        <v>3713381.8868007082</v>
      </c>
      <c r="BR69" s="94">
        <f ca="1">IFERROR(VLOOKUP($BN69,'Regresion Md'!$T$6:$V$10,2,1)*$BN69+VLOOKUP($BN69,'Regresion Md'!$T$6:$V$10,3,1),VLOOKUP(MIN(DatosHoy[Puntos]),'Regresion Md'!$T$6:$V$10,2,1)*$BN69+VLOOKUP(MIN(DatosHoy[Puntos]),'Regresion Md'!$T$6:$V$10,3,1))</f>
        <v>4510361.8808701197</v>
      </c>
      <c r="BS69" s="94">
        <f ca="1">IFERROR(VLOOKUP($BN69,'Regresion Md'!$W$6:$Y$10,2,1)*$BN69+VLOOKUP($BN69,'Regresion Md'!$W$6:$Y$10,3,1),VLOOKUP(MIN(DatosHoy[Puntos]),'Regresion Md'!$W$6:$Y$10,2,1)*$BN69+VLOOKUP(MIN(DatosHoy[Puntos]),'Regresion Md'!$W$6:$Y$10,3,1))</f>
        <v>4661830.0547594205</v>
      </c>
      <c r="BT69" s="94">
        <f ca="1">IFERROR(VLOOKUP($BN69,'Regresion Md'!$Z$6:$AB$10,2,1)*$BN69+VLOOKUP($BN69,'Regresion Md'!$Z$6:$AB$10,3,1),VLOOKUP(MIN(DatosHoy[Puntos]),'Regresion Md'!$Z$6:$AB$10,2,1)*$BN69+VLOOKUP(MIN(DatosHoy[Puntos]),'Regresion Md'!$Z$6:$AB$10,3,1))</f>
        <v>4904053.2150536496</v>
      </c>
      <c r="BU69" s="94">
        <f ca="1">IFERROR(VLOOKUP($BN69,'Regresion Q3'!$T$6:$V$10,2,1)*$BN69+VLOOKUP($BN69,'Regresion Q3'!$T$6:$V$10,3,1),VLOOKUP(MIN(DatosHoy[Puntos]),'Regresion Q3'!$T$6:$V$10,2,1)*$BN69+VLOOKUP(MIN(DatosHoy[Puntos]),'Regresion Q3'!$T$6:$V$10,3,1))</f>
        <v>5771206.7924000127</v>
      </c>
      <c r="BV69" s="94">
        <f ca="1">IFERROR(VLOOKUP($BN69,'Regresion Q3'!$W$6:$Y$10,2,1)*$BN69+VLOOKUP($BN69,'Regresion Q3'!$W$6:$Y$10,3,1),VLOOKUP(MIN(DatosHoy[Puntos]),'Regresion Q3'!$W$6:$Y$10,2,1)*$BN69+VLOOKUP(MIN(DatosHoy[Puntos]),'Regresion Q3'!$W$6:$Y$10,3,1))</f>
        <v>5929684.7574303402</v>
      </c>
      <c r="BW69" s="94">
        <f ca="1">IFERROR(VLOOKUP($BN69,'Regresion Q3'!$Z$6:$AB$10,2,1)*$BN69+VLOOKUP($BN69,'Regresion Q3'!$Z$6:$AB$10,3,1),VLOOKUP(MIN(DatosHoy[Puntos]),'Regresion Q3'!$Z$6:$AB$10,2,1)*$BN69+VLOOKUP(MIN(DatosHoy[Puntos]),'Regresion Q3'!$Z$6:$AB$10,3,1))</f>
        <v>6078353.2906097621</v>
      </c>
      <c r="BX69" s="96">
        <f ca="1">DatosHoy[[#This Row],[CT Actual]]/DatosHoy[[#This Row],[CT ajus PM Md]]</f>
        <v>0.68382404369225702</v>
      </c>
      <c r="BY69" s="125" t="str">
        <f>VLOOKUP(DatosHoy[[#This Row],[Cargo Valorado]],Estadísticos[[Cargo]:[Nivel]],2,FALSE)</f>
        <v>Táctico</v>
      </c>
      <c r="BZ69" s="96">
        <f>(DatosHoy[[#This Row],[G+V Actual]]-DatosHoy[[#This Row],[G Actual]])/DatosHoy[[#This Row],[CT Actual]]</f>
        <v>0</v>
      </c>
      <c r="CA69" s="96">
        <f>(DatosHoy[[#This Row],[CT Actual]]-DatosHoy[[#This Row],[G+V Actual]])/DatosHoy[[#This Row],[CT Actual]]</f>
        <v>0</v>
      </c>
      <c r="CB69" s="139" t="s">
        <v>255</v>
      </c>
    </row>
    <row r="70" spans="2:80" x14ac:dyDescent="0.25">
      <c r="B70" s="73">
        <f t="shared" ref="B70:B101" si="45">+ROW()-5</f>
        <v>65</v>
      </c>
      <c r="C70" s="74">
        <v>3353509.5000000005</v>
      </c>
      <c r="D70" s="74">
        <v>3353509.5000000005</v>
      </c>
      <c r="E70" s="74">
        <v>3353509.5000000005</v>
      </c>
      <c r="F70" s="94">
        <f>VLOOKUP(DatosHoy[[#This Row],[Cargo Valorado]],Estadísticos[],3,0)</f>
        <v>4089566.5803085933</v>
      </c>
      <c r="G70" s="94">
        <f>VLOOKUP(DatosHoy[[#This Row],[Cargo Valorado]],Estadísticos[],4,0)</f>
        <v>4089566.5803085933</v>
      </c>
      <c r="H70" s="94">
        <f>VLOOKUP(DatosHoy[[#This Row],[Cargo Valorado]],Estadísticos[],5,0)</f>
        <v>4645322.3801100645</v>
      </c>
      <c r="I70" s="94">
        <f>VLOOKUP(DatosHoy[[#This Row],[Cargo Valorado]],Estadísticos[],6,0)</f>
        <v>4772117.8965846505</v>
      </c>
      <c r="J70" s="94">
        <f>VLOOKUP(DatosHoy[[#This Row],[Cargo Valorado]],Estadísticos[],7,0)</f>
        <v>4772117.8965846505</v>
      </c>
      <c r="K70" s="94">
        <f>VLOOKUP(DatosHoy[[#This Row],[Cargo Valorado]],Estadísticos[],8,0)</f>
        <v>5164372.9384717913</v>
      </c>
      <c r="L70" s="94">
        <f>VLOOKUP(DatosHoy[[#This Row],[Cargo Valorado]],Estadísticos[],9,0)</f>
        <v>5494490.178075688</v>
      </c>
      <c r="M70" s="94">
        <f>VLOOKUP(DatosHoy[[#This Row],[Cargo Valorado]],Estadísticos[],10,0)</f>
        <v>5494490.178075688</v>
      </c>
      <c r="N70" s="94">
        <f>VLOOKUP(DatosHoy[[#This Row],[Cargo Valorado]],Estadísticos[],11,0)</f>
        <v>5665882.0180756878</v>
      </c>
      <c r="O70" s="75" t="s">
        <v>226</v>
      </c>
      <c r="P70" s="75">
        <v>273</v>
      </c>
      <c r="Q70" s="95" t="str">
        <f t="shared" si="35"/>
        <v>$P$70</v>
      </c>
      <c r="R70" s="95" t="str">
        <f t="shared" si="36"/>
        <v>$F$70</v>
      </c>
      <c r="S70" s="95" t="str">
        <f t="shared" si="37"/>
        <v>$G$70</v>
      </c>
      <c r="T70" s="95" t="str">
        <f t="shared" si="38"/>
        <v>$H$70</v>
      </c>
      <c r="U70" s="95" t="str">
        <f t="shared" si="39"/>
        <v>$I$70</v>
      </c>
      <c r="V70" s="95" t="str">
        <f t="shared" si="40"/>
        <v>$J$70</v>
      </c>
      <c r="W70" s="95" t="str">
        <f t="shared" si="41"/>
        <v>$K$70</v>
      </c>
      <c r="X70" s="95" t="str">
        <f t="shared" si="42"/>
        <v>$L$70</v>
      </c>
      <c r="Y70" s="95" t="str">
        <f t="shared" si="43"/>
        <v>$M$70</v>
      </c>
      <c r="Z70" s="95" t="str">
        <f t="shared" si="44"/>
        <v>$N$70</v>
      </c>
      <c r="AA70" s="94">
        <f ca="1">VLOOKUP($P70,'Regresion Q1'!$E$6:$I$10,4,1)*$P70+VLOOKUP($P70,'Regresion Q1'!$E$6:$I$10,5,1)</f>
        <v>3549787.6017946345</v>
      </c>
      <c r="AB70" s="94">
        <f ca="1">VLOOKUP($P70,'Regresion Q1'!$J$6:$N$10,4,1)*$P70+VLOOKUP($P70,'Regresion Q1'!$J$6:$N$10,5,1)</f>
        <v>3631252.0838208408</v>
      </c>
      <c r="AC70" s="94">
        <f ca="1">VLOOKUP($P70,'Regresion Q1'!$O$6:$S$10,4,1)*$P70+VLOOKUP($P70,'Regresion Q1'!$O$6:$S$10,5,1)</f>
        <v>3825944.0422008196</v>
      </c>
      <c r="AD70" s="94">
        <f ca="1">VLOOKUP($P70,'Regresion Md'!$E$6:$I$10,4,1)*$P70+VLOOKUP($P70,'Regresion Md'!$E$6:$I$10,5,1)</f>
        <v>4309544.6816114886</v>
      </c>
      <c r="AE70" s="94">
        <f ca="1">VLOOKUP($P70,'Regresion Md'!$J$6:$N$10,4,1)*$P70+VLOOKUP($P70,'Regresion Md'!$J$6:$N$10,5,1)</f>
        <v>4375175.3186444994</v>
      </c>
      <c r="AF70" s="94">
        <f ca="1">VLOOKUP($P70,'Regresion Md'!$O$6:$S$10,4,1)*$P70+VLOOKUP($P70,'Regresion Md'!$O$6:$S$10,5,1)</f>
        <v>4561838.9673644388</v>
      </c>
      <c r="AG70" s="94">
        <f ca="1">VLOOKUP($P70,'Regresion Q3'!$E$6:$I$10,4,1)*$P70+VLOOKUP($P70,'Regresion Q3'!$E$6:$I$10,5,1)</f>
        <v>5279877.6738703968</v>
      </c>
      <c r="AH70" s="94">
        <f ca="1">VLOOKUP($P70,'Regresion Q3'!$J$6:$N$10,4,1)*$P70+VLOOKUP($P70,'Regresion Q3'!$J$6:$N$10,5,1)</f>
        <v>5361617.2868853854</v>
      </c>
      <c r="AI70" s="94">
        <f ca="1">VLOOKUP($P70,'Regresion Q3'!$O$6:$S$10,4,1)*$P70+VLOOKUP($P70,'Regresion Q3'!$O$6:$S$10,5,1)</f>
        <v>5544005.9588883547</v>
      </c>
      <c r="AJ70" s="94">
        <f ca="1">VLOOKUP($P70,'Regresion Q1'!$T$6:$V$10,2,1)*$P70+VLOOKUP($P70,'Regresion Q1'!$T$6:$V$10,3,1)</f>
        <v>3321831.7932395679</v>
      </c>
      <c r="AK70" s="94">
        <f ca="1">VLOOKUP($P70,'Regresion Q1'!$W$6:$Y$10,2,1)*$P70+VLOOKUP($P70,'Regresion Q1'!$W$6:$Y$10,3,1)</f>
        <v>3426068.4133464824</v>
      </c>
      <c r="AL70" s="94">
        <f ca="1">VLOOKUP($P70,'Regresion Q1'!$Z$6:$AB$10,2,1)*$P70+VLOOKUP($P70,'Regresion Q1'!$Z$6:$AB$10,3,1)</f>
        <v>3565474.5309498338</v>
      </c>
      <c r="AM70" s="94">
        <f ca="1">VLOOKUP($P70,'Regresion Md'!$T$6:$V$10,2,1)*$P70+VLOOKUP($P70,'Regresion Md'!$T$6:$V$10,3,1)</f>
        <v>4189235.9756286629</v>
      </c>
      <c r="AN70" s="94">
        <f ca="1">VLOOKUP($P70,'Regresion Md'!$W$6:$Y$10,2,1)*$P70+VLOOKUP($P70,'Regresion Md'!$W$6:$Y$10,3,1)</f>
        <v>4314015.074751148</v>
      </c>
      <c r="AO70" s="94">
        <f ca="1">VLOOKUP($P70,'Regresion Md'!$Z$6:$AB$10,2,1)*$P70+VLOOKUP($P70,'Regresion Md'!$Z$6:$AB$10,3,1)</f>
        <v>4546494.4590615556</v>
      </c>
      <c r="AP70" s="94">
        <f ca="1">VLOOKUP($P70,'Regresion Q3'!$T$6:$V$10,2,1)*$P70+VLOOKUP($P70,'Regresion Q3'!$T$6:$V$10,3,1)</f>
        <v>5512761.4960033102</v>
      </c>
      <c r="AQ70" s="94">
        <f ca="1">VLOOKUP($P70,'Regresion Q3'!$W$6:$Y$10,2,1)*$P70+VLOOKUP($P70,'Regresion Q3'!$W$6:$Y$10,3,1)</f>
        <v>5665152.930664042</v>
      </c>
      <c r="AR70" s="94">
        <f ca="1">VLOOKUP($P70,'Regresion Q3'!$Z$6:$AB$10,2,1)*$P70+VLOOKUP($P70,'Regresion Q3'!$Z$6:$AB$10,3,1)</f>
        <v>5808843.1499080993</v>
      </c>
      <c r="AS70" s="94">
        <f>IF($BN70=$BN71,-1,DatosHoy[[#This Row],[G ajus PM Q1]]-BO71)</f>
        <v>-1</v>
      </c>
      <c r="AT70" s="94">
        <f>IF($BN70=$BN71,-1,DatosHoy[[#This Row],[G+V ajus PM Q1]]-BP71)</f>
        <v>-1</v>
      </c>
      <c r="AU70" s="94">
        <f>IF($BN70=$BN71,-1,DatosHoy[[#This Row],[CT ajus PM Q1]]-BQ71)</f>
        <v>-1</v>
      </c>
      <c r="AV70" s="94">
        <f ca="1">IF(DatosHoy[[#This Row],[G ajus PM Q1]]=DatosHoy[[#This Row],[G+V ajus PM Q1]],-1,DatosHoy[[#This Row],[G ajus PM Q1]]-DatosHoy[[#This Row],[G+V ajus PM Q1]])</f>
        <v>-105727.76128341863</v>
      </c>
      <c r="AW70" s="94">
        <f ca="1">IF(DatosHoy[[#This Row],[G+V ajus PM Q1]]=DatosHoy[[#This Row],[CT ajus PM Q1]],-1,DatosHoy[[#This Row],[G+V ajus PM Q1]]-DatosHoy[[#This Row],[CT ajus PM Q1]])</f>
        <v>-145774.47985139629</v>
      </c>
      <c r="AX70" s="94">
        <f>IF($BN70=$BN71,-1,DatosHoy[[#This Row],[G ajus PMd]]-BR71)</f>
        <v>-1</v>
      </c>
      <c r="AY70" s="94">
        <f>IF($BN70=$BN71,-1,DatosHoy[[#This Row],[G+V ajus PM Md]]-BS71)</f>
        <v>-1</v>
      </c>
      <c r="AZ70" s="94">
        <f>IF($BN70=$BN71,-1,DatosHoy[[#This Row],[CT ajus PM Md]]-BT71)</f>
        <v>-1</v>
      </c>
      <c r="BA70" s="94">
        <f ca="1">IF(DatosHoy[[#This Row],[G ajus PMd]]=DatosHoy[[#This Row],[G+V ajus PM Md]],-1,DatosHoy[[#This Row],[G ajus PMd]]-DatosHoy[[#This Row],[G+V ajus PM Md]])</f>
        <v>-151468.17388930079</v>
      </c>
      <c r="BB70" s="94">
        <f ca="1">IF(DatosHoy[[#This Row],[G+V ajus PM Md]]=DatosHoy[[#This Row],[CT ajus PM Md]],-1,DatosHoy[[#This Row],[G+V ajus PM Md]]-DatosHoy[[#This Row],[CT ajus PM Md]])</f>
        <v>-242223.16029422916</v>
      </c>
      <c r="BC70" s="94">
        <f>IF($BN70=$BN71,-1,DatosHoy[[#This Row],[G ajus PM Q3]]-BU71)</f>
        <v>-1</v>
      </c>
      <c r="BD70" s="94">
        <f>IF($BN70=$BN71,-1,DatosHoy[[#This Row],[G+V ajus PM Q3]]-BV71)</f>
        <v>-1</v>
      </c>
      <c r="BE70" s="94">
        <f>IF($BN70=$BN71,-1,DatosHoy[[#This Row],[CT ajus PM Q3]]-BW71)</f>
        <v>-1</v>
      </c>
      <c r="BF70" s="94">
        <f ca="1">IF(DatosHoy[[#This Row],[G ajus PM Q3]]=DatosHoy[[#This Row],[G+V ajus PM Q3]],-1,DatosHoy[[#This Row],[G ajus PM Q3]]-DatosHoy[[#This Row],[G+V ajus PM Q3]])</f>
        <v>-158477.96503032744</v>
      </c>
      <c r="BG70" s="94">
        <f ca="1">IF(DatosHoy[[#This Row],[G+V ajus PM Q3]]=DatosHoy[[#This Row],[CT ajus PM Q3]],-1,DatosHoy[[#This Row],[G+V ajus PM Q3]]-DatosHoy[[#This Row],[CT ajus PM Q3]])</f>
        <v>-148668.53317942191</v>
      </c>
      <c r="BH70" s="94">
        <f ca="1">IF(DatosHoy[[#This Row],[G ajus PM Q1]]=DatosHoy[[#This Row],[G ajus PMd]],-1,DatosHoy[[#This Row],[G ajus PM Q1]]-DatosHoy[[#This Row],[G ajus PMd]])</f>
        <v>-1048482.2352042263</v>
      </c>
      <c r="BI70" s="94">
        <f ca="1">IF(DatosHoy[[#This Row],[G+V ajus PM Q1]]=DatosHoy[[#This Row],[G+V ajus PM Md]],-1,DatosHoy[[#This Row],[G+V ajus PM Q1]]-DatosHoy[[#This Row],[G+V ajus PM Md]])</f>
        <v>-1094222.6478101085</v>
      </c>
      <c r="BJ70" s="94">
        <f ca="1">IF(DatosHoy[[#This Row],[CT ajus PM Q1]]=DatosHoy[[#This Row],[CT ajus PM Md]],-1,DatosHoy[[#This Row],[CT ajus PM Q1]]-DatosHoy[[#This Row],[CT ajus PM Md]])</f>
        <v>-1190671.3282529414</v>
      </c>
      <c r="BK70" s="94">
        <f ca="1">IF(DatosHoy[[#This Row],[G ajus PMd]]=DatosHoy[[#This Row],[G ajus PM Q3]],-1,DatosHoy[[#This Row],[G ajus PMd]]-DatosHoy[[#This Row],[G ajus PM Q3]])</f>
        <v>-1260844.9115298931</v>
      </c>
      <c r="BL70" s="94">
        <f ca="1">IF(DatosHoy[[#This Row],[G+V ajus PM Md]]=DatosHoy[[#This Row],[G+V ajus PM Q3]],-1,DatosHoy[[#This Row],[G+V ajus PM Md]]-DatosHoy[[#This Row],[G+V ajus PM Q3]])</f>
        <v>-1267854.7026709197</v>
      </c>
      <c r="BM70" s="94">
        <f ca="1">IF(DatosHoy[[#This Row],[CT ajus PM Md]]=DatosHoy[[#This Row],[CT ajus PM Q3]],-1,DatosHoy[[#This Row],[CT ajus PM Md]]-DatosHoy[[#This Row],[CT ajus PM Q3]])</f>
        <v>-1174300.0755561125</v>
      </c>
      <c r="BN70" s="74">
        <v>287</v>
      </c>
      <c r="BO70" s="94">
        <f ca="1">IFERROR(VLOOKUP($BN70,'Regresion Q1'!$T$6:$V$10,2,1)*$BN70+VLOOKUP($BN70,'Regresion Q1'!$T$6:$V$10,3,1),VLOOKUP(MIN(DatosHoy[Puntos]),'Regresion Q1'!$T$6:$V$10,2,1)*$BN70+VLOOKUP(MIN(DatosHoy[Puntos]),'Regresion Q1'!$T$6:$V$10,3,1))</f>
        <v>3461879.6456658933</v>
      </c>
      <c r="BP70" s="94">
        <f ca="1">IFERROR(VLOOKUP($BN70,'Regresion Q1'!$W$6:$Y$10,2,1)*$BN70+VLOOKUP($BN70,'Regresion Q1'!$W$6:$Y$10,3,1),VLOOKUP(MIN(DatosHoy[Puntos]),'Regresion Q1'!$W$6:$Y$10,2,1)*$BN70+VLOOKUP(MIN(DatosHoy[Puntos]),'Regresion Q1'!$W$6:$Y$10,3,1))</f>
        <v>3567607.406949312</v>
      </c>
      <c r="BQ70" s="94">
        <f ca="1">IFERROR(VLOOKUP($BN70,'Regresion Q1'!$Z$6:$AB$10,2,1)*$BN70+VLOOKUP($BN70,'Regresion Q1'!$Z$6:$AB$10,3,1),VLOOKUP(MIN(DatosHoy[Puntos]),'Regresion Q1'!$Z$6:$AB$10,2,1)*$BN70+VLOOKUP(MIN(DatosHoy[Puntos]),'Regresion Q1'!$Z$6:$AB$10,3,1))</f>
        <v>3713381.8868007082</v>
      </c>
      <c r="BR70" s="94">
        <f ca="1">IFERROR(VLOOKUP($BN70,'Regresion Md'!$T$6:$V$10,2,1)*$BN70+VLOOKUP($BN70,'Regresion Md'!$T$6:$V$10,3,1),VLOOKUP(MIN(DatosHoy[Puntos]),'Regresion Md'!$T$6:$V$10,2,1)*$BN70+VLOOKUP(MIN(DatosHoy[Puntos]),'Regresion Md'!$T$6:$V$10,3,1))</f>
        <v>4510361.8808701197</v>
      </c>
      <c r="BS70" s="94">
        <f ca="1">IFERROR(VLOOKUP($BN70,'Regresion Md'!$W$6:$Y$10,2,1)*$BN70+VLOOKUP($BN70,'Regresion Md'!$W$6:$Y$10,3,1),VLOOKUP(MIN(DatosHoy[Puntos]),'Regresion Md'!$W$6:$Y$10,2,1)*$BN70+VLOOKUP(MIN(DatosHoy[Puntos]),'Regresion Md'!$W$6:$Y$10,3,1))</f>
        <v>4661830.0547594205</v>
      </c>
      <c r="BT70" s="94">
        <f ca="1">IFERROR(VLOOKUP($BN70,'Regresion Md'!$Z$6:$AB$10,2,1)*$BN70+VLOOKUP($BN70,'Regresion Md'!$Z$6:$AB$10,3,1),VLOOKUP(MIN(DatosHoy[Puntos]),'Regresion Md'!$Z$6:$AB$10,2,1)*$BN70+VLOOKUP(MIN(DatosHoy[Puntos]),'Regresion Md'!$Z$6:$AB$10,3,1))</f>
        <v>4904053.2150536496</v>
      </c>
      <c r="BU70" s="94">
        <f ca="1">IFERROR(VLOOKUP($BN70,'Regresion Q3'!$T$6:$V$10,2,1)*$BN70+VLOOKUP($BN70,'Regresion Q3'!$T$6:$V$10,3,1),VLOOKUP(MIN(DatosHoy[Puntos]),'Regresion Q3'!$T$6:$V$10,2,1)*$BN70+VLOOKUP(MIN(DatosHoy[Puntos]),'Regresion Q3'!$T$6:$V$10,3,1))</f>
        <v>5771206.7924000127</v>
      </c>
      <c r="BV70" s="94">
        <f ca="1">IFERROR(VLOOKUP($BN70,'Regresion Q3'!$W$6:$Y$10,2,1)*$BN70+VLOOKUP($BN70,'Regresion Q3'!$W$6:$Y$10,3,1),VLOOKUP(MIN(DatosHoy[Puntos]),'Regresion Q3'!$W$6:$Y$10,2,1)*$BN70+VLOOKUP(MIN(DatosHoy[Puntos]),'Regresion Q3'!$W$6:$Y$10,3,1))</f>
        <v>5929684.7574303402</v>
      </c>
      <c r="BW70" s="94">
        <f ca="1">IFERROR(VLOOKUP($BN70,'Regresion Q3'!$Z$6:$AB$10,2,1)*$BN70+VLOOKUP($BN70,'Regresion Q3'!$Z$6:$AB$10,3,1),VLOOKUP(MIN(DatosHoy[Puntos]),'Regresion Q3'!$Z$6:$AB$10,2,1)*$BN70+VLOOKUP(MIN(DatosHoy[Puntos]),'Regresion Q3'!$Z$6:$AB$10,3,1))</f>
        <v>6078353.2906097621</v>
      </c>
      <c r="BX70" s="96">
        <f ca="1">DatosHoy[[#This Row],[CT Actual]]/DatosHoy[[#This Row],[CT ajus PM Md]]</f>
        <v>0.68382404369225702</v>
      </c>
      <c r="BY70" s="125" t="str">
        <f>VLOOKUP(DatosHoy[[#This Row],[Cargo Valorado]],Estadísticos[[Cargo]:[Nivel]],2,FALSE)</f>
        <v>Táctico</v>
      </c>
      <c r="BZ70" s="96">
        <f>(DatosHoy[[#This Row],[G+V Actual]]-DatosHoy[[#This Row],[G Actual]])/DatosHoy[[#This Row],[CT Actual]]</f>
        <v>0</v>
      </c>
      <c r="CA70" s="96">
        <f>(DatosHoy[[#This Row],[CT Actual]]-DatosHoy[[#This Row],[G+V Actual]])/DatosHoy[[#This Row],[CT Actual]]</f>
        <v>0</v>
      </c>
      <c r="CB70" s="139" t="s">
        <v>255</v>
      </c>
    </row>
    <row r="71" spans="2:80" x14ac:dyDescent="0.25">
      <c r="B71" s="73">
        <f t="shared" si="45"/>
        <v>66</v>
      </c>
      <c r="C71" s="74">
        <v>3353509.5000000005</v>
      </c>
      <c r="D71" s="74">
        <v>3353509.5000000005</v>
      </c>
      <c r="E71" s="74">
        <v>3353509.5000000005</v>
      </c>
      <c r="F71" s="94">
        <f>VLOOKUP(DatosHoy[[#This Row],[Cargo Valorado]],Estadísticos[],3,0)</f>
        <v>4089566.5803085933</v>
      </c>
      <c r="G71" s="94">
        <f>VLOOKUP(DatosHoy[[#This Row],[Cargo Valorado]],Estadísticos[],4,0)</f>
        <v>4089566.5803085933</v>
      </c>
      <c r="H71" s="94">
        <f>VLOOKUP(DatosHoy[[#This Row],[Cargo Valorado]],Estadísticos[],5,0)</f>
        <v>4645322.3801100645</v>
      </c>
      <c r="I71" s="94">
        <f>VLOOKUP(DatosHoy[[#This Row],[Cargo Valorado]],Estadísticos[],6,0)</f>
        <v>4772117.8965846505</v>
      </c>
      <c r="J71" s="94">
        <f>VLOOKUP(DatosHoy[[#This Row],[Cargo Valorado]],Estadísticos[],7,0)</f>
        <v>4772117.8965846505</v>
      </c>
      <c r="K71" s="94">
        <f>VLOOKUP(DatosHoy[[#This Row],[Cargo Valorado]],Estadísticos[],8,0)</f>
        <v>5164372.9384717913</v>
      </c>
      <c r="L71" s="94">
        <f>VLOOKUP(DatosHoy[[#This Row],[Cargo Valorado]],Estadísticos[],9,0)</f>
        <v>5494490.178075688</v>
      </c>
      <c r="M71" s="94">
        <f>VLOOKUP(DatosHoy[[#This Row],[Cargo Valorado]],Estadísticos[],10,0)</f>
        <v>5494490.178075688</v>
      </c>
      <c r="N71" s="94">
        <f>VLOOKUP(DatosHoy[[#This Row],[Cargo Valorado]],Estadísticos[],11,0)</f>
        <v>5665882.0180756878</v>
      </c>
      <c r="O71" s="75" t="s">
        <v>226</v>
      </c>
      <c r="P71" s="75">
        <v>273</v>
      </c>
      <c r="Q71" s="95" t="str">
        <f t="shared" si="35"/>
        <v>$P$71</v>
      </c>
      <c r="R71" s="95" t="str">
        <f t="shared" si="36"/>
        <v>$F$71</v>
      </c>
      <c r="S71" s="95" t="str">
        <f t="shared" si="37"/>
        <v>$G$71</v>
      </c>
      <c r="T71" s="95" t="str">
        <f t="shared" si="38"/>
        <v>$H$71</v>
      </c>
      <c r="U71" s="95" t="str">
        <f t="shared" si="39"/>
        <v>$I$71</v>
      </c>
      <c r="V71" s="95" t="str">
        <f t="shared" si="40"/>
        <v>$J$71</v>
      </c>
      <c r="W71" s="95" t="str">
        <f t="shared" si="41"/>
        <v>$K$71</v>
      </c>
      <c r="X71" s="95" t="str">
        <f t="shared" si="42"/>
        <v>$L$71</v>
      </c>
      <c r="Y71" s="95" t="str">
        <f t="shared" si="43"/>
        <v>$M$71</v>
      </c>
      <c r="Z71" s="95" t="str">
        <f t="shared" si="44"/>
        <v>$N$71</v>
      </c>
      <c r="AA71" s="94">
        <f ca="1">VLOOKUP($P71,'Regresion Q1'!$E$6:$I$10,4,1)*$P71+VLOOKUP($P71,'Regresion Q1'!$E$6:$I$10,5,1)</f>
        <v>3549787.6017946345</v>
      </c>
      <c r="AB71" s="94">
        <f ca="1">VLOOKUP($P71,'Regresion Q1'!$J$6:$N$10,4,1)*$P71+VLOOKUP($P71,'Regresion Q1'!$J$6:$N$10,5,1)</f>
        <v>3631252.0838208408</v>
      </c>
      <c r="AC71" s="94">
        <f ca="1">VLOOKUP($P71,'Regresion Q1'!$O$6:$S$10,4,1)*$P71+VLOOKUP($P71,'Regresion Q1'!$O$6:$S$10,5,1)</f>
        <v>3825944.0422008196</v>
      </c>
      <c r="AD71" s="94">
        <f ca="1">VLOOKUP($P71,'Regresion Md'!$E$6:$I$10,4,1)*$P71+VLOOKUP($P71,'Regresion Md'!$E$6:$I$10,5,1)</f>
        <v>4309544.6816114886</v>
      </c>
      <c r="AE71" s="94">
        <f ca="1">VLOOKUP($P71,'Regresion Md'!$J$6:$N$10,4,1)*$P71+VLOOKUP($P71,'Regresion Md'!$J$6:$N$10,5,1)</f>
        <v>4375175.3186444994</v>
      </c>
      <c r="AF71" s="94">
        <f ca="1">VLOOKUP($P71,'Regresion Md'!$O$6:$S$10,4,1)*$P71+VLOOKUP($P71,'Regresion Md'!$O$6:$S$10,5,1)</f>
        <v>4561838.9673644388</v>
      </c>
      <c r="AG71" s="94">
        <f ca="1">VLOOKUP($P71,'Regresion Q3'!$E$6:$I$10,4,1)*$P71+VLOOKUP($P71,'Regresion Q3'!$E$6:$I$10,5,1)</f>
        <v>5279877.6738703968</v>
      </c>
      <c r="AH71" s="94">
        <f ca="1">VLOOKUP($P71,'Regresion Q3'!$J$6:$N$10,4,1)*$P71+VLOOKUP($P71,'Regresion Q3'!$J$6:$N$10,5,1)</f>
        <v>5361617.2868853854</v>
      </c>
      <c r="AI71" s="94">
        <f ca="1">VLOOKUP($P71,'Regresion Q3'!$O$6:$S$10,4,1)*$P71+VLOOKUP($P71,'Regresion Q3'!$O$6:$S$10,5,1)</f>
        <v>5544005.9588883547</v>
      </c>
      <c r="AJ71" s="94">
        <f ca="1">VLOOKUP($P71,'Regresion Q1'!$T$6:$V$10,2,1)*$P71+VLOOKUP($P71,'Regresion Q1'!$T$6:$V$10,3,1)</f>
        <v>3321831.7932395679</v>
      </c>
      <c r="AK71" s="94">
        <f ca="1">VLOOKUP($P71,'Regresion Q1'!$W$6:$Y$10,2,1)*$P71+VLOOKUP($P71,'Regresion Q1'!$W$6:$Y$10,3,1)</f>
        <v>3426068.4133464824</v>
      </c>
      <c r="AL71" s="94">
        <f ca="1">VLOOKUP($P71,'Regresion Q1'!$Z$6:$AB$10,2,1)*$P71+VLOOKUP($P71,'Regresion Q1'!$Z$6:$AB$10,3,1)</f>
        <v>3565474.5309498338</v>
      </c>
      <c r="AM71" s="94">
        <f ca="1">VLOOKUP($P71,'Regresion Md'!$T$6:$V$10,2,1)*$P71+VLOOKUP($P71,'Regresion Md'!$T$6:$V$10,3,1)</f>
        <v>4189235.9756286629</v>
      </c>
      <c r="AN71" s="94">
        <f ca="1">VLOOKUP($P71,'Regresion Md'!$W$6:$Y$10,2,1)*$P71+VLOOKUP($P71,'Regresion Md'!$W$6:$Y$10,3,1)</f>
        <v>4314015.074751148</v>
      </c>
      <c r="AO71" s="94">
        <f ca="1">VLOOKUP($P71,'Regresion Md'!$Z$6:$AB$10,2,1)*$P71+VLOOKUP($P71,'Regresion Md'!$Z$6:$AB$10,3,1)</f>
        <v>4546494.4590615556</v>
      </c>
      <c r="AP71" s="94">
        <f ca="1">VLOOKUP($P71,'Regresion Q3'!$T$6:$V$10,2,1)*$P71+VLOOKUP($P71,'Regresion Q3'!$T$6:$V$10,3,1)</f>
        <v>5512761.4960033102</v>
      </c>
      <c r="AQ71" s="94">
        <f ca="1">VLOOKUP($P71,'Regresion Q3'!$W$6:$Y$10,2,1)*$P71+VLOOKUP($P71,'Regresion Q3'!$W$6:$Y$10,3,1)</f>
        <v>5665152.930664042</v>
      </c>
      <c r="AR71" s="94">
        <f ca="1">VLOOKUP($P71,'Regresion Q3'!$Z$6:$AB$10,2,1)*$P71+VLOOKUP($P71,'Regresion Q3'!$Z$6:$AB$10,3,1)</f>
        <v>5808843.1499080993</v>
      </c>
      <c r="AS71" s="94">
        <f>IF($BN71=$BN72,-1,DatosHoy[[#This Row],[G ajus PM Q1]]-BO72)</f>
        <v>-1</v>
      </c>
      <c r="AT71" s="94">
        <f>IF($BN71=$BN72,-1,DatosHoy[[#This Row],[G+V ajus PM Q1]]-BP72)</f>
        <v>-1</v>
      </c>
      <c r="AU71" s="94">
        <f>IF($BN71=$BN72,-1,DatosHoy[[#This Row],[CT ajus PM Q1]]-BQ72)</f>
        <v>-1</v>
      </c>
      <c r="AV71" s="94">
        <f ca="1">IF(DatosHoy[[#This Row],[G ajus PM Q1]]=DatosHoy[[#This Row],[G+V ajus PM Q1]],-1,DatosHoy[[#This Row],[G ajus PM Q1]]-DatosHoy[[#This Row],[G+V ajus PM Q1]])</f>
        <v>-105727.76128341863</v>
      </c>
      <c r="AW71" s="94">
        <f ca="1">IF(DatosHoy[[#This Row],[G+V ajus PM Q1]]=DatosHoy[[#This Row],[CT ajus PM Q1]],-1,DatosHoy[[#This Row],[G+V ajus PM Q1]]-DatosHoy[[#This Row],[CT ajus PM Q1]])</f>
        <v>-145774.47985139629</v>
      </c>
      <c r="AX71" s="94">
        <f>IF($BN71=$BN72,-1,DatosHoy[[#This Row],[G ajus PMd]]-BR72)</f>
        <v>-1</v>
      </c>
      <c r="AY71" s="94">
        <f>IF($BN71=$BN72,-1,DatosHoy[[#This Row],[G+V ajus PM Md]]-BS72)</f>
        <v>-1</v>
      </c>
      <c r="AZ71" s="94">
        <f>IF($BN71=$BN72,-1,DatosHoy[[#This Row],[CT ajus PM Md]]-BT72)</f>
        <v>-1</v>
      </c>
      <c r="BA71" s="94">
        <f ca="1">IF(DatosHoy[[#This Row],[G ajus PMd]]=DatosHoy[[#This Row],[G+V ajus PM Md]],-1,DatosHoy[[#This Row],[G ajus PMd]]-DatosHoy[[#This Row],[G+V ajus PM Md]])</f>
        <v>-151468.17388930079</v>
      </c>
      <c r="BB71" s="94">
        <f ca="1">IF(DatosHoy[[#This Row],[G+V ajus PM Md]]=DatosHoy[[#This Row],[CT ajus PM Md]],-1,DatosHoy[[#This Row],[G+V ajus PM Md]]-DatosHoy[[#This Row],[CT ajus PM Md]])</f>
        <v>-242223.16029422916</v>
      </c>
      <c r="BC71" s="94">
        <f>IF($BN71=$BN72,-1,DatosHoy[[#This Row],[G ajus PM Q3]]-BU72)</f>
        <v>-1</v>
      </c>
      <c r="BD71" s="94">
        <f>IF($BN71=$BN72,-1,DatosHoy[[#This Row],[G+V ajus PM Q3]]-BV72)</f>
        <v>-1</v>
      </c>
      <c r="BE71" s="94">
        <f>IF($BN71=$BN72,-1,DatosHoy[[#This Row],[CT ajus PM Q3]]-BW72)</f>
        <v>-1</v>
      </c>
      <c r="BF71" s="94">
        <f ca="1">IF(DatosHoy[[#This Row],[G ajus PM Q3]]=DatosHoy[[#This Row],[G+V ajus PM Q3]],-1,DatosHoy[[#This Row],[G ajus PM Q3]]-DatosHoy[[#This Row],[G+V ajus PM Q3]])</f>
        <v>-158477.96503032744</v>
      </c>
      <c r="BG71" s="94">
        <f ca="1">IF(DatosHoy[[#This Row],[G+V ajus PM Q3]]=DatosHoy[[#This Row],[CT ajus PM Q3]],-1,DatosHoy[[#This Row],[G+V ajus PM Q3]]-DatosHoy[[#This Row],[CT ajus PM Q3]])</f>
        <v>-148668.53317942191</v>
      </c>
      <c r="BH71" s="94">
        <f ca="1">IF(DatosHoy[[#This Row],[G ajus PM Q1]]=DatosHoy[[#This Row],[G ajus PMd]],-1,DatosHoy[[#This Row],[G ajus PM Q1]]-DatosHoy[[#This Row],[G ajus PMd]])</f>
        <v>-1048482.2352042263</v>
      </c>
      <c r="BI71" s="94">
        <f ca="1">IF(DatosHoy[[#This Row],[G+V ajus PM Q1]]=DatosHoy[[#This Row],[G+V ajus PM Md]],-1,DatosHoy[[#This Row],[G+V ajus PM Q1]]-DatosHoy[[#This Row],[G+V ajus PM Md]])</f>
        <v>-1094222.6478101085</v>
      </c>
      <c r="BJ71" s="94">
        <f ca="1">IF(DatosHoy[[#This Row],[CT ajus PM Q1]]=DatosHoy[[#This Row],[CT ajus PM Md]],-1,DatosHoy[[#This Row],[CT ajus PM Q1]]-DatosHoy[[#This Row],[CT ajus PM Md]])</f>
        <v>-1190671.3282529414</v>
      </c>
      <c r="BK71" s="94">
        <f ca="1">IF(DatosHoy[[#This Row],[G ajus PMd]]=DatosHoy[[#This Row],[G ajus PM Q3]],-1,DatosHoy[[#This Row],[G ajus PMd]]-DatosHoy[[#This Row],[G ajus PM Q3]])</f>
        <v>-1260844.9115298931</v>
      </c>
      <c r="BL71" s="94">
        <f ca="1">IF(DatosHoy[[#This Row],[G+V ajus PM Md]]=DatosHoy[[#This Row],[G+V ajus PM Q3]],-1,DatosHoy[[#This Row],[G+V ajus PM Md]]-DatosHoy[[#This Row],[G+V ajus PM Q3]])</f>
        <v>-1267854.7026709197</v>
      </c>
      <c r="BM71" s="94">
        <f ca="1">IF(DatosHoy[[#This Row],[CT ajus PM Md]]=DatosHoy[[#This Row],[CT ajus PM Q3]],-1,DatosHoy[[#This Row],[CT ajus PM Md]]-DatosHoy[[#This Row],[CT ajus PM Q3]])</f>
        <v>-1174300.0755561125</v>
      </c>
      <c r="BN71" s="74">
        <v>287</v>
      </c>
      <c r="BO71" s="94">
        <f ca="1">IFERROR(VLOOKUP($BN71,'Regresion Q1'!$T$6:$V$10,2,1)*$BN71+VLOOKUP($BN71,'Regresion Q1'!$T$6:$V$10,3,1),VLOOKUP(MIN(DatosHoy[Puntos]),'Regresion Q1'!$T$6:$V$10,2,1)*$BN71+VLOOKUP(MIN(DatosHoy[Puntos]),'Regresion Q1'!$T$6:$V$10,3,1))</f>
        <v>3461879.6456658933</v>
      </c>
      <c r="BP71" s="94">
        <f ca="1">IFERROR(VLOOKUP($BN71,'Regresion Q1'!$W$6:$Y$10,2,1)*$BN71+VLOOKUP($BN71,'Regresion Q1'!$W$6:$Y$10,3,1),VLOOKUP(MIN(DatosHoy[Puntos]),'Regresion Q1'!$W$6:$Y$10,2,1)*$BN71+VLOOKUP(MIN(DatosHoy[Puntos]),'Regresion Q1'!$W$6:$Y$10,3,1))</f>
        <v>3567607.406949312</v>
      </c>
      <c r="BQ71" s="94">
        <f ca="1">IFERROR(VLOOKUP($BN71,'Regresion Q1'!$Z$6:$AB$10,2,1)*$BN71+VLOOKUP($BN71,'Regresion Q1'!$Z$6:$AB$10,3,1),VLOOKUP(MIN(DatosHoy[Puntos]),'Regresion Q1'!$Z$6:$AB$10,2,1)*$BN71+VLOOKUP(MIN(DatosHoy[Puntos]),'Regresion Q1'!$Z$6:$AB$10,3,1))</f>
        <v>3713381.8868007082</v>
      </c>
      <c r="BR71" s="94">
        <f ca="1">IFERROR(VLOOKUP($BN71,'Regresion Md'!$T$6:$V$10,2,1)*$BN71+VLOOKUP($BN71,'Regresion Md'!$T$6:$V$10,3,1),VLOOKUP(MIN(DatosHoy[Puntos]),'Regresion Md'!$T$6:$V$10,2,1)*$BN71+VLOOKUP(MIN(DatosHoy[Puntos]),'Regresion Md'!$T$6:$V$10,3,1))</f>
        <v>4510361.8808701197</v>
      </c>
      <c r="BS71" s="94">
        <f ca="1">IFERROR(VLOOKUP($BN71,'Regresion Md'!$W$6:$Y$10,2,1)*$BN71+VLOOKUP($BN71,'Regresion Md'!$W$6:$Y$10,3,1),VLOOKUP(MIN(DatosHoy[Puntos]),'Regresion Md'!$W$6:$Y$10,2,1)*$BN71+VLOOKUP(MIN(DatosHoy[Puntos]),'Regresion Md'!$W$6:$Y$10,3,1))</f>
        <v>4661830.0547594205</v>
      </c>
      <c r="BT71" s="94">
        <f ca="1">IFERROR(VLOOKUP($BN71,'Regresion Md'!$Z$6:$AB$10,2,1)*$BN71+VLOOKUP($BN71,'Regresion Md'!$Z$6:$AB$10,3,1),VLOOKUP(MIN(DatosHoy[Puntos]),'Regresion Md'!$Z$6:$AB$10,2,1)*$BN71+VLOOKUP(MIN(DatosHoy[Puntos]),'Regresion Md'!$Z$6:$AB$10,3,1))</f>
        <v>4904053.2150536496</v>
      </c>
      <c r="BU71" s="94">
        <f ca="1">IFERROR(VLOOKUP($BN71,'Regresion Q3'!$T$6:$V$10,2,1)*$BN71+VLOOKUP($BN71,'Regresion Q3'!$T$6:$V$10,3,1),VLOOKUP(MIN(DatosHoy[Puntos]),'Regresion Q3'!$T$6:$V$10,2,1)*$BN71+VLOOKUP(MIN(DatosHoy[Puntos]),'Regresion Q3'!$T$6:$V$10,3,1))</f>
        <v>5771206.7924000127</v>
      </c>
      <c r="BV71" s="94">
        <f ca="1">IFERROR(VLOOKUP($BN71,'Regresion Q3'!$W$6:$Y$10,2,1)*$BN71+VLOOKUP($BN71,'Regresion Q3'!$W$6:$Y$10,3,1),VLOOKUP(MIN(DatosHoy[Puntos]),'Regresion Q3'!$W$6:$Y$10,2,1)*$BN71+VLOOKUP(MIN(DatosHoy[Puntos]),'Regresion Q3'!$W$6:$Y$10,3,1))</f>
        <v>5929684.7574303402</v>
      </c>
      <c r="BW71" s="94">
        <f ca="1">IFERROR(VLOOKUP($BN71,'Regresion Q3'!$Z$6:$AB$10,2,1)*$BN71+VLOOKUP($BN71,'Regresion Q3'!$Z$6:$AB$10,3,1),VLOOKUP(MIN(DatosHoy[Puntos]),'Regresion Q3'!$Z$6:$AB$10,2,1)*$BN71+VLOOKUP(MIN(DatosHoy[Puntos]),'Regresion Q3'!$Z$6:$AB$10,3,1))</f>
        <v>6078353.2906097621</v>
      </c>
      <c r="BX71" s="96">
        <f ca="1">DatosHoy[[#This Row],[CT Actual]]/DatosHoy[[#This Row],[CT ajus PM Md]]</f>
        <v>0.68382404369225702</v>
      </c>
      <c r="BY71" s="125" t="str">
        <f>VLOOKUP(DatosHoy[[#This Row],[Cargo Valorado]],Estadísticos[[Cargo]:[Nivel]],2,FALSE)</f>
        <v>Táctico</v>
      </c>
      <c r="BZ71" s="96">
        <f>(DatosHoy[[#This Row],[G+V Actual]]-DatosHoy[[#This Row],[G Actual]])/DatosHoy[[#This Row],[CT Actual]]</f>
        <v>0</v>
      </c>
      <c r="CA71" s="96">
        <f>(DatosHoy[[#This Row],[CT Actual]]-DatosHoy[[#This Row],[G+V Actual]])/DatosHoy[[#This Row],[CT Actual]]</f>
        <v>0</v>
      </c>
      <c r="CB71" s="139" t="s">
        <v>255</v>
      </c>
    </row>
    <row r="72" spans="2:80" x14ac:dyDescent="0.25">
      <c r="B72" s="73">
        <f t="shared" si="45"/>
        <v>67</v>
      </c>
      <c r="C72" s="74">
        <v>3353509.5000000005</v>
      </c>
      <c r="D72" s="74">
        <v>3353509.5000000005</v>
      </c>
      <c r="E72" s="74">
        <v>3353509.5000000005</v>
      </c>
      <c r="F72" s="94">
        <f>VLOOKUP(DatosHoy[[#This Row],[Cargo Valorado]],Estadísticos[],3,0)</f>
        <v>4089566.5803085933</v>
      </c>
      <c r="G72" s="94">
        <f>VLOOKUP(DatosHoy[[#This Row],[Cargo Valorado]],Estadísticos[],4,0)</f>
        <v>4089566.5803085933</v>
      </c>
      <c r="H72" s="94">
        <f>VLOOKUP(DatosHoy[[#This Row],[Cargo Valorado]],Estadísticos[],5,0)</f>
        <v>4645322.3801100645</v>
      </c>
      <c r="I72" s="94">
        <f>VLOOKUP(DatosHoy[[#This Row],[Cargo Valorado]],Estadísticos[],6,0)</f>
        <v>4772117.8965846505</v>
      </c>
      <c r="J72" s="94">
        <f>VLOOKUP(DatosHoy[[#This Row],[Cargo Valorado]],Estadísticos[],7,0)</f>
        <v>4772117.8965846505</v>
      </c>
      <c r="K72" s="94">
        <f>VLOOKUP(DatosHoy[[#This Row],[Cargo Valorado]],Estadísticos[],8,0)</f>
        <v>5164372.9384717913</v>
      </c>
      <c r="L72" s="94">
        <f>VLOOKUP(DatosHoy[[#This Row],[Cargo Valorado]],Estadísticos[],9,0)</f>
        <v>5494490.178075688</v>
      </c>
      <c r="M72" s="94">
        <f>VLOOKUP(DatosHoy[[#This Row],[Cargo Valorado]],Estadísticos[],10,0)</f>
        <v>5494490.178075688</v>
      </c>
      <c r="N72" s="94">
        <f>VLOOKUP(DatosHoy[[#This Row],[Cargo Valorado]],Estadísticos[],11,0)</f>
        <v>5665882.0180756878</v>
      </c>
      <c r="O72" s="75" t="s">
        <v>226</v>
      </c>
      <c r="P72" s="75">
        <v>273</v>
      </c>
      <c r="Q72" s="95" t="str">
        <f t="shared" si="35"/>
        <v>$P$72</v>
      </c>
      <c r="R72" s="95" t="str">
        <f t="shared" si="36"/>
        <v>$F$72</v>
      </c>
      <c r="S72" s="95" t="str">
        <f t="shared" si="37"/>
        <v>$G$72</v>
      </c>
      <c r="T72" s="95" t="str">
        <f t="shared" si="38"/>
        <v>$H$72</v>
      </c>
      <c r="U72" s="95" t="str">
        <f t="shared" si="39"/>
        <v>$I$72</v>
      </c>
      <c r="V72" s="95" t="str">
        <f t="shared" si="40"/>
        <v>$J$72</v>
      </c>
      <c r="W72" s="95" t="str">
        <f t="shared" si="41"/>
        <v>$K$72</v>
      </c>
      <c r="X72" s="95" t="str">
        <f t="shared" si="42"/>
        <v>$L$72</v>
      </c>
      <c r="Y72" s="95" t="str">
        <f t="shared" si="43"/>
        <v>$M$72</v>
      </c>
      <c r="Z72" s="95" t="str">
        <f t="shared" si="44"/>
        <v>$N$72</v>
      </c>
      <c r="AA72" s="94">
        <f ca="1">VLOOKUP($P72,'Regresion Q1'!$E$6:$I$10,4,1)*$P72+VLOOKUP($P72,'Regresion Q1'!$E$6:$I$10,5,1)</f>
        <v>3549787.6017946345</v>
      </c>
      <c r="AB72" s="94">
        <f ca="1">VLOOKUP($P72,'Regresion Q1'!$J$6:$N$10,4,1)*$P72+VLOOKUP($P72,'Regresion Q1'!$J$6:$N$10,5,1)</f>
        <v>3631252.0838208408</v>
      </c>
      <c r="AC72" s="94">
        <f ca="1">VLOOKUP($P72,'Regresion Q1'!$O$6:$S$10,4,1)*$P72+VLOOKUP($P72,'Regresion Q1'!$O$6:$S$10,5,1)</f>
        <v>3825944.0422008196</v>
      </c>
      <c r="AD72" s="94">
        <f ca="1">VLOOKUP($P72,'Regresion Md'!$E$6:$I$10,4,1)*$P72+VLOOKUP($P72,'Regresion Md'!$E$6:$I$10,5,1)</f>
        <v>4309544.6816114886</v>
      </c>
      <c r="AE72" s="94">
        <f ca="1">VLOOKUP($P72,'Regresion Md'!$J$6:$N$10,4,1)*$P72+VLOOKUP($P72,'Regresion Md'!$J$6:$N$10,5,1)</f>
        <v>4375175.3186444994</v>
      </c>
      <c r="AF72" s="94">
        <f ca="1">VLOOKUP($P72,'Regresion Md'!$O$6:$S$10,4,1)*$P72+VLOOKUP($P72,'Regresion Md'!$O$6:$S$10,5,1)</f>
        <v>4561838.9673644388</v>
      </c>
      <c r="AG72" s="94">
        <f ca="1">VLOOKUP($P72,'Regresion Q3'!$E$6:$I$10,4,1)*$P72+VLOOKUP($P72,'Regresion Q3'!$E$6:$I$10,5,1)</f>
        <v>5279877.6738703968</v>
      </c>
      <c r="AH72" s="94">
        <f ca="1">VLOOKUP($P72,'Regresion Q3'!$J$6:$N$10,4,1)*$P72+VLOOKUP($P72,'Regresion Q3'!$J$6:$N$10,5,1)</f>
        <v>5361617.2868853854</v>
      </c>
      <c r="AI72" s="94">
        <f ca="1">VLOOKUP($P72,'Regresion Q3'!$O$6:$S$10,4,1)*$P72+VLOOKUP($P72,'Regresion Q3'!$O$6:$S$10,5,1)</f>
        <v>5544005.9588883547</v>
      </c>
      <c r="AJ72" s="94">
        <f ca="1">VLOOKUP($P72,'Regresion Q1'!$T$6:$V$10,2,1)*$P72+VLOOKUP($P72,'Regresion Q1'!$T$6:$V$10,3,1)</f>
        <v>3321831.7932395679</v>
      </c>
      <c r="AK72" s="94">
        <f ca="1">VLOOKUP($P72,'Regresion Q1'!$W$6:$Y$10,2,1)*$P72+VLOOKUP($P72,'Regresion Q1'!$W$6:$Y$10,3,1)</f>
        <v>3426068.4133464824</v>
      </c>
      <c r="AL72" s="94">
        <f ca="1">VLOOKUP($P72,'Regresion Q1'!$Z$6:$AB$10,2,1)*$P72+VLOOKUP($P72,'Regresion Q1'!$Z$6:$AB$10,3,1)</f>
        <v>3565474.5309498338</v>
      </c>
      <c r="AM72" s="94">
        <f ca="1">VLOOKUP($P72,'Regresion Md'!$T$6:$V$10,2,1)*$P72+VLOOKUP($P72,'Regresion Md'!$T$6:$V$10,3,1)</f>
        <v>4189235.9756286629</v>
      </c>
      <c r="AN72" s="94">
        <f ca="1">VLOOKUP($P72,'Regresion Md'!$W$6:$Y$10,2,1)*$P72+VLOOKUP($P72,'Regresion Md'!$W$6:$Y$10,3,1)</f>
        <v>4314015.074751148</v>
      </c>
      <c r="AO72" s="94">
        <f ca="1">VLOOKUP($P72,'Regresion Md'!$Z$6:$AB$10,2,1)*$P72+VLOOKUP($P72,'Regresion Md'!$Z$6:$AB$10,3,1)</f>
        <v>4546494.4590615556</v>
      </c>
      <c r="AP72" s="94">
        <f ca="1">VLOOKUP($P72,'Regresion Q3'!$T$6:$V$10,2,1)*$P72+VLOOKUP($P72,'Regresion Q3'!$T$6:$V$10,3,1)</f>
        <v>5512761.4960033102</v>
      </c>
      <c r="AQ72" s="94">
        <f ca="1">VLOOKUP($P72,'Regresion Q3'!$W$6:$Y$10,2,1)*$P72+VLOOKUP($P72,'Regresion Q3'!$W$6:$Y$10,3,1)</f>
        <v>5665152.930664042</v>
      </c>
      <c r="AR72" s="94">
        <f ca="1">VLOOKUP($P72,'Regresion Q3'!$Z$6:$AB$10,2,1)*$P72+VLOOKUP($P72,'Regresion Q3'!$Z$6:$AB$10,3,1)</f>
        <v>5808843.1499080993</v>
      </c>
      <c r="AS72" s="94">
        <f>IF($BN72=$BN73,-1,DatosHoy[[#This Row],[G ajus PM Q1]]-BO73)</f>
        <v>-1</v>
      </c>
      <c r="AT72" s="94">
        <f>IF($BN72=$BN73,-1,DatosHoy[[#This Row],[G+V ajus PM Q1]]-BP73)</f>
        <v>-1</v>
      </c>
      <c r="AU72" s="94">
        <f>IF($BN72=$BN73,-1,DatosHoy[[#This Row],[CT ajus PM Q1]]-BQ73)</f>
        <v>-1</v>
      </c>
      <c r="AV72" s="94">
        <f ca="1">IF(DatosHoy[[#This Row],[G ajus PM Q1]]=DatosHoy[[#This Row],[G+V ajus PM Q1]],-1,DatosHoy[[#This Row],[G ajus PM Q1]]-DatosHoy[[#This Row],[G+V ajus PM Q1]])</f>
        <v>-105727.76128341863</v>
      </c>
      <c r="AW72" s="94">
        <f ca="1">IF(DatosHoy[[#This Row],[G+V ajus PM Q1]]=DatosHoy[[#This Row],[CT ajus PM Q1]],-1,DatosHoy[[#This Row],[G+V ajus PM Q1]]-DatosHoy[[#This Row],[CT ajus PM Q1]])</f>
        <v>-145774.47985139629</v>
      </c>
      <c r="AX72" s="94">
        <f>IF($BN72=$BN73,-1,DatosHoy[[#This Row],[G ajus PMd]]-BR73)</f>
        <v>-1</v>
      </c>
      <c r="AY72" s="94">
        <f>IF($BN72=$BN73,-1,DatosHoy[[#This Row],[G+V ajus PM Md]]-BS73)</f>
        <v>-1</v>
      </c>
      <c r="AZ72" s="94">
        <f>IF($BN72=$BN73,-1,DatosHoy[[#This Row],[CT ajus PM Md]]-BT73)</f>
        <v>-1</v>
      </c>
      <c r="BA72" s="94">
        <f ca="1">IF(DatosHoy[[#This Row],[G ajus PMd]]=DatosHoy[[#This Row],[G+V ajus PM Md]],-1,DatosHoy[[#This Row],[G ajus PMd]]-DatosHoy[[#This Row],[G+V ajus PM Md]])</f>
        <v>-151468.17388930079</v>
      </c>
      <c r="BB72" s="94">
        <f ca="1">IF(DatosHoy[[#This Row],[G+V ajus PM Md]]=DatosHoy[[#This Row],[CT ajus PM Md]],-1,DatosHoy[[#This Row],[G+V ajus PM Md]]-DatosHoy[[#This Row],[CT ajus PM Md]])</f>
        <v>-242223.16029422916</v>
      </c>
      <c r="BC72" s="94">
        <f>IF($BN72=$BN73,-1,DatosHoy[[#This Row],[G ajus PM Q3]]-BU73)</f>
        <v>-1</v>
      </c>
      <c r="BD72" s="94">
        <f>IF($BN72=$BN73,-1,DatosHoy[[#This Row],[G+V ajus PM Q3]]-BV73)</f>
        <v>-1</v>
      </c>
      <c r="BE72" s="94">
        <f>IF($BN72=$BN73,-1,DatosHoy[[#This Row],[CT ajus PM Q3]]-BW73)</f>
        <v>-1</v>
      </c>
      <c r="BF72" s="94">
        <f ca="1">IF(DatosHoy[[#This Row],[G ajus PM Q3]]=DatosHoy[[#This Row],[G+V ajus PM Q3]],-1,DatosHoy[[#This Row],[G ajus PM Q3]]-DatosHoy[[#This Row],[G+V ajus PM Q3]])</f>
        <v>-158477.96503032744</v>
      </c>
      <c r="BG72" s="94">
        <f ca="1">IF(DatosHoy[[#This Row],[G+V ajus PM Q3]]=DatosHoy[[#This Row],[CT ajus PM Q3]],-1,DatosHoy[[#This Row],[G+V ajus PM Q3]]-DatosHoy[[#This Row],[CT ajus PM Q3]])</f>
        <v>-148668.53317942191</v>
      </c>
      <c r="BH72" s="94">
        <f ca="1">IF(DatosHoy[[#This Row],[G ajus PM Q1]]=DatosHoy[[#This Row],[G ajus PMd]],-1,DatosHoy[[#This Row],[G ajus PM Q1]]-DatosHoy[[#This Row],[G ajus PMd]])</f>
        <v>-1048482.2352042263</v>
      </c>
      <c r="BI72" s="94">
        <f ca="1">IF(DatosHoy[[#This Row],[G+V ajus PM Q1]]=DatosHoy[[#This Row],[G+V ajus PM Md]],-1,DatosHoy[[#This Row],[G+V ajus PM Q1]]-DatosHoy[[#This Row],[G+V ajus PM Md]])</f>
        <v>-1094222.6478101085</v>
      </c>
      <c r="BJ72" s="94">
        <f ca="1">IF(DatosHoy[[#This Row],[CT ajus PM Q1]]=DatosHoy[[#This Row],[CT ajus PM Md]],-1,DatosHoy[[#This Row],[CT ajus PM Q1]]-DatosHoy[[#This Row],[CT ajus PM Md]])</f>
        <v>-1190671.3282529414</v>
      </c>
      <c r="BK72" s="94">
        <f ca="1">IF(DatosHoy[[#This Row],[G ajus PMd]]=DatosHoy[[#This Row],[G ajus PM Q3]],-1,DatosHoy[[#This Row],[G ajus PMd]]-DatosHoy[[#This Row],[G ajus PM Q3]])</f>
        <v>-1260844.9115298931</v>
      </c>
      <c r="BL72" s="94">
        <f ca="1">IF(DatosHoy[[#This Row],[G+V ajus PM Md]]=DatosHoy[[#This Row],[G+V ajus PM Q3]],-1,DatosHoy[[#This Row],[G+V ajus PM Md]]-DatosHoy[[#This Row],[G+V ajus PM Q3]])</f>
        <v>-1267854.7026709197</v>
      </c>
      <c r="BM72" s="94">
        <f ca="1">IF(DatosHoy[[#This Row],[CT ajus PM Md]]=DatosHoy[[#This Row],[CT ajus PM Q3]],-1,DatosHoy[[#This Row],[CT ajus PM Md]]-DatosHoy[[#This Row],[CT ajus PM Q3]])</f>
        <v>-1174300.0755561125</v>
      </c>
      <c r="BN72" s="74">
        <v>287</v>
      </c>
      <c r="BO72" s="94">
        <f ca="1">IFERROR(VLOOKUP($BN72,'Regresion Q1'!$T$6:$V$10,2,1)*$BN72+VLOOKUP($BN72,'Regresion Q1'!$T$6:$V$10,3,1),VLOOKUP(MIN(DatosHoy[Puntos]),'Regresion Q1'!$T$6:$V$10,2,1)*$BN72+VLOOKUP(MIN(DatosHoy[Puntos]),'Regresion Q1'!$T$6:$V$10,3,1))</f>
        <v>3461879.6456658933</v>
      </c>
      <c r="BP72" s="94">
        <f ca="1">IFERROR(VLOOKUP($BN72,'Regresion Q1'!$W$6:$Y$10,2,1)*$BN72+VLOOKUP($BN72,'Regresion Q1'!$W$6:$Y$10,3,1),VLOOKUP(MIN(DatosHoy[Puntos]),'Regresion Q1'!$W$6:$Y$10,2,1)*$BN72+VLOOKUP(MIN(DatosHoy[Puntos]),'Regresion Q1'!$W$6:$Y$10,3,1))</f>
        <v>3567607.406949312</v>
      </c>
      <c r="BQ72" s="94">
        <f ca="1">IFERROR(VLOOKUP($BN72,'Regresion Q1'!$Z$6:$AB$10,2,1)*$BN72+VLOOKUP($BN72,'Regresion Q1'!$Z$6:$AB$10,3,1),VLOOKUP(MIN(DatosHoy[Puntos]),'Regresion Q1'!$Z$6:$AB$10,2,1)*$BN72+VLOOKUP(MIN(DatosHoy[Puntos]),'Regresion Q1'!$Z$6:$AB$10,3,1))</f>
        <v>3713381.8868007082</v>
      </c>
      <c r="BR72" s="94">
        <f ca="1">IFERROR(VLOOKUP($BN72,'Regresion Md'!$T$6:$V$10,2,1)*$BN72+VLOOKUP($BN72,'Regresion Md'!$T$6:$V$10,3,1),VLOOKUP(MIN(DatosHoy[Puntos]),'Regresion Md'!$T$6:$V$10,2,1)*$BN72+VLOOKUP(MIN(DatosHoy[Puntos]),'Regresion Md'!$T$6:$V$10,3,1))</f>
        <v>4510361.8808701197</v>
      </c>
      <c r="BS72" s="94">
        <f ca="1">IFERROR(VLOOKUP($BN72,'Regresion Md'!$W$6:$Y$10,2,1)*$BN72+VLOOKUP($BN72,'Regresion Md'!$W$6:$Y$10,3,1),VLOOKUP(MIN(DatosHoy[Puntos]),'Regresion Md'!$W$6:$Y$10,2,1)*$BN72+VLOOKUP(MIN(DatosHoy[Puntos]),'Regresion Md'!$W$6:$Y$10,3,1))</f>
        <v>4661830.0547594205</v>
      </c>
      <c r="BT72" s="94">
        <f ca="1">IFERROR(VLOOKUP($BN72,'Regresion Md'!$Z$6:$AB$10,2,1)*$BN72+VLOOKUP($BN72,'Regresion Md'!$Z$6:$AB$10,3,1),VLOOKUP(MIN(DatosHoy[Puntos]),'Regresion Md'!$Z$6:$AB$10,2,1)*$BN72+VLOOKUP(MIN(DatosHoy[Puntos]),'Regresion Md'!$Z$6:$AB$10,3,1))</f>
        <v>4904053.2150536496</v>
      </c>
      <c r="BU72" s="94">
        <f ca="1">IFERROR(VLOOKUP($BN72,'Regresion Q3'!$T$6:$V$10,2,1)*$BN72+VLOOKUP($BN72,'Regresion Q3'!$T$6:$V$10,3,1),VLOOKUP(MIN(DatosHoy[Puntos]),'Regresion Q3'!$T$6:$V$10,2,1)*$BN72+VLOOKUP(MIN(DatosHoy[Puntos]),'Regresion Q3'!$T$6:$V$10,3,1))</f>
        <v>5771206.7924000127</v>
      </c>
      <c r="BV72" s="94">
        <f ca="1">IFERROR(VLOOKUP($BN72,'Regresion Q3'!$W$6:$Y$10,2,1)*$BN72+VLOOKUP($BN72,'Regresion Q3'!$W$6:$Y$10,3,1),VLOOKUP(MIN(DatosHoy[Puntos]),'Regresion Q3'!$W$6:$Y$10,2,1)*$BN72+VLOOKUP(MIN(DatosHoy[Puntos]),'Regresion Q3'!$W$6:$Y$10,3,1))</f>
        <v>5929684.7574303402</v>
      </c>
      <c r="BW72" s="94">
        <f ca="1">IFERROR(VLOOKUP($BN72,'Regresion Q3'!$Z$6:$AB$10,2,1)*$BN72+VLOOKUP($BN72,'Regresion Q3'!$Z$6:$AB$10,3,1),VLOOKUP(MIN(DatosHoy[Puntos]),'Regresion Q3'!$Z$6:$AB$10,2,1)*$BN72+VLOOKUP(MIN(DatosHoy[Puntos]),'Regresion Q3'!$Z$6:$AB$10,3,1))</f>
        <v>6078353.2906097621</v>
      </c>
      <c r="BX72" s="96">
        <f ca="1">DatosHoy[[#This Row],[CT Actual]]/DatosHoy[[#This Row],[CT ajus PM Md]]</f>
        <v>0.68382404369225702</v>
      </c>
      <c r="BY72" s="125" t="str">
        <f>VLOOKUP(DatosHoy[[#This Row],[Cargo Valorado]],Estadísticos[[Cargo]:[Nivel]],2,FALSE)</f>
        <v>Táctico</v>
      </c>
      <c r="BZ72" s="96">
        <f>(DatosHoy[[#This Row],[G+V Actual]]-DatosHoy[[#This Row],[G Actual]])/DatosHoy[[#This Row],[CT Actual]]</f>
        <v>0</v>
      </c>
      <c r="CA72" s="96">
        <f>(DatosHoy[[#This Row],[CT Actual]]-DatosHoy[[#This Row],[G+V Actual]])/DatosHoy[[#This Row],[CT Actual]]</f>
        <v>0</v>
      </c>
      <c r="CB72" s="139" t="s">
        <v>255</v>
      </c>
    </row>
    <row r="73" spans="2:80" x14ac:dyDescent="0.25">
      <c r="B73" s="73">
        <f t="shared" si="45"/>
        <v>68</v>
      </c>
      <c r="C73" s="74">
        <v>3353509.5000000005</v>
      </c>
      <c r="D73" s="74">
        <v>3353509.5000000005</v>
      </c>
      <c r="E73" s="74">
        <v>3353509.5000000005</v>
      </c>
      <c r="F73" s="94">
        <f>VLOOKUP(DatosHoy[[#This Row],[Cargo Valorado]],Estadísticos[],3,0)</f>
        <v>4089566.5803085933</v>
      </c>
      <c r="G73" s="94">
        <f>VLOOKUP(DatosHoy[[#This Row],[Cargo Valorado]],Estadísticos[],4,0)</f>
        <v>4089566.5803085933</v>
      </c>
      <c r="H73" s="94">
        <f>VLOOKUP(DatosHoy[[#This Row],[Cargo Valorado]],Estadísticos[],5,0)</f>
        <v>4645322.3801100645</v>
      </c>
      <c r="I73" s="94">
        <f>VLOOKUP(DatosHoy[[#This Row],[Cargo Valorado]],Estadísticos[],6,0)</f>
        <v>4772117.8965846505</v>
      </c>
      <c r="J73" s="94">
        <f>VLOOKUP(DatosHoy[[#This Row],[Cargo Valorado]],Estadísticos[],7,0)</f>
        <v>4772117.8965846505</v>
      </c>
      <c r="K73" s="94">
        <f>VLOOKUP(DatosHoy[[#This Row],[Cargo Valorado]],Estadísticos[],8,0)</f>
        <v>5164372.9384717913</v>
      </c>
      <c r="L73" s="94">
        <f>VLOOKUP(DatosHoy[[#This Row],[Cargo Valorado]],Estadísticos[],9,0)</f>
        <v>5494490.178075688</v>
      </c>
      <c r="M73" s="94">
        <f>VLOOKUP(DatosHoy[[#This Row],[Cargo Valorado]],Estadísticos[],10,0)</f>
        <v>5494490.178075688</v>
      </c>
      <c r="N73" s="94">
        <f>VLOOKUP(DatosHoy[[#This Row],[Cargo Valorado]],Estadísticos[],11,0)</f>
        <v>5665882.0180756878</v>
      </c>
      <c r="O73" s="75" t="s">
        <v>226</v>
      </c>
      <c r="P73" s="75">
        <v>273</v>
      </c>
      <c r="Q73" s="95" t="str">
        <f t="shared" si="35"/>
        <v>$P$73</v>
      </c>
      <c r="R73" s="95" t="str">
        <f t="shared" si="36"/>
        <v>$F$73</v>
      </c>
      <c r="S73" s="95" t="str">
        <f t="shared" si="37"/>
        <v>$G$73</v>
      </c>
      <c r="T73" s="95" t="str">
        <f t="shared" si="38"/>
        <v>$H$73</v>
      </c>
      <c r="U73" s="95" t="str">
        <f t="shared" si="39"/>
        <v>$I$73</v>
      </c>
      <c r="V73" s="95" t="str">
        <f t="shared" si="40"/>
        <v>$J$73</v>
      </c>
      <c r="W73" s="95" t="str">
        <f t="shared" si="41"/>
        <v>$K$73</v>
      </c>
      <c r="X73" s="95" t="str">
        <f t="shared" si="42"/>
        <v>$L$73</v>
      </c>
      <c r="Y73" s="95" t="str">
        <f t="shared" si="43"/>
        <v>$M$73</v>
      </c>
      <c r="Z73" s="95" t="str">
        <f t="shared" si="44"/>
        <v>$N$73</v>
      </c>
      <c r="AA73" s="94">
        <f ca="1">VLOOKUP($P73,'Regresion Q1'!$E$6:$I$10,4,1)*$P73+VLOOKUP($P73,'Regresion Q1'!$E$6:$I$10,5,1)</f>
        <v>3549787.6017946345</v>
      </c>
      <c r="AB73" s="94">
        <f ca="1">VLOOKUP($P73,'Regresion Q1'!$J$6:$N$10,4,1)*$P73+VLOOKUP($P73,'Regresion Q1'!$J$6:$N$10,5,1)</f>
        <v>3631252.0838208408</v>
      </c>
      <c r="AC73" s="94">
        <f ca="1">VLOOKUP($P73,'Regresion Q1'!$O$6:$S$10,4,1)*$P73+VLOOKUP($P73,'Regresion Q1'!$O$6:$S$10,5,1)</f>
        <v>3825944.0422008196</v>
      </c>
      <c r="AD73" s="94">
        <f ca="1">VLOOKUP($P73,'Regresion Md'!$E$6:$I$10,4,1)*$P73+VLOOKUP($P73,'Regresion Md'!$E$6:$I$10,5,1)</f>
        <v>4309544.6816114886</v>
      </c>
      <c r="AE73" s="94">
        <f ca="1">VLOOKUP($P73,'Regresion Md'!$J$6:$N$10,4,1)*$P73+VLOOKUP($P73,'Regresion Md'!$J$6:$N$10,5,1)</f>
        <v>4375175.3186444994</v>
      </c>
      <c r="AF73" s="94">
        <f ca="1">VLOOKUP($P73,'Regresion Md'!$O$6:$S$10,4,1)*$P73+VLOOKUP($P73,'Regresion Md'!$O$6:$S$10,5,1)</f>
        <v>4561838.9673644388</v>
      </c>
      <c r="AG73" s="94">
        <f ca="1">VLOOKUP($P73,'Regresion Q3'!$E$6:$I$10,4,1)*$P73+VLOOKUP($P73,'Regresion Q3'!$E$6:$I$10,5,1)</f>
        <v>5279877.6738703968</v>
      </c>
      <c r="AH73" s="94">
        <f ca="1">VLOOKUP($P73,'Regresion Q3'!$J$6:$N$10,4,1)*$P73+VLOOKUP($P73,'Regresion Q3'!$J$6:$N$10,5,1)</f>
        <v>5361617.2868853854</v>
      </c>
      <c r="AI73" s="94">
        <f ca="1">VLOOKUP($P73,'Regresion Q3'!$O$6:$S$10,4,1)*$P73+VLOOKUP($P73,'Regresion Q3'!$O$6:$S$10,5,1)</f>
        <v>5544005.9588883547</v>
      </c>
      <c r="AJ73" s="94">
        <f ca="1">VLOOKUP($P73,'Regresion Q1'!$T$6:$V$10,2,1)*$P73+VLOOKUP($P73,'Regresion Q1'!$T$6:$V$10,3,1)</f>
        <v>3321831.7932395679</v>
      </c>
      <c r="AK73" s="94">
        <f ca="1">VLOOKUP($P73,'Regresion Q1'!$W$6:$Y$10,2,1)*$P73+VLOOKUP($P73,'Regresion Q1'!$W$6:$Y$10,3,1)</f>
        <v>3426068.4133464824</v>
      </c>
      <c r="AL73" s="94">
        <f ca="1">VLOOKUP($P73,'Regresion Q1'!$Z$6:$AB$10,2,1)*$P73+VLOOKUP($P73,'Regresion Q1'!$Z$6:$AB$10,3,1)</f>
        <v>3565474.5309498338</v>
      </c>
      <c r="AM73" s="94">
        <f ca="1">VLOOKUP($P73,'Regresion Md'!$T$6:$V$10,2,1)*$P73+VLOOKUP($P73,'Regresion Md'!$T$6:$V$10,3,1)</f>
        <v>4189235.9756286629</v>
      </c>
      <c r="AN73" s="94">
        <f ca="1">VLOOKUP($P73,'Regresion Md'!$W$6:$Y$10,2,1)*$P73+VLOOKUP($P73,'Regresion Md'!$W$6:$Y$10,3,1)</f>
        <v>4314015.074751148</v>
      </c>
      <c r="AO73" s="94">
        <f ca="1">VLOOKUP($P73,'Regresion Md'!$Z$6:$AB$10,2,1)*$P73+VLOOKUP($P73,'Regresion Md'!$Z$6:$AB$10,3,1)</f>
        <v>4546494.4590615556</v>
      </c>
      <c r="AP73" s="94">
        <f ca="1">VLOOKUP($P73,'Regresion Q3'!$T$6:$V$10,2,1)*$P73+VLOOKUP($P73,'Regresion Q3'!$T$6:$V$10,3,1)</f>
        <v>5512761.4960033102</v>
      </c>
      <c r="AQ73" s="94">
        <f ca="1">VLOOKUP($P73,'Regresion Q3'!$W$6:$Y$10,2,1)*$P73+VLOOKUP($P73,'Regresion Q3'!$W$6:$Y$10,3,1)</f>
        <v>5665152.930664042</v>
      </c>
      <c r="AR73" s="94">
        <f ca="1">VLOOKUP($P73,'Regresion Q3'!$Z$6:$AB$10,2,1)*$P73+VLOOKUP($P73,'Regresion Q3'!$Z$6:$AB$10,3,1)</f>
        <v>5808843.1499080993</v>
      </c>
      <c r="AS73" s="94">
        <f>IF($BN73=$BN74,-1,DatosHoy[[#This Row],[G ajus PM Q1]]-BO74)</f>
        <v>-1</v>
      </c>
      <c r="AT73" s="94">
        <f>IF($BN73=$BN74,-1,DatosHoy[[#This Row],[G+V ajus PM Q1]]-BP74)</f>
        <v>-1</v>
      </c>
      <c r="AU73" s="94">
        <f>IF($BN73=$BN74,-1,DatosHoy[[#This Row],[CT ajus PM Q1]]-BQ74)</f>
        <v>-1</v>
      </c>
      <c r="AV73" s="94">
        <f ca="1">IF(DatosHoy[[#This Row],[G ajus PM Q1]]=DatosHoy[[#This Row],[G+V ajus PM Q1]],-1,DatosHoy[[#This Row],[G ajus PM Q1]]-DatosHoy[[#This Row],[G+V ajus PM Q1]])</f>
        <v>-105727.76128341863</v>
      </c>
      <c r="AW73" s="94">
        <f ca="1">IF(DatosHoy[[#This Row],[G+V ajus PM Q1]]=DatosHoy[[#This Row],[CT ajus PM Q1]],-1,DatosHoy[[#This Row],[G+V ajus PM Q1]]-DatosHoy[[#This Row],[CT ajus PM Q1]])</f>
        <v>-145774.47985139629</v>
      </c>
      <c r="AX73" s="94">
        <f>IF($BN73=$BN74,-1,DatosHoy[[#This Row],[G ajus PMd]]-BR74)</f>
        <v>-1</v>
      </c>
      <c r="AY73" s="94">
        <f>IF($BN73=$BN74,-1,DatosHoy[[#This Row],[G+V ajus PM Md]]-BS74)</f>
        <v>-1</v>
      </c>
      <c r="AZ73" s="94">
        <f>IF($BN73=$BN74,-1,DatosHoy[[#This Row],[CT ajus PM Md]]-BT74)</f>
        <v>-1</v>
      </c>
      <c r="BA73" s="94">
        <f ca="1">IF(DatosHoy[[#This Row],[G ajus PMd]]=DatosHoy[[#This Row],[G+V ajus PM Md]],-1,DatosHoy[[#This Row],[G ajus PMd]]-DatosHoy[[#This Row],[G+V ajus PM Md]])</f>
        <v>-151468.17388930079</v>
      </c>
      <c r="BB73" s="94">
        <f ca="1">IF(DatosHoy[[#This Row],[G+V ajus PM Md]]=DatosHoy[[#This Row],[CT ajus PM Md]],-1,DatosHoy[[#This Row],[G+V ajus PM Md]]-DatosHoy[[#This Row],[CT ajus PM Md]])</f>
        <v>-242223.16029422916</v>
      </c>
      <c r="BC73" s="94">
        <f>IF($BN73=$BN74,-1,DatosHoy[[#This Row],[G ajus PM Q3]]-BU74)</f>
        <v>-1</v>
      </c>
      <c r="BD73" s="94">
        <f>IF($BN73=$BN74,-1,DatosHoy[[#This Row],[G+V ajus PM Q3]]-BV74)</f>
        <v>-1</v>
      </c>
      <c r="BE73" s="94">
        <f>IF($BN73=$BN74,-1,DatosHoy[[#This Row],[CT ajus PM Q3]]-BW74)</f>
        <v>-1</v>
      </c>
      <c r="BF73" s="94">
        <f ca="1">IF(DatosHoy[[#This Row],[G ajus PM Q3]]=DatosHoy[[#This Row],[G+V ajus PM Q3]],-1,DatosHoy[[#This Row],[G ajus PM Q3]]-DatosHoy[[#This Row],[G+V ajus PM Q3]])</f>
        <v>-158477.96503032744</v>
      </c>
      <c r="BG73" s="94">
        <f ca="1">IF(DatosHoy[[#This Row],[G+V ajus PM Q3]]=DatosHoy[[#This Row],[CT ajus PM Q3]],-1,DatosHoy[[#This Row],[G+V ajus PM Q3]]-DatosHoy[[#This Row],[CT ajus PM Q3]])</f>
        <v>-148668.53317942191</v>
      </c>
      <c r="BH73" s="94">
        <f ca="1">IF(DatosHoy[[#This Row],[G ajus PM Q1]]=DatosHoy[[#This Row],[G ajus PMd]],-1,DatosHoy[[#This Row],[G ajus PM Q1]]-DatosHoy[[#This Row],[G ajus PMd]])</f>
        <v>-1048482.2352042263</v>
      </c>
      <c r="BI73" s="94">
        <f ca="1">IF(DatosHoy[[#This Row],[G+V ajus PM Q1]]=DatosHoy[[#This Row],[G+V ajus PM Md]],-1,DatosHoy[[#This Row],[G+V ajus PM Q1]]-DatosHoy[[#This Row],[G+V ajus PM Md]])</f>
        <v>-1094222.6478101085</v>
      </c>
      <c r="BJ73" s="94">
        <f ca="1">IF(DatosHoy[[#This Row],[CT ajus PM Q1]]=DatosHoy[[#This Row],[CT ajus PM Md]],-1,DatosHoy[[#This Row],[CT ajus PM Q1]]-DatosHoy[[#This Row],[CT ajus PM Md]])</f>
        <v>-1190671.3282529414</v>
      </c>
      <c r="BK73" s="94">
        <f ca="1">IF(DatosHoy[[#This Row],[G ajus PMd]]=DatosHoy[[#This Row],[G ajus PM Q3]],-1,DatosHoy[[#This Row],[G ajus PMd]]-DatosHoy[[#This Row],[G ajus PM Q3]])</f>
        <v>-1260844.9115298931</v>
      </c>
      <c r="BL73" s="94">
        <f ca="1">IF(DatosHoy[[#This Row],[G+V ajus PM Md]]=DatosHoy[[#This Row],[G+V ajus PM Q3]],-1,DatosHoy[[#This Row],[G+V ajus PM Md]]-DatosHoy[[#This Row],[G+V ajus PM Q3]])</f>
        <v>-1267854.7026709197</v>
      </c>
      <c r="BM73" s="94">
        <f ca="1">IF(DatosHoy[[#This Row],[CT ajus PM Md]]=DatosHoy[[#This Row],[CT ajus PM Q3]],-1,DatosHoy[[#This Row],[CT ajus PM Md]]-DatosHoy[[#This Row],[CT ajus PM Q3]])</f>
        <v>-1174300.0755561125</v>
      </c>
      <c r="BN73" s="74">
        <v>287</v>
      </c>
      <c r="BO73" s="94">
        <f ca="1">IFERROR(VLOOKUP($BN73,'Regresion Q1'!$T$6:$V$10,2,1)*$BN73+VLOOKUP($BN73,'Regresion Q1'!$T$6:$V$10,3,1),VLOOKUP(MIN(DatosHoy[Puntos]),'Regresion Q1'!$T$6:$V$10,2,1)*$BN73+VLOOKUP(MIN(DatosHoy[Puntos]),'Regresion Q1'!$T$6:$V$10,3,1))</f>
        <v>3461879.6456658933</v>
      </c>
      <c r="BP73" s="94">
        <f ca="1">IFERROR(VLOOKUP($BN73,'Regresion Q1'!$W$6:$Y$10,2,1)*$BN73+VLOOKUP($BN73,'Regresion Q1'!$W$6:$Y$10,3,1),VLOOKUP(MIN(DatosHoy[Puntos]),'Regresion Q1'!$W$6:$Y$10,2,1)*$BN73+VLOOKUP(MIN(DatosHoy[Puntos]),'Regresion Q1'!$W$6:$Y$10,3,1))</f>
        <v>3567607.406949312</v>
      </c>
      <c r="BQ73" s="94">
        <f ca="1">IFERROR(VLOOKUP($BN73,'Regresion Q1'!$Z$6:$AB$10,2,1)*$BN73+VLOOKUP($BN73,'Regresion Q1'!$Z$6:$AB$10,3,1),VLOOKUP(MIN(DatosHoy[Puntos]),'Regresion Q1'!$Z$6:$AB$10,2,1)*$BN73+VLOOKUP(MIN(DatosHoy[Puntos]),'Regresion Q1'!$Z$6:$AB$10,3,1))</f>
        <v>3713381.8868007082</v>
      </c>
      <c r="BR73" s="94">
        <f ca="1">IFERROR(VLOOKUP($BN73,'Regresion Md'!$T$6:$V$10,2,1)*$BN73+VLOOKUP($BN73,'Regresion Md'!$T$6:$V$10,3,1),VLOOKUP(MIN(DatosHoy[Puntos]),'Regresion Md'!$T$6:$V$10,2,1)*$BN73+VLOOKUP(MIN(DatosHoy[Puntos]),'Regresion Md'!$T$6:$V$10,3,1))</f>
        <v>4510361.8808701197</v>
      </c>
      <c r="BS73" s="94">
        <f ca="1">IFERROR(VLOOKUP($BN73,'Regresion Md'!$W$6:$Y$10,2,1)*$BN73+VLOOKUP($BN73,'Regresion Md'!$W$6:$Y$10,3,1),VLOOKUP(MIN(DatosHoy[Puntos]),'Regresion Md'!$W$6:$Y$10,2,1)*$BN73+VLOOKUP(MIN(DatosHoy[Puntos]),'Regresion Md'!$W$6:$Y$10,3,1))</f>
        <v>4661830.0547594205</v>
      </c>
      <c r="BT73" s="94">
        <f ca="1">IFERROR(VLOOKUP($BN73,'Regresion Md'!$Z$6:$AB$10,2,1)*$BN73+VLOOKUP($BN73,'Regresion Md'!$Z$6:$AB$10,3,1),VLOOKUP(MIN(DatosHoy[Puntos]),'Regresion Md'!$Z$6:$AB$10,2,1)*$BN73+VLOOKUP(MIN(DatosHoy[Puntos]),'Regresion Md'!$Z$6:$AB$10,3,1))</f>
        <v>4904053.2150536496</v>
      </c>
      <c r="BU73" s="94">
        <f ca="1">IFERROR(VLOOKUP($BN73,'Regresion Q3'!$T$6:$V$10,2,1)*$BN73+VLOOKUP($BN73,'Regresion Q3'!$T$6:$V$10,3,1),VLOOKUP(MIN(DatosHoy[Puntos]),'Regresion Q3'!$T$6:$V$10,2,1)*$BN73+VLOOKUP(MIN(DatosHoy[Puntos]),'Regresion Q3'!$T$6:$V$10,3,1))</f>
        <v>5771206.7924000127</v>
      </c>
      <c r="BV73" s="94">
        <f ca="1">IFERROR(VLOOKUP($BN73,'Regresion Q3'!$W$6:$Y$10,2,1)*$BN73+VLOOKUP($BN73,'Regresion Q3'!$W$6:$Y$10,3,1),VLOOKUP(MIN(DatosHoy[Puntos]),'Regresion Q3'!$W$6:$Y$10,2,1)*$BN73+VLOOKUP(MIN(DatosHoy[Puntos]),'Regresion Q3'!$W$6:$Y$10,3,1))</f>
        <v>5929684.7574303402</v>
      </c>
      <c r="BW73" s="94">
        <f ca="1">IFERROR(VLOOKUP($BN73,'Regresion Q3'!$Z$6:$AB$10,2,1)*$BN73+VLOOKUP($BN73,'Regresion Q3'!$Z$6:$AB$10,3,1),VLOOKUP(MIN(DatosHoy[Puntos]),'Regresion Q3'!$Z$6:$AB$10,2,1)*$BN73+VLOOKUP(MIN(DatosHoy[Puntos]),'Regresion Q3'!$Z$6:$AB$10,3,1))</f>
        <v>6078353.2906097621</v>
      </c>
      <c r="BX73" s="96">
        <f ca="1">DatosHoy[[#This Row],[CT Actual]]/DatosHoy[[#This Row],[CT ajus PM Md]]</f>
        <v>0.68382404369225702</v>
      </c>
      <c r="BY73" s="125" t="str">
        <f>VLOOKUP(DatosHoy[[#This Row],[Cargo Valorado]],Estadísticos[[Cargo]:[Nivel]],2,FALSE)</f>
        <v>Táctico</v>
      </c>
      <c r="BZ73" s="96">
        <f>(DatosHoy[[#This Row],[G+V Actual]]-DatosHoy[[#This Row],[G Actual]])/DatosHoy[[#This Row],[CT Actual]]</f>
        <v>0</v>
      </c>
      <c r="CA73" s="96">
        <f>(DatosHoy[[#This Row],[CT Actual]]-DatosHoy[[#This Row],[G+V Actual]])/DatosHoy[[#This Row],[CT Actual]]</f>
        <v>0</v>
      </c>
      <c r="CB73" s="139" t="s">
        <v>255</v>
      </c>
    </row>
    <row r="74" spans="2:80" x14ac:dyDescent="0.25">
      <c r="B74" s="73">
        <f t="shared" si="45"/>
        <v>69</v>
      </c>
      <c r="C74" s="74">
        <v>3353509.5000000005</v>
      </c>
      <c r="D74" s="74">
        <v>3353509.5000000005</v>
      </c>
      <c r="E74" s="74">
        <v>3353509.5000000005</v>
      </c>
      <c r="F74" s="94">
        <f>VLOOKUP(DatosHoy[[#This Row],[Cargo Valorado]],Estadísticos[],3,0)</f>
        <v>4089566.5803085933</v>
      </c>
      <c r="G74" s="94">
        <f>VLOOKUP(DatosHoy[[#This Row],[Cargo Valorado]],Estadísticos[],4,0)</f>
        <v>4089566.5803085933</v>
      </c>
      <c r="H74" s="94">
        <f>VLOOKUP(DatosHoy[[#This Row],[Cargo Valorado]],Estadísticos[],5,0)</f>
        <v>4645322.3801100645</v>
      </c>
      <c r="I74" s="94">
        <f>VLOOKUP(DatosHoy[[#This Row],[Cargo Valorado]],Estadísticos[],6,0)</f>
        <v>4772117.8965846505</v>
      </c>
      <c r="J74" s="94">
        <f>VLOOKUP(DatosHoy[[#This Row],[Cargo Valorado]],Estadísticos[],7,0)</f>
        <v>4772117.8965846505</v>
      </c>
      <c r="K74" s="94">
        <f>VLOOKUP(DatosHoy[[#This Row],[Cargo Valorado]],Estadísticos[],8,0)</f>
        <v>5164372.9384717913</v>
      </c>
      <c r="L74" s="94">
        <f>VLOOKUP(DatosHoy[[#This Row],[Cargo Valorado]],Estadísticos[],9,0)</f>
        <v>5494490.178075688</v>
      </c>
      <c r="M74" s="94">
        <f>VLOOKUP(DatosHoy[[#This Row],[Cargo Valorado]],Estadísticos[],10,0)</f>
        <v>5494490.178075688</v>
      </c>
      <c r="N74" s="94">
        <f>VLOOKUP(DatosHoy[[#This Row],[Cargo Valorado]],Estadísticos[],11,0)</f>
        <v>5665882.0180756878</v>
      </c>
      <c r="O74" s="75" t="s">
        <v>226</v>
      </c>
      <c r="P74" s="75">
        <v>273</v>
      </c>
      <c r="Q74" s="95" t="str">
        <f t="shared" si="35"/>
        <v>$P$74</v>
      </c>
      <c r="R74" s="95" t="str">
        <f t="shared" si="36"/>
        <v>$F$74</v>
      </c>
      <c r="S74" s="95" t="str">
        <f t="shared" si="37"/>
        <v>$G$74</v>
      </c>
      <c r="T74" s="95" t="str">
        <f t="shared" si="38"/>
        <v>$H$74</v>
      </c>
      <c r="U74" s="95" t="str">
        <f t="shared" si="39"/>
        <v>$I$74</v>
      </c>
      <c r="V74" s="95" t="str">
        <f t="shared" si="40"/>
        <v>$J$74</v>
      </c>
      <c r="W74" s="95" t="str">
        <f t="shared" si="41"/>
        <v>$K$74</v>
      </c>
      <c r="X74" s="95" t="str">
        <f t="shared" si="42"/>
        <v>$L$74</v>
      </c>
      <c r="Y74" s="95" t="str">
        <f t="shared" si="43"/>
        <v>$M$74</v>
      </c>
      <c r="Z74" s="95" t="str">
        <f t="shared" si="44"/>
        <v>$N$74</v>
      </c>
      <c r="AA74" s="94">
        <f ca="1">VLOOKUP($P74,'Regresion Q1'!$E$6:$I$10,4,1)*$P74+VLOOKUP($P74,'Regresion Q1'!$E$6:$I$10,5,1)</f>
        <v>3549787.6017946345</v>
      </c>
      <c r="AB74" s="94">
        <f ca="1">VLOOKUP($P74,'Regresion Q1'!$J$6:$N$10,4,1)*$P74+VLOOKUP($P74,'Regresion Q1'!$J$6:$N$10,5,1)</f>
        <v>3631252.0838208408</v>
      </c>
      <c r="AC74" s="94">
        <f ca="1">VLOOKUP($P74,'Regresion Q1'!$O$6:$S$10,4,1)*$P74+VLOOKUP($P74,'Regresion Q1'!$O$6:$S$10,5,1)</f>
        <v>3825944.0422008196</v>
      </c>
      <c r="AD74" s="94">
        <f ca="1">VLOOKUP($P74,'Regresion Md'!$E$6:$I$10,4,1)*$P74+VLOOKUP($P74,'Regresion Md'!$E$6:$I$10,5,1)</f>
        <v>4309544.6816114886</v>
      </c>
      <c r="AE74" s="94">
        <f ca="1">VLOOKUP($P74,'Regresion Md'!$J$6:$N$10,4,1)*$P74+VLOOKUP($P74,'Regresion Md'!$J$6:$N$10,5,1)</f>
        <v>4375175.3186444994</v>
      </c>
      <c r="AF74" s="94">
        <f ca="1">VLOOKUP($P74,'Regresion Md'!$O$6:$S$10,4,1)*$P74+VLOOKUP($P74,'Regresion Md'!$O$6:$S$10,5,1)</f>
        <v>4561838.9673644388</v>
      </c>
      <c r="AG74" s="94">
        <f ca="1">VLOOKUP($P74,'Regresion Q3'!$E$6:$I$10,4,1)*$P74+VLOOKUP($P74,'Regresion Q3'!$E$6:$I$10,5,1)</f>
        <v>5279877.6738703968</v>
      </c>
      <c r="AH74" s="94">
        <f ca="1">VLOOKUP($P74,'Regresion Q3'!$J$6:$N$10,4,1)*$P74+VLOOKUP($P74,'Regresion Q3'!$J$6:$N$10,5,1)</f>
        <v>5361617.2868853854</v>
      </c>
      <c r="AI74" s="94">
        <f ca="1">VLOOKUP($P74,'Regresion Q3'!$O$6:$S$10,4,1)*$P74+VLOOKUP($P74,'Regresion Q3'!$O$6:$S$10,5,1)</f>
        <v>5544005.9588883547</v>
      </c>
      <c r="AJ74" s="94">
        <f ca="1">VLOOKUP($P74,'Regresion Q1'!$T$6:$V$10,2,1)*$P74+VLOOKUP($P74,'Regresion Q1'!$T$6:$V$10,3,1)</f>
        <v>3321831.7932395679</v>
      </c>
      <c r="AK74" s="94">
        <f ca="1">VLOOKUP($P74,'Regresion Q1'!$W$6:$Y$10,2,1)*$P74+VLOOKUP($P74,'Regresion Q1'!$W$6:$Y$10,3,1)</f>
        <v>3426068.4133464824</v>
      </c>
      <c r="AL74" s="94">
        <f ca="1">VLOOKUP($P74,'Regresion Q1'!$Z$6:$AB$10,2,1)*$P74+VLOOKUP($P74,'Regresion Q1'!$Z$6:$AB$10,3,1)</f>
        <v>3565474.5309498338</v>
      </c>
      <c r="AM74" s="94">
        <f ca="1">VLOOKUP($P74,'Regresion Md'!$T$6:$V$10,2,1)*$P74+VLOOKUP($P74,'Regresion Md'!$T$6:$V$10,3,1)</f>
        <v>4189235.9756286629</v>
      </c>
      <c r="AN74" s="94">
        <f ca="1">VLOOKUP($P74,'Regresion Md'!$W$6:$Y$10,2,1)*$P74+VLOOKUP($P74,'Regresion Md'!$W$6:$Y$10,3,1)</f>
        <v>4314015.074751148</v>
      </c>
      <c r="AO74" s="94">
        <f ca="1">VLOOKUP($P74,'Regresion Md'!$Z$6:$AB$10,2,1)*$P74+VLOOKUP($P74,'Regresion Md'!$Z$6:$AB$10,3,1)</f>
        <v>4546494.4590615556</v>
      </c>
      <c r="AP74" s="94">
        <f ca="1">VLOOKUP($P74,'Regresion Q3'!$T$6:$V$10,2,1)*$P74+VLOOKUP($P74,'Regresion Q3'!$T$6:$V$10,3,1)</f>
        <v>5512761.4960033102</v>
      </c>
      <c r="AQ74" s="94">
        <f ca="1">VLOOKUP($P74,'Regresion Q3'!$W$6:$Y$10,2,1)*$P74+VLOOKUP($P74,'Regresion Q3'!$W$6:$Y$10,3,1)</f>
        <v>5665152.930664042</v>
      </c>
      <c r="AR74" s="94">
        <f ca="1">VLOOKUP($P74,'Regresion Q3'!$Z$6:$AB$10,2,1)*$P74+VLOOKUP($P74,'Regresion Q3'!$Z$6:$AB$10,3,1)</f>
        <v>5808843.1499080993</v>
      </c>
      <c r="AS74" s="94">
        <f>IF($BN74=$BN75,-1,DatosHoy[[#This Row],[G ajus PM Q1]]-BO75)</f>
        <v>-1</v>
      </c>
      <c r="AT74" s="94">
        <f>IF($BN74=$BN75,-1,DatosHoy[[#This Row],[G+V ajus PM Q1]]-BP75)</f>
        <v>-1</v>
      </c>
      <c r="AU74" s="94">
        <f>IF($BN74=$BN75,-1,DatosHoy[[#This Row],[CT ajus PM Q1]]-BQ75)</f>
        <v>-1</v>
      </c>
      <c r="AV74" s="94">
        <f ca="1">IF(DatosHoy[[#This Row],[G ajus PM Q1]]=DatosHoy[[#This Row],[G+V ajus PM Q1]],-1,DatosHoy[[#This Row],[G ajus PM Q1]]-DatosHoy[[#This Row],[G+V ajus PM Q1]])</f>
        <v>-105727.76128341863</v>
      </c>
      <c r="AW74" s="94">
        <f ca="1">IF(DatosHoy[[#This Row],[G+V ajus PM Q1]]=DatosHoy[[#This Row],[CT ajus PM Q1]],-1,DatosHoy[[#This Row],[G+V ajus PM Q1]]-DatosHoy[[#This Row],[CT ajus PM Q1]])</f>
        <v>-145774.47985139629</v>
      </c>
      <c r="AX74" s="94">
        <f>IF($BN74=$BN75,-1,DatosHoy[[#This Row],[G ajus PMd]]-BR75)</f>
        <v>-1</v>
      </c>
      <c r="AY74" s="94">
        <f>IF($BN74=$BN75,-1,DatosHoy[[#This Row],[G+V ajus PM Md]]-BS75)</f>
        <v>-1</v>
      </c>
      <c r="AZ74" s="94">
        <f>IF($BN74=$BN75,-1,DatosHoy[[#This Row],[CT ajus PM Md]]-BT75)</f>
        <v>-1</v>
      </c>
      <c r="BA74" s="94">
        <f ca="1">IF(DatosHoy[[#This Row],[G ajus PMd]]=DatosHoy[[#This Row],[G+V ajus PM Md]],-1,DatosHoy[[#This Row],[G ajus PMd]]-DatosHoy[[#This Row],[G+V ajus PM Md]])</f>
        <v>-151468.17388930079</v>
      </c>
      <c r="BB74" s="94">
        <f ca="1">IF(DatosHoy[[#This Row],[G+V ajus PM Md]]=DatosHoy[[#This Row],[CT ajus PM Md]],-1,DatosHoy[[#This Row],[G+V ajus PM Md]]-DatosHoy[[#This Row],[CT ajus PM Md]])</f>
        <v>-242223.16029422916</v>
      </c>
      <c r="BC74" s="94">
        <f>IF($BN74=$BN75,-1,DatosHoy[[#This Row],[G ajus PM Q3]]-BU75)</f>
        <v>-1</v>
      </c>
      <c r="BD74" s="94">
        <f>IF($BN74=$BN75,-1,DatosHoy[[#This Row],[G+V ajus PM Q3]]-BV75)</f>
        <v>-1</v>
      </c>
      <c r="BE74" s="94">
        <f>IF($BN74=$BN75,-1,DatosHoy[[#This Row],[CT ajus PM Q3]]-BW75)</f>
        <v>-1</v>
      </c>
      <c r="BF74" s="94">
        <f ca="1">IF(DatosHoy[[#This Row],[G ajus PM Q3]]=DatosHoy[[#This Row],[G+V ajus PM Q3]],-1,DatosHoy[[#This Row],[G ajus PM Q3]]-DatosHoy[[#This Row],[G+V ajus PM Q3]])</f>
        <v>-158477.96503032744</v>
      </c>
      <c r="BG74" s="94">
        <f ca="1">IF(DatosHoy[[#This Row],[G+V ajus PM Q3]]=DatosHoy[[#This Row],[CT ajus PM Q3]],-1,DatosHoy[[#This Row],[G+V ajus PM Q3]]-DatosHoy[[#This Row],[CT ajus PM Q3]])</f>
        <v>-148668.53317942191</v>
      </c>
      <c r="BH74" s="94">
        <f ca="1">IF(DatosHoy[[#This Row],[G ajus PM Q1]]=DatosHoy[[#This Row],[G ajus PMd]],-1,DatosHoy[[#This Row],[G ajus PM Q1]]-DatosHoy[[#This Row],[G ajus PMd]])</f>
        <v>-1048482.2352042263</v>
      </c>
      <c r="BI74" s="94">
        <f ca="1">IF(DatosHoy[[#This Row],[G+V ajus PM Q1]]=DatosHoy[[#This Row],[G+V ajus PM Md]],-1,DatosHoy[[#This Row],[G+V ajus PM Q1]]-DatosHoy[[#This Row],[G+V ajus PM Md]])</f>
        <v>-1094222.6478101085</v>
      </c>
      <c r="BJ74" s="94">
        <f ca="1">IF(DatosHoy[[#This Row],[CT ajus PM Q1]]=DatosHoy[[#This Row],[CT ajus PM Md]],-1,DatosHoy[[#This Row],[CT ajus PM Q1]]-DatosHoy[[#This Row],[CT ajus PM Md]])</f>
        <v>-1190671.3282529414</v>
      </c>
      <c r="BK74" s="94">
        <f ca="1">IF(DatosHoy[[#This Row],[G ajus PMd]]=DatosHoy[[#This Row],[G ajus PM Q3]],-1,DatosHoy[[#This Row],[G ajus PMd]]-DatosHoy[[#This Row],[G ajus PM Q3]])</f>
        <v>-1260844.9115298931</v>
      </c>
      <c r="BL74" s="94">
        <f ca="1">IF(DatosHoy[[#This Row],[G+V ajus PM Md]]=DatosHoy[[#This Row],[G+V ajus PM Q3]],-1,DatosHoy[[#This Row],[G+V ajus PM Md]]-DatosHoy[[#This Row],[G+V ajus PM Q3]])</f>
        <v>-1267854.7026709197</v>
      </c>
      <c r="BM74" s="94">
        <f ca="1">IF(DatosHoy[[#This Row],[CT ajus PM Md]]=DatosHoy[[#This Row],[CT ajus PM Q3]],-1,DatosHoy[[#This Row],[CT ajus PM Md]]-DatosHoy[[#This Row],[CT ajus PM Q3]])</f>
        <v>-1174300.0755561125</v>
      </c>
      <c r="BN74" s="74">
        <v>287</v>
      </c>
      <c r="BO74" s="94">
        <f ca="1">IFERROR(VLOOKUP($BN74,'Regresion Q1'!$T$6:$V$10,2,1)*$BN74+VLOOKUP($BN74,'Regresion Q1'!$T$6:$V$10,3,1),VLOOKUP(MIN(DatosHoy[Puntos]),'Regresion Q1'!$T$6:$V$10,2,1)*$BN74+VLOOKUP(MIN(DatosHoy[Puntos]),'Regresion Q1'!$T$6:$V$10,3,1))</f>
        <v>3461879.6456658933</v>
      </c>
      <c r="BP74" s="94">
        <f ca="1">IFERROR(VLOOKUP($BN74,'Regresion Q1'!$W$6:$Y$10,2,1)*$BN74+VLOOKUP($BN74,'Regresion Q1'!$W$6:$Y$10,3,1),VLOOKUP(MIN(DatosHoy[Puntos]),'Regresion Q1'!$W$6:$Y$10,2,1)*$BN74+VLOOKUP(MIN(DatosHoy[Puntos]),'Regresion Q1'!$W$6:$Y$10,3,1))</f>
        <v>3567607.406949312</v>
      </c>
      <c r="BQ74" s="94">
        <f ca="1">IFERROR(VLOOKUP($BN74,'Regresion Q1'!$Z$6:$AB$10,2,1)*$BN74+VLOOKUP($BN74,'Regresion Q1'!$Z$6:$AB$10,3,1),VLOOKUP(MIN(DatosHoy[Puntos]),'Regresion Q1'!$Z$6:$AB$10,2,1)*$BN74+VLOOKUP(MIN(DatosHoy[Puntos]),'Regresion Q1'!$Z$6:$AB$10,3,1))</f>
        <v>3713381.8868007082</v>
      </c>
      <c r="BR74" s="94">
        <f ca="1">IFERROR(VLOOKUP($BN74,'Regresion Md'!$T$6:$V$10,2,1)*$BN74+VLOOKUP($BN74,'Regresion Md'!$T$6:$V$10,3,1),VLOOKUP(MIN(DatosHoy[Puntos]),'Regresion Md'!$T$6:$V$10,2,1)*$BN74+VLOOKUP(MIN(DatosHoy[Puntos]),'Regresion Md'!$T$6:$V$10,3,1))</f>
        <v>4510361.8808701197</v>
      </c>
      <c r="BS74" s="94">
        <f ca="1">IFERROR(VLOOKUP($BN74,'Regresion Md'!$W$6:$Y$10,2,1)*$BN74+VLOOKUP($BN74,'Regresion Md'!$W$6:$Y$10,3,1),VLOOKUP(MIN(DatosHoy[Puntos]),'Regresion Md'!$W$6:$Y$10,2,1)*$BN74+VLOOKUP(MIN(DatosHoy[Puntos]),'Regresion Md'!$W$6:$Y$10,3,1))</f>
        <v>4661830.0547594205</v>
      </c>
      <c r="BT74" s="94">
        <f ca="1">IFERROR(VLOOKUP($BN74,'Regresion Md'!$Z$6:$AB$10,2,1)*$BN74+VLOOKUP($BN74,'Regresion Md'!$Z$6:$AB$10,3,1),VLOOKUP(MIN(DatosHoy[Puntos]),'Regresion Md'!$Z$6:$AB$10,2,1)*$BN74+VLOOKUP(MIN(DatosHoy[Puntos]),'Regresion Md'!$Z$6:$AB$10,3,1))</f>
        <v>4904053.2150536496</v>
      </c>
      <c r="BU74" s="94">
        <f ca="1">IFERROR(VLOOKUP($BN74,'Regresion Q3'!$T$6:$V$10,2,1)*$BN74+VLOOKUP($BN74,'Regresion Q3'!$T$6:$V$10,3,1),VLOOKUP(MIN(DatosHoy[Puntos]),'Regresion Q3'!$T$6:$V$10,2,1)*$BN74+VLOOKUP(MIN(DatosHoy[Puntos]),'Regresion Q3'!$T$6:$V$10,3,1))</f>
        <v>5771206.7924000127</v>
      </c>
      <c r="BV74" s="94">
        <f ca="1">IFERROR(VLOOKUP($BN74,'Regresion Q3'!$W$6:$Y$10,2,1)*$BN74+VLOOKUP($BN74,'Regresion Q3'!$W$6:$Y$10,3,1),VLOOKUP(MIN(DatosHoy[Puntos]),'Regresion Q3'!$W$6:$Y$10,2,1)*$BN74+VLOOKUP(MIN(DatosHoy[Puntos]),'Regresion Q3'!$W$6:$Y$10,3,1))</f>
        <v>5929684.7574303402</v>
      </c>
      <c r="BW74" s="94">
        <f ca="1">IFERROR(VLOOKUP($BN74,'Regresion Q3'!$Z$6:$AB$10,2,1)*$BN74+VLOOKUP($BN74,'Regresion Q3'!$Z$6:$AB$10,3,1),VLOOKUP(MIN(DatosHoy[Puntos]),'Regresion Q3'!$Z$6:$AB$10,2,1)*$BN74+VLOOKUP(MIN(DatosHoy[Puntos]),'Regresion Q3'!$Z$6:$AB$10,3,1))</f>
        <v>6078353.2906097621</v>
      </c>
      <c r="BX74" s="96">
        <f ca="1">DatosHoy[[#This Row],[CT Actual]]/DatosHoy[[#This Row],[CT ajus PM Md]]</f>
        <v>0.68382404369225702</v>
      </c>
      <c r="BY74" s="125" t="str">
        <f>VLOOKUP(DatosHoy[[#This Row],[Cargo Valorado]],Estadísticos[[Cargo]:[Nivel]],2,FALSE)</f>
        <v>Táctico</v>
      </c>
      <c r="BZ74" s="96">
        <f>(DatosHoy[[#This Row],[G+V Actual]]-DatosHoy[[#This Row],[G Actual]])/DatosHoy[[#This Row],[CT Actual]]</f>
        <v>0</v>
      </c>
      <c r="CA74" s="96">
        <f>(DatosHoy[[#This Row],[CT Actual]]-DatosHoy[[#This Row],[G+V Actual]])/DatosHoy[[#This Row],[CT Actual]]</f>
        <v>0</v>
      </c>
      <c r="CB74" s="139" t="s">
        <v>255</v>
      </c>
    </row>
    <row r="75" spans="2:80" x14ac:dyDescent="0.25">
      <c r="B75" s="73">
        <f t="shared" si="45"/>
        <v>70</v>
      </c>
      <c r="C75" s="74">
        <v>2941675.0000000005</v>
      </c>
      <c r="D75" s="74">
        <v>2941675.0000000005</v>
      </c>
      <c r="E75" s="74">
        <v>2941675.0000000005</v>
      </c>
      <c r="F75" s="94">
        <f>VLOOKUP(DatosHoy[[#This Row],[Cargo Valorado]],Estadísticos[],3,0)</f>
        <v>3142602.7597583551</v>
      </c>
      <c r="G75" s="94">
        <f>VLOOKUP(DatosHoy[[#This Row],[Cargo Valorado]],Estadísticos[],4,0)</f>
        <v>3142602.7597583551</v>
      </c>
      <c r="H75" s="94">
        <f>VLOOKUP(DatosHoy[[#This Row],[Cargo Valorado]],Estadísticos[],5,0)</f>
        <v>3251381.1371966386</v>
      </c>
      <c r="I75" s="94">
        <f>VLOOKUP(DatosHoy[[#This Row],[Cargo Valorado]],Estadísticos[],6,0)</f>
        <v>3376519.076098023</v>
      </c>
      <c r="J75" s="94">
        <f>VLOOKUP(DatosHoy[[#This Row],[Cargo Valorado]],Estadísticos[],7,0)</f>
        <v>3376519.076098023</v>
      </c>
      <c r="K75" s="94">
        <f>VLOOKUP(DatosHoy[[#This Row],[Cargo Valorado]],Estadísticos[],8,0)</f>
        <v>3652099.5971458582</v>
      </c>
      <c r="L75" s="94">
        <f>VLOOKUP(DatosHoy[[#This Row],[Cargo Valorado]],Estadísticos[],9,0)</f>
        <v>3767425.0183632309</v>
      </c>
      <c r="M75" s="94">
        <f>VLOOKUP(DatosHoy[[#This Row],[Cargo Valorado]],Estadísticos[],10,0)</f>
        <v>3767425.0183632309</v>
      </c>
      <c r="N75" s="94">
        <f>VLOOKUP(DatosHoy[[#This Row],[Cargo Valorado]],Estadísticos[],11,0)</f>
        <v>4103604.7683632313</v>
      </c>
      <c r="O75" s="75" t="s">
        <v>186</v>
      </c>
      <c r="P75" s="75">
        <v>288</v>
      </c>
      <c r="Q75" s="95" t="str">
        <f t="shared" si="35"/>
        <v>$P$75</v>
      </c>
      <c r="R75" s="95" t="str">
        <f t="shared" si="36"/>
        <v>$F$75</v>
      </c>
      <c r="S75" s="95" t="str">
        <f t="shared" si="37"/>
        <v>$G$75</v>
      </c>
      <c r="T75" s="95" t="str">
        <f t="shared" si="38"/>
        <v>$H$75</v>
      </c>
      <c r="U75" s="95" t="str">
        <f t="shared" si="39"/>
        <v>$I$75</v>
      </c>
      <c r="V75" s="95" t="str">
        <f t="shared" si="40"/>
        <v>$J$75</v>
      </c>
      <c r="W75" s="95" t="str">
        <f t="shared" si="41"/>
        <v>$K$75</v>
      </c>
      <c r="X75" s="95" t="str">
        <f t="shared" si="42"/>
        <v>$L$75</v>
      </c>
      <c r="Y75" s="95" t="str">
        <f t="shared" si="43"/>
        <v>$M$75</v>
      </c>
      <c r="Z75" s="95" t="str">
        <f t="shared" si="44"/>
        <v>$N$75</v>
      </c>
      <c r="AA75" s="94">
        <f ca="1">VLOOKUP($P75,'Regresion Q1'!$E$6:$I$10,4,1)*$P75+VLOOKUP($P75,'Regresion Q1'!$E$6:$I$10,5,1)</f>
        <v>3751571.6721794358</v>
      </c>
      <c r="AB75" s="94">
        <f ca="1">VLOOKUP($P75,'Regresion Q1'!$J$6:$N$10,4,1)*$P75+VLOOKUP($P75,'Regresion Q1'!$J$6:$N$10,5,1)</f>
        <v>3838826.5896774372</v>
      </c>
      <c r="AC75" s="94">
        <f ca="1">VLOOKUP($P75,'Regresion Q1'!$O$6:$S$10,4,1)*$P75+VLOOKUP($P75,'Regresion Q1'!$O$6:$S$10,5,1)</f>
        <v>4040145.6014528465</v>
      </c>
      <c r="AD75" s="94">
        <f ca="1">VLOOKUP($P75,'Regresion Md'!$E$6:$I$10,4,1)*$P75+VLOOKUP($P75,'Regresion Md'!$E$6:$I$10,5,1)</f>
        <v>4685833.6977584483</v>
      </c>
      <c r="AE75" s="94">
        <f ca="1">VLOOKUP($P75,'Regresion Md'!$J$6:$N$10,4,1)*$P75+VLOOKUP($P75,'Regresion Md'!$J$6:$N$10,5,1)</f>
        <v>4764216.4339819383</v>
      </c>
      <c r="AF75" s="94">
        <f ca="1">VLOOKUP($P75,'Regresion Md'!$O$6:$S$10,4,1)*$P75+VLOOKUP($P75,'Regresion Md'!$O$6:$S$10,5,1)</f>
        <v>4949047.7706513833</v>
      </c>
      <c r="AG75" s="94">
        <f ca="1">VLOOKUP($P75,'Regresion Q3'!$E$6:$I$10,4,1)*$P75+VLOOKUP($P75,'Regresion Q3'!$E$6:$I$10,5,1)</f>
        <v>5653269.4916108353</v>
      </c>
      <c r="AH75" s="94">
        <f ca="1">VLOOKUP($P75,'Regresion Q3'!$J$6:$N$10,4,1)*$P75+VLOOKUP($P75,'Regresion Q3'!$J$6:$N$10,5,1)</f>
        <v>5739720.0642017052</v>
      </c>
      <c r="AI75" s="94">
        <f ca="1">VLOOKUP($P75,'Regresion Q3'!$O$6:$S$10,4,1)*$P75+VLOOKUP($P75,'Regresion Q3'!$O$6:$S$10,5,1)</f>
        <v>5919871.6153765544</v>
      </c>
      <c r="AJ75" s="94">
        <f ca="1">VLOOKUP($P75,'Regresion Q1'!$T$6:$V$10,2,1)*$P75+VLOOKUP($P75,'Regresion Q1'!$T$6:$V$10,3,1)</f>
        <v>3471883.0636963453</v>
      </c>
      <c r="AK75" s="94">
        <f ca="1">VLOOKUP($P75,'Regresion Q1'!$W$6:$Y$10,2,1)*$P75+VLOOKUP($P75,'Regresion Q1'!$W$6:$Y$10,3,1)</f>
        <v>3577717.3350637998</v>
      </c>
      <c r="AL75" s="94">
        <f ca="1">VLOOKUP($P75,'Regresion Q1'!$Z$6:$AB$10,2,1)*$P75+VLOOKUP($P75,'Regresion Q1'!$Z$6:$AB$10,3,1)</f>
        <v>3723946.6979329134</v>
      </c>
      <c r="AM75" s="94">
        <f ca="1">VLOOKUP($P75,'Regresion Md'!$T$6:$V$10,2,1)*$P75+VLOOKUP($P75,'Regresion Md'!$T$6:$V$10,3,1)</f>
        <v>4533299.4455302237</v>
      </c>
      <c r="AN75" s="94">
        <f ca="1">VLOOKUP($P75,'Regresion Md'!$W$6:$Y$10,2,1)*$P75+VLOOKUP($P75,'Regresion Md'!$W$6:$Y$10,3,1)</f>
        <v>4686673.9819028676</v>
      </c>
      <c r="AO75" s="94">
        <f ca="1">VLOOKUP($P75,'Regresion Md'!$Z$6:$AB$10,2,1)*$P75+VLOOKUP($P75,'Regresion Md'!$Z$6:$AB$10,3,1)</f>
        <v>4929593.1261959421</v>
      </c>
      <c r="AP75" s="94">
        <f ca="1">VLOOKUP($P75,'Regresion Q3'!$T$6:$V$10,2,1)*$P75+VLOOKUP($P75,'Regresion Q3'!$T$6:$V$10,3,1)</f>
        <v>5789667.1707140626</v>
      </c>
      <c r="AQ75" s="94">
        <f ca="1">VLOOKUP($P75,'Regresion Q3'!$W$6:$Y$10,2,1)*$P75+VLOOKUP($P75,'Regresion Q3'!$W$6:$Y$10,3,1)</f>
        <v>5948579.887913648</v>
      </c>
      <c r="AR75" s="94">
        <f ca="1">VLOOKUP($P75,'Regresion Q3'!$Z$6:$AB$10,2,1)*$P75+VLOOKUP($P75,'Regresion Q3'!$Z$6:$AB$10,3,1)</f>
        <v>6097604.0149455946</v>
      </c>
      <c r="AS75" s="94">
        <f>IF($BN75=$BN76,-1,DatosHoy[[#This Row],[G ajus PM Q1]]-BO76)</f>
        <v>-1</v>
      </c>
      <c r="AT75" s="94">
        <f>IF($BN75=$BN76,-1,DatosHoy[[#This Row],[G+V ajus PM Q1]]-BP76)</f>
        <v>-1</v>
      </c>
      <c r="AU75" s="94">
        <f>IF($BN75=$BN76,-1,DatosHoy[[#This Row],[CT ajus PM Q1]]-BQ76)</f>
        <v>-1</v>
      </c>
      <c r="AV75" s="94">
        <f ca="1">IF(DatosHoy[[#This Row],[G ajus PM Q1]]=DatosHoy[[#This Row],[G+V ajus PM Q1]],-1,DatosHoy[[#This Row],[G ajus PM Q1]]-DatosHoy[[#This Row],[G+V ajus PM Q1]])</f>
        <v>-105727.76128341863</v>
      </c>
      <c r="AW75" s="94">
        <f ca="1">IF(DatosHoy[[#This Row],[G+V ajus PM Q1]]=DatosHoy[[#This Row],[CT ajus PM Q1]],-1,DatosHoy[[#This Row],[G+V ajus PM Q1]]-DatosHoy[[#This Row],[CT ajus PM Q1]])</f>
        <v>-145774.47985139629</v>
      </c>
      <c r="AX75" s="94">
        <f>IF($BN75=$BN76,-1,DatosHoy[[#This Row],[G ajus PMd]]-BR76)</f>
        <v>-1</v>
      </c>
      <c r="AY75" s="94">
        <f>IF($BN75=$BN76,-1,DatosHoy[[#This Row],[G+V ajus PM Md]]-BS76)</f>
        <v>-1</v>
      </c>
      <c r="AZ75" s="94">
        <f>IF($BN75=$BN76,-1,DatosHoy[[#This Row],[CT ajus PM Md]]-BT76)</f>
        <v>-1</v>
      </c>
      <c r="BA75" s="94">
        <f ca="1">IF(DatosHoy[[#This Row],[G ajus PMd]]=DatosHoy[[#This Row],[G+V ajus PM Md]],-1,DatosHoy[[#This Row],[G ajus PMd]]-DatosHoy[[#This Row],[G+V ajus PM Md]])</f>
        <v>-151468.17388930079</v>
      </c>
      <c r="BB75" s="94">
        <f ca="1">IF(DatosHoy[[#This Row],[G+V ajus PM Md]]=DatosHoy[[#This Row],[CT ajus PM Md]],-1,DatosHoy[[#This Row],[G+V ajus PM Md]]-DatosHoy[[#This Row],[CT ajus PM Md]])</f>
        <v>-242223.16029422916</v>
      </c>
      <c r="BC75" s="94">
        <f>IF($BN75=$BN76,-1,DatosHoy[[#This Row],[G ajus PM Q3]]-BU76)</f>
        <v>-1</v>
      </c>
      <c r="BD75" s="94">
        <f>IF($BN75=$BN76,-1,DatosHoy[[#This Row],[G+V ajus PM Q3]]-BV76)</f>
        <v>-1</v>
      </c>
      <c r="BE75" s="94">
        <f>IF($BN75=$BN76,-1,DatosHoy[[#This Row],[CT ajus PM Q3]]-BW76)</f>
        <v>-1</v>
      </c>
      <c r="BF75" s="94">
        <f ca="1">IF(DatosHoy[[#This Row],[G ajus PM Q3]]=DatosHoy[[#This Row],[G+V ajus PM Q3]],-1,DatosHoy[[#This Row],[G ajus PM Q3]]-DatosHoy[[#This Row],[G+V ajus PM Q3]])</f>
        <v>-158477.96503032744</v>
      </c>
      <c r="BG75" s="94">
        <f ca="1">IF(DatosHoy[[#This Row],[G+V ajus PM Q3]]=DatosHoy[[#This Row],[CT ajus PM Q3]],-1,DatosHoy[[#This Row],[G+V ajus PM Q3]]-DatosHoy[[#This Row],[CT ajus PM Q3]])</f>
        <v>-148668.53317942191</v>
      </c>
      <c r="BH75" s="94">
        <f ca="1">IF(DatosHoy[[#This Row],[G ajus PM Q1]]=DatosHoy[[#This Row],[G ajus PMd]],-1,DatosHoy[[#This Row],[G ajus PM Q1]]-DatosHoy[[#This Row],[G ajus PMd]])</f>
        <v>-1048482.2352042263</v>
      </c>
      <c r="BI75" s="94">
        <f ca="1">IF(DatosHoy[[#This Row],[G+V ajus PM Q1]]=DatosHoy[[#This Row],[G+V ajus PM Md]],-1,DatosHoy[[#This Row],[G+V ajus PM Q1]]-DatosHoy[[#This Row],[G+V ajus PM Md]])</f>
        <v>-1094222.6478101085</v>
      </c>
      <c r="BJ75" s="94">
        <f ca="1">IF(DatosHoy[[#This Row],[CT ajus PM Q1]]=DatosHoy[[#This Row],[CT ajus PM Md]],-1,DatosHoy[[#This Row],[CT ajus PM Q1]]-DatosHoy[[#This Row],[CT ajus PM Md]])</f>
        <v>-1190671.3282529414</v>
      </c>
      <c r="BK75" s="94">
        <f ca="1">IF(DatosHoy[[#This Row],[G ajus PMd]]=DatosHoy[[#This Row],[G ajus PM Q3]],-1,DatosHoy[[#This Row],[G ajus PMd]]-DatosHoy[[#This Row],[G ajus PM Q3]])</f>
        <v>-1260844.9115298931</v>
      </c>
      <c r="BL75" s="94">
        <f ca="1">IF(DatosHoy[[#This Row],[G+V ajus PM Md]]=DatosHoy[[#This Row],[G+V ajus PM Q3]],-1,DatosHoy[[#This Row],[G+V ajus PM Md]]-DatosHoy[[#This Row],[G+V ajus PM Q3]])</f>
        <v>-1267854.7026709197</v>
      </c>
      <c r="BM75" s="94">
        <f ca="1">IF(DatosHoy[[#This Row],[CT ajus PM Md]]=DatosHoy[[#This Row],[CT ajus PM Q3]],-1,DatosHoy[[#This Row],[CT ajus PM Md]]-DatosHoy[[#This Row],[CT ajus PM Q3]])</f>
        <v>-1174300.0755561125</v>
      </c>
      <c r="BN75" s="74">
        <v>287</v>
      </c>
      <c r="BO75" s="94">
        <f ca="1">IFERROR(VLOOKUP($BN75,'Regresion Q1'!$T$6:$V$10,2,1)*$BN75+VLOOKUP($BN75,'Regresion Q1'!$T$6:$V$10,3,1),VLOOKUP(MIN(DatosHoy[Puntos]),'Regresion Q1'!$T$6:$V$10,2,1)*$BN75+VLOOKUP(MIN(DatosHoy[Puntos]),'Regresion Q1'!$T$6:$V$10,3,1))</f>
        <v>3461879.6456658933</v>
      </c>
      <c r="BP75" s="94">
        <f ca="1">IFERROR(VLOOKUP($BN75,'Regresion Q1'!$W$6:$Y$10,2,1)*$BN75+VLOOKUP($BN75,'Regresion Q1'!$W$6:$Y$10,3,1),VLOOKUP(MIN(DatosHoy[Puntos]),'Regresion Q1'!$W$6:$Y$10,2,1)*$BN75+VLOOKUP(MIN(DatosHoy[Puntos]),'Regresion Q1'!$W$6:$Y$10,3,1))</f>
        <v>3567607.406949312</v>
      </c>
      <c r="BQ75" s="94">
        <f ca="1">IFERROR(VLOOKUP($BN75,'Regresion Q1'!$Z$6:$AB$10,2,1)*$BN75+VLOOKUP($BN75,'Regresion Q1'!$Z$6:$AB$10,3,1),VLOOKUP(MIN(DatosHoy[Puntos]),'Regresion Q1'!$Z$6:$AB$10,2,1)*$BN75+VLOOKUP(MIN(DatosHoy[Puntos]),'Regresion Q1'!$Z$6:$AB$10,3,1))</f>
        <v>3713381.8868007082</v>
      </c>
      <c r="BR75" s="94">
        <f ca="1">IFERROR(VLOOKUP($BN75,'Regresion Md'!$T$6:$V$10,2,1)*$BN75+VLOOKUP($BN75,'Regresion Md'!$T$6:$V$10,3,1),VLOOKUP(MIN(DatosHoy[Puntos]),'Regresion Md'!$T$6:$V$10,2,1)*$BN75+VLOOKUP(MIN(DatosHoy[Puntos]),'Regresion Md'!$T$6:$V$10,3,1))</f>
        <v>4510361.8808701197</v>
      </c>
      <c r="BS75" s="94">
        <f ca="1">IFERROR(VLOOKUP($BN75,'Regresion Md'!$W$6:$Y$10,2,1)*$BN75+VLOOKUP($BN75,'Regresion Md'!$W$6:$Y$10,3,1),VLOOKUP(MIN(DatosHoy[Puntos]),'Regresion Md'!$W$6:$Y$10,2,1)*$BN75+VLOOKUP(MIN(DatosHoy[Puntos]),'Regresion Md'!$W$6:$Y$10,3,1))</f>
        <v>4661830.0547594205</v>
      </c>
      <c r="BT75" s="94">
        <f ca="1">IFERROR(VLOOKUP($BN75,'Regresion Md'!$Z$6:$AB$10,2,1)*$BN75+VLOOKUP($BN75,'Regresion Md'!$Z$6:$AB$10,3,1),VLOOKUP(MIN(DatosHoy[Puntos]),'Regresion Md'!$Z$6:$AB$10,2,1)*$BN75+VLOOKUP(MIN(DatosHoy[Puntos]),'Regresion Md'!$Z$6:$AB$10,3,1))</f>
        <v>4904053.2150536496</v>
      </c>
      <c r="BU75" s="94">
        <f ca="1">IFERROR(VLOOKUP($BN75,'Regresion Q3'!$T$6:$V$10,2,1)*$BN75+VLOOKUP($BN75,'Regresion Q3'!$T$6:$V$10,3,1),VLOOKUP(MIN(DatosHoy[Puntos]),'Regresion Q3'!$T$6:$V$10,2,1)*$BN75+VLOOKUP(MIN(DatosHoy[Puntos]),'Regresion Q3'!$T$6:$V$10,3,1))</f>
        <v>5771206.7924000127</v>
      </c>
      <c r="BV75" s="94">
        <f ca="1">IFERROR(VLOOKUP($BN75,'Regresion Q3'!$W$6:$Y$10,2,1)*$BN75+VLOOKUP($BN75,'Regresion Q3'!$W$6:$Y$10,3,1),VLOOKUP(MIN(DatosHoy[Puntos]),'Regresion Q3'!$W$6:$Y$10,2,1)*$BN75+VLOOKUP(MIN(DatosHoy[Puntos]),'Regresion Q3'!$W$6:$Y$10,3,1))</f>
        <v>5929684.7574303402</v>
      </c>
      <c r="BW75" s="94">
        <f ca="1">IFERROR(VLOOKUP($BN75,'Regresion Q3'!$Z$6:$AB$10,2,1)*$BN75+VLOOKUP($BN75,'Regresion Q3'!$Z$6:$AB$10,3,1),VLOOKUP(MIN(DatosHoy[Puntos]),'Regresion Q3'!$Z$6:$AB$10,2,1)*$BN75+VLOOKUP(MIN(DatosHoy[Puntos]),'Regresion Q3'!$Z$6:$AB$10,3,1))</f>
        <v>6078353.2906097621</v>
      </c>
      <c r="BX75" s="96">
        <f ca="1">DatosHoy[[#This Row],[CT Actual]]/DatosHoy[[#This Row],[CT ajus PM Md]]</f>
        <v>0.59984565236162901</v>
      </c>
      <c r="BY75" s="125" t="str">
        <f>VLOOKUP(DatosHoy[[#This Row],[Cargo Valorado]],Estadísticos[[Cargo]:[Nivel]],2,FALSE)</f>
        <v>Táctico</v>
      </c>
      <c r="BZ75" s="96">
        <f>(DatosHoy[[#This Row],[G+V Actual]]-DatosHoy[[#This Row],[G Actual]])/DatosHoy[[#This Row],[CT Actual]]</f>
        <v>0</v>
      </c>
      <c r="CA75" s="96">
        <f>(DatosHoy[[#This Row],[CT Actual]]-DatosHoy[[#This Row],[G+V Actual]])/DatosHoy[[#This Row],[CT Actual]]</f>
        <v>0</v>
      </c>
      <c r="CB75" s="139" t="s">
        <v>255</v>
      </c>
    </row>
    <row r="76" spans="2:80" x14ac:dyDescent="0.25">
      <c r="B76" s="73">
        <f t="shared" si="45"/>
        <v>71</v>
      </c>
      <c r="C76" s="74">
        <v>6763499.1600000001</v>
      </c>
      <c r="D76" s="74">
        <v>6763499.1600000001</v>
      </c>
      <c r="E76" s="74">
        <v>6763499.1600000001</v>
      </c>
      <c r="F76" s="94">
        <f>VLOOKUP(DatosHoy[[#This Row],[Cargo Valorado]],Estadísticos[],3,0)</f>
        <v>6814358.9495310942</v>
      </c>
      <c r="G76" s="94">
        <f>VLOOKUP(DatosHoy[[#This Row],[Cargo Valorado]],Estadísticos[],4,0)</f>
        <v>6814358.9495310942</v>
      </c>
      <c r="H76" s="94">
        <f>VLOOKUP(DatosHoy[[#This Row],[Cargo Valorado]],Estadísticos[],5,0)</f>
        <v>6814358.9495310942</v>
      </c>
      <c r="I76" s="94">
        <f>VLOOKUP(DatosHoy[[#This Row],[Cargo Valorado]],Estadísticos[],6,0)</f>
        <v>6947973.8713549823</v>
      </c>
      <c r="J76" s="94">
        <f>VLOOKUP(DatosHoy[[#This Row],[Cargo Valorado]],Estadísticos[],7,0)</f>
        <v>6947973.8713549823</v>
      </c>
      <c r="K76" s="94">
        <f>VLOOKUP(DatosHoy[[#This Row],[Cargo Valorado]],Estadísticos[],8,0)</f>
        <v>6947973.8713549823</v>
      </c>
      <c r="L76" s="94">
        <f>VLOOKUP(DatosHoy[[#This Row],[Cargo Valorado]],Estadísticos[],9,0)</f>
        <v>8381750.1204119092</v>
      </c>
      <c r="M76" s="94">
        <f>VLOOKUP(DatosHoy[[#This Row],[Cargo Valorado]],Estadísticos[],10,0)</f>
        <v>8381750.1204119092</v>
      </c>
      <c r="N76" s="94">
        <f>VLOOKUP(DatosHoy[[#This Row],[Cargo Valorado]],Estadísticos[],11,0)</f>
        <v>8381750.1204119092</v>
      </c>
      <c r="O76" s="75" t="s">
        <v>225</v>
      </c>
      <c r="P76" s="75">
        <v>300</v>
      </c>
      <c r="Q76" s="95" t="str">
        <f t="shared" si="35"/>
        <v>$P$76</v>
      </c>
      <c r="R76" s="95" t="str">
        <f t="shared" si="36"/>
        <v>$F$76</v>
      </c>
      <c r="S76" s="95" t="str">
        <f t="shared" si="37"/>
        <v>$G$76</v>
      </c>
      <c r="T76" s="95" t="str">
        <f t="shared" si="38"/>
        <v>$H$76</v>
      </c>
      <c r="U76" s="95" t="str">
        <f t="shared" si="39"/>
        <v>$I$76</v>
      </c>
      <c r="V76" s="95" t="str">
        <f t="shared" si="40"/>
        <v>$J$76</v>
      </c>
      <c r="W76" s="95" t="str">
        <f t="shared" si="41"/>
        <v>$K$76</v>
      </c>
      <c r="X76" s="95" t="str">
        <f t="shared" si="42"/>
        <v>$L$76</v>
      </c>
      <c r="Y76" s="95" t="str">
        <f t="shared" si="43"/>
        <v>$M$76</v>
      </c>
      <c r="Z76" s="95" t="str">
        <f t="shared" si="44"/>
        <v>$N$76</v>
      </c>
      <c r="AA76" s="94">
        <f ca="1">VLOOKUP($P76,'Regresion Q1'!$E$6:$I$10,4,1)*$P76+VLOOKUP($P76,'Regresion Q1'!$E$6:$I$10,5,1)</f>
        <v>3912998.9284872771</v>
      </c>
      <c r="AB76" s="94">
        <f ca="1">VLOOKUP($P76,'Regresion Q1'!$J$6:$N$10,4,1)*$P76+VLOOKUP($P76,'Regresion Q1'!$J$6:$N$10,5,1)</f>
        <v>4004886.1943627144</v>
      </c>
      <c r="AC76" s="94">
        <f ca="1">VLOOKUP($P76,'Regresion Q1'!$O$6:$S$10,4,1)*$P76+VLOOKUP($P76,'Regresion Q1'!$O$6:$S$10,5,1)</f>
        <v>4211506.8488544673</v>
      </c>
      <c r="AD76" s="94">
        <f ca="1">VLOOKUP($P76,'Regresion Md'!$E$6:$I$10,4,1)*$P76+VLOOKUP($P76,'Regresion Md'!$E$6:$I$10,5,1)</f>
        <v>4986864.9106760165</v>
      </c>
      <c r="AE76" s="94">
        <f ca="1">VLOOKUP($P76,'Regresion Md'!$J$6:$N$10,4,1)*$P76+VLOOKUP($P76,'Regresion Md'!$J$6:$N$10,5,1)</f>
        <v>5075449.3262518896</v>
      </c>
      <c r="AF76" s="94">
        <f ca="1">VLOOKUP($P76,'Regresion Md'!$O$6:$S$10,4,1)*$P76+VLOOKUP($P76,'Regresion Md'!$O$6:$S$10,5,1)</f>
        <v>5258814.8132809382</v>
      </c>
      <c r="AG76" s="94">
        <f ca="1">VLOOKUP($P76,'Regresion Q3'!$E$6:$I$10,4,1)*$P76+VLOOKUP($P76,'Regresion Q3'!$E$6:$I$10,5,1)</f>
        <v>5951982.9458031869</v>
      </c>
      <c r="AH76" s="94">
        <f ca="1">VLOOKUP($P76,'Regresion Q3'!$J$6:$N$10,4,1)*$P76+VLOOKUP($P76,'Regresion Q3'!$J$6:$N$10,5,1)</f>
        <v>6042202.2860547602</v>
      </c>
      <c r="AI76" s="94">
        <f ca="1">VLOOKUP($P76,'Regresion Q3'!$O$6:$S$10,4,1)*$P76+VLOOKUP($P76,'Regresion Q3'!$O$6:$S$10,5,1)</f>
        <v>6220564.1405671146</v>
      </c>
      <c r="AJ76" s="94">
        <f ca="1">VLOOKUP($P76,'Regresion Q1'!$T$6:$V$10,2,1)*$P76+VLOOKUP($P76,'Regresion Q1'!$T$6:$V$10,3,1)</f>
        <v>3591924.0800617673</v>
      </c>
      <c r="AK76" s="94">
        <f ca="1">VLOOKUP($P76,'Regresion Q1'!$W$6:$Y$10,2,1)*$P76+VLOOKUP($P76,'Regresion Q1'!$W$6:$Y$10,3,1)</f>
        <v>3699036.4724376537</v>
      </c>
      <c r="AL76" s="94">
        <f ca="1">VLOOKUP($P76,'Regresion Q1'!$Z$6:$AB$10,2,1)*$P76+VLOOKUP($P76,'Regresion Q1'!$Z$6:$AB$10,3,1)</f>
        <v>3850724.4315193775</v>
      </c>
      <c r="AM76" s="94">
        <f ca="1">VLOOKUP($P76,'Regresion Md'!$T$6:$V$10,2,1)*$P76+VLOOKUP($P76,'Regresion Md'!$T$6:$V$10,3,1)</f>
        <v>4808550.2214514725</v>
      </c>
      <c r="AN76" s="94">
        <f ca="1">VLOOKUP($P76,'Regresion Md'!$W$6:$Y$10,2,1)*$P76+VLOOKUP($P76,'Regresion Md'!$W$6:$Y$10,3,1)</f>
        <v>4984801.1076242439</v>
      </c>
      <c r="AO76" s="94">
        <f ca="1">VLOOKUP($P76,'Regresion Md'!$Z$6:$AB$10,2,1)*$P76+VLOOKUP($P76,'Regresion Md'!$Z$6:$AB$10,3,1)</f>
        <v>5236072.0599034512</v>
      </c>
      <c r="AP76" s="94">
        <f ca="1">VLOOKUP($P76,'Regresion Q3'!$T$6:$V$10,2,1)*$P76+VLOOKUP($P76,'Regresion Q3'!$T$6:$V$10,3,1)</f>
        <v>6011191.7104826653</v>
      </c>
      <c r="AQ76" s="94">
        <f ca="1">VLOOKUP($P76,'Regresion Q3'!$W$6:$Y$10,2,1)*$P76+VLOOKUP($P76,'Regresion Q3'!$W$6:$Y$10,3,1)</f>
        <v>6175321.4537133323</v>
      </c>
      <c r="AR76" s="94">
        <f ca="1">VLOOKUP($P76,'Regresion Q3'!$Z$6:$AB$10,2,1)*$P76+VLOOKUP($P76,'Regresion Q3'!$Z$6:$AB$10,3,1)</f>
        <v>6328612.7069755914</v>
      </c>
      <c r="AS76" s="94">
        <f>IF($BN76=$BN77,-1,DatosHoy[[#This Row],[G ajus PM Q1]]-BO77)</f>
        <v>-1</v>
      </c>
      <c r="AT76" s="94">
        <f>IF($BN76=$BN77,-1,DatosHoy[[#This Row],[G+V ajus PM Q1]]-BP77)</f>
        <v>-1</v>
      </c>
      <c r="AU76" s="94">
        <f>IF($BN76=$BN77,-1,DatosHoy[[#This Row],[CT ajus PM Q1]]-BQ77)</f>
        <v>-1</v>
      </c>
      <c r="AV76" s="94">
        <f ca="1">IF(DatosHoy[[#This Row],[G ajus PM Q1]]=DatosHoy[[#This Row],[G+V ajus PM Q1]],-1,DatosHoy[[#This Row],[G ajus PM Q1]]-DatosHoy[[#This Row],[G+V ajus PM Q1]])</f>
        <v>-105727.76128341863</v>
      </c>
      <c r="AW76" s="94">
        <f ca="1">IF(DatosHoy[[#This Row],[G+V ajus PM Q1]]=DatosHoy[[#This Row],[CT ajus PM Q1]],-1,DatosHoy[[#This Row],[G+V ajus PM Q1]]-DatosHoy[[#This Row],[CT ajus PM Q1]])</f>
        <v>-145774.47985139629</v>
      </c>
      <c r="AX76" s="94">
        <f>IF($BN76=$BN77,-1,DatosHoy[[#This Row],[G ajus PMd]]-BR77)</f>
        <v>-1</v>
      </c>
      <c r="AY76" s="94">
        <f>IF($BN76=$BN77,-1,DatosHoy[[#This Row],[G+V ajus PM Md]]-BS77)</f>
        <v>-1</v>
      </c>
      <c r="AZ76" s="94">
        <f>IF($BN76=$BN77,-1,DatosHoy[[#This Row],[CT ajus PM Md]]-BT77)</f>
        <v>-1</v>
      </c>
      <c r="BA76" s="94">
        <f ca="1">IF(DatosHoy[[#This Row],[G ajus PMd]]=DatosHoy[[#This Row],[G+V ajus PM Md]],-1,DatosHoy[[#This Row],[G ajus PMd]]-DatosHoy[[#This Row],[G+V ajus PM Md]])</f>
        <v>-151468.17388930079</v>
      </c>
      <c r="BB76" s="94">
        <f ca="1">IF(DatosHoy[[#This Row],[G+V ajus PM Md]]=DatosHoy[[#This Row],[CT ajus PM Md]],-1,DatosHoy[[#This Row],[G+V ajus PM Md]]-DatosHoy[[#This Row],[CT ajus PM Md]])</f>
        <v>-242223.16029422916</v>
      </c>
      <c r="BC76" s="94">
        <f>IF($BN76=$BN77,-1,DatosHoy[[#This Row],[G ajus PM Q3]]-BU77)</f>
        <v>-1</v>
      </c>
      <c r="BD76" s="94">
        <f>IF($BN76=$BN77,-1,DatosHoy[[#This Row],[G+V ajus PM Q3]]-BV77)</f>
        <v>-1</v>
      </c>
      <c r="BE76" s="94">
        <f>IF($BN76=$BN77,-1,DatosHoy[[#This Row],[CT ajus PM Q3]]-BW77)</f>
        <v>-1</v>
      </c>
      <c r="BF76" s="94">
        <f ca="1">IF(DatosHoy[[#This Row],[G ajus PM Q3]]=DatosHoy[[#This Row],[G+V ajus PM Q3]],-1,DatosHoy[[#This Row],[G ajus PM Q3]]-DatosHoy[[#This Row],[G+V ajus PM Q3]])</f>
        <v>-158477.96503032744</v>
      </c>
      <c r="BG76" s="94">
        <f ca="1">IF(DatosHoy[[#This Row],[G+V ajus PM Q3]]=DatosHoy[[#This Row],[CT ajus PM Q3]],-1,DatosHoy[[#This Row],[G+V ajus PM Q3]]-DatosHoy[[#This Row],[CT ajus PM Q3]])</f>
        <v>-148668.53317942191</v>
      </c>
      <c r="BH76" s="94">
        <f ca="1">IF(DatosHoy[[#This Row],[G ajus PM Q1]]=DatosHoy[[#This Row],[G ajus PMd]],-1,DatosHoy[[#This Row],[G ajus PM Q1]]-DatosHoy[[#This Row],[G ajus PMd]])</f>
        <v>-1048482.2352042263</v>
      </c>
      <c r="BI76" s="94">
        <f ca="1">IF(DatosHoy[[#This Row],[G+V ajus PM Q1]]=DatosHoy[[#This Row],[G+V ajus PM Md]],-1,DatosHoy[[#This Row],[G+V ajus PM Q1]]-DatosHoy[[#This Row],[G+V ajus PM Md]])</f>
        <v>-1094222.6478101085</v>
      </c>
      <c r="BJ76" s="94">
        <f ca="1">IF(DatosHoy[[#This Row],[CT ajus PM Q1]]=DatosHoy[[#This Row],[CT ajus PM Md]],-1,DatosHoy[[#This Row],[CT ajus PM Q1]]-DatosHoy[[#This Row],[CT ajus PM Md]])</f>
        <v>-1190671.3282529414</v>
      </c>
      <c r="BK76" s="94">
        <f ca="1">IF(DatosHoy[[#This Row],[G ajus PMd]]=DatosHoy[[#This Row],[G ajus PM Q3]],-1,DatosHoy[[#This Row],[G ajus PMd]]-DatosHoy[[#This Row],[G ajus PM Q3]])</f>
        <v>-1260844.9115298931</v>
      </c>
      <c r="BL76" s="94">
        <f ca="1">IF(DatosHoy[[#This Row],[G+V ajus PM Md]]=DatosHoy[[#This Row],[G+V ajus PM Q3]],-1,DatosHoy[[#This Row],[G+V ajus PM Md]]-DatosHoy[[#This Row],[G+V ajus PM Q3]])</f>
        <v>-1267854.7026709197</v>
      </c>
      <c r="BM76" s="94">
        <f ca="1">IF(DatosHoy[[#This Row],[CT ajus PM Md]]=DatosHoy[[#This Row],[CT ajus PM Q3]],-1,DatosHoy[[#This Row],[CT ajus PM Md]]-DatosHoy[[#This Row],[CT ajus PM Q3]])</f>
        <v>-1174300.0755561125</v>
      </c>
      <c r="BN76" s="74">
        <v>287</v>
      </c>
      <c r="BO76" s="94">
        <f ca="1">IFERROR(VLOOKUP($BN76,'Regresion Q1'!$T$6:$V$10,2,1)*$BN76+VLOOKUP($BN76,'Regresion Q1'!$T$6:$V$10,3,1),VLOOKUP(MIN(DatosHoy[Puntos]),'Regresion Q1'!$T$6:$V$10,2,1)*$BN76+VLOOKUP(MIN(DatosHoy[Puntos]),'Regresion Q1'!$T$6:$V$10,3,1))</f>
        <v>3461879.6456658933</v>
      </c>
      <c r="BP76" s="94">
        <f ca="1">IFERROR(VLOOKUP($BN76,'Regresion Q1'!$W$6:$Y$10,2,1)*$BN76+VLOOKUP($BN76,'Regresion Q1'!$W$6:$Y$10,3,1),VLOOKUP(MIN(DatosHoy[Puntos]),'Regresion Q1'!$W$6:$Y$10,2,1)*$BN76+VLOOKUP(MIN(DatosHoy[Puntos]),'Regresion Q1'!$W$6:$Y$10,3,1))</f>
        <v>3567607.406949312</v>
      </c>
      <c r="BQ76" s="94">
        <f ca="1">IFERROR(VLOOKUP($BN76,'Regresion Q1'!$Z$6:$AB$10,2,1)*$BN76+VLOOKUP($BN76,'Regresion Q1'!$Z$6:$AB$10,3,1),VLOOKUP(MIN(DatosHoy[Puntos]),'Regresion Q1'!$Z$6:$AB$10,2,1)*$BN76+VLOOKUP(MIN(DatosHoy[Puntos]),'Regresion Q1'!$Z$6:$AB$10,3,1))</f>
        <v>3713381.8868007082</v>
      </c>
      <c r="BR76" s="94">
        <f ca="1">IFERROR(VLOOKUP($BN76,'Regresion Md'!$T$6:$V$10,2,1)*$BN76+VLOOKUP($BN76,'Regresion Md'!$T$6:$V$10,3,1),VLOOKUP(MIN(DatosHoy[Puntos]),'Regresion Md'!$T$6:$V$10,2,1)*$BN76+VLOOKUP(MIN(DatosHoy[Puntos]),'Regresion Md'!$T$6:$V$10,3,1))</f>
        <v>4510361.8808701197</v>
      </c>
      <c r="BS76" s="94">
        <f ca="1">IFERROR(VLOOKUP($BN76,'Regresion Md'!$W$6:$Y$10,2,1)*$BN76+VLOOKUP($BN76,'Regresion Md'!$W$6:$Y$10,3,1),VLOOKUP(MIN(DatosHoy[Puntos]),'Regresion Md'!$W$6:$Y$10,2,1)*$BN76+VLOOKUP(MIN(DatosHoy[Puntos]),'Regresion Md'!$W$6:$Y$10,3,1))</f>
        <v>4661830.0547594205</v>
      </c>
      <c r="BT76" s="94">
        <f ca="1">IFERROR(VLOOKUP($BN76,'Regresion Md'!$Z$6:$AB$10,2,1)*$BN76+VLOOKUP($BN76,'Regresion Md'!$Z$6:$AB$10,3,1),VLOOKUP(MIN(DatosHoy[Puntos]),'Regresion Md'!$Z$6:$AB$10,2,1)*$BN76+VLOOKUP(MIN(DatosHoy[Puntos]),'Regresion Md'!$Z$6:$AB$10,3,1))</f>
        <v>4904053.2150536496</v>
      </c>
      <c r="BU76" s="94">
        <f ca="1">IFERROR(VLOOKUP($BN76,'Regresion Q3'!$T$6:$V$10,2,1)*$BN76+VLOOKUP($BN76,'Regresion Q3'!$T$6:$V$10,3,1),VLOOKUP(MIN(DatosHoy[Puntos]),'Regresion Q3'!$T$6:$V$10,2,1)*$BN76+VLOOKUP(MIN(DatosHoy[Puntos]),'Regresion Q3'!$T$6:$V$10,3,1))</f>
        <v>5771206.7924000127</v>
      </c>
      <c r="BV76" s="94">
        <f ca="1">IFERROR(VLOOKUP($BN76,'Regresion Q3'!$W$6:$Y$10,2,1)*$BN76+VLOOKUP($BN76,'Regresion Q3'!$W$6:$Y$10,3,1),VLOOKUP(MIN(DatosHoy[Puntos]),'Regresion Q3'!$W$6:$Y$10,2,1)*$BN76+VLOOKUP(MIN(DatosHoy[Puntos]),'Regresion Q3'!$W$6:$Y$10,3,1))</f>
        <v>5929684.7574303402</v>
      </c>
      <c r="BW76" s="94">
        <f ca="1">IFERROR(VLOOKUP($BN76,'Regresion Q3'!$Z$6:$AB$10,2,1)*$BN76+VLOOKUP($BN76,'Regresion Q3'!$Z$6:$AB$10,3,1),VLOOKUP(MIN(DatosHoy[Puntos]),'Regresion Q3'!$Z$6:$AB$10,2,1)*$BN76+VLOOKUP(MIN(DatosHoy[Puntos]),'Regresion Q3'!$Z$6:$AB$10,3,1))</f>
        <v>6078353.2906097621</v>
      </c>
      <c r="BX76" s="96">
        <f ca="1">DatosHoy[[#This Row],[CT Actual]]/DatosHoy[[#This Row],[CT ajus PM Md]]</f>
        <v>1.3791651239098572</v>
      </c>
      <c r="BY76" s="125" t="str">
        <f>VLOOKUP(DatosHoy[[#This Row],[Cargo Valorado]],Estadísticos[[Cargo]:[Nivel]],2,FALSE)</f>
        <v>Táctico</v>
      </c>
      <c r="BZ76" s="96">
        <f>(DatosHoy[[#This Row],[G+V Actual]]-DatosHoy[[#This Row],[G Actual]])/DatosHoy[[#This Row],[CT Actual]]</f>
        <v>0</v>
      </c>
      <c r="CA76" s="96">
        <f>(DatosHoy[[#This Row],[CT Actual]]-DatosHoy[[#This Row],[G+V Actual]])/DatosHoy[[#This Row],[CT Actual]]</f>
        <v>0</v>
      </c>
      <c r="CB76" s="139" t="s">
        <v>255</v>
      </c>
    </row>
    <row r="77" spans="2:80" x14ac:dyDescent="0.25">
      <c r="B77" s="73">
        <f t="shared" si="45"/>
        <v>72</v>
      </c>
      <c r="C77" s="74">
        <v>4471346</v>
      </c>
      <c r="D77" s="74">
        <v>4471346</v>
      </c>
      <c r="E77" s="74">
        <v>4471346</v>
      </c>
      <c r="F77" s="94">
        <f>VLOOKUP(DatosHoy[[#This Row],[Cargo Valorado]],Estadísticos[],3,0)</f>
        <v>4420865.4880325198</v>
      </c>
      <c r="G77" s="94">
        <f>VLOOKUP(DatosHoy[[#This Row],[Cargo Valorado]],Estadísticos[],4,0)</f>
        <v>4458565.3987954687</v>
      </c>
      <c r="H77" s="94">
        <f>VLOOKUP(DatosHoy[[#This Row],[Cargo Valorado]],Estadísticos[],5,0)</f>
        <v>4458565.3987954687</v>
      </c>
      <c r="I77" s="94">
        <f>VLOOKUP(DatosHoy[[#This Row],[Cargo Valorado]],Estadísticos[],6,0)</f>
        <v>5232627.0840681223</v>
      </c>
      <c r="J77" s="94">
        <f>VLOOKUP(DatosHoy[[#This Row],[Cargo Valorado]],Estadísticos[],7,0)</f>
        <v>5232627.0840681223</v>
      </c>
      <c r="K77" s="94">
        <f>VLOOKUP(DatosHoy[[#This Row],[Cargo Valorado]],Estadísticos[],8,0)</f>
        <v>5456746.9174014553</v>
      </c>
      <c r="L77" s="94">
        <f>VLOOKUP(DatosHoy[[#This Row],[Cargo Valorado]],Estadísticos[],9,0)</f>
        <v>5467827.3392980844</v>
      </c>
      <c r="M77" s="94">
        <f>VLOOKUP(DatosHoy[[#This Row],[Cargo Valorado]],Estadísticos[],10,0)</f>
        <v>5742966.4111805288</v>
      </c>
      <c r="N77" s="94">
        <f>VLOOKUP(DatosHoy[[#This Row],[Cargo Valorado]],Estadísticos[],11,0)</f>
        <v>6079146.1611805279</v>
      </c>
      <c r="O77" s="75" t="s">
        <v>185</v>
      </c>
      <c r="P77" s="75">
        <v>301</v>
      </c>
      <c r="Q77" s="95" t="str">
        <f t="shared" si="35"/>
        <v>$P$77</v>
      </c>
      <c r="R77" s="95" t="str">
        <f t="shared" si="36"/>
        <v>$F$77</v>
      </c>
      <c r="S77" s="95" t="str">
        <f t="shared" si="37"/>
        <v>$G$77</v>
      </c>
      <c r="T77" s="95" t="str">
        <f t="shared" si="38"/>
        <v>$H$77</v>
      </c>
      <c r="U77" s="95" t="str">
        <f t="shared" si="39"/>
        <v>$I$77</v>
      </c>
      <c r="V77" s="95" t="str">
        <f t="shared" si="40"/>
        <v>$J$77</v>
      </c>
      <c r="W77" s="95" t="str">
        <f t="shared" si="41"/>
        <v>$K$77</v>
      </c>
      <c r="X77" s="95" t="str">
        <f t="shared" si="42"/>
        <v>$L$77</v>
      </c>
      <c r="Y77" s="95" t="str">
        <f t="shared" si="43"/>
        <v>$M$77</v>
      </c>
      <c r="Z77" s="95" t="str">
        <f t="shared" si="44"/>
        <v>$N$77</v>
      </c>
      <c r="AA77" s="94">
        <f ca="1">VLOOKUP($P77,'Regresion Q1'!$E$6:$I$10,4,1)*$P77+VLOOKUP($P77,'Regresion Q1'!$E$6:$I$10,5,1)</f>
        <v>3926451.199846264</v>
      </c>
      <c r="AB77" s="94">
        <f ca="1">VLOOKUP($P77,'Regresion Q1'!$J$6:$N$10,4,1)*$P77+VLOOKUP($P77,'Regresion Q1'!$J$6:$N$10,5,1)</f>
        <v>4018724.4947531545</v>
      </c>
      <c r="AC77" s="94">
        <f ca="1">VLOOKUP($P77,'Regresion Q1'!$O$6:$S$10,4,1)*$P77+VLOOKUP($P77,'Regresion Q1'!$O$6:$S$10,5,1)</f>
        <v>4225786.9528046027</v>
      </c>
      <c r="AD77" s="94">
        <f ca="1">VLOOKUP($P77,'Regresion Md'!$E$6:$I$10,4,1)*$P77+VLOOKUP($P77,'Regresion Md'!$E$6:$I$10,5,1)</f>
        <v>5011950.8450858137</v>
      </c>
      <c r="AE77" s="94">
        <f ca="1">VLOOKUP($P77,'Regresion Md'!$J$6:$N$10,4,1)*$P77+VLOOKUP($P77,'Regresion Md'!$J$6:$N$10,5,1)</f>
        <v>5101385.4006077191</v>
      </c>
      <c r="AF77" s="94">
        <f ca="1">VLOOKUP($P77,'Regresion Md'!$O$6:$S$10,4,1)*$P77+VLOOKUP($P77,'Regresion Md'!$O$6:$S$10,5,1)</f>
        <v>5284628.7335000681</v>
      </c>
      <c r="AG77" s="94">
        <f ca="1">VLOOKUP($P77,'Regresion Q3'!$E$6:$I$10,4,1)*$P77+VLOOKUP($P77,'Regresion Q3'!$E$6:$I$10,5,1)</f>
        <v>5976875.7336525498</v>
      </c>
      <c r="AH77" s="94">
        <f ca="1">VLOOKUP($P77,'Regresion Q3'!$J$6:$N$10,4,1)*$P77+VLOOKUP($P77,'Regresion Q3'!$J$6:$N$10,5,1)</f>
        <v>6067409.1378758475</v>
      </c>
      <c r="AI77" s="94">
        <f ca="1">VLOOKUP($P77,'Regresion Q3'!$O$6:$S$10,4,1)*$P77+VLOOKUP($P77,'Regresion Q3'!$O$6:$S$10,5,1)</f>
        <v>6245621.8509996608</v>
      </c>
      <c r="AJ77" s="94">
        <f ca="1">VLOOKUP($P77,'Regresion Q1'!$T$6:$V$10,2,1)*$P77+VLOOKUP($P77,'Regresion Q1'!$T$6:$V$10,3,1)</f>
        <v>3601927.4980922192</v>
      </c>
      <c r="AK77" s="94">
        <f ca="1">VLOOKUP($P77,'Regresion Q1'!$W$6:$Y$10,2,1)*$P77+VLOOKUP($P77,'Regresion Q1'!$W$6:$Y$10,3,1)</f>
        <v>3709146.4005521415</v>
      </c>
      <c r="AL77" s="94">
        <f ca="1">VLOOKUP($P77,'Regresion Q1'!$Z$6:$AB$10,2,1)*$P77+VLOOKUP($P77,'Regresion Q1'!$Z$6:$AB$10,3,1)</f>
        <v>3861289.2426515832</v>
      </c>
      <c r="AM77" s="94">
        <f ca="1">VLOOKUP($P77,'Regresion Md'!$T$6:$V$10,2,1)*$P77+VLOOKUP($P77,'Regresion Md'!$T$6:$V$10,3,1)</f>
        <v>4831487.7861115765</v>
      </c>
      <c r="AN77" s="94">
        <f ca="1">VLOOKUP($P77,'Regresion Md'!$W$6:$Y$10,2,1)*$P77+VLOOKUP($P77,'Regresion Md'!$W$6:$Y$10,3,1)</f>
        <v>5009645.034767692</v>
      </c>
      <c r="AO77" s="94">
        <f ca="1">VLOOKUP($P77,'Regresion Md'!$Z$6:$AB$10,2,1)*$P77+VLOOKUP($P77,'Regresion Md'!$Z$6:$AB$10,3,1)</f>
        <v>5261611.9710457437</v>
      </c>
      <c r="AP77" s="94">
        <f ca="1">VLOOKUP($P77,'Regresion Q3'!$T$6:$V$10,2,1)*$P77+VLOOKUP($P77,'Regresion Q3'!$T$6:$V$10,3,1)</f>
        <v>6029652.0887967162</v>
      </c>
      <c r="AQ77" s="94">
        <f ca="1">VLOOKUP($P77,'Regresion Q3'!$W$6:$Y$10,2,1)*$P77+VLOOKUP($P77,'Regresion Q3'!$W$6:$Y$10,3,1)</f>
        <v>6194216.5841966392</v>
      </c>
      <c r="AR77" s="94">
        <f ca="1">VLOOKUP($P77,'Regresion Q3'!$Z$6:$AB$10,2,1)*$P77+VLOOKUP($P77,'Regresion Q3'!$Z$6:$AB$10,3,1)</f>
        <v>6347863.4313114248</v>
      </c>
      <c r="AS77" s="94">
        <f>IF($BN77=$BN78,-1,DatosHoy[[#This Row],[G ajus PM Q1]]-BO78)</f>
        <v>-1</v>
      </c>
      <c r="AT77" s="94">
        <f>IF($BN77=$BN78,-1,DatosHoy[[#This Row],[G+V ajus PM Q1]]-BP78)</f>
        <v>-1</v>
      </c>
      <c r="AU77" s="94">
        <f>IF($BN77=$BN78,-1,DatosHoy[[#This Row],[CT ajus PM Q1]]-BQ78)</f>
        <v>-1</v>
      </c>
      <c r="AV77" s="94">
        <f ca="1">IF(DatosHoy[[#This Row],[G ajus PM Q1]]=DatosHoy[[#This Row],[G+V ajus PM Q1]],-1,DatosHoy[[#This Row],[G ajus PM Q1]]-DatosHoy[[#This Row],[G+V ajus PM Q1]])</f>
        <v>-105727.76128341863</v>
      </c>
      <c r="AW77" s="94">
        <f ca="1">IF(DatosHoy[[#This Row],[G+V ajus PM Q1]]=DatosHoy[[#This Row],[CT ajus PM Q1]],-1,DatosHoy[[#This Row],[G+V ajus PM Q1]]-DatosHoy[[#This Row],[CT ajus PM Q1]])</f>
        <v>-145774.47985139629</v>
      </c>
      <c r="AX77" s="94">
        <f>IF($BN77=$BN78,-1,DatosHoy[[#This Row],[G ajus PMd]]-BR78)</f>
        <v>-1</v>
      </c>
      <c r="AY77" s="94">
        <f>IF($BN77=$BN78,-1,DatosHoy[[#This Row],[G+V ajus PM Md]]-BS78)</f>
        <v>-1</v>
      </c>
      <c r="AZ77" s="94">
        <f>IF($BN77=$BN78,-1,DatosHoy[[#This Row],[CT ajus PM Md]]-BT78)</f>
        <v>-1</v>
      </c>
      <c r="BA77" s="94">
        <f ca="1">IF(DatosHoy[[#This Row],[G ajus PMd]]=DatosHoy[[#This Row],[G+V ajus PM Md]],-1,DatosHoy[[#This Row],[G ajus PMd]]-DatosHoy[[#This Row],[G+V ajus PM Md]])</f>
        <v>-151468.17388930079</v>
      </c>
      <c r="BB77" s="94">
        <f ca="1">IF(DatosHoy[[#This Row],[G+V ajus PM Md]]=DatosHoy[[#This Row],[CT ajus PM Md]],-1,DatosHoy[[#This Row],[G+V ajus PM Md]]-DatosHoy[[#This Row],[CT ajus PM Md]])</f>
        <v>-242223.16029422916</v>
      </c>
      <c r="BC77" s="94">
        <f>IF($BN77=$BN78,-1,DatosHoy[[#This Row],[G ajus PM Q3]]-BU78)</f>
        <v>-1</v>
      </c>
      <c r="BD77" s="94">
        <f>IF($BN77=$BN78,-1,DatosHoy[[#This Row],[G+V ajus PM Q3]]-BV78)</f>
        <v>-1</v>
      </c>
      <c r="BE77" s="94">
        <f>IF($BN77=$BN78,-1,DatosHoy[[#This Row],[CT ajus PM Q3]]-BW78)</f>
        <v>-1</v>
      </c>
      <c r="BF77" s="94">
        <f ca="1">IF(DatosHoy[[#This Row],[G ajus PM Q3]]=DatosHoy[[#This Row],[G+V ajus PM Q3]],-1,DatosHoy[[#This Row],[G ajus PM Q3]]-DatosHoy[[#This Row],[G+V ajus PM Q3]])</f>
        <v>-158477.96503032744</v>
      </c>
      <c r="BG77" s="94">
        <f ca="1">IF(DatosHoy[[#This Row],[G+V ajus PM Q3]]=DatosHoy[[#This Row],[CT ajus PM Q3]],-1,DatosHoy[[#This Row],[G+V ajus PM Q3]]-DatosHoy[[#This Row],[CT ajus PM Q3]])</f>
        <v>-148668.53317942191</v>
      </c>
      <c r="BH77" s="94">
        <f ca="1">IF(DatosHoy[[#This Row],[G ajus PM Q1]]=DatosHoy[[#This Row],[G ajus PMd]],-1,DatosHoy[[#This Row],[G ajus PM Q1]]-DatosHoy[[#This Row],[G ajus PMd]])</f>
        <v>-1048482.2352042263</v>
      </c>
      <c r="BI77" s="94">
        <f ca="1">IF(DatosHoy[[#This Row],[G+V ajus PM Q1]]=DatosHoy[[#This Row],[G+V ajus PM Md]],-1,DatosHoy[[#This Row],[G+V ajus PM Q1]]-DatosHoy[[#This Row],[G+V ajus PM Md]])</f>
        <v>-1094222.6478101085</v>
      </c>
      <c r="BJ77" s="94">
        <f ca="1">IF(DatosHoy[[#This Row],[CT ajus PM Q1]]=DatosHoy[[#This Row],[CT ajus PM Md]],-1,DatosHoy[[#This Row],[CT ajus PM Q1]]-DatosHoy[[#This Row],[CT ajus PM Md]])</f>
        <v>-1190671.3282529414</v>
      </c>
      <c r="BK77" s="94">
        <f ca="1">IF(DatosHoy[[#This Row],[G ajus PMd]]=DatosHoy[[#This Row],[G ajus PM Q3]],-1,DatosHoy[[#This Row],[G ajus PMd]]-DatosHoy[[#This Row],[G ajus PM Q3]])</f>
        <v>-1260844.9115298931</v>
      </c>
      <c r="BL77" s="94">
        <f ca="1">IF(DatosHoy[[#This Row],[G+V ajus PM Md]]=DatosHoy[[#This Row],[G+V ajus PM Q3]],-1,DatosHoy[[#This Row],[G+V ajus PM Md]]-DatosHoy[[#This Row],[G+V ajus PM Q3]])</f>
        <v>-1267854.7026709197</v>
      </c>
      <c r="BM77" s="94">
        <f ca="1">IF(DatosHoy[[#This Row],[CT ajus PM Md]]=DatosHoy[[#This Row],[CT ajus PM Q3]],-1,DatosHoy[[#This Row],[CT ajus PM Md]]-DatosHoy[[#This Row],[CT ajus PM Q3]])</f>
        <v>-1174300.0755561125</v>
      </c>
      <c r="BN77" s="74">
        <v>287</v>
      </c>
      <c r="BO77" s="94">
        <f ca="1">IFERROR(VLOOKUP($BN77,'Regresion Q1'!$T$6:$V$10,2,1)*$BN77+VLOOKUP($BN77,'Regresion Q1'!$T$6:$V$10,3,1),VLOOKUP(MIN(DatosHoy[Puntos]),'Regresion Q1'!$T$6:$V$10,2,1)*$BN77+VLOOKUP(MIN(DatosHoy[Puntos]),'Regresion Q1'!$T$6:$V$10,3,1))</f>
        <v>3461879.6456658933</v>
      </c>
      <c r="BP77" s="94">
        <f ca="1">IFERROR(VLOOKUP($BN77,'Regresion Q1'!$W$6:$Y$10,2,1)*$BN77+VLOOKUP($BN77,'Regresion Q1'!$W$6:$Y$10,3,1),VLOOKUP(MIN(DatosHoy[Puntos]),'Regresion Q1'!$W$6:$Y$10,2,1)*$BN77+VLOOKUP(MIN(DatosHoy[Puntos]),'Regresion Q1'!$W$6:$Y$10,3,1))</f>
        <v>3567607.406949312</v>
      </c>
      <c r="BQ77" s="94">
        <f ca="1">IFERROR(VLOOKUP($BN77,'Regresion Q1'!$Z$6:$AB$10,2,1)*$BN77+VLOOKUP($BN77,'Regresion Q1'!$Z$6:$AB$10,3,1),VLOOKUP(MIN(DatosHoy[Puntos]),'Regresion Q1'!$Z$6:$AB$10,2,1)*$BN77+VLOOKUP(MIN(DatosHoy[Puntos]),'Regresion Q1'!$Z$6:$AB$10,3,1))</f>
        <v>3713381.8868007082</v>
      </c>
      <c r="BR77" s="94">
        <f ca="1">IFERROR(VLOOKUP($BN77,'Regresion Md'!$T$6:$V$10,2,1)*$BN77+VLOOKUP($BN77,'Regresion Md'!$T$6:$V$10,3,1),VLOOKUP(MIN(DatosHoy[Puntos]),'Regresion Md'!$T$6:$V$10,2,1)*$BN77+VLOOKUP(MIN(DatosHoy[Puntos]),'Regresion Md'!$T$6:$V$10,3,1))</f>
        <v>4510361.8808701197</v>
      </c>
      <c r="BS77" s="94">
        <f ca="1">IFERROR(VLOOKUP($BN77,'Regresion Md'!$W$6:$Y$10,2,1)*$BN77+VLOOKUP($BN77,'Regresion Md'!$W$6:$Y$10,3,1),VLOOKUP(MIN(DatosHoy[Puntos]),'Regresion Md'!$W$6:$Y$10,2,1)*$BN77+VLOOKUP(MIN(DatosHoy[Puntos]),'Regresion Md'!$W$6:$Y$10,3,1))</f>
        <v>4661830.0547594205</v>
      </c>
      <c r="BT77" s="94">
        <f ca="1">IFERROR(VLOOKUP($BN77,'Regresion Md'!$Z$6:$AB$10,2,1)*$BN77+VLOOKUP($BN77,'Regresion Md'!$Z$6:$AB$10,3,1),VLOOKUP(MIN(DatosHoy[Puntos]),'Regresion Md'!$Z$6:$AB$10,2,1)*$BN77+VLOOKUP(MIN(DatosHoy[Puntos]),'Regresion Md'!$Z$6:$AB$10,3,1))</f>
        <v>4904053.2150536496</v>
      </c>
      <c r="BU77" s="94">
        <f ca="1">IFERROR(VLOOKUP($BN77,'Regresion Q3'!$T$6:$V$10,2,1)*$BN77+VLOOKUP($BN77,'Regresion Q3'!$T$6:$V$10,3,1),VLOOKUP(MIN(DatosHoy[Puntos]),'Regresion Q3'!$T$6:$V$10,2,1)*$BN77+VLOOKUP(MIN(DatosHoy[Puntos]),'Regresion Q3'!$T$6:$V$10,3,1))</f>
        <v>5771206.7924000127</v>
      </c>
      <c r="BV77" s="94">
        <f ca="1">IFERROR(VLOOKUP($BN77,'Regresion Q3'!$W$6:$Y$10,2,1)*$BN77+VLOOKUP($BN77,'Regresion Q3'!$W$6:$Y$10,3,1),VLOOKUP(MIN(DatosHoy[Puntos]),'Regresion Q3'!$W$6:$Y$10,2,1)*$BN77+VLOOKUP(MIN(DatosHoy[Puntos]),'Regresion Q3'!$W$6:$Y$10,3,1))</f>
        <v>5929684.7574303402</v>
      </c>
      <c r="BW77" s="94">
        <f ca="1">IFERROR(VLOOKUP($BN77,'Regresion Q3'!$Z$6:$AB$10,2,1)*$BN77+VLOOKUP($BN77,'Regresion Q3'!$Z$6:$AB$10,3,1),VLOOKUP(MIN(DatosHoy[Puntos]),'Regresion Q3'!$Z$6:$AB$10,2,1)*$BN77+VLOOKUP(MIN(DatosHoy[Puntos]),'Regresion Q3'!$Z$6:$AB$10,3,1))</f>
        <v>6078353.2906097621</v>
      </c>
      <c r="BX77" s="96">
        <f ca="1">DatosHoy[[#This Row],[CT Actual]]/DatosHoy[[#This Row],[CT ajus PM Md]]</f>
        <v>0.91176539158967596</v>
      </c>
      <c r="BY77" s="125" t="str">
        <f>VLOOKUP(DatosHoy[[#This Row],[Cargo Valorado]],Estadísticos[[Cargo]:[Nivel]],2,FALSE)</f>
        <v>Táctico</v>
      </c>
      <c r="BZ77" s="96">
        <f>(DatosHoy[[#This Row],[G+V Actual]]-DatosHoy[[#This Row],[G Actual]])/DatosHoy[[#This Row],[CT Actual]]</f>
        <v>0</v>
      </c>
      <c r="CA77" s="96">
        <f>(DatosHoy[[#This Row],[CT Actual]]-DatosHoy[[#This Row],[G+V Actual]])/DatosHoy[[#This Row],[CT Actual]]</f>
        <v>0</v>
      </c>
      <c r="CB77" s="139" t="s">
        <v>255</v>
      </c>
    </row>
    <row r="78" spans="2:80" x14ac:dyDescent="0.25">
      <c r="B78" s="73">
        <f t="shared" si="45"/>
        <v>73</v>
      </c>
      <c r="C78" s="74">
        <v>2828714.68</v>
      </c>
      <c r="D78" s="74">
        <v>2828714.68</v>
      </c>
      <c r="E78" s="74">
        <v>2828714.68</v>
      </c>
      <c r="F78" s="94">
        <f>VLOOKUP(DatosHoy[[#This Row],[Cargo Valorado]],Estadísticos[],3,0)</f>
        <v>2893059.0824304693</v>
      </c>
      <c r="G78" s="94">
        <f>VLOOKUP(DatosHoy[[#This Row],[Cargo Valorado]],Estadísticos[],4,0)</f>
        <v>2893059.0824304693</v>
      </c>
      <c r="H78" s="94">
        <f>VLOOKUP(DatosHoy[[#This Row],[Cargo Valorado]],Estadísticos[],5,0)</f>
        <v>3027246.9511403376</v>
      </c>
      <c r="I78" s="94">
        <f>VLOOKUP(DatosHoy[[#This Row],[Cargo Valorado]],Estadísticos[],6,0)</f>
        <v>3838866.1513602757</v>
      </c>
      <c r="J78" s="94">
        <f>VLOOKUP(DatosHoy[[#This Row],[Cargo Valorado]],Estadísticos[],7,0)</f>
        <v>3838866.1513602757</v>
      </c>
      <c r="K78" s="94">
        <f>VLOOKUP(DatosHoy[[#This Row],[Cargo Valorado]],Estadísticos[],8,0)</f>
        <v>3935850.0487800115</v>
      </c>
      <c r="L78" s="94">
        <f>VLOOKUP(DatosHoy[[#This Row],[Cargo Valorado]],Estadísticos[],9,0)</f>
        <v>4279221.5375945857</v>
      </c>
      <c r="M78" s="94">
        <f>VLOOKUP(DatosHoy[[#This Row],[Cargo Valorado]],Estadísticos[],10,0)</f>
        <v>4686464.1450651828</v>
      </c>
      <c r="N78" s="94">
        <f>VLOOKUP(DatosHoy[[#This Row],[Cargo Valorado]],Estadísticos[],11,0)</f>
        <v>4734956.0937750507</v>
      </c>
      <c r="O78" s="75" t="s">
        <v>184</v>
      </c>
      <c r="P78" s="75">
        <v>304</v>
      </c>
      <c r="Q78" s="95" t="str">
        <f t="shared" si="35"/>
        <v>$P$78</v>
      </c>
      <c r="R78" s="95" t="str">
        <f t="shared" si="36"/>
        <v>$F$78</v>
      </c>
      <c r="S78" s="95" t="str">
        <f t="shared" si="37"/>
        <v>$G$78</v>
      </c>
      <c r="T78" s="95" t="str">
        <f t="shared" si="38"/>
        <v>$H$78</v>
      </c>
      <c r="U78" s="95" t="str">
        <f t="shared" si="39"/>
        <v>$I$78</v>
      </c>
      <c r="V78" s="95" t="str">
        <f t="shared" si="40"/>
        <v>$J$78</v>
      </c>
      <c r="W78" s="95" t="str">
        <f t="shared" si="41"/>
        <v>$K$78</v>
      </c>
      <c r="X78" s="95" t="str">
        <f t="shared" si="42"/>
        <v>$L$78</v>
      </c>
      <c r="Y78" s="95" t="str">
        <f t="shared" si="43"/>
        <v>$M$78</v>
      </c>
      <c r="Z78" s="95" t="str">
        <f t="shared" si="44"/>
        <v>$N$78</v>
      </c>
      <c r="AA78" s="94">
        <f ca="1">VLOOKUP($P78,'Regresion Q1'!$E$6:$I$10,4,1)*$P78+VLOOKUP($P78,'Regresion Q1'!$E$6:$I$10,5,1)</f>
        <v>3966808.0139232241</v>
      </c>
      <c r="AB78" s="94">
        <f ca="1">VLOOKUP($P78,'Regresion Q1'!$J$6:$N$10,4,1)*$P78+VLOOKUP($P78,'Regresion Q1'!$J$6:$N$10,5,1)</f>
        <v>4060239.3959244741</v>
      </c>
      <c r="AC78" s="94">
        <f ca="1">VLOOKUP($P78,'Regresion Q1'!$O$6:$S$10,4,1)*$P78+VLOOKUP($P78,'Regresion Q1'!$O$6:$S$10,5,1)</f>
        <v>4268627.2646550089</v>
      </c>
      <c r="AD78" s="94">
        <f ca="1">VLOOKUP($P78,'Regresion Md'!$E$6:$I$10,4,1)*$P78+VLOOKUP($P78,'Regresion Md'!$E$6:$I$10,5,1)</f>
        <v>5087208.6483152062</v>
      </c>
      <c r="AE78" s="94">
        <f ca="1">VLOOKUP($P78,'Regresion Md'!$J$6:$N$10,4,1)*$P78+VLOOKUP($P78,'Regresion Md'!$J$6:$N$10,5,1)</f>
        <v>5179193.6236752067</v>
      </c>
      <c r="AF78" s="94">
        <f ca="1">VLOOKUP($P78,'Regresion Md'!$O$6:$S$10,4,1)*$P78+VLOOKUP($P78,'Regresion Md'!$O$6:$S$10,5,1)</f>
        <v>5362070.4941574568</v>
      </c>
      <c r="AG78" s="94">
        <f ca="1">VLOOKUP($P78,'Regresion Q3'!$E$6:$I$10,4,1)*$P78+VLOOKUP($P78,'Regresion Q3'!$E$6:$I$10,5,1)</f>
        <v>6051554.0972006377</v>
      </c>
      <c r="AH78" s="94">
        <f ca="1">VLOOKUP($P78,'Regresion Q3'!$J$6:$N$10,4,1)*$P78+VLOOKUP($P78,'Regresion Q3'!$J$6:$N$10,5,1)</f>
        <v>6143029.6933391113</v>
      </c>
      <c r="AI78" s="94">
        <f ca="1">VLOOKUP($P78,'Regresion Q3'!$O$6:$S$10,4,1)*$P78+VLOOKUP($P78,'Regresion Q3'!$O$6:$S$10,5,1)</f>
        <v>6320794.9822973013</v>
      </c>
      <c r="AJ78" s="94">
        <f ca="1">VLOOKUP($P78,'Regresion Q1'!$T$6:$V$10,2,1)*$P78+VLOOKUP($P78,'Regresion Q1'!$T$6:$V$10,3,1)</f>
        <v>3631937.7521835747</v>
      </c>
      <c r="AK78" s="94">
        <f ca="1">VLOOKUP($P78,'Regresion Q1'!$W$6:$Y$10,2,1)*$P78+VLOOKUP($P78,'Regresion Q1'!$W$6:$Y$10,3,1)</f>
        <v>3739476.1848956048</v>
      </c>
      <c r="AL78" s="94">
        <f ca="1">VLOOKUP($P78,'Regresion Q1'!$Z$6:$AB$10,2,1)*$P78+VLOOKUP($P78,'Regresion Q1'!$Z$6:$AB$10,3,1)</f>
        <v>3892983.6760481992</v>
      </c>
      <c r="AM78" s="94">
        <f ca="1">VLOOKUP($P78,'Regresion Md'!$T$6:$V$10,2,1)*$P78+VLOOKUP($P78,'Regresion Md'!$T$6:$V$10,3,1)</f>
        <v>4900300.4800918885</v>
      </c>
      <c r="AN78" s="94">
        <f ca="1">VLOOKUP($P78,'Regresion Md'!$W$6:$Y$10,2,1)*$P78+VLOOKUP($P78,'Regresion Md'!$W$6:$Y$10,3,1)</f>
        <v>5084176.8161980361</v>
      </c>
      <c r="AO78" s="94">
        <f ca="1">VLOOKUP($P78,'Regresion Md'!$Z$6:$AB$10,2,1)*$P78+VLOOKUP($P78,'Regresion Md'!$Z$6:$AB$10,3,1)</f>
        <v>5338231.704472621</v>
      </c>
      <c r="AP78" s="94">
        <f ca="1">VLOOKUP($P78,'Regresion Q3'!$T$6:$V$10,2,1)*$P78+VLOOKUP($P78,'Regresion Q3'!$T$6:$V$10,3,1)</f>
        <v>6085033.2237388669</v>
      </c>
      <c r="AQ78" s="94">
        <f ca="1">VLOOKUP($P78,'Regresion Q3'!$W$6:$Y$10,2,1)*$P78+VLOOKUP($P78,'Regresion Q3'!$W$6:$Y$10,3,1)</f>
        <v>6250901.9756465601</v>
      </c>
      <c r="AR78" s="94">
        <f ca="1">VLOOKUP($P78,'Regresion Q3'!$Z$6:$AB$10,2,1)*$P78+VLOOKUP($P78,'Regresion Q3'!$Z$6:$AB$10,3,1)</f>
        <v>6405615.6043189233</v>
      </c>
      <c r="AS78" s="94">
        <f>IF($BN78=$BN79,-1,DatosHoy[[#This Row],[G ajus PM Q1]]-BO79)</f>
        <v>-1</v>
      </c>
      <c r="AT78" s="94">
        <f>IF($BN78=$BN79,-1,DatosHoy[[#This Row],[G+V ajus PM Q1]]-BP79)</f>
        <v>-1</v>
      </c>
      <c r="AU78" s="94">
        <f>IF($BN78=$BN79,-1,DatosHoy[[#This Row],[CT ajus PM Q1]]-BQ79)</f>
        <v>-1</v>
      </c>
      <c r="AV78" s="94">
        <f ca="1">IF(DatosHoy[[#This Row],[G ajus PM Q1]]=DatosHoy[[#This Row],[G+V ajus PM Q1]],-1,DatosHoy[[#This Row],[G ajus PM Q1]]-DatosHoy[[#This Row],[G+V ajus PM Q1]])</f>
        <v>-105727.76128341863</v>
      </c>
      <c r="AW78" s="94">
        <f ca="1">IF(DatosHoy[[#This Row],[G+V ajus PM Q1]]=DatosHoy[[#This Row],[CT ajus PM Q1]],-1,DatosHoy[[#This Row],[G+V ajus PM Q1]]-DatosHoy[[#This Row],[CT ajus PM Q1]])</f>
        <v>-145774.47985139629</v>
      </c>
      <c r="AX78" s="94">
        <f>IF($BN78=$BN79,-1,DatosHoy[[#This Row],[G ajus PMd]]-BR79)</f>
        <v>-1</v>
      </c>
      <c r="AY78" s="94">
        <f>IF($BN78=$BN79,-1,DatosHoy[[#This Row],[G+V ajus PM Md]]-BS79)</f>
        <v>-1</v>
      </c>
      <c r="AZ78" s="94">
        <f>IF($BN78=$BN79,-1,DatosHoy[[#This Row],[CT ajus PM Md]]-BT79)</f>
        <v>-1</v>
      </c>
      <c r="BA78" s="94">
        <f ca="1">IF(DatosHoy[[#This Row],[G ajus PMd]]=DatosHoy[[#This Row],[G+V ajus PM Md]],-1,DatosHoy[[#This Row],[G ajus PMd]]-DatosHoy[[#This Row],[G+V ajus PM Md]])</f>
        <v>-151468.17388930079</v>
      </c>
      <c r="BB78" s="94">
        <f ca="1">IF(DatosHoy[[#This Row],[G+V ajus PM Md]]=DatosHoy[[#This Row],[CT ajus PM Md]],-1,DatosHoy[[#This Row],[G+V ajus PM Md]]-DatosHoy[[#This Row],[CT ajus PM Md]])</f>
        <v>-242223.16029422916</v>
      </c>
      <c r="BC78" s="94">
        <f>IF($BN78=$BN79,-1,DatosHoy[[#This Row],[G ajus PM Q3]]-BU79)</f>
        <v>-1</v>
      </c>
      <c r="BD78" s="94">
        <f>IF($BN78=$BN79,-1,DatosHoy[[#This Row],[G+V ajus PM Q3]]-BV79)</f>
        <v>-1</v>
      </c>
      <c r="BE78" s="94">
        <f>IF($BN78=$BN79,-1,DatosHoy[[#This Row],[CT ajus PM Q3]]-BW79)</f>
        <v>-1</v>
      </c>
      <c r="BF78" s="94">
        <f ca="1">IF(DatosHoy[[#This Row],[G ajus PM Q3]]=DatosHoy[[#This Row],[G+V ajus PM Q3]],-1,DatosHoy[[#This Row],[G ajus PM Q3]]-DatosHoy[[#This Row],[G+V ajus PM Q3]])</f>
        <v>-158477.96503032744</v>
      </c>
      <c r="BG78" s="94">
        <f ca="1">IF(DatosHoy[[#This Row],[G+V ajus PM Q3]]=DatosHoy[[#This Row],[CT ajus PM Q3]],-1,DatosHoy[[#This Row],[G+V ajus PM Q3]]-DatosHoy[[#This Row],[CT ajus PM Q3]])</f>
        <v>-148668.53317942191</v>
      </c>
      <c r="BH78" s="94">
        <f ca="1">IF(DatosHoy[[#This Row],[G ajus PM Q1]]=DatosHoy[[#This Row],[G ajus PMd]],-1,DatosHoy[[#This Row],[G ajus PM Q1]]-DatosHoy[[#This Row],[G ajus PMd]])</f>
        <v>-1048482.2352042263</v>
      </c>
      <c r="BI78" s="94">
        <f ca="1">IF(DatosHoy[[#This Row],[G+V ajus PM Q1]]=DatosHoy[[#This Row],[G+V ajus PM Md]],-1,DatosHoy[[#This Row],[G+V ajus PM Q1]]-DatosHoy[[#This Row],[G+V ajus PM Md]])</f>
        <v>-1094222.6478101085</v>
      </c>
      <c r="BJ78" s="94">
        <f ca="1">IF(DatosHoy[[#This Row],[CT ajus PM Q1]]=DatosHoy[[#This Row],[CT ajus PM Md]],-1,DatosHoy[[#This Row],[CT ajus PM Q1]]-DatosHoy[[#This Row],[CT ajus PM Md]])</f>
        <v>-1190671.3282529414</v>
      </c>
      <c r="BK78" s="94">
        <f ca="1">IF(DatosHoy[[#This Row],[G ajus PMd]]=DatosHoy[[#This Row],[G ajus PM Q3]],-1,DatosHoy[[#This Row],[G ajus PMd]]-DatosHoy[[#This Row],[G ajus PM Q3]])</f>
        <v>-1260844.9115298931</v>
      </c>
      <c r="BL78" s="94">
        <f ca="1">IF(DatosHoy[[#This Row],[G+V ajus PM Md]]=DatosHoy[[#This Row],[G+V ajus PM Q3]],-1,DatosHoy[[#This Row],[G+V ajus PM Md]]-DatosHoy[[#This Row],[G+V ajus PM Q3]])</f>
        <v>-1267854.7026709197</v>
      </c>
      <c r="BM78" s="94">
        <f ca="1">IF(DatosHoy[[#This Row],[CT ajus PM Md]]=DatosHoy[[#This Row],[CT ajus PM Q3]],-1,DatosHoy[[#This Row],[CT ajus PM Md]]-DatosHoy[[#This Row],[CT ajus PM Q3]])</f>
        <v>-1174300.0755561125</v>
      </c>
      <c r="BN78" s="74">
        <v>287</v>
      </c>
      <c r="BO78" s="94">
        <f ca="1">IFERROR(VLOOKUP($BN78,'Regresion Q1'!$T$6:$V$10,2,1)*$BN78+VLOOKUP($BN78,'Regresion Q1'!$T$6:$V$10,3,1),VLOOKUP(MIN(DatosHoy[Puntos]),'Regresion Q1'!$T$6:$V$10,2,1)*$BN78+VLOOKUP(MIN(DatosHoy[Puntos]),'Regresion Q1'!$T$6:$V$10,3,1))</f>
        <v>3461879.6456658933</v>
      </c>
      <c r="BP78" s="94">
        <f ca="1">IFERROR(VLOOKUP($BN78,'Regresion Q1'!$W$6:$Y$10,2,1)*$BN78+VLOOKUP($BN78,'Regresion Q1'!$W$6:$Y$10,3,1),VLOOKUP(MIN(DatosHoy[Puntos]),'Regresion Q1'!$W$6:$Y$10,2,1)*$BN78+VLOOKUP(MIN(DatosHoy[Puntos]),'Regresion Q1'!$W$6:$Y$10,3,1))</f>
        <v>3567607.406949312</v>
      </c>
      <c r="BQ78" s="94">
        <f ca="1">IFERROR(VLOOKUP($BN78,'Regresion Q1'!$Z$6:$AB$10,2,1)*$BN78+VLOOKUP($BN78,'Regresion Q1'!$Z$6:$AB$10,3,1),VLOOKUP(MIN(DatosHoy[Puntos]),'Regresion Q1'!$Z$6:$AB$10,2,1)*$BN78+VLOOKUP(MIN(DatosHoy[Puntos]),'Regresion Q1'!$Z$6:$AB$10,3,1))</f>
        <v>3713381.8868007082</v>
      </c>
      <c r="BR78" s="94">
        <f ca="1">IFERROR(VLOOKUP($BN78,'Regresion Md'!$T$6:$V$10,2,1)*$BN78+VLOOKUP($BN78,'Regresion Md'!$T$6:$V$10,3,1),VLOOKUP(MIN(DatosHoy[Puntos]),'Regresion Md'!$T$6:$V$10,2,1)*$BN78+VLOOKUP(MIN(DatosHoy[Puntos]),'Regresion Md'!$T$6:$V$10,3,1))</f>
        <v>4510361.8808701197</v>
      </c>
      <c r="BS78" s="94">
        <f ca="1">IFERROR(VLOOKUP($BN78,'Regresion Md'!$W$6:$Y$10,2,1)*$BN78+VLOOKUP($BN78,'Regresion Md'!$W$6:$Y$10,3,1),VLOOKUP(MIN(DatosHoy[Puntos]),'Regresion Md'!$W$6:$Y$10,2,1)*$BN78+VLOOKUP(MIN(DatosHoy[Puntos]),'Regresion Md'!$W$6:$Y$10,3,1))</f>
        <v>4661830.0547594205</v>
      </c>
      <c r="BT78" s="94">
        <f ca="1">IFERROR(VLOOKUP($BN78,'Regresion Md'!$Z$6:$AB$10,2,1)*$BN78+VLOOKUP($BN78,'Regresion Md'!$Z$6:$AB$10,3,1),VLOOKUP(MIN(DatosHoy[Puntos]),'Regresion Md'!$Z$6:$AB$10,2,1)*$BN78+VLOOKUP(MIN(DatosHoy[Puntos]),'Regresion Md'!$Z$6:$AB$10,3,1))</f>
        <v>4904053.2150536496</v>
      </c>
      <c r="BU78" s="94">
        <f ca="1">IFERROR(VLOOKUP($BN78,'Regresion Q3'!$T$6:$V$10,2,1)*$BN78+VLOOKUP($BN78,'Regresion Q3'!$T$6:$V$10,3,1),VLOOKUP(MIN(DatosHoy[Puntos]),'Regresion Q3'!$T$6:$V$10,2,1)*$BN78+VLOOKUP(MIN(DatosHoy[Puntos]),'Regresion Q3'!$T$6:$V$10,3,1))</f>
        <v>5771206.7924000127</v>
      </c>
      <c r="BV78" s="94">
        <f ca="1">IFERROR(VLOOKUP($BN78,'Regresion Q3'!$W$6:$Y$10,2,1)*$BN78+VLOOKUP($BN78,'Regresion Q3'!$W$6:$Y$10,3,1),VLOOKUP(MIN(DatosHoy[Puntos]),'Regresion Q3'!$W$6:$Y$10,2,1)*$BN78+VLOOKUP(MIN(DatosHoy[Puntos]),'Regresion Q3'!$W$6:$Y$10,3,1))</f>
        <v>5929684.7574303402</v>
      </c>
      <c r="BW78" s="94">
        <f ca="1">IFERROR(VLOOKUP($BN78,'Regresion Q3'!$Z$6:$AB$10,2,1)*$BN78+VLOOKUP($BN78,'Regresion Q3'!$Z$6:$AB$10,3,1),VLOOKUP(MIN(DatosHoy[Puntos]),'Regresion Q3'!$Z$6:$AB$10,2,1)*$BN78+VLOOKUP(MIN(DatosHoy[Puntos]),'Regresion Q3'!$Z$6:$AB$10,3,1))</f>
        <v>6078353.2906097621</v>
      </c>
      <c r="BX78" s="96">
        <f ca="1">DatosHoy[[#This Row],[CT Actual]]/DatosHoy[[#This Row],[CT ajus PM Md]]</f>
        <v>0.5768115793109424</v>
      </c>
      <c r="BY78" s="125" t="str">
        <f>VLOOKUP(DatosHoy[[#This Row],[Cargo Valorado]],Estadísticos[[Cargo]:[Nivel]],2,FALSE)</f>
        <v>Táctico</v>
      </c>
      <c r="BZ78" s="96">
        <f>(DatosHoy[[#This Row],[G+V Actual]]-DatosHoy[[#This Row],[G Actual]])/DatosHoy[[#This Row],[CT Actual]]</f>
        <v>0</v>
      </c>
      <c r="CA78" s="96">
        <f>(DatosHoy[[#This Row],[CT Actual]]-DatosHoy[[#This Row],[G+V Actual]])/DatosHoy[[#This Row],[CT Actual]]</f>
        <v>0</v>
      </c>
      <c r="CB78" s="139" t="s">
        <v>255</v>
      </c>
    </row>
    <row r="79" spans="2:80" x14ac:dyDescent="0.25">
      <c r="B79" s="73">
        <f t="shared" si="45"/>
        <v>74</v>
      </c>
      <c r="C79" s="74">
        <v>2828714.68</v>
      </c>
      <c r="D79" s="74">
        <v>2828714.68</v>
      </c>
      <c r="E79" s="74">
        <v>2828714.68</v>
      </c>
      <c r="F79" s="94">
        <f>VLOOKUP(DatosHoy[[#This Row],[Cargo Valorado]],Estadísticos[],3,0)</f>
        <v>2893059.0824304693</v>
      </c>
      <c r="G79" s="94">
        <f>VLOOKUP(DatosHoy[[#This Row],[Cargo Valorado]],Estadísticos[],4,0)</f>
        <v>2893059.0824304693</v>
      </c>
      <c r="H79" s="94">
        <f>VLOOKUP(DatosHoy[[#This Row],[Cargo Valorado]],Estadísticos[],5,0)</f>
        <v>3027246.9511403376</v>
      </c>
      <c r="I79" s="94">
        <f>VLOOKUP(DatosHoy[[#This Row],[Cargo Valorado]],Estadísticos[],6,0)</f>
        <v>3838866.1513602757</v>
      </c>
      <c r="J79" s="94">
        <f>VLOOKUP(DatosHoy[[#This Row],[Cargo Valorado]],Estadísticos[],7,0)</f>
        <v>3838866.1513602757</v>
      </c>
      <c r="K79" s="94">
        <f>VLOOKUP(DatosHoy[[#This Row],[Cargo Valorado]],Estadísticos[],8,0)</f>
        <v>3935850.0487800115</v>
      </c>
      <c r="L79" s="94">
        <f>VLOOKUP(DatosHoy[[#This Row],[Cargo Valorado]],Estadísticos[],9,0)</f>
        <v>4279221.5375945857</v>
      </c>
      <c r="M79" s="94">
        <f>VLOOKUP(DatosHoy[[#This Row],[Cargo Valorado]],Estadísticos[],10,0)</f>
        <v>4686464.1450651828</v>
      </c>
      <c r="N79" s="94">
        <f>VLOOKUP(DatosHoy[[#This Row],[Cargo Valorado]],Estadísticos[],11,0)</f>
        <v>4734956.0937750507</v>
      </c>
      <c r="O79" s="75" t="s">
        <v>184</v>
      </c>
      <c r="P79" s="75">
        <v>304</v>
      </c>
      <c r="Q79" s="95" t="str">
        <f t="shared" si="35"/>
        <v>$P$79</v>
      </c>
      <c r="R79" s="95" t="str">
        <f t="shared" si="36"/>
        <v>$F$79</v>
      </c>
      <c r="S79" s="95" t="str">
        <f t="shared" si="37"/>
        <v>$G$79</v>
      </c>
      <c r="T79" s="95" t="str">
        <f t="shared" si="38"/>
        <v>$H$79</v>
      </c>
      <c r="U79" s="95" t="str">
        <f t="shared" si="39"/>
        <v>$I$79</v>
      </c>
      <c r="V79" s="95" t="str">
        <f t="shared" si="40"/>
        <v>$J$79</v>
      </c>
      <c r="W79" s="95" t="str">
        <f t="shared" si="41"/>
        <v>$K$79</v>
      </c>
      <c r="X79" s="95" t="str">
        <f t="shared" si="42"/>
        <v>$L$79</v>
      </c>
      <c r="Y79" s="95" t="str">
        <f t="shared" si="43"/>
        <v>$M$79</v>
      </c>
      <c r="Z79" s="95" t="str">
        <f t="shared" si="44"/>
        <v>$N$79</v>
      </c>
      <c r="AA79" s="94">
        <f ca="1">VLOOKUP($P79,'Regresion Q1'!$E$6:$I$10,4,1)*$P79+VLOOKUP($P79,'Regresion Q1'!$E$6:$I$10,5,1)</f>
        <v>3966808.0139232241</v>
      </c>
      <c r="AB79" s="94">
        <f ca="1">VLOOKUP($P79,'Regresion Q1'!$J$6:$N$10,4,1)*$P79+VLOOKUP($P79,'Regresion Q1'!$J$6:$N$10,5,1)</f>
        <v>4060239.3959244741</v>
      </c>
      <c r="AC79" s="94">
        <f ca="1">VLOOKUP($P79,'Regresion Q1'!$O$6:$S$10,4,1)*$P79+VLOOKUP($P79,'Regresion Q1'!$O$6:$S$10,5,1)</f>
        <v>4268627.2646550089</v>
      </c>
      <c r="AD79" s="94">
        <f ca="1">VLOOKUP($P79,'Regresion Md'!$E$6:$I$10,4,1)*$P79+VLOOKUP($P79,'Regresion Md'!$E$6:$I$10,5,1)</f>
        <v>5087208.6483152062</v>
      </c>
      <c r="AE79" s="94">
        <f ca="1">VLOOKUP($P79,'Regresion Md'!$J$6:$N$10,4,1)*$P79+VLOOKUP($P79,'Regresion Md'!$J$6:$N$10,5,1)</f>
        <v>5179193.6236752067</v>
      </c>
      <c r="AF79" s="94">
        <f ca="1">VLOOKUP($P79,'Regresion Md'!$O$6:$S$10,4,1)*$P79+VLOOKUP($P79,'Regresion Md'!$O$6:$S$10,5,1)</f>
        <v>5362070.4941574568</v>
      </c>
      <c r="AG79" s="94">
        <f ca="1">VLOOKUP($P79,'Regresion Q3'!$E$6:$I$10,4,1)*$P79+VLOOKUP($P79,'Regresion Q3'!$E$6:$I$10,5,1)</f>
        <v>6051554.0972006377</v>
      </c>
      <c r="AH79" s="94">
        <f ca="1">VLOOKUP($P79,'Regresion Q3'!$J$6:$N$10,4,1)*$P79+VLOOKUP($P79,'Regresion Q3'!$J$6:$N$10,5,1)</f>
        <v>6143029.6933391113</v>
      </c>
      <c r="AI79" s="94">
        <f ca="1">VLOOKUP($P79,'Regresion Q3'!$O$6:$S$10,4,1)*$P79+VLOOKUP($P79,'Regresion Q3'!$O$6:$S$10,5,1)</f>
        <v>6320794.9822973013</v>
      </c>
      <c r="AJ79" s="94">
        <f ca="1">VLOOKUP($P79,'Regresion Q1'!$T$6:$V$10,2,1)*$P79+VLOOKUP($P79,'Regresion Q1'!$T$6:$V$10,3,1)</f>
        <v>3631937.7521835747</v>
      </c>
      <c r="AK79" s="94">
        <f ca="1">VLOOKUP($P79,'Regresion Q1'!$W$6:$Y$10,2,1)*$P79+VLOOKUP($P79,'Regresion Q1'!$W$6:$Y$10,3,1)</f>
        <v>3739476.1848956048</v>
      </c>
      <c r="AL79" s="94">
        <f ca="1">VLOOKUP($P79,'Regresion Q1'!$Z$6:$AB$10,2,1)*$P79+VLOOKUP($P79,'Regresion Q1'!$Z$6:$AB$10,3,1)</f>
        <v>3892983.6760481992</v>
      </c>
      <c r="AM79" s="94">
        <f ca="1">VLOOKUP($P79,'Regresion Md'!$T$6:$V$10,2,1)*$P79+VLOOKUP($P79,'Regresion Md'!$T$6:$V$10,3,1)</f>
        <v>4900300.4800918885</v>
      </c>
      <c r="AN79" s="94">
        <f ca="1">VLOOKUP($P79,'Regresion Md'!$W$6:$Y$10,2,1)*$P79+VLOOKUP($P79,'Regresion Md'!$W$6:$Y$10,3,1)</f>
        <v>5084176.8161980361</v>
      </c>
      <c r="AO79" s="94">
        <f ca="1">VLOOKUP($P79,'Regresion Md'!$Z$6:$AB$10,2,1)*$P79+VLOOKUP($P79,'Regresion Md'!$Z$6:$AB$10,3,1)</f>
        <v>5338231.704472621</v>
      </c>
      <c r="AP79" s="94">
        <f ca="1">VLOOKUP($P79,'Regresion Q3'!$T$6:$V$10,2,1)*$P79+VLOOKUP($P79,'Regresion Q3'!$T$6:$V$10,3,1)</f>
        <v>6085033.2237388669</v>
      </c>
      <c r="AQ79" s="94">
        <f ca="1">VLOOKUP($P79,'Regresion Q3'!$W$6:$Y$10,2,1)*$P79+VLOOKUP($P79,'Regresion Q3'!$W$6:$Y$10,3,1)</f>
        <v>6250901.9756465601</v>
      </c>
      <c r="AR79" s="94">
        <f ca="1">VLOOKUP($P79,'Regresion Q3'!$Z$6:$AB$10,2,1)*$P79+VLOOKUP($P79,'Regresion Q3'!$Z$6:$AB$10,3,1)</f>
        <v>6405615.6043189233</v>
      </c>
      <c r="AS79" s="94">
        <f ca="1">IF($BN79=$BN80,-1,DatosHoy[[#This Row],[G ajus PM Q1]]-BO80)</f>
        <v>-430146.97530942876</v>
      </c>
      <c r="AT79" s="94">
        <f ca="1">IF($BN79=$BN80,-1,DatosHoy[[#This Row],[G+V ajus PM Q1]]-BP80)</f>
        <v>-434726.90892297588</v>
      </c>
      <c r="AU79" s="94">
        <f ca="1">IF($BN79=$BN80,-1,DatosHoy[[#This Row],[CT ajus PM Q1]]-BQ80)</f>
        <v>-454286.87868482945</v>
      </c>
      <c r="AV79" s="94">
        <f ca="1">IF(DatosHoy[[#This Row],[G ajus PM Q1]]=DatosHoy[[#This Row],[G+V ajus PM Q1]],-1,DatosHoy[[#This Row],[G ajus PM Q1]]-DatosHoy[[#This Row],[G+V ajus PM Q1]])</f>
        <v>-105727.76128341863</v>
      </c>
      <c r="AW79" s="94">
        <f ca="1">IF(DatosHoy[[#This Row],[G+V ajus PM Q1]]=DatosHoy[[#This Row],[CT ajus PM Q1]],-1,DatosHoy[[#This Row],[G+V ajus PM Q1]]-DatosHoy[[#This Row],[CT ajus PM Q1]])</f>
        <v>-145774.47985139629</v>
      </c>
      <c r="AX79" s="94">
        <f ca="1">IF($BN79=$BN80,-1,DatosHoy[[#This Row],[G ajus PMd]]-BR80)</f>
        <v>-986315.2803844735</v>
      </c>
      <c r="AY79" s="94">
        <f ca="1">IF($BN79=$BN80,-1,DatosHoy[[#This Row],[G+V ajus PM Md]]-BS80)</f>
        <v>-1068288.8671682635</v>
      </c>
      <c r="AZ79" s="94">
        <f ca="1">IF($BN79=$BN80,-1,DatosHoy[[#This Row],[CT ajus PM Md]]-BT80)</f>
        <v>-1098216.1791185755</v>
      </c>
      <c r="BA79" s="94">
        <f ca="1">IF(DatosHoy[[#This Row],[G ajus PMd]]=DatosHoy[[#This Row],[G+V ajus PM Md]],-1,DatosHoy[[#This Row],[G ajus PMd]]-DatosHoy[[#This Row],[G+V ajus PM Md]])</f>
        <v>-151468.17388930079</v>
      </c>
      <c r="BB79" s="94">
        <f ca="1">IF(DatosHoy[[#This Row],[G+V ajus PM Md]]=DatosHoy[[#This Row],[CT ajus PM Md]],-1,DatosHoy[[#This Row],[G+V ajus PM Md]]-DatosHoy[[#This Row],[CT ajus PM Md]])</f>
        <v>-242223.16029422916</v>
      </c>
      <c r="BC79" s="94">
        <f ca="1">IF($BN79=$BN80,-1,DatosHoy[[#This Row],[G ajus PM Q3]]-BU80)</f>
        <v>-793796.26750415936</v>
      </c>
      <c r="BD79" s="94">
        <f ca="1">IF($BN79=$BN80,-1,DatosHoy[[#This Row],[G+V ajus PM Q3]]-BV80)</f>
        <v>-812490.61078220326</v>
      </c>
      <c r="BE79" s="94">
        <f ca="1">IF($BN79=$BN80,-1,DatosHoy[[#This Row],[CT ajus PM Q3]]-BW80)</f>
        <v>-827781.14644082077</v>
      </c>
      <c r="BF79" s="94">
        <f ca="1">IF(DatosHoy[[#This Row],[G ajus PM Q3]]=DatosHoy[[#This Row],[G+V ajus PM Q3]],-1,DatosHoy[[#This Row],[G ajus PM Q3]]-DatosHoy[[#This Row],[G+V ajus PM Q3]])</f>
        <v>-158477.96503032744</v>
      </c>
      <c r="BG79" s="94">
        <f ca="1">IF(DatosHoy[[#This Row],[G+V ajus PM Q3]]=DatosHoy[[#This Row],[CT ajus PM Q3]],-1,DatosHoy[[#This Row],[G+V ajus PM Q3]]-DatosHoy[[#This Row],[CT ajus PM Q3]])</f>
        <v>-148668.53317942191</v>
      </c>
      <c r="BH79" s="94">
        <f ca="1">IF(DatosHoy[[#This Row],[G ajus PM Q1]]=DatosHoy[[#This Row],[G ajus PMd]],-1,DatosHoy[[#This Row],[G ajus PM Q1]]-DatosHoy[[#This Row],[G ajus PMd]])</f>
        <v>-1048482.2352042263</v>
      </c>
      <c r="BI79" s="94">
        <f ca="1">IF(DatosHoy[[#This Row],[G+V ajus PM Q1]]=DatosHoy[[#This Row],[G+V ajus PM Md]],-1,DatosHoy[[#This Row],[G+V ajus PM Q1]]-DatosHoy[[#This Row],[G+V ajus PM Md]])</f>
        <v>-1094222.6478101085</v>
      </c>
      <c r="BJ79" s="94">
        <f ca="1">IF(DatosHoy[[#This Row],[CT ajus PM Q1]]=DatosHoy[[#This Row],[CT ajus PM Md]],-1,DatosHoy[[#This Row],[CT ajus PM Q1]]-DatosHoy[[#This Row],[CT ajus PM Md]])</f>
        <v>-1190671.3282529414</v>
      </c>
      <c r="BK79" s="94">
        <f ca="1">IF(DatosHoy[[#This Row],[G ajus PMd]]=DatosHoy[[#This Row],[G ajus PM Q3]],-1,DatosHoy[[#This Row],[G ajus PMd]]-DatosHoy[[#This Row],[G ajus PM Q3]])</f>
        <v>-1260844.9115298931</v>
      </c>
      <c r="BL79" s="94">
        <f ca="1">IF(DatosHoy[[#This Row],[G+V ajus PM Md]]=DatosHoy[[#This Row],[G+V ajus PM Q3]],-1,DatosHoy[[#This Row],[G+V ajus PM Md]]-DatosHoy[[#This Row],[G+V ajus PM Q3]])</f>
        <v>-1267854.7026709197</v>
      </c>
      <c r="BM79" s="94">
        <f ca="1">IF(DatosHoy[[#This Row],[CT ajus PM Md]]=DatosHoy[[#This Row],[CT ajus PM Q3]],-1,DatosHoy[[#This Row],[CT ajus PM Md]]-DatosHoy[[#This Row],[CT ajus PM Q3]])</f>
        <v>-1174300.0755561125</v>
      </c>
      <c r="BN79" s="74">
        <v>287</v>
      </c>
      <c r="BO79" s="94">
        <f ca="1">IFERROR(VLOOKUP($BN79,'Regresion Q1'!$T$6:$V$10,2,1)*$BN79+VLOOKUP($BN79,'Regresion Q1'!$T$6:$V$10,3,1),VLOOKUP(MIN(DatosHoy[Puntos]),'Regresion Q1'!$T$6:$V$10,2,1)*$BN79+VLOOKUP(MIN(DatosHoy[Puntos]),'Regresion Q1'!$T$6:$V$10,3,1))</f>
        <v>3461879.6456658933</v>
      </c>
      <c r="BP79" s="94">
        <f ca="1">IFERROR(VLOOKUP($BN79,'Regresion Q1'!$W$6:$Y$10,2,1)*$BN79+VLOOKUP($BN79,'Regresion Q1'!$W$6:$Y$10,3,1),VLOOKUP(MIN(DatosHoy[Puntos]),'Regresion Q1'!$W$6:$Y$10,2,1)*$BN79+VLOOKUP(MIN(DatosHoy[Puntos]),'Regresion Q1'!$W$6:$Y$10,3,1))</f>
        <v>3567607.406949312</v>
      </c>
      <c r="BQ79" s="94">
        <f ca="1">IFERROR(VLOOKUP($BN79,'Regresion Q1'!$Z$6:$AB$10,2,1)*$BN79+VLOOKUP($BN79,'Regresion Q1'!$Z$6:$AB$10,3,1),VLOOKUP(MIN(DatosHoy[Puntos]),'Regresion Q1'!$Z$6:$AB$10,2,1)*$BN79+VLOOKUP(MIN(DatosHoy[Puntos]),'Regresion Q1'!$Z$6:$AB$10,3,1))</f>
        <v>3713381.8868007082</v>
      </c>
      <c r="BR79" s="94">
        <f ca="1">IFERROR(VLOOKUP($BN79,'Regresion Md'!$T$6:$V$10,2,1)*$BN79+VLOOKUP($BN79,'Regresion Md'!$T$6:$V$10,3,1),VLOOKUP(MIN(DatosHoy[Puntos]),'Regresion Md'!$T$6:$V$10,2,1)*$BN79+VLOOKUP(MIN(DatosHoy[Puntos]),'Regresion Md'!$T$6:$V$10,3,1))</f>
        <v>4510361.8808701197</v>
      </c>
      <c r="BS79" s="94">
        <f ca="1">IFERROR(VLOOKUP($BN79,'Regresion Md'!$W$6:$Y$10,2,1)*$BN79+VLOOKUP($BN79,'Regresion Md'!$W$6:$Y$10,3,1),VLOOKUP(MIN(DatosHoy[Puntos]),'Regresion Md'!$W$6:$Y$10,2,1)*$BN79+VLOOKUP(MIN(DatosHoy[Puntos]),'Regresion Md'!$W$6:$Y$10,3,1))</f>
        <v>4661830.0547594205</v>
      </c>
      <c r="BT79" s="94">
        <f ca="1">IFERROR(VLOOKUP($BN79,'Regresion Md'!$Z$6:$AB$10,2,1)*$BN79+VLOOKUP($BN79,'Regresion Md'!$Z$6:$AB$10,3,1),VLOOKUP(MIN(DatosHoy[Puntos]),'Regresion Md'!$Z$6:$AB$10,2,1)*$BN79+VLOOKUP(MIN(DatosHoy[Puntos]),'Regresion Md'!$Z$6:$AB$10,3,1))</f>
        <v>4904053.2150536496</v>
      </c>
      <c r="BU79" s="94">
        <f ca="1">IFERROR(VLOOKUP($BN79,'Regresion Q3'!$T$6:$V$10,2,1)*$BN79+VLOOKUP($BN79,'Regresion Q3'!$T$6:$V$10,3,1),VLOOKUP(MIN(DatosHoy[Puntos]),'Regresion Q3'!$T$6:$V$10,2,1)*$BN79+VLOOKUP(MIN(DatosHoy[Puntos]),'Regresion Q3'!$T$6:$V$10,3,1))</f>
        <v>5771206.7924000127</v>
      </c>
      <c r="BV79" s="94">
        <f ca="1">IFERROR(VLOOKUP($BN79,'Regresion Q3'!$W$6:$Y$10,2,1)*$BN79+VLOOKUP($BN79,'Regresion Q3'!$W$6:$Y$10,3,1),VLOOKUP(MIN(DatosHoy[Puntos]),'Regresion Q3'!$W$6:$Y$10,2,1)*$BN79+VLOOKUP(MIN(DatosHoy[Puntos]),'Regresion Q3'!$W$6:$Y$10,3,1))</f>
        <v>5929684.7574303402</v>
      </c>
      <c r="BW79" s="94">
        <f ca="1">IFERROR(VLOOKUP($BN79,'Regresion Q3'!$Z$6:$AB$10,2,1)*$BN79+VLOOKUP($BN79,'Regresion Q3'!$Z$6:$AB$10,3,1),VLOOKUP(MIN(DatosHoy[Puntos]),'Regresion Q3'!$Z$6:$AB$10,2,1)*$BN79+VLOOKUP(MIN(DatosHoy[Puntos]),'Regresion Q3'!$Z$6:$AB$10,3,1))</f>
        <v>6078353.2906097621</v>
      </c>
      <c r="BX79" s="96">
        <f ca="1">DatosHoy[[#This Row],[CT Actual]]/DatosHoy[[#This Row],[CT ajus PM Md]]</f>
        <v>0.5768115793109424</v>
      </c>
      <c r="BY79" s="125" t="str">
        <f>VLOOKUP(DatosHoy[[#This Row],[Cargo Valorado]],Estadísticos[[Cargo]:[Nivel]],2,FALSE)</f>
        <v>Táctico</v>
      </c>
      <c r="BZ79" s="96">
        <f>(DatosHoy[[#This Row],[G+V Actual]]-DatosHoy[[#This Row],[G Actual]])/DatosHoy[[#This Row],[CT Actual]]</f>
        <v>0</v>
      </c>
      <c r="CA79" s="96">
        <f>(DatosHoy[[#This Row],[CT Actual]]-DatosHoy[[#This Row],[G+V Actual]])/DatosHoy[[#This Row],[CT Actual]]</f>
        <v>0</v>
      </c>
      <c r="CB79" s="139" t="s">
        <v>255</v>
      </c>
    </row>
    <row r="80" spans="2:80" x14ac:dyDescent="0.25">
      <c r="B80" s="73">
        <f t="shared" si="45"/>
        <v>75</v>
      </c>
      <c r="C80" s="74">
        <v>4457225.96</v>
      </c>
      <c r="D80" s="74">
        <v>4457225.96</v>
      </c>
      <c r="E80" s="74">
        <v>4457225.96</v>
      </c>
      <c r="F80" s="94">
        <f>VLOOKUP(DatosHoy[[#This Row],[Cargo Valorado]],Estadísticos[],3,0)</f>
        <v>3698274.0635119099</v>
      </c>
      <c r="G80" s="94">
        <f>VLOOKUP(DatosHoy[[#This Row],[Cargo Valorado]],Estadísticos[],4,0)</f>
        <v>3698274.0635119099</v>
      </c>
      <c r="H80" s="94">
        <f>VLOOKUP(DatosHoy[[#This Row],[Cargo Valorado]],Estadísticos[],5,0)</f>
        <v>3698274.0635119099</v>
      </c>
      <c r="I80" s="94">
        <f>VLOOKUP(DatosHoy[[#This Row],[Cargo Valorado]],Estadísticos[],6,0)</f>
        <v>4390309.3698837655</v>
      </c>
      <c r="J80" s="94">
        <f>VLOOKUP(DatosHoy[[#This Row],[Cargo Valorado]],Estadísticos[],7,0)</f>
        <v>4390309.3698837655</v>
      </c>
      <c r="K80" s="94">
        <f>VLOOKUP(DatosHoy[[#This Row],[Cargo Valorado]],Estadísticos[],8,0)</f>
        <v>4390309.3698837655</v>
      </c>
      <c r="L80" s="94">
        <f>VLOOKUP(DatosHoy[[#This Row],[Cargo Valorado]],Estadísticos[],9,0)</f>
        <v>5082344.676255621</v>
      </c>
      <c r="M80" s="94">
        <f>VLOOKUP(DatosHoy[[#This Row],[Cargo Valorado]],Estadísticos[],10,0)</f>
        <v>5082344.676255621</v>
      </c>
      <c r="N80" s="94">
        <f>VLOOKUP(DatosHoy[[#This Row],[Cargo Valorado]],Estadísticos[],11,0)</f>
        <v>5082344.676255621</v>
      </c>
      <c r="O80" s="75" t="s">
        <v>183</v>
      </c>
      <c r="P80" s="75">
        <v>339</v>
      </c>
      <c r="Q80" s="95" t="str">
        <f t="shared" ref="Q80:Q110" si="46">"$"&amp;"P"&amp;"$"&amp;ROW()</f>
        <v>$P$80</v>
      </c>
      <c r="R80" s="95" t="str">
        <f t="shared" ref="R80:R110" si="47">"$"&amp;"F"&amp;"$"&amp;ROW()</f>
        <v>$F$80</v>
      </c>
      <c r="S80" s="95" t="str">
        <f t="shared" ref="S80:S110" si="48">"$"&amp;"G"&amp;"$"&amp;ROW()</f>
        <v>$G$80</v>
      </c>
      <c r="T80" s="95" t="str">
        <f t="shared" ref="T80:T110" si="49">"$"&amp;"H"&amp;"$"&amp;ROW()</f>
        <v>$H$80</v>
      </c>
      <c r="U80" s="95" t="str">
        <f t="shared" ref="U80:U110" si="50">"$"&amp;"I"&amp;"$"&amp;ROW()</f>
        <v>$I$80</v>
      </c>
      <c r="V80" s="95" t="str">
        <f t="shared" ref="V80:V110" si="51">"$"&amp;"J"&amp;"$"&amp;ROW()</f>
        <v>$J$80</v>
      </c>
      <c r="W80" s="95" t="str">
        <f t="shared" ref="W80:W110" si="52">"$"&amp;"K"&amp;"$"&amp;ROW()</f>
        <v>$K$80</v>
      </c>
      <c r="X80" s="95" t="str">
        <f t="shared" ref="X80:X110" si="53">"$"&amp;"L"&amp;"$"&amp;ROW()</f>
        <v>$L$80</v>
      </c>
      <c r="Y80" s="95" t="str">
        <f t="shared" ref="Y80:Y110" si="54">"$"&amp;"M"&amp;"$"&amp;ROW()</f>
        <v>$M$80</v>
      </c>
      <c r="Z80" s="95" t="str">
        <f t="shared" ref="Z80:Z110" si="55">"$"&amp;"N"&amp;"$"&amp;ROW()</f>
        <v>$N$80</v>
      </c>
      <c r="AA80" s="94">
        <f ca="1">VLOOKUP($P80,'Regresion Q1'!$E$6:$I$10,4,1)*$P80+VLOOKUP($P80,'Regresion Q1'!$E$6:$I$10,5,1)</f>
        <v>4437637.5114877615</v>
      </c>
      <c r="AB80" s="94">
        <f ca="1">VLOOKUP($P80,'Regresion Q1'!$J$6:$N$10,4,1)*$P80+VLOOKUP($P80,'Regresion Q1'!$J$6:$N$10,5,1)</f>
        <v>4544579.9095898652</v>
      </c>
      <c r="AC80" s="94">
        <f ca="1">VLOOKUP($P80,'Regresion Q1'!$O$6:$S$10,4,1)*$P80+VLOOKUP($P80,'Regresion Q1'!$O$6:$S$10,5,1)</f>
        <v>4768430.9029097389</v>
      </c>
      <c r="AD80" s="94">
        <f ca="1">VLOOKUP($P80,'Regresion Md'!$E$6:$I$10,4,1)*$P80+VLOOKUP($P80,'Regresion Md'!$E$6:$I$10,5,1)</f>
        <v>5965216.3526581125</v>
      </c>
      <c r="AE80" s="94">
        <f ca="1">VLOOKUP($P80,'Regresion Md'!$J$6:$N$10,4,1)*$P80+VLOOKUP($P80,'Regresion Md'!$J$6:$N$10,5,1)</f>
        <v>6086956.226129232</v>
      </c>
      <c r="AF80" s="94">
        <f ca="1">VLOOKUP($P80,'Regresion Md'!$O$6:$S$10,4,1)*$P80+VLOOKUP($P80,'Regresion Md'!$O$6:$S$10,5,1)</f>
        <v>6265557.7018269934</v>
      </c>
      <c r="AG80" s="94">
        <f ca="1">VLOOKUP($P80,'Regresion Q3'!$E$6:$I$10,4,1)*$P80+VLOOKUP($P80,'Regresion Q3'!$E$6:$I$10,5,1)</f>
        <v>6922801.6719283285</v>
      </c>
      <c r="AH80" s="94">
        <f ca="1">VLOOKUP($P80,'Regresion Q3'!$J$6:$N$10,4,1)*$P80+VLOOKUP($P80,'Regresion Q3'!$J$6:$N$10,5,1)</f>
        <v>7025269.5070771901</v>
      </c>
      <c r="AI80" s="94">
        <f ca="1">VLOOKUP($P80,'Regresion Q3'!$O$6:$S$10,4,1)*$P80+VLOOKUP($P80,'Regresion Q3'!$O$6:$S$10,5,1)</f>
        <v>7197814.8474364337</v>
      </c>
      <c r="AJ80" s="94">
        <f ca="1">VLOOKUP($P80,'Regresion Q1'!$T$6:$V$10,2,1)*$P80+VLOOKUP($P80,'Regresion Q1'!$T$6:$V$10,3,1)</f>
        <v>3982057.3832493885</v>
      </c>
      <c r="AK80" s="94">
        <f ca="1">VLOOKUP($P80,'Regresion Q1'!$W$6:$Y$10,2,1)*$P80+VLOOKUP($P80,'Regresion Q1'!$W$6:$Y$10,3,1)</f>
        <v>4093323.6689026784</v>
      </c>
      <c r="AL80" s="94">
        <f ca="1">VLOOKUP($P80,'Regresion Q1'!$Z$6:$AB$10,2,1)*$P80+VLOOKUP($P80,'Regresion Q1'!$Z$6:$AB$10,3,1)</f>
        <v>4262752.0656753853</v>
      </c>
      <c r="AM80" s="94">
        <f ca="1">VLOOKUP($P80,'Regresion Md'!$T$6:$V$10,2,1)*$P80+VLOOKUP($P80,'Regresion Md'!$T$6:$V$10,3,1)</f>
        <v>5703115.24319553</v>
      </c>
      <c r="AN80" s="94">
        <f ca="1">VLOOKUP($P80,'Regresion Md'!$W$6:$Y$10,2,1)*$P80+VLOOKUP($P80,'Regresion Md'!$W$6:$Y$10,3,1)</f>
        <v>5953714.2662187163</v>
      </c>
      <c r="AO80" s="94">
        <f ca="1">VLOOKUP($P80,'Regresion Md'!$Z$6:$AB$10,2,1)*$P80+VLOOKUP($P80,'Regresion Md'!$Z$6:$AB$10,3,1)</f>
        <v>6232128.5944528561</v>
      </c>
      <c r="AP80" s="94">
        <f ca="1">VLOOKUP($P80,'Regresion Q3'!$T$6:$V$10,2,1)*$P80+VLOOKUP($P80,'Regresion Q3'!$T$6:$V$10,3,1)</f>
        <v>6731146.4647306241</v>
      </c>
      <c r="AQ80" s="94">
        <f ca="1">VLOOKUP($P80,'Regresion Q3'!$W$6:$Y$10,2,1)*$P80+VLOOKUP($P80,'Regresion Q3'!$W$6:$Y$10,3,1)</f>
        <v>6912231.5425623069</v>
      </c>
      <c r="AR80" s="94">
        <f ca="1">VLOOKUP($P80,'Regresion Q3'!$Z$6:$AB$10,2,1)*$P80+VLOOKUP($P80,'Regresion Q3'!$Z$6:$AB$10,3,1)</f>
        <v>7079390.9560730802</v>
      </c>
      <c r="AS80" s="94">
        <f>IF($BN80=$BN81,-1,DatosHoy[[#This Row],[G ajus PM Q1]]-BO81)</f>
        <v>-1</v>
      </c>
      <c r="AT80" s="94">
        <f>IF($BN80=$BN81,-1,DatosHoy[[#This Row],[G+V ajus PM Q1]]-BP81)</f>
        <v>-1</v>
      </c>
      <c r="AU80" s="94">
        <f>IF($BN80=$BN81,-1,DatosHoy[[#This Row],[CT ajus PM Q1]]-BQ81)</f>
        <v>-1</v>
      </c>
      <c r="AV80" s="94">
        <f ca="1">IF(DatosHoy[[#This Row],[G ajus PM Q1]]=DatosHoy[[#This Row],[G+V ajus PM Q1]],-1,DatosHoy[[#This Row],[G ajus PM Q1]]-DatosHoy[[#This Row],[G+V ajus PM Q1]])</f>
        <v>-110307.69489696575</v>
      </c>
      <c r="AW80" s="94">
        <f ca="1">IF(DatosHoy[[#This Row],[G+V ajus PM Q1]]=DatosHoy[[#This Row],[CT ajus PM Q1]],-1,DatosHoy[[#This Row],[G+V ajus PM Q1]]-DatosHoy[[#This Row],[CT ajus PM Q1]])</f>
        <v>-165334.44961324986</v>
      </c>
      <c r="AX80" s="94">
        <f>IF($BN80=$BN81,-1,DatosHoy[[#This Row],[G ajus PMd]]-BR81)</f>
        <v>-1</v>
      </c>
      <c r="AY80" s="94">
        <f>IF($BN80=$BN81,-1,DatosHoy[[#This Row],[G+V ajus PM Md]]-BS81)</f>
        <v>-1</v>
      </c>
      <c r="AZ80" s="94">
        <f>IF($BN80=$BN81,-1,DatosHoy[[#This Row],[CT ajus PM Md]]-BT81)</f>
        <v>-1</v>
      </c>
      <c r="BA80" s="94">
        <f ca="1">IF(DatosHoy[[#This Row],[G ajus PMd]]=DatosHoy[[#This Row],[G+V ajus PM Md]],-1,DatosHoy[[#This Row],[G ajus PMd]]-DatosHoy[[#This Row],[G+V ajus PM Md]])</f>
        <v>-233441.76067309082</v>
      </c>
      <c r="BB80" s="94">
        <f ca="1">IF(DatosHoy[[#This Row],[G+V ajus PM Md]]=DatosHoy[[#This Row],[CT ajus PM Md]],-1,DatosHoy[[#This Row],[G+V ajus PM Md]]-DatosHoy[[#This Row],[CT ajus PM Md]])</f>
        <v>-272150.47224454116</v>
      </c>
      <c r="BC80" s="94">
        <f>IF($BN80=$BN81,-1,DatosHoy[[#This Row],[G ajus PM Q3]]-BU81)</f>
        <v>-1</v>
      </c>
      <c r="BD80" s="94">
        <f>IF($BN80=$BN81,-1,DatosHoy[[#This Row],[G+V ajus PM Q3]]-BV81)</f>
        <v>-1</v>
      </c>
      <c r="BE80" s="94">
        <f>IF($BN80=$BN81,-1,DatosHoy[[#This Row],[CT ajus PM Q3]]-BW81)</f>
        <v>-1</v>
      </c>
      <c r="BF80" s="94">
        <f ca="1">IF(DatosHoy[[#This Row],[G ajus PM Q3]]=DatosHoy[[#This Row],[G+V ajus PM Q3]],-1,DatosHoy[[#This Row],[G ajus PM Q3]]-DatosHoy[[#This Row],[G+V ajus PM Q3]])</f>
        <v>-177172.30830837134</v>
      </c>
      <c r="BG80" s="94">
        <f ca="1">IF(DatosHoy[[#This Row],[G+V ajus PM Q3]]=DatosHoy[[#This Row],[CT ajus PM Q3]],-1,DatosHoy[[#This Row],[G+V ajus PM Q3]]-DatosHoy[[#This Row],[CT ajus PM Q3]])</f>
        <v>-163959.06883803941</v>
      </c>
      <c r="BH80" s="94">
        <f ca="1">IF(DatosHoy[[#This Row],[G ajus PM Q1]]=DatosHoy[[#This Row],[G ajus PMd]],-1,DatosHoy[[#This Row],[G ajus PM Q1]]-DatosHoy[[#This Row],[G ajus PMd]])</f>
        <v>-1604650.5402792711</v>
      </c>
      <c r="BI80" s="94">
        <f ca="1">IF(DatosHoy[[#This Row],[G+V ajus PM Q1]]=DatosHoy[[#This Row],[G+V ajus PM Md]],-1,DatosHoy[[#This Row],[G+V ajus PM Q1]]-DatosHoy[[#This Row],[G+V ajus PM Md]])</f>
        <v>-1727784.6060553961</v>
      </c>
      <c r="BJ80" s="94">
        <f ca="1">IF(DatosHoy[[#This Row],[CT ajus PM Q1]]=DatosHoy[[#This Row],[CT ajus PM Md]],-1,DatosHoy[[#This Row],[CT ajus PM Q1]]-DatosHoy[[#This Row],[CT ajus PM Md]])</f>
        <v>-1834600.6286866874</v>
      </c>
      <c r="BK80" s="94">
        <f ca="1">IF(DatosHoy[[#This Row],[G ajus PMd]]=DatosHoy[[#This Row],[G ajus PM Q3]],-1,DatosHoy[[#This Row],[G ajus PMd]]-DatosHoy[[#This Row],[G ajus PM Q3]])</f>
        <v>-1068325.8986495789</v>
      </c>
      <c r="BL80" s="94">
        <f ca="1">IF(DatosHoy[[#This Row],[G+V ajus PM Md]]=DatosHoy[[#This Row],[G+V ajus PM Q3]],-1,DatosHoy[[#This Row],[G+V ajus PM Md]]-DatosHoy[[#This Row],[G+V ajus PM Q3]])</f>
        <v>-1012056.4462848594</v>
      </c>
      <c r="BM80" s="94">
        <f ca="1">IF(DatosHoy[[#This Row],[CT ajus PM Md]]=DatosHoy[[#This Row],[CT ajus PM Q3]],-1,DatosHoy[[#This Row],[CT ajus PM Md]]-DatosHoy[[#This Row],[CT ajus PM Q3]])</f>
        <v>-903865.04287835769</v>
      </c>
      <c r="BN80" s="74">
        <v>330</v>
      </c>
      <c r="BO80" s="94">
        <f ca="1">IFERROR(VLOOKUP($BN80,'Regresion Q1'!$T$6:$V$10,2,1)*$BN80+VLOOKUP($BN80,'Regresion Q1'!$T$6:$V$10,3,1),VLOOKUP(MIN(DatosHoy[Puntos]),'Regresion Q1'!$T$6:$V$10,2,1)*$BN80+VLOOKUP(MIN(DatosHoy[Puntos]),'Regresion Q1'!$T$6:$V$10,3,1))</f>
        <v>3892026.6209753221</v>
      </c>
      <c r="BP80" s="94">
        <f ca="1">IFERROR(VLOOKUP($BN80,'Regresion Q1'!$W$6:$Y$10,2,1)*$BN80+VLOOKUP($BN80,'Regresion Q1'!$W$6:$Y$10,3,1),VLOOKUP(MIN(DatosHoy[Puntos]),'Regresion Q1'!$W$6:$Y$10,2,1)*$BN80+VLOOKUP(MIN(DatosHoy[Puntos]),'Regresion Q1'!$W$6:$Y$10,3,1))</f>
        <v>4002334.3158722878</v>
      </c>
      <c r="BQ80" s="94">
        <f ca="1">IFERROR(VLOOKUP($BN80,'Regresion Q1'!$Z$6:$AB$10,2,1)*$BN80+VLOOKUP($BN80,'Regresion Q1'!$Z$6:$AB$10,3,1),VLOOKUP(MIN(DatosHoy[Puntos]),'Regresion Q1'!$Z$6:$AB$10,2,1)*$BN80+VLOOKUP(MIN(DatosHoy[Puntos]),'Regresion Q1'!$Z$6:$AB$10,3,1))</f>
        <v>4167668.7654855377</v>
      </c>
      <c r="BR80" s="94">
        <f ca="1">IFERROR(VLOOKUP($BN80,'Regresion Md'!$T$6:$V$10,2,1)*$BN80+VLOOKUP($BN80,'Regresion Md'!$T$6:$V$10,3,1),VLOOKUP(MIN(DatosHoy[Puntos]),'Regresion Md'!$T$6:$V$10,2,1)*$BN80+VLOOKUP(MIN(DatosHoy[Puntos]),'Regresion Md'!$T$6:$V$10,3,1))</f>
        <v>5496677.1612545932</v>
      </c>
      <c r="BS80" s="94">
        <f ca="1">IFERROR(VLOOKUP($BN80,'Regresion Md'!$W$6:$Y$10,2,1)*$BN80+VLOOKUP($BN80,'Regresion Md'!$W$6:$Y$10,3,1),VLOOKUP(MIN(DatosHoy[Puntos]),'Regresion Md'!$W$6:$Y$10,2,1)*$BN80+VLOOKUP(MIN(DatosHoy[Puntos]),'Regresion Md'!$W$6:$Y$10,3,1))</f>
        <v>5730118.921927684</v>
      </c>
      <c r="BT80" s="94">
        <f ca="1">IFERROR(VLOOKUP($BN80,'Regresion Md'!$Z$6:$AB$10,2,1)*$BN80+VLOOKUP($BN80,'Regresion Md'!$Z$6:$AB$10,3,1),VLOOKUP(MIN(DatosHoy[Puntos]),'Regresion Md'!$Z$6:$AB$10,2,1)*$BN80+VLOOKUP(MIN(DatosHoy[Puntos]),'Regresion Md'!$Z$6:$AB$10,3,1))</f>
        <v>6002269.3941722251</v>
      </c>
      <c r="BU80" s="94">
        <f ca="1">IFERROR(VLOOKUP($BN80,'Regresion Q3'!$T$6:$V$10,2,1)*$BN80+VLOOKUP($BN80,'Regresion Q3'!$T$6:$V$10,3,1),VLOOKUP(MIN(DatosHoy[Puntos]),'Regresion Q3'!$T$6:$V$10,2,1)*$BN80+VLOOKUP(MIN(DatosHoy[Puntos]),'Regresion Q3'!$T$6:$V$10,3,1))</f>
        <v>6565003.0599041721</v>
      </c>
      <c r="BV80" s="94">
        <f ca="1">IFERROR(VLOOKUP($BN80,'Regresion Q3'!$W$6:$Y$10,2,1)*$BN80+VLOOKUP($BN80,'Regresion Q3'!$W$6:$Y$10,3,1),VLOOKUP(MIN(DatosHoy[Puntos]),'Regresion Q3'!$W$6:$Y$10,2,1)*$BN80+VLOOKUP(MIN(DatosHoy[Puntos]),'Regresion Q3'!$W$6:$Y$10,3,1))</f>
        <v>6742175.3682125434</v>
      </c>
      <c r="BW80" s="94">
        <f ca="1">IFERROR(VLOOKUP($BN80,'Regresion Q3'!$Z$6:$AB$10,2,1)*$BN80+VLOOKUP($BN80,'Regresion Q3'!$Z$6:$AB$10,3,1),VLOOKUP(MIN(DatosHoy[Puntos]),'Regresion Q3'!$Z$6:$AB$10,2,1)*$BN80+VLOOKUP(MIN(DatosHoy[Puntos]),'Regresion Q3'!$Z$6:$AB$10,3,1))</f>
        <v>6906134.4370505828</v>
      </c>
      <c r="BX80" s="96">
        <f ca="1">DatosHoy[[#This Row],[CT Actual]]/DatosHoy[[#This Row],[CT ajus PM Md]]</f>
        <v>0.74259012171757033</v>
      </c>
      <c r="BY80" s="125" t="str">
        <f>VLOOKUP(DatosHoy[[#This Row],[Cargo Valorado]],Estadísticos[[Cargo]:[Nivel]],2,FALSE)</f>
        <v>Táctico</v>
      </c>
      <c r="BZ80" s="96">
        <f>(DatosHoy[[#This Row],[G+V Actual]]-DatosHoy[[#This Row],[G Actual]])/DatosHoy[[#This Row],[CT Actual]]</f>
        <v>0</v>
      </c>
      <c r="CA80" s="96">
        <f>(DatosHoy[[#This Row],[CT Actual]]-DatosHoy[[#This Row],[G+V Actual]])/DatosHoy[[#This Row],[CT Actual]]</f>
        <v>0</v>
      </c>
      <c r="CB80" s="139" t="s">
        <v>255</v>
      </c>
    </row>
    <row r="81" spans="2:80" x14ac:dyDescent="0.25">
      <c r="B81" s="73">
        <f t="shared" si="45"/>
        <v>76</v>
      </c>
      <c r="C81" s="74">
        <v>3177009.0000000005</v>
      </c>
      <c r="D81" s="74">
        <v>4353679</v>
      </c>
      <c r="E81" s="74">
        <v>4353679</v>
      </c>
      <c r="F81" s="94">
        <f>VLOOKUP(DatosHoy[[#This Row],[Cargo Valorado]],Estadísticos[],3,0)</f>
        <v>3550768.261869824</v>
      </c>
      <c r="G81" s="94">
        <f>VLOOKUP(DatosHoy[[#This Row],[Cargo Valorado]],Estadísticos[],4,0)</f>
        <v>3550768.261869824</v>
      </c>
      <c r="H81" s="94">
        <f>VLOOKUP(DatosHoy[[#This Row],[Cargo Valorado]],Estadísticos[],5,0)</f>
        <v>3647752.1592895593</v>
      </c>
      <c r="I81" s="94">
        <f>VLOOKUP(DatosHoy[[#This Row],[Cargo Valorado]],Estadísticos[],6,0)</f>
        <v>3792027.0558809019</v>
      </c>
      <c r="J81" s="94">
        <f>VLOOKUP(DatosHoy[[#This Row],[Cargo Valorado]],Estadísticos[],7,0)</f>
        <v>3792027.0558809019</v>
      </c>
      <c r="K81" s="94">
        <f>VLOOKUP(DatosHoy[[#This Row],[Cargo Valorado]],Estadísticos[],8,0)</f>
        <v>3889010.9533006372</v>
      </c>
      <c r="L81" s="94">
        <f>VLOOKUP(DatosHoy[[#This Row],[Cargo Valorado]],Estadísticos[],9,0)</f>
        <v>5107748.4964371044</v>
      </c>
      <c r="M81" s="94">
        <f>VLOOKUP(DatosHoy[[#This Row],[Cargo Valorado]],Estadísticos[],10,0)</f>
        <v>5107748.4964371044</v>
      </c>
      <c r="N81" s="94">
        <f>VLOOKUP(DatosHoy[[#This Row],[Cargo Valorado]],Estadísticos[],11,0)</f>
        <v>5241936.3651469722</v>
      </c>
      <c r="O81" s="75" t="s">
        <v>224</v>
      </c>
      <c r="P81" s="75">
        <v>351</v>
      </c>
      <c r="Q81" s="95" t="str">
        <f t="shared" si="46"/>
        <v>$P$81</v>
      </c>
      <c r="R81" s="95" t="str">
        <f t="shared" si="47"/>
        <v>$F$81</v>
      </c>
      <c r="S81" s="95" t="str">
        <f t="shared" si="48"/>
        <v>$G$81</v>
      </c>
      <c r="T81" s="95" t="str">
        <f t="shared" si="49"/>
        <v>$H$81</v>
      </c>
      <c r="U81" s="95" t="str">
        <f t="shared" si="50"/>
        <v>$I$81</v>
      </c>
      <c r="V81" s="95" t="str">
        <f t="shared" si="51"/>
        <v>$J$81</v>
      </c>
      <c r="W81" s="95" t="str">
        <f t="shared" si="52"/>
        <v>$K$81</v>
      </c>
      <c r="X81" s="95" t="str">
        <f t="shared" si="53"/>
        <v>$L$81</v>
      </c>
      <c r="Y81" s="95" t="str">
        <f t="shared" si="54"/>
        <v>$M$81</v>
      </c>
      <c r="Z81" s="95" t="str">
        <f t="shared" si="55"/>
        <v>$N$81</v>
      </c>
      <c r="AA81" s="94">
        <f ca="1">VLOOKUP($P81,'Regresion Q1'!$E$6:$I$10,4,1)*$P81+VLOOKUP($P81,'Regresion Q1'!$E$6:$I$10,5,1)</f>
        <v>4599064.7677956019</v>
      </c>
      <c r="AB81" s="94">
        <f ca="1">VLOOKUP($P81,'Regresion Q1'!$J$6:$N$10,4,1)*$P81+VLOOKUP($P81,'Regresion Q1'!$J$6:$N$10,5,1)</f>
        <v>4710639.5142751429</v>
      </c>
      <c r="AC81" s="94">
        <f ca="1">VLOOKUP($P81,'Regresion Q1'!$O$6:$S$10,4,1)*$P81+VLOOKUP($P81,'Regresion Q1'!$O$6:$S$10,5,1)</f>
        <v>4939792.1503113601</v>
      </c>
      <c r="AD81" s="94">
        <f ca="1">VLOOKUP($P81,'Regresion Md'!$E$6:$I$10,4,1)*$P81+VLOOKUP($P81,'Regresion Md'!$E$6:$I$10,5,1)</f>
        <v>6266247.5655756807</v>
      </c>
      <c r="AE81" s="94">
        <f ca="1">VLOOKUP($P81,'Regresion Md'!$J$6:$N$10,4,1)*$P81+VLOOKUP($P81,'Regresion Md'!$J$6:$N$10,5,1)</f>
        <v>6398189.1183991823</v>
      </c>
      <c r="AF81" s="94">
        <f ca="1">VLOOKUP($P81,'Regresion Md'!$O$6:$S$10,4,1)*$P81+VLOOKUP($P81,'Regresion Md'!$O$6:$S$10,5,1)</f>
        <v>6575324.7444565482</v>
      </c>
      <c r="AG81" s="94">
        <f ca="1">VLOOKUP($P81,'Regresion Q3'!$E$6:$I$10,4,1)*$P81+VLOOKUP($P81,'Regresion Q3'!$E$6:$I$10,5,1)</f>
        <v>7221515.12612068</v>
      </c>
      <c r="AH81" s="94">
        <f ca="1">VLOOKUP($P81,'Regresion Q3'!$J$6:$N$10,4,1)*$P81+VLOOKUP($P81,'Regresion Q3'!$J$6:$N$10,5,1)</f>
        <v>7327751.7289302452</v>
      </c>
      <c r="AI81" s="94">
        <f ca="1">VLOOKUP($P81,'Regresion Q3'!$O$6:$S$10,4,1)*$P81+VLOOKUP($P81,'Regresion Q3'!$O$6:$S$10,5,1)</f>
        <v>7498507.3726269938</v>
      </c>
      <c r="AJ81" s="94">
        <f ca="1">VLOOKUP($P81,'Regresion Q1'!$T$6:$V$10,2,1)*$P81+VLOOKUP($P81,'Regresion Q1'!$T$6:$V$10,3,1)</f>
        <v>4102098.3996148105</v>
      </c>
      <c r="AK81" s="94">
        <f ca="1">VLOOKUP($P81,'Regresion Q1'!$W$6:$Y$10,2,1)*$P81+VLOOKUP($P81,'Regresion Q1'!$W$6:$Y$10,3,1)</f>
        <v>4214642.8062765319</v>
      </c>
      <c r="AL81" s="94">
        <f ca="1">VLOOKUP($P81,'Regresion Q1'!$Z$6:$AB$10,2,1)*$P81+VLOOKUP($P81,'Regresion Q1'!$Z$6:$AB$10,3,1)</f>
        <v>4389529.7992618494</v>
      </c>
      <c r="AM81" s="94">
        <f ca="1">VLOOKUP($P81,'Regresion Md'!$T$6:$V$10,2,1)*$P81+VLOOKUP($P81,'Regresion Md'!$T$6:$V$10,3,1)</f>
        <v>5978366.0191167789</v>
      </c>
      <c r="AN81" s="94">
        <f ca="1">VLOOKUP($P81,'Regresion Md'!$W$6:$Y$10,2,1)*$P81+VLOOKUP($P81,'Regresion Md'!$W$6:$Y$10,3,1)</f>
        <v>6251841.3919400908</v>
      </c>
      <c r="AO81" s="94">
        <f ca="1">VLOOKUP($P81,'Regresion Md'!$Z$6:$AB$10,2,1)*$P81+VLOOKUP($P81,'Regresion Md'!$Z$6:$AB$10,3,1)</f>
        <v>6538607.5281603653</v>
      </c>
      <c r="AP81" s="94">
        <f ca="1">VLOOKUP($P81,'Regresion Q3'!$T$6:$V$10,2,1)*$P81+VLOOKUP($P81,'Regresion Q3'!$T$6:$V$10,3,1)</f>
        <v>6952671.0044992268</v>
      </c>
      <c r="AQ81" s="94">
        <f ca="1">VLOOKUP($P81,'Regresion Q3'!$W$6:$Y$10,2,1)*$P81+VLOOKUP($P81,'Regresion Q3'!$W$6:$Y$10,3,1)</f>
        <v>7138973.1083619911</v>
      </c>
      <c r="AR81" s="94">
        <f ca="1">VLOOKUP($P81,'Regresion Q3'!$Z$6:$AB$10,2,1)*$P81+VLOOKUP($P81,'Regresion Q3'!$Z$6:$AB$10,3,1)</f>
        <v>7310399.648103077</v>
      </c>
      <c r="AS81" s="94">
        <f ca="1">IF($BN81=$BN82,-1,DatosHoy[[#This Row],[G ajus PM Q1]]-BO82)</f>
        <v>-622500.32618467603</v>
      </c>
      <c r="AT81" s="94">
        <f ca="1">IF($BN81=$BN82,-1,DatosHoy[[#This Row],[G+V ajus PM Q1]]-BP82)</f>
        <v>-643165.83941342821</v>
      </c>
      <c r="AU81" s="94">
        <f ca="1">IF($BN81=$BN82,-1,DatosHoy[[#This Row],[CT ajus PM Q1]]-BQ82)</f>
        <v>-688583.73087424645</v>
      </c>
      <c r="AV81" s="94">
        <f ca="1">IF(DatosHoy[[#This Row],[G ajus PM Q1]]=DatosHoy[[#This Row],[G+V ajus PM Q1]],-1,DatosHoy[[#This Row],[G ajus PM Q1]]-DatosHoy[[#This Row],[G+V ajus PM Q1]])</f>
        <v>-110307.69489696575</v>
      </c>
      <c r="AW81" s="94">
        <f ca="1">IF(DatosHoy[[#This Row],[G+V ajus PM Q1]]=DatosHoy[[#This Row],[CT ajus PM Q1]],-1,DatosHoy[[#This Row],[G+V ajus PM Q1]]-DatosHoy[[#This Row],[CT ajus PM Q1]])</f>
        <v>-165334.44961324986</v>
      </c>
      <c r="AX81" s="94">
        <f ca="1">IF($BN81=$BN82,-1,DatosHoy[[#This Row],[G ajus PMd]]-BR82)</f>
        <v>-1123940.6683450984</v>
      </c>
      <c r="AY81" s="94">
        <f ca="1">IF($BN81=$BN82,-1,DatosHoy[[#This Row],[G+V ajus PM Md]]-BS82)</f>
        <v>-1217352.4300289517</v>
      </c>
      <c r="AZ81" s="94">
        <f ca="1">IF($BN81=$BN82,-1,DatosHoy[[#This Row],[CT ajus PM Md]]-BT82)</f>
        <v>-1251455.6459723283</v>
      </c>
      <c r="BA81" s="94">
        <f ca="1">IF(DatosHoy[[#This Row],[G ajus PMd]]=DatosHoy[[#This Row],[G+V ajus PM Md]],-1,DatosHoy[[#This Row],[G ajus PMd]]-DatosHoy[[#This Row],[G+V ajus PM Md]])</f>
        <v>-233441.76067309082</v>
      </c>
      <c r="BB81" s="94">
        <f ca="1">IF(DatosHoy[[#This Row],[G+V ajus PM Md]]=DatosHoy[[#This Row],[CT ajus PM Md]],-1,DatosHoy[[#This Row],[G+V ajus PM Md]]-DatosHoy[[#This Row],[CT ajus PM Md]])</f>
        <v>-272150.47224454116</v>
      </c>
      <c r="BC81" s="94">
        <f ca="1">IF($BN81=$BN82,-1,DatosHoy[[#This Row],[G ajus PM Q3]]-BU82)</f>
        <v>-904558.53738846071</v>
      </c>
      <c r="BD81" s="94">
        <f ca="1">IF($BN81=$BN82,-1,DatosHoy[[#This Row],[G+V ajus PM Q3]]-BV82)</f>
        <v>-925861.39368204493</v>
      </c>
      <c r="BE81" s="94">
        <f ca="1">IF($BN81=$BN82,-1,DatosHoy[[#This Row],[CT ajus PM Q3]]-BW82)</f>
        <v>-943285.49245581962</v>
      </c>
      <c r="BF81" s="94">
        <f ca="1">IF(DatosHoy[[#This Row],[G ajus PM Q3]]=DatosHoy[[#This Row],[G+V ajus PM Q3]],-1,DatosHoy[[#This Row],[G ajus PM Q3]]-DatosHoy[[#This Row],[G+V ajus PM Q3]])</f>
        <v>-177172.30830837134</v>
      </c>
      <c r="BG81" s="94">
        <f ca="1">IF(DatosHoy[[#This Row],[G+V ajus PM Q3]]=DatosHoy[[#This Row],[CT ajus PM Q3]],-1,DatosHoy[[#This Row],[G+V ajus PM Q3]]-DatosHoy[[#This Row],[CT ajus PM Q3]])</f>
        <v>-163959.06883803941</v>
      </c>
      <c r="BH81" s="94">
        <f ca="1">IF(DatosHoy[[#This Row],[G ajus PM Q1]]=DatosHoy[[#This Row],[G ajus PMd]],-1,DatosHoy[[#This Row],[G ajus PM Q1]]-DatosHoy[[#This Row],[G ajus PMd]])</f>
        <v>-1604650.5402792711</v>
      </c>
      <c r="BI81" s="94">
        <f ca="1">IF(DatosHoy[[#This Row],[G+V ajus PM Q1]]=DatosHoy[[#This Row],[G+V ajus PM Md]],-1,DatosHoy[[#This Row],[G+V ajus PM Q1]]-DatosHoy[[#This Row],[G+V ajus PM Md]])</f>
        <v>-1727784.6060553961</v>
      </c>
      <c r="BJ81" s="94">
        <f ca="1">IF(DatosHoy[[#This Row],[CT ajus PM Q1]]=DatosHoy[[#This Row],[CT ajus PM Md]],-1,DatosHoy[[#This Row],[CT ajus PM Q1]]-DatosHoy[[#This Row],[CT ajus PM Md]])</f>
        <v>-1834600.6286866874</v>
      </c>
      <c r="BK81" s="94">
        <f ca="1">IF(DatosHoy[[#This Row],[G ajus PMd]]=DatosHoy[[#This Row],[G ajus PM Q3]],-1,DatosHoy[[#This Row],[G ajus PMd]]-DatosHoy[[#This Row],[G ajus PM Q3]])</f>
        <v>-1068325.8986495789</v>
      </c>
      <c r="BL81" s="94">
        <f ca="1">IF(DatosHoy[[#This Row],[G+V ajus PM Md]]=DatosHoy[[#This Row],[G+V ajus PM Q3]],-1,DatosHoy[[#This Row],[G+V ajus PM Md]]-DatosHoy[[#This Row],[G+V ajus PM Q3]])</f>
        <v>-1012056.4462848594</v>
      </c>
      <c r="BM81" s="94">
        <f ca="1">IF(DatosHoy[[#This Row],[CT ajus PM Md]]=DatosHoy[[#This Row],[CT ajus PM Q3]],-1,DatosHoy[[#This Row],[CT ajus PM Md]]-DatosHoy[[#This Row],[CT ajus PM Q3]])</f>
        <v>-903865.04287835769</v>
      </c>
      <c r="BN81" s="74">
        <v>330</v>
      </c>
      <c r="BO81" s="94">
        <f ca="1">IFERROR(VLOOKUP($BN81,'Regresion Q1'!$T$6:$V$10,2,1)*$BN81+VLOOKUP($BN81,'Regresion Q1'!$T$6:$V$10,3,1),VLOOKUP(MIN(DatosHoy[Puntos]),'Regresion Q1'!$T$6:$V$10,2,1)*$BN81+VLOOKUP(MIN(DatosHoy[Puntos]),'Regresion Q1'!$T$6:$V$10,3,1))</f>
        <v>3892026.6209753221</v>
      </c>
      <c r="BP81" s="94">
        <f ca="1">IFERROR(VLOOKUP($BN81,'Regresion Q1'!$W$6:$Y$10,2,1)*$BN81+VLOOKUP($BN81,'Regresion Q1'!$W$6:$Y$10,3,1),VLOOKUP(MIN(DatosHoy[Puntos]),'Regresion Q1'!$W$6:$Y$10,2,1)*$BN81+VLOOKUP(MIN(DatosHoy[Puntos]),'Regresion Q1'!$W$6:$Y$10,3,1))</f>
        <v>4002334.3158722878</v>
      </c>
      <c r="BQ81" s="94">
        <f ca="1">IFERROR(VLOOKUP($BN81,'Regresion Q1'!$Z$6:$AB$10,2,1)*$BN81+VLOOKUP($BN81,'Regresion Q1'!$Z$6:$AB$10,3,1),VLOOKUP(MIN(DatosHoy[Puntos]),'Regresion Q1'!$Z$6:$AB$10,2,1)*$BN81+VLOOKUP(MIN(DatosHoy[Puntos]),'Regresion Q1'!$Z$6:$AB$10,3,1))</f>
        <v>4167668.7654855377</v>
      </c>
      <c r="BR81" s="94">
        <f ca="1">IFERROR(VLOOKUP($BN81,'Regresion Md'!$T$6:$V$10,2,1)*$BN81+VLOOKUP($BN81,'Regresion Md'!$T$6:$V$10,3,1),VLOOKUP(MIN(DatosHoy[Puntos]),'Regresion Md'!$T$6:$V$10,2,1)*$BN81+VLOOKUP(MIN(DatosHoy[Puntos]),'Regresion Md'!$T$6:$V$10,3,1))</f>
        <v>5496677.1612545932</v>
      </c>
      <c r="BS81" s="94">
        <f ca="1">IFERROR(VLOOKUP($BN81,'Regresion Md'!$W$6:$Y$10,2,1)*$BN81+VLOOKUP($BN81,'Regresion Md'!$W$6:$Y$10,3,1),VLOOKUP(MIN(DatosHoy[Puntos]),'Regresion Md'!$W$6:$Y$10,2,1)*$BN81+VLOOKUP(MIN(DatosHoy[Puntos]),'Regresion Md'!$W$6:$Y$10,3,1))</f>
        <v>5730118.921927684</v>
      </c>
      <c r="BT81" s="94">
        <f ca="1">IFERROR(VLOOKUP($BN81,'Regresion Md'!$Z$6:$AB$10,2,1)*$BN81+VLOOKUP($BN81,'Regresion Md'!$Z$6:$AB$10,3,1),VLOOKUP(MIN(DatosHoy[Puntos]),'Regresion Md'!$Z$6:$AB$10,2,1)*$BN81+VLOOKUP(MIN(DatosHoy[Puntos]),'Regresion Md'!$Z$6:$AB$10,3,1))</f>
        <v>6002269.3941722251</v>
      </c>
      <c r="BU81" s="94">
        <f ca="1">IFERROR(VLOOKUP($BN81,'Regresion Q3'!$T$6:$V$10,2,1)*$BN81+VLOOKUP($BN81,'Regresion Q3'!$T$6:$V$10,3,1),VLOOKUP(MIN(DatosHoy[Puntos]),'Regresion Q3'!$T$6:$V$10,2,1)*$BN81+VLOOKUP(MIN(DatosHoy[Puntos]),'Regresion Q3'!$T$6:$V$10,3,1))</f>
        <v>6565003.0599041721</v>
      </c>
      <c r="BV81" s="94">
        <f ca="1">IFERROR(VLOOKUP($BN81,'Regresion Q3'!$W$6:$Y$10,2,1)*$BN81+VLOOKUP($BN81,'Regresion Q3'!$W$6:$Y$10,3,1),VLOOKUP(MIN(DatosHoy[Puntos]),'Regresion Q3'!$W$6:$Y$10,2,1)*$BN81+VLOOKUP(MIN(DatosHoy[Puntos]),'Regresion Q3'!$W$6:$Y$10,3,1))</f>
        <v>6742175.3682125434</v>
      </c>
      <c r="BW81" s="94">
        <f ca="1">IFERROR(VLOOKUP($BN81,'Regresion Q3'!$Z$6:$AB$10,2,1)*$BN81+VLOOKUP($BN81,'Regresion Q3'!$Z$6:$AB$10,3,1),VLOOKUP(MIN(DatosHoy[Puntos]),'Regresion Q3'!$Z$6:$AB$10,2,1)*$BN81+VLOOKUP(MIN(DatosHoy[Puntos]),'Regresion Q3'!$Z$6:$AB$10,3,1))</f>
        <v>6906134.4370505828</v>
      </c>
      <c r="BX81" s="96">
        <f ca="1">DatosHoy[[#This Row],[CT Actual]]/DatosHoy[[#This Row],[CT ajus PM Md]]</f>
        <v>0.72533882005148109</v>
      </c>
      <c r="BY81" s="125" t="str">
        <f>VLOOKUP(DatosHoy[[#This Row],[Cargo Valorado]],Estadísticos[[Cargo]:[Nivel]],2,FALSE)</f>
        <v>Táctico</v>
      </c>
      <c r="BZ81" s="96">
        <f>(DatosHoy[[#This Row],[G+V Actual]]-DatosHoy[[#This Row],[G Actual]])/DatosHoy[[#This Row],[CT Actual]]</f>
        <v>0.27027027027027017</v>
      </c>
      <c r="CA81" s="96">
        <f>(DatosHoy[[#This Row],[CT Actual]]-DatosHoy[[#This Row],[G+V Actual]])/DatosHoy[[#This Row],[CT Actual]]</f>
        <v>0</v>
      </c>
      <c r="CB81" s="139" t="s">
        <v>255</v>
      </c>
    </row>
    <row r="82" spans="2:80" x14ac:dyDescent="0.25">
      <c r="B82" s="73">
        <f t="shared" si="45"/>
        <v>77</v>
      </c>
      <c r="C82" s="74">
        <v>3218192.45</v>
      </c>
      <c r="D82" s="74">
        <v>3218192.45</v>
      </c>
      <c r="E82" s="74">
        <v>3218192.45</v>
      </c>
      <c r="F82" s="94">
        <f>VLOOKUP(DatosHoy[[#This Row],[Cargo Valorado]],Estadísticos[],3,0)</f>
        <v>3176389.918037992</v>
      </c>
      <c r="G82" s="94">
        <f>VLOOKUP(DatosHoy[[#This Row],[Cargo Valorado]],Estadísticos[],4,0)</f>
        <v>3217176.6705407999</v>
      </c>
      <c r="H82" s="94">
        <f>VLOOKUP(DatosHoy[[#This Row],[Cargo Valorado]],Estadísticos[],5,0)</f>
        <v>3217176.6705407999</v>
      </c>
      <c r="I82" s="94">
        <f>VLOOKUP(DatosHoy[[#This Row],[Cargo Valorado]],Estadísticos[],6,0)</f>
        <v>5103250.5785902003</v>
      </c>
      <c r="J82" s="94">
        <f>VLOOKUP(DatosHoy[[#This Row],[Cargo Valorado]],Estadísticos[],7,0)</f>
        <v>5103250.5785902003</v>
      </c>
      <c r="K82" s="94">
        <f>VLOOKUP(DatosHoy[[#This Row],[Cargo Valorado]],Estadísticos[],8,0)</f>
        <v>5551490.2452568673</v>
      </c>
      <c r="L82" s="94">
        <f>VLOOKUP(DatosHoy[[#This Row],[Cargo Valorado]],Estadísticos[],9,0)</f>
        <v>5307930.7692693109</v>
      </c>
      <c r="M82" s="94">
        <f>VLOOKUP(DatosHoy[[#This Row],[Cargo Valorado]],Estadísticos[],10,0)</f>
        <v>5984579.1676180903</v>
      </c>
      <c r="N82" s="94">
        <f>VLOOKUP(DatosHoy[[#This Row],[Cargo Valorado]],Estadísticos[],11,0)</f>
        <v>5984579.1676180903</v>
      </c>
      <c r="O82" s="75" t="s">
        <v>223</v>
      </c>
      <c r="P82" s="75">
        <v>357</v>
      </c>
      <c r="Q82" s="95" t="str">
        <f t="shared" si="46"/>
        <v>$P$82</v>
      </c>
      <c r="R82" s="95" t="str">
        <f t="shared" si="47"/>
        <v>$F$82</v>
      </c>
      <c r="S82" s="95" t="str">
        <f t="shared" si="48"/>
        <v>$G$82</v>
      </c>
      <c r="T82" s="95" t="str">
        <f t="shared" si="49"/>
        <v>$H$82</v>
      </c>
      <c r="U82" s="95" t="str">
        <f t="shared" si="50"/>
        <v>$I$82</v>
      </c>
      <c r="V82" s="95" t="str">
        <f t="shared" si="51"/>
        <v>$J$82</v>
      </c>
      <c r="W82" s="95" t="str">
        <f t="shared" si="52"/>
        <v>$K$82</v>
      </c>
      <c r="X82" s="95" t="str">
        <f t="shared" si="53"/>
        <v>$L$82</v>
      </c>
      <c r="Y82" s="95" t="str">
        <f t="shared" si="54"/>
        <v>$M$82</v>
      </c>
      <c r="Z82" s="95" t="str">
        <f t="shared" si="55"/>
        <v>$N$82</v>
      </c>
      <c r="AA82" s="94">
        <f ca="1">VLOOKUP($P82,'Regresion Q1'!$E$6:$I$10,4,1)*$P82+VLOOKUP($P82,'Regresion Q1'!$E$6:$I$10,5,1)</f>
        <v>4679778.395949522</v>
      </c>
      <c r="AB82" s="94">
        <f ca="1">VLOOKUP($P82,'Regresion Q1'!$J$6:$N$10,4,1)*$P82+VLOOKUP($P82,'Regresion Q1'!$J$6:$N$10,5,1)</f>
        <v>4793669.3166177813</v>
      </c>
      <c r="AC82" s="94">
        <f ca="1">VLOOKUP($P82,'Regresion Q1'!$O$6:$S$10,4,1)*$P82+VLOOKUP($P82,'Regresion Q1'!$O$6:$S$10,5,1)</f>
        <v>5025472.7740121707</v>
      </c>
      <c r="AD82" s="94">
        <f ca="1">VLOOKUP($P82,'Regresion Md'!$E$6:$I$10,4,1)*$P82+VLOOKUP($P82,'Regresion Md'!$E$6:$I$10,5,1)</f>
        <v>6416763.1720344657</v>
      </c>
      <c r="AE82" s="94">
        <f ca="1">VLOOKUP($P82,'Regresion Md'!$J$6:$N$10,4,1)*$P82+VLOOKUP($P82,'Regresion Md'!$J$6:$N$10,5,1)</f>
        <v>6553805.5645341575</v>
      </c>
      <c r="AF82" s="94">
        <f ca="1">VLOOKUP($P82,'Regresion Md'!$O$6:$S$10,4,1)*$P82+VLOOKUP($P82,'Regresion Md'!$O$6:$S$10,5,1)</f>
        <v>6730208.2657713257</v>
      </c>
      <c r="AG82" s="94">
        <f ca="1">VLOOKUP($P82,'Regresion Q3'!$E$6:$I$10,4,1)*$P82+VLOOKUP($P82,'Regresion Q3'!$E$6:$I$10,5,1)</f>
        <v>7370871.8532168558</v>
      </c>
      <c r="AH82" s="94">
        <f ca="1">VLOOKUP($P82,'Regresion Q3'!$J$6:$N$10,4,1)*$P82+VLOOKUP($P82,'Regresion Q3'!$J$6:$N$10,5,1)</f>
        <v>7478992.8398567727</v>
      </c>
      <c r="AI82" s="94">
        <f ca="1">VLOOKUP($P82,'Regresion Q3'!$O$6:$S$10,4,1)*$P82+VLOOKUP($P82,'Regresion Q3'!$O$6:$S$10,5,1)</f>
        <v>7648853.6352222729</v>
      </c>
      <c r="AJ82" s="94">
        <f ca="1">VLOOKUP($P82,'Regresion Q1'!$T$6:$V$10,2,1)*$P82+VLOOKUP($P82,'Regresion Q1'!$T$6:$V$10,3,1)</f>
        <v>4162118.9077975214</v>
      </c>
      <c r="AK82" s="94">
        <f ca="1">VLOOKUP($P82,'Regresion Q1'!$W$6:$Y$10,2,1)*$P82+VLOOKUP($P82,'Regresion Q1'!$W$6:$Y$10,3,1)</f>
        <v>4275302.3749634586</v>
      </c>
      <c r="AL82" s="94">
        <f ca="1">VLOOKUP($P82,'Regresion Q1'!$Z$6:$AB$10,2,1)*$P82+VLOOKUP($P82,'Regresion Q1'!$Z$6:$AB$10,3,1)</f>
        <v>4452918.6660550814</v>
      </c>
      <c r="AM82" s="94">
        <f ca="1">VLOOKUP($P82,'Regresion Md'!$T$6:$V$10,2,1)*$P82+VLOOKUP($P82,'Regresion Md'!$T$6:$V$10,3,1)</f>
        <v>6115991.4070774028</v>
      </c>
      <c r="AN82" s="94">
        <f ca="1">VLOOKUP($P82,'Regresion Md'!$W$6:$Y$10,2,1)*$P82+VLOOKUP($P82,'Regresion Md'!$W$6:$Y$10,3,1)</f>
        <v>6400904.954800779</v>
      </c>
      <c r="AO82" s="94">
        <f ca="1">VLOOKUP($P82,'Regresion Md'!$Z$6:$AB$10,2,1)*$P82+VLOOKUP($P82,'Regresion Md'!$Z$6:$AB$10,3,1)</f>
        <v>6691846.9950141199</v>
      </c>
      <c r="AP82" s="94">
        <f ca="1">VLOOKUP($P82,'Regresion Q3'!$T$6:$V$10,2,1)*$P82+VLOOKUP($P82,'Regresion Q3'!$T$6:$V$10,3,1)</f>
        <v>7063433.2743835282</v>
      </c>
      <c r="AQ82" s="94">
        <f ca="1">VLOOKUP($P82,'Regresion Q3'!$W$6:$Y$10,2,1)*$P82+VLOOKUP($P82,'Regresion Q3'!$W$6:$Y$10,3,1)</f>
        <v>7252343.8912618337</v>
      </c>
      <c r="AR82" s="94">
        <f ca="1">VLOOKUP($P82,'Regresion Q3'!$Z$6:$AB$10,2,1)*$P82+VLOOKUP($P82,'Regresion Q3'!$Z$6:$AB$10,3,1)</f>
        <v>7425903.9941180758</v>
      </c>
      <c r="AS82" s="94">
        <f>IF($BN82=$BN83,-1,DatosHoy[[#This Row],[G ajus PM Q1]]-BO83)</f>
        <v>-1</v>
      </c>
      <c r="AT82" s="94">
        <f>IF($BN82=$BN83,-1,DatosHoy[[#This Row],[G+V ajus PM Q1]]-BP83)</f>
        <v>-1</v>
      </c>
      <c r="AU82" s="94">
        <f>IF($BN82=$BN83,-1,DatosHoy[[#This Row],[CT ajus PM Q1]]-BQ83)</f>
        <v>-1</v>
      </c>
      <c r="AV82" s="94">
        <f ca="1">IF(DatosHoy[[#This Row],[G ajus PM Q1]]=DatosHoy[[#This Row],[G+V ajus PM Q1]],-1,DatosHoy[[#This Row],[G ajus PM Q1]]-DatosHoy[[#This Row],[G+V ajus PM Q1]])</f>
        <v>-130973.20812571794</v>
      </c>
      <c r="AW82" s="94">
        <f ca="1">IF(DatosHoy[[#This Row],[G+V ajus PM Q1]]=DatosHoy[[#This Row],[CT ajus PM Q1]],-1,DatosHoy[[#This Row],[G+V ajus PM Q1]]-DatosHoy[[#This Row],[CT ajus PM Q1]])</f>
        <v>-210752.3410740681</v>
      </c>
      <c r="AX82" s="94">
        <f>IF($BN82=$BN83,-1,DatosHoy[[#This Row],[G ajus PMd]]-BR83)</f>
        <v>-1</v>
      </c>
      <c r="AY82" s="94">
        <f>IF($BN82=$BN83,-1,DatosHoy[[#This Row],[G+V ajus PM Md]]-BS83)</f>
        <v>-1</v>
      </c>
      <c r="AZ82" s="94">
        <f>IF($BN82=$BN83,-1,DatosHoy[[#This Row],[CT ajus PM Md]]-BT83)</f>
        <v>-1</v>
      </c>
      <c r="BA82" s="94">
        <f ca="1">IF(DatosHoy[[#This Row],[G ajus PMd]]=DatosHoy[[#This Row],[G+V ajus PM Md]],-1,DatosHoy[[#This Row],[G ajus PMd]]-DatosHoy[[#This Row],[G+V ajus PM Md]])</f>
        <v>-326853.52235694416</v>
      </c>
      <c r="BB82" s="94">
        <f ca="1">IF(DatosHoy[[#This Row],[G+V ajus PM Md]]=DatosHoy[[#This Row],[CT ajus PM Md]],-1,DatosHoy[[#This Row],[G+V ajus PM Md]]-DatosHoy[[#This Row],[CT ajus PM Md]])</f>
        <v>-306253.68818791769</v>
      </c>
      <c r="BC82" s="94">
        <f>IF($BN82=$BN83,-1,DatosHoy[[#This Row],[G ajus PM Q3]]-BU83)</f>
        <v>-1</v>
      </c>
      <c r="BD82" s="94">
        <f>IF($BN82=$BN83,-1,DatosHoy[[#This Row],[G+V ajus PM Q3]]-BV83)</f>
        <v>-1</v>
      </c>
      <c r="BE82" s="94">
        <f>IF($BN82=$BN83,-1,DatosHoy[[#This Row],[CT ajus PM Q3]]-BW83)</f>
        <v>-1</v>
      </c>
      <c r="BF82" s="94">
        <f ca="1">IF(DatosHoy[[#This Row],[G ajus PM Q3]]=DatosHoy[[#This Row],[G+V ajus PM Q3]],-1,DatosHoy[[#This Row],[G ajus PM Q3]]-DatosHoy[[#This Row],[G+V ajus PM Q3]])</f>
        <v>-198475.16460195556</v>
      </c>
      <c r="BG82" s="94">
        <f ca="1">IF(DatosHoy[[#This Row],[G+V ajus PM Q3]]=DatosHoy[[#This Row],[CT ajus PM Q3]],-1,DatosHoy[[#This Row],[G+V ajus PM Q3]]-DatosHoy[[#This Row],[CT ajus PM Q3]])</f>
        <v>-181383.1676118141</v>
      </c>
      <c r="BH82" s="94">
        <f ca="1">IF(DatosHoy[[#This Row],[G ajus PM Q1]]=DatosHoy[[#This Row],[G ajus PMd]],-1,DatosHoy[[#This Row],[G ajus PM Q1]]-DatosHoy[[#This Row],[G ajus PMd]])</f>
        <v>-2106090.8824396934</v>
      </c>
      <c r="BI82" s="94">
        <f ca="1">IF(DatosHoy[[#This Row],[G+V ajus PM Q1]]=DatosHoy[[#This Row],[G+V ajus PM Md]],-1,DatosHoy[[#This Row],[G+V ajus PM Q1]]-DatosHoy[[#This Row],[G+V ajus PM Md]])</f>
        <v>-2301971.1966709197</v>
      </c>
      <c r="BJ82" s="94">
        <f ca="1">IF(DatosHoy[[#This Row],[CT ajus PM Q1]]=DatosHoy[[#This Row],[CT ajus PM Md]],-1,DatosHoy[[#This Row],[CT ajus PM Q1]]-DatosHoy[[#This Row],[CT ajus PM Md]])</f>
        <v>-2397472.5437847693</v>
      </c>
      <c r="BK82" s="94">
        <f ca="1">IF(DatosHoy[[#This Row],[G ajus PMd]]=DatosHoy[[#This Row],[G ajus PM Q3]],-1,DatosHoy[[#This Row],[G ajus PMd]]-DatosHoy[[#This Row],[G ajus PM Q3]])</f>
        <v>-848943.76769294124</v>
      </c>
      <c r="BL82" s="94">
        <f ca="1">IF(DatosHoy[[#This Row],[G+V ajus PM Md]]=DatosHoy[[#This Row],[G+V ajus PM Q3]],-1,DatosHoy[[#This Row],[G+V ajus PM Md]]-DatosHoy[[#This Row],[G+V ajus PM Q3]])</f>
        <v>-720565.40993795265</v>
      </c>
      <c r="BM82" s="94">
        <f ca="1">IF(DatosHoy[[#This Row],[CT ajus PM Md]]=DatosHoy[[#This Row],[CT ajus PM Q3]],-1,DatosHoy[[#This Row],[CT ajus PM Md]]-DatosHoy[[#This Row],[CT ajus PM Q3]])</f>
        <v>-595694.88936184905</v>
      </c>
      <c r="BN82" s="74">
        <v>379</v>
      </c>
      <c r="BO82" s="94">
        <f ca="1">IFERROR(VLOOKUP($BN82,'Regresion Q1'!$T$6:$V$10,2,1)*$BN82+VLOOKUP($BN82,'Regresion Q1'!$T$6:$V$10,3,1),VLOOKUP(MIN(DatosHoy[Puntos]),'Regresion Q1'!$T$6:$V$10,2,1)*$BN82+VLOOKUP(MIN(DatosHoy[Puntos]),'Regresion Q1'!$T$6:$V$10,3,1))</f>
        <v>4514526.9471599981</v>
      </c>
      <c r="BP82" s="94">
        <f ca="1">IFERROR(VLOOKUP($BN82,'Regresion Q1'!$W$6:$Y$10,2,1)*$BN82+VLOOKUP($BN82,'Regresion Q1'!$W$6:$Y$10,3,1),VLOOKUP(MIN(DatosHoy[Puntos]),'Regresion Q1'!$W$6:$Y$10,2,1)*$BN82+VLOOKUP(MIN(DatosHoy[Puntos]),'Regresion Q1'!$W$6:$Y$10,3,1))</f>
        <v>4645500.1552857161</v>
      </c>
      <c r="BQ82" s="94">
        <f ca="1">IFERROR(VLOOKUP($BN82,'Regresion Q1'!$Z$6:$AB$10,2,1)*$BN82+VLOOKUP($BN82,'Regresion Q1'!$Z$6:$AB$10,3,1),VLOOKUP(MIN(DatosHoy[Puntos]),'Regresion Q1'!$Z$6:$AB$10,2,1)*$BN82+VLOOKUP(MIN(DatosHoy[Puntos]),'Regresion Q1'!$Z$6:$AB$10,3,1))</f>
        <v>4856252.4963597842</v>
      </c>
      <c r="BR82" s="94">
        <f ca="1">IFERROR(VLOOKUP($BN82,'Regresion Md'!$T$6:$V$10,2,1)*$BN82+VLOOKUP($BN82,'Regresion Md'!$T$6:$V$10,3,1),VLOOKUP(MIN(DatosHoy[Puntos]),'Regresion Md'!$T$6:$V$10,2,1)*$BN82+VLOOKUP(MIN(DatosHoy[Puntos]),'Regresion Md'!$T$6:$V$10,3,1))</f>
        <v>6620617.8295996916</v>
      </c>
      <c r="BS82" s="94">
        <f ca="1">IFERROR(VLOOKUP($BN82,'Regresion Md'!$W$6:$Y$10,2,1)*$BN82+VLOOKUP($BN82,'Regresion Md'!$W$6:$Y$10,3,1),VLOOKUP(MIN(DatosHoy[Puntos]),'Regresion Md'!$W$6:$Y$10,2,1)*$BN82+VLOOKUP(MIN(DatosHoy[Puntos]),'Regresion Md'!$W$6:$Y$10,3,1))</f>
        <v>6947471.3519566357</v>
      </c>
      <c r="BT82" s="94">
        <f ca="1">IFERROR(VLOOKUP($BN82,'Regresion Md'!$Z$6:$AB$10,2,1)*$BN82+VLOOKUP($BN82,'Regresion Md'!$Z$6:$AB$10,3,1),VLOOKUP(MIN(DatosHoy[Puntos]),'Regresion Md'!$Z$6:$AB$10,2,1)*$BN82+VLOOKUP(MIN(DatosHoy[Puntos]),'Regresion Md'!$Z$6:$AB$10,3,1))</f>
        <v>7253725.0401445534</v>
      </c>
      <c r="BU82" s="94">
        <f ca="1">IFERROR(VLOOKUP($BN82,'Regresion Q3'!$T$6:$V$10,2,1)*$BN82+VLOOKUP($BN82,'Regresion Q3'!$T$6:$V$10,3,1),VLOOKUP(MIN(DatosHoy[Puntos]),'Regresion Q3'!$T$6:$V$10,2,1)*$BN82+VLOOKUP(MIN(DatosHoy[Puntos]),'Regresion Q3'!$T$6:$V$10,3,1))</f>
        <v>7469561.5972926328</v>
      </c>
      <c r="BV82" s="94">
        <f ca="1">IFERROR(VLOOKUP($BN82,'Regresion Q3'!$W$6:$Y$10,2,1)*$BN82+VLOOKUP($BN82,'Regresion Q3'!$W$6:$Y$10,3,1),VLOOKUP(MIN(DatosHoy[Puntos]),'Regresion Q3'!$W$6:$Y$10,2,1)*$BN82+VLOOKUP(MIN(DatosHoy[Puntos]),'Regresion Q3'!$W$6:$Y$10,3,1))</f>
        <v>7668036.7618945884</v>
      </c>
      <c r="BW82" s="94">
        <f ca="1">IFERROR(VLOOKUP($BN82,'Regresion Q3'!$Z$6:$AB$10,2,1)*$BN82+VLOOKUP($BN82,'Regresion Q3'!$Z$6:$AB$10,3,1),VLOOKUP(MIN(DatosHoy[Puntos]),'Regresion Q3'!$Z$6:$AB$10,2,1)*$BN82+VLOOKUP(MIN(DatosHoy[Puntos]),'Regresion Q3'!$Z$6:$AB$10,3,1))</f>
        <v>7849419.9295064025</v>
      </c>
      <c r="BX82" s="96">
        <f ca="1">DatosHoy[[#This Row],[CT Actual]]/DatosHoy[[#This Row],[CT ajus PM Md]]</f>
        <v>0.44366066154829981</v>
      </c>
      <c r="BY82" s="125" t="str">
        <f>VLOOKUP(DatosHoy[[#This Row],[Cargo Valorado]],Estadísticos[[Cargo]:[Nivel]],2,FALSE)</f>
        <v>Táctico</v>
      </c>
      <c r="BZ82" s="96">
        <f>(DatosHoy[[#This Row],[G+V Actual]]-DatosHoy[[#This Row],[G Actual]])/DatosHoy[[#This Row],[CT Actual]]</f>
        <v>0</v>
      </c>
      <c r="CA82" s="96">
        <f>(DatosHoy[[#This Row],[CT Actual]]-DatosHoy[[#This Row],[G+V Actual]])/DatosHoy[[#This Row],[CT Actual]]</f>
        <v>0</v>
      </c>
      <c r="CB82" s="139" t="s">
        <v>255</v>
      </c>
    </row>
    <row r="83" spans="2:80" x14ac:dyDescent="0.25">
      <c r="B83" s="73">
        <f t="shared" si="45"/>
        <v>78</v>
      </c>
      <c r="C83" s="74">
        <v>4236012</v>
      </c>
      <c r="D83" s="74">
        <v>4236012</v>
      </c>
      <c r="E83" s="74">
        <v>4236012</v>
      </c>
      <c r="F83" s="94">
        <f>VLOOKUP(DatosHoy[[#This Row],[Cargo Valorado]],Estadísticos[],3,0)</f>
        <v>4555720.0082650594</v>
      </c>
      <c r="G83" s="94">
        <f>VLOOKUP(DatosHoy[[#This Row],[Cargo Valorado]],Estadísticos[],4,0)</f>
        <v>5275565.4472220251</v>
      </c>
      <c r="H83" s="94">
        <f>VLOOKUP(DatosHoy[[#This Row],[Cargo Valorado]],Estadísticos[],5,0)</f>
        <v>5563417.1828379286</v>
      </c>
      <c r="I83" s="94">
        <f>VLOOKUP(DatosHoy[[#This Row],[Cargo Valorado]],Estadísticos[],6,0)</f>
        <v>4858025.4813414905</v>
      </c>
      <c r="J83" s="94">
        <f>VLOOKUP(DatosHoy[[#This Row],[Cargo Valorado]],Estadísticos[],7,0)</f>
        <v>5337922.4406461343</v>
      </c>
      <c r="K83" s="94">
        <f>VLOOKUP(DatosHoy[[#This Row],[Cargo Valorado]],Estadísticos[],8,0)</f>
        <v>5664197.9381815065</v>
      </c>
      <c r="L83" s="94">
        <f>VLOOKUP(DatosHoy[[#This Row],[Cargo Valorado]],Estadísticos[],9,0)</f>
        <v>5160330.9544179216</v>
      </c>
      <c r="M83" s="94">
        <f>VLOOKUP(DatosHoy[[#This Row],[Cargo Valorado]],Estadísticos[],10,0)</f>
        <v>5400279.4340702426</v>
      </c>
      <c r="N83" s="94">
        <f>VLOOKUP(DatosHoy[[#This Row],[Cargo Valorado]],Estadísticos[],11,0)</f>
        <v>5764978.6935250834</v>
      </c>
      <c r="O83" s="75" t="s">
        <v>222</v>
      </c>
      <c r="P83" s="75">
        <v>362</v>
      </c>
      <c r="Q83" s="95" t="str">
        <f t="shared" si="46"/>
        <v>$P$83</v>
      </c>
      <c r="R83" s="95" t="str">
        <f t="shared" si="47"/>
        <v>$F$83</v>
      </c>
      <c r="S83" s="95" t="str">
        <f t="shared" si="48"/>
        <v>$G$83</v>
      </c>
      <c r="T83" s="95" t="str">
        <f t="shared" si="49"/>
        <v>$H$83</v>
      </c>
      <c r="U83" s="95" t="str">
        <f t="shared" si="50"/>
        <v>$I$83</v>
      </c>
      <c r="V83" s="95" t="str">
        <f t="shared" si="51"/>
        <v>$J$83</v>
      </c>
      <c r="W83" s="95" t="str">
        <f t="shared" si="52"/>
        <v>$K$83</v>
      </c>
      <c r="X83" s="95" t="str">
        <f t="shared" si="53"/>
        <v>$L$83</v>
      </c>
      <c r="Y83" s="95" t="str">
        <f t="shared" si="54"/>
        <v>$M$83</v>
      </c>
      <c r="Z83" s="95" t="str">
        <f t="shared" si="55"/>
        <v>$N$83</v>
      </c>
      <c r="AA83" s="94">
        <f ca="1">VLOOKUP($P83,'Regresion Q1'!$E$6:$I$10,4,1)*$P83+VLOOKUP($P83,'Regresion Q1'!$E$6:$I$10,5,1)</f>
        <v>4747039.7527444568</v>
      </c>
      <c r="AB83" s="94">
        <f ca="1">VLOOKUP($P83,'Regresion Q1'!$J$6:$N$10,4,1)*$P83+VLOOKUP($P83,'Regresion Q1'!$J$6:$N$10,5,1)</f>
        <v>4862860.8185699806</v>
      </c>
      <c r="AC83" s="94">
        <f ca="1">VLOOKUP($P83,'Regresion Q1'!$O$6:$S$10,4,1)*$P83+VLOOKUP($P83,'Regresion Q1'!$O$6:$S$10,5,1)</f>
        <v>5096873.2937628459</v>
      </c>
      <c r="AD83" s="94">
        <f ca="1">VLOOKUP($P83,'Regresion Md'!$E$6:$I$10,4,1)*$P83+VLOOKUP($P83,'Regresion Md'!$E$6:$I$10,5,1)</f>
        <v>6542192.8440834517</v>
      </c>
      <c r="AE83" s="94">
        <f ca="1">VLOOKUP($P83,'Regresion Md'!$J$6:$N$10,4,1)*$P83+VLOOKUP($P83,'Regresion Md'!$J$6:$N$10,5,1)</f>
        <v>6683485.9363133051</v>
      </c>
      <c r="AF83" s="94">
        <f ca="1">VLOOKUP($P83,'Regresion Md'!$O$6:$S$10,4,1)*$P83+VLOOKUP($P83,'Regresion Md'!$O$6:$S$10,5,1)</f>
        <v>6859277.8668669742</v>
      </c>
      <c r="AG83" s="94">
        <f ca="1">VLOOKUP($P83,'Regresion Q3'!$E$6:$I$10,4,1)*$P83+VLOOKUP($P83,'Regresion Q3'!$E$6:$I$10,5,1)</f>
        <v>7495335.7924636686</v>
      </c>
      <c r="AH83" s="94">
        <f ca="1">VLOOKUP($P83,'Regresion Q3'!$J$6:$N$10,4,1)*$P83+VLOOKUP($P83,'Regresion Q3'!$J$6:$N$10,5,1)</f>
        <v>7605027.0989622111</v>
      </c>
      <c r="AI83" s="94">
        <f ca="1">VLOOKUP($P83,'Regresion Q3'!$O$6:$S$10,4,1)*$P83+VLOOKUP($P83,'Regresion Q3'!$O$6:$S$10,5,1)</f>
        <v>7774142.1873850077</v>
      </c>
      <c r="AJ83" s="94">
        <f ca="1">VLOOKUP($P83,'Regresion Q1'!$T$6:$V$10,2,1)*$P83+VLOOKUP($P83,'Regresion Q1'!$T$6:$V$10,3,1)</f>
        <v>4212135.9979497809</v>
      </c>
      <c r="AK83" s="94">
        <f ca="1">VLOOKUP($P83,'Regresion Q1'!$W$6:$Y$10,2,1)*$P83+VLOOKUP($P83,'Regresion Q1'!$W$6:$Y$10,3,1)</f>
        <v>4325852.0155358985</v>
      </c>
      <c r="AL83" s="94">
        <f ca="1">VLOOKUP($P83,'Regresion Q1'!$Z$6:$AB$10,2,1)*$P83+VLOOKUP($P83,'Regresion Q1'!$Z$6:$AB$10,3,1)</f>
        <v>4505742.7217161078</v>
      </c>
      <c r="AM83" s="94">
        <f ca="1">VLOOKUP($P83,'Regresion Md'!$T$6:$V$10,2,1)*$P83+VLOOKUP($P83,'Regresion Md'!$T$6:$V$10,3,1)</f>
        <v>6230679.2303779228</v>
      </c>
      <c r="AN83" s="94">
        <f ca="1">VLOOKUP($P83,'Regresion Md'!$W$6:$Y$10,2,1)*$P83+VLOOKUP($P83,'Regresion Md'!$W$6:$Y$10,3,1)</f>
        <v>6525124.5905180201</v>
      </c>
      <c r="AO83" s="94">
        <f ca="1">VLOOKUP($P83,'Regresion Md'!$Z$6:$AB$10,2,1)*$P83+VLOOKUP($P83,'Regresion Md'!$Z$6:$AB$10,3,1)</f>
        <v>6819546.550725583</v>
      </c>
      <c r="AP83" s="94">
        <f ca="1">VLOOKUP($P83,'Regresion Q3'!$T$6:$V$10,2,1)*$P83+VLOOKUP($P83,'Regresion Q3'!$T$6:$V$10,3,1)</f>
        <v>7155735.1659537796</v>
      </c>
      <c r="AQ83" s="94">
        <f ca="1">VLOOKUP($P83,'Regresion Q3'!$W$6:$Y$10,2,1)*$P83+VLOOKUP($P83,'Regresion Q3'!$W$6:$Y$10,3,1)</f>
        <v>7346819.5436783694</v>
      </c>
      <c r="AR83" s="94">
        <f ca="1">VLOOKUP($P83,'Regresion Q3'!$Z$6:$AB$10,2,1)*$P83+VLOOKUP($P83,'Regresion Q3'!$Z$6:$AB$10,3,1)</f>
        <v>7522157.6157972403</v>
      </c>
      <c r="AS83" s="94">
        <f>IF($BN83=$BN84,-1,DatosHoy[[#This Row],[G ajus PM Q1]]-BO84)</f>
        <v>-1</v>
      </c>
      <c r="AT83" s="94">
        <f>IF($BN83=$BN84,-1,DatosHoy[[#This Row],[G+V ajus PM Q1]]-BP84)</f>
        <v>-1</v>
      </c>
      <c r="AU83" s="94">
        <f>IF($BN83=$BN84,-1,DatosHoy[[#This Row],[CT ajus PM Q1]]-BQ84)</f>
        <v>-1</v>
      </c>
      <c r="AV83" s="94">
        <f ca="1">IF(DatosHoy[[#This Row],[G ajus PM Q1]]=DatosHoy[[#This Row],[G+V ajus PM Q1]],-1,DatosHoy[[#This Row],[G ajus PM Q1]]-DatosHoy[[#This Row],[G+V ajus PM Q1]])</f>
        <v>-130973.20812571794</v>
      </c>
      <c r="AW83" s="94">
        <f ca="1">IF(DatosHoy[[#This Row],[G+V ajus PM Q1]]=DatosHoy[[#This Row],[CT ajus PM Q1]],-1,DatosHoy[[#This Row],[G+V ajus PM Q1]]-DatosHoy[[#This Row],[CT ajus PM Q1]])</f>
        <v>-210752.3410740681</v>
      </c>
      <c r="AX83" s="94">
        <f>IF($BN83=$BN84,-1,DatosHoy[[#This Row],[G ajus PMd]]-BR84)</f>
        <v>-1</v>
      </c>
      <c r="AY83" s="94">
        <f>IF($BN83=$BN84,-1,DatosHoy[[#This Row],[G+V ajus PM Md]]-BS84)</f>
        <v>-1</v>
      </c>
      <c r="AZ83" s="94">
        <f>IF($BN83=$BN84,-1,DatosHoy[[#This Row],[CT ajus PM Md]]-BT84)</f>
        <v>-1</v>
      </c>
      <c r="BA83" s="94">
        <f ca="1">IF(DatosHoy[[#This Row],[G ajus PMd]]=DatosHoy[[#This Row],[G+V ajus PM Md]],-1,DatosHoy[[#This Row],[G ajus PMd]]-DatosHoy[[#This Row],[G+V ajus PM Md]])</f>
        <v>-326853.52235694416</v>
      </c>
      <c r="BB83" s="94">
        <f ca="1">IF(DatosHoy[[#This Row],[G+V ajus PM Md]]=DatosHoy[[#This Row],[CT ajus PM Md]],-1,DatosHoy[[#This Row],[G+V ajus PM Md]]-DatosHoy[[#This Row],[CT ajus PM Md]])</f>
        <v>-306253.68818791769</v>
      </c>
      <c r="BC83" s="94">
        <f>IF($BN83=$BN84,-1,DatosHoy[[#This Row],[G ajus PM Q3]]-BU84)</f>
        <v>-1</v>
      </c>
      <c r="BD83" s="94">
        <f>IF($BN83=$BN84,-1,DatosHoy[[#This Row],[G+V ajus PM Q3]]-BV84)</f>
        <v>-1</v>
      </c>
      <c r="BE83" s="94">
        <f>IF($BN83=$BN84,-1,DatosHoy[[#This Row],[CT ajus PM Q3]]-BW84)</f>
        <v>-1</v>
      </c>
      <c r="BF83" s="94">
        <f ca="1">IF(DatosHoy[[#This Row],[G ajus PM Q3]]=DatosHoy[[#This Row],[G+V ajus PM Q3]],-1,DatosHoy[[#This Row],[G ajus PM Q3]]-DatosHoy[[#This Row],[G+V ajus PM Q3]])</f>
        <v>-198475.16460195556</v>
      </c>
      <c r="BG83" s="94">
        <f ca="1">IF(DatosHoy[[#This Row],[G+V ajus PM Q3]]=DatosHoy[[#This Row],[CT ajus PM Q3]],-1,DatosHoy[[#This Row],[G+V ajus PM Q3]]-DatosHoy[[#This Row],[CT ajus PM Q3]])</f>
        <v>-181383.1676118141</v>
      </c>
      <c r="BH83" s="94">
        <f ca="1">IF(DatosHoy[[#This Row],[G ajus PM Q1]]=DatosHoy[[#This Row],[G ajus PMd]],-1,DatosHoy[[#This Row],[G ajus PM Q1]]-DatosHoy[[#This Row],[G ajus PMd]])</f>
        <v>-2106090.8824396934</v>
      </c>
      <c r="BI83" s="94">
        <f ca="1">IF(DatosHoy[[#This Row],[G+V ajus PM Q1]]=DatosHoy[[#This Row],[G+V ajus PM Md]],-1,DatosHoy[[#This Row],[G+V ajus PM Q1]]-DatosHoy[[#This Row],[G+V ajus PM Md]])</f>
        <v>-2301971.1966709197</v>
      </c>
      <c r="BJ83" s="94">
        <f ca="1">IF(DatosHoy[[#This Row],[CT ajus PM Q1]]=DatosHoy[[#This Row],[CT ajus PM Md]],-1,DatosHoy[[#This Row],[CT ajus PM Q1]]-DatosHoy[[#This Row],[CT ajus PM Md]])</f>
        <v>-2397472.5437847693</v>
      </c>
      <c r="BK83" s="94">
        <f ca="1">IF(DatosHoy[[#This Row],[G ajus PMd]]=DatosHoy[[#This Row],[G ajus PM Q3]],-1,DatosHoy[[#This Row],[G ajus PMd]]-DatosHoy[[#This Row],[G ajus PM Q3]])</f>
        <v>-848943.76769294124</v>
      </c>
      <c r="BL83" s="94">
        <f ca="1">IF(DatosHoy[[#This Row],[G+V ajus PM Md]]=DatosHoy[[#This Row],[G+V ajus PM Q3]],-1,DatosHoy[[#This Row],[G+V ajus PM Md]]-DatosHoy[[#This Row],[G+V ajus PM Q3]])</f>
        <v>-720565.40993795265</v>
      </c>
      <c r="BM83" s="94">
        <f ca="1">IF(DatosHoy[[#This Row],[CT ajus PM Md]]=DatosHoy[[#This Row],[CT ajus PM Q3]],-1,DatosHoy[[#This Row],[CT ajus PM Md]]-DatosHoy[[#This Row],[CT ajus PM Q3]])</f>
        <v>-595694.88936184905</v>
      </c>
      <c r="BN83" s="74">
        <v>379</v>
      </c>
      <c r="BO83" s="94">
        <f ca="1">IFERROR(VLOOKUP($BN83,'Regresion Q1'!$T$6:$V$10,2,1)*$BN83+VLOOKUP($BN83,'Regresion Q1'!$T$6:$V$10,3,1),VLOOKUP(MIN(DatosHoy[Puntos]),'Regresion Q1'!$T$6:$V$10,2,1)*$BN83+VLOOKUP(MIN(DatosHoy[Puntos]),'Regresion Q1'!$T$6:$V$10,3,1))</f>
        <v>4514526.9471599981</v>
      </c>
      <c r="BP83" s="94">
        <f ca="1">IFERROR(VLOOKUP($BN83,'Regresion Q1'!$W$6:$Y$10,2,1)*$BN83+VLOOKUP($BN83,'Regresion Q1'!$W$6:$Y$10,3,1),VLOOKUP(MIN(DatosHoy[Puntos]),'Regresion Q1'!$W$6:$Y$10,2,1)*$BN83+VLOOKUP(MIN(DatosHoy[Puntos]),'Regresion Q1'!$W$6:$Y$10,3,1))</f>
        <v>4645500.1552857161</v>
      </c>
      <c r="BQ83" s="94">
        <f ca="1">IFERROR(VLOOKUP($BN83,'Regresion Q1'!$Z$6:$AB$10,2,1)*$BN83+VLOOKUP($BN83,'Regresion Q1'!$Z$6:$AB$10,3,1),VLOOKUP(MIN(DatosHoy[Puntos]),'Regresion Q1'!$Z$6:$AB$10,2,1)*$BN83+VLOOKUP(MIN(DatosHoy[Puntos]),'Regresion Q1'!$Z$6:$AB$10,3,1))</f>
        <v>4856252.4963597842</v>
      </c>
      <c r="BR83" s="94">
        <f ca="1">IFERROR(VLOOKUP($BN83,'Regresion Md'!$T$6:$V$10,2,1)*$BN83+VLOOKUP($BN83,'Regresion Md'!$T$6:$V$10,3,1),VLOOKUP(MIN(DatosHoy[Puntos]),'Regresion Md'!$T$6:$V$10,2,1)*$BN83+VLOOKUP(MIN(DatosHoy[Puntos]),'Regresion Md'!$T$6:$V$10,3,1))</f>
        <v>6620617.8295996916</v>
      </c>
      <c r="BS83" s="94">
        <f ca="1">IFERROR(VLOOKUP($BN83,'Regresion Md'!$W$6:$Y$10,2,1)*$BN83+VLOOKUP($BN83,'Regresion Md'!$W$6:$Y$10,3,1),VLOOKUP(MIN(DatosHoy[Puntos]),'Regresion Md'!$W$6:$Y$10,2,1)*$BN83+VLOOKUP(MIN(DatosHoy[Puntos]),'Regresion Md'!$W$6:$Y$10,3,1))</f>
        <v>6947471.3519566357</v>
      </c>
      <c r="BT83" s="94">
        <f ca="1">IFERROR(VLOOKUP($BN83,'Regresion Md'!$Z$6:$AB$10,2,1)*$BN83+VLOOKUP($BN83,'Regresion Md'!$Z$6:$AB$10,3,1),VLOOKUP(MIN(DatosHoy[Puntos]),'Regresion Md'!$Z$6:$AB$10,2,1)*$BN83+VLOOKUP(MIN(DatosHoy[Puntos]),'Regresion Md'!$Z$6:$AB$10,3,1))</f>
        <v>7253725.0401445534</v>
      </c>
      <c r="BU83" s="94">
        <f ca="1">IFERROR(VLOOKUP($BN83,'Regresion Q3'!$T$6:$V$10,2,1)*$BN83+VLOOKUP($BN83,'Regresion Q3'!$T$6:$V$10,3,1),VLOOKUP(MIN(DatosHoy[Puntos]),'Regresion Q3'!$T$6:$V$10,2,1)*$BN83+VLOOKUP(MIN(DatosHoy[Puntos]),'Regresion Q3'!$T$6:$V$10,3,1))</f>
        <v>7469561.5972926328</v>
      </c>
      <c r="BV83" s="94">
        <f ca="1">IFERROR(VLOOKUP($BN83,'Regresion Q3'!$W$6:$Y$10,2,1)*$BN83+VLOOKUP($BN83,'Regresion Q3'!$W$6:$Y$10,3,1),VLOOKUP(MIN(DatosHoy[Puntos]),'Regresion Q3'!$W$6:$Y$10,2,1)*$BN83+VLOOKUP(MIN(DatosHoy[Puntos]),'Regresion Q3'!$W$6:$Y$10,3,1))</f>
        <v>7668036.7618945884</v>
      </c>
      <c r="BW83" s="94">
        <f ca="1">IFERROR(VLOOKUP($BN83,'Regresion Q3'!$Z$6:$AB$10,2,1)*$BN83+VLOOKUP($BN83,'Regresion Q3'!$Z$6:$AB$10,3,1),VLOOKUP(MIN(DatosHoy[Puntos]),'Regresion Q3'!$Z$6:$AB$10,2,1)*$BN83+VLOOKUP(MIN(DatosHoy[Puntos]),'Regresion Q3'!$Z$6:$AB$10,3,1))</f>
        <v>7849419.9295064025</v>
      </c>
      <c r="BX83" s="96">
        <f ca="1">DatosHoy[[#This Row],[CT Actual]]/DatosHoy[[#This Row],[CT ajus PM Md]]</f>
        <v>0.58397747041092474</v>
      </c>
      <c r="BY83" s="125" t="str">
        <f>VLOOKUP(DatosHoy[[#This Row],[Cargo Valorado]],Estadísticos[[Cargo]:[Nivel]],2,FALSE)</f>
        <v>Táctico</v>
      </c>
      <c r="BZ83" s="96">
        <f>(DatosHoy[[#This Row],[G+V Actual]]-DatosHoy[[#This Row],[G Actual]])/DatosHoy[[#This Row],[CT Actual]]</f>
        <v>0</v>
      </c>
      <c r="CA83" s="96">
        <f>(DatosHoy[[#This Row],[CT Actual]]-DatosHoy[[#This Row],[G+V Actual]])/DatosHoy[[#This Row],[CT Actual]]</f>
        <v>0</v>
      </c>
      <c r="CB83" s="139" t="s">
        <v>255</v>
      </c>
    </row>
    <row r="84" spans="2:80" x14ac:dyDescent="0.25">
      <c r="B84" s="73">
        <f t="shared" si="45"/>
        <v>79</v>
      </c>
      <c r="C84" s="74">
        <v>5072624.37</v>
      </c>
      <c r="D84" s="74">
        <v>5072624.37</v>
      </c>
      <c r="E84" s="74">
        <v>5072624.37</v>
      </c>
      <c r="F84" s="94">
        <f>VLOOKUP(DatosHoy[[#This Row],[Cargo Valorado]],Estadísticos[],3,0)</f>
        <v>5183427.5804098146</v>
      </c>
      <c r="G84" s="94">
        <f>VLOOKUP(DatosHoy[[#This Row],[Cargo Valorado]],Estadísticos[],4,0)</f>
        <v>5536285.9137431486</v>
      </c>
      <c r="H84" s="94">
        <f>VLOOKUP(DatosHoy[[#This Row],[Cargo Valorado]],Estadísticos[],5,0)</f>
        <v>5707677.7537431484</v>
      </c>
      <c r="I84" s="94">
        <f>VLOOKUP(DatosHoy[[#This Row],[Cargo Valorado]],Estadísticos[],6,0)</f>
        <v>5584691.0583113227</v>
      </c>
      <c r="J84" s="94">
        <f>VLOOKUP(DatosHoy[[#This Row],[Cargo Valorado]],Estadísticos[],7,0)</f>
        <v>5937549.3916446567</v>
      </c>
      <c r="K84" s="94">
        <f>VLOOKUP(DatosHoy[[#This Row],[Cargo Valorado]],Estadísticos[],8,0)</f>
        <v>6108941.2316446565</v>
      </c>
      <c r="L84" s="94">
        <f>VLOOKUP(DatosHoy[[#This Row],[Cargo Valorado]],Estadísticos[],9,0)</f>
        <v>5985954.5362128299</v>
      </c>
      <c r="M84" s="94">
        <f>VLOOKUP(DatosHoy[[#This Row],[Cargo Valorado]],Estadísticos[],10,0)</f>
        <v>6338812.8695461638</v>
      </c>
      <c r="N84" s="94">
        <f>VLOOKUP(DatosHoy[[#This Row],[Cargo Valorado]],Estadísticos[],11,0)</f>
        <v>6510204.7095461637</v>
      </c>
      <c r="O84" s="75" t="s">
        <v>221</v>
      </c>
      <c r="P84" s="75">
        <v>370</v>
      </c>
      <c r="Q84" s="95" t="str">
        <f t="shared" si="46"/>
        <v>$P$84</v>
      </c>
      <c r="R84" s="95" t="str">
        <f t="shared" si="47"/>
        <v>$F$84</v>
      </c>
      <c r="S84" s="95" t="str">
        <f t="shared" si="48"/>
        <v>$G$84</v>
      </c>
      <c r="T84" s="95" t="str">
        <f t="shared" si="49"/>
        <v>$H$84</v>
      </c>
      <c r="U84" s="95" t="str">
        <f t="shared" si="50"/>
        <v>$I$84</v>
      </c>
      <c r="V84" s="95" t="str">
        <f t="shared" si="51"/>
        <v>$J$84</v>
      </c>
      <c r="W84" s="95" t="str">
        <f t="shared" si="52"/>
        <v>$K$84</v>
      </c>
      <c r="X84" s="95" t="str">
        <f t="shared" si="53"/>
        <v>$L$84</v>
      </c>
      <c r="Y84" s="95" t="str">
        <f t="shared" si="54"/>
        <v>$M$84</v>
      </c>
      <c r="Z84" s="95" t="str">
        <f t="shared" si="55"/>
        <v>$N$84</v>
      </c>
      <c r="AA84" s="94">
        <f ca="1">VLOOKUP($P84,'Regresion Q1'!$E$6:$I$10,4,1)*$P84+VLOOKUP($P84,'Regresion Q1'!$E$6:$I$10,5,1)</f>
        <v>4292163.3421933949</v>
      </c>
      <c r="AB84" s="94">
        <f ca="1">VLOOKUP($P84,'Regresion Q1'!$J$6:$N$10,4,1)*$P84+VLOOKUP($P84,'Regresion Q1'!$J$6:$N$10,5,1)</f>
        <v>4406731.4404518008</v>
      </c>
      <c r="AC84" s="94">
        <f ca="1">VLOOKUP($P84,'Regresion Q1'!$O$6:$S$10,4,1)*$P84+VLOOKUP($P84,'Regresion Q1'!$O$6:$S$10,5,1)</f>
        <v>4590261.2107737511</v>
      </c>
      <c r="AD84" s="94">
        <f ca="1">VLOOKUP($P84,'Regresion Md'!$E$6:$I$10,4,1)*$P84+VLOOKUP($P84,'Regresion Md'!$E$6:$I$10,5,1)</f>
        <v>6742880.3193618311</v>
      </c>
      <c r="AE84" s="94">
        <f ca="1">VLOOKUP($P84,'Regresion Md'!$J$6:$N$10,4,1)*$P84+VLOOKUP($P84,'Regresion Md'!$J$6:$N$10,5,1)</f>
        <v>6890974.5311599392</v>
      </c>
      <c r="AF84" s="94">
        <f ca="1">VLOOKUP($P84,'Regresion Md'!$O$6:$S$10,4,1)*$P84+VLOOKUP($P84,'Regresion Md'!$O$6:$S$10,5,1)</f>
        <v>7065789.2286200114</v>
      </c>
      <c r="AG84" s="94">
        <f ca="1">VLOOKUP($P84,'Regresion Q3'!$E$6:$I$10,4,1)*$P84+VLOOKUP($P84,'Regresion Q3'!$E$6:$I$10,5,1)</f>
        <v>7694478.0952585703</v>
      </c>
      <c r="AH84" s="94">
        <f ca="1">VLOOKUP($P84,'Regresion Q3'!$J$6:$N$10,4,1)*$P84+VLOOKUP($P84,'Regresion Q3'!$J$6:$N$10,5,1)</f>
        <v>7806681.913530915</v>
      </c>
      <c r="AI84" s="94">
        <f ca="1">VLOOKUP($P84,'Regresion Q3'!$O$6:$S$10,4,1)*$P84+VLOOKUP($P84,'Regresion Q3'!$O$6:$S$10,5,1)</f>
        <v>7974603.8708453793</v>
      </c>
      <c r="AJ84" s="94">
        <f ca="1">VLOOKUP($P84,'Regresion Q1'!$T$6:$V$10,2,1)*$P84+VLOOKUP($P84,'Regresion Q1'!$T$6:$V$10,3,1)</f>
        <v>4292163.3421933949</v>
      </c>
      <c r="AK84" s="94">
        <f ca="1">VLOOKUP($P84,'Regresion Q1'!$W$6:$Y$10,2,1)*$P84+VLOOKUP($P84,'Regresion Q1'!$W$6:$Y$10,3,1)</f>
        <v>4406731.4404518008</v>
      </c>
      <c r="AL84" s="94">
        <f ca="1">VLOOKUP($P84,'Regresion Q1'!$Z$6:$AB$10,2,1)*$P84+VLOOKUP($P84,'Regresion Q1'!$Z$6:$AB$10,3,1)</f>
        <v>4590261.2107737511</v>
      </c>
      <c r="AM84" s="94">
        <f ca="1">VLOOKUP($P84,'Regresion Md'!$T$6:$V$10,2,1)*$P84+VLOOKUP($P84,'Regresion Md'!$T$6:$V$10,3,1)</f>
        <v>6414179.7476587556</v>
      </c>
      <c r="AN84" s="94">
        <f ca="1">VLOOKUP($P84,'Regresion Md'!$W$6:$Y$10,2,1)*$P84+VLOOKUP($P84,'Regresion Md'!$W$6:$Y$10,3,1)</f>
        <v>6723876.0076656025</v>
      </c>
      <c r="AO84" s="94">
        <f ca="1">VLOOKUP($P84,'Regresion Md'!$Z$6:$AB$10,2,1)*$P84+VLOOKUP($P84,'Regresion Md'!$Z$6:$AB$10,3,1)</f>
        <v>7023865.8398639224</v>
      </c>
      <c r="AP84" s="94">
        <f ca="1">VLOOKUP($P84,'Regresion Q3'!$T$6:$V$10,2,1)*$P84+VLOOKUP($P84,'Regresion Q3'!$T$6:$V$10,3,1)</f>
        <v>7303418.1924661808</v>
      </c>
      <c r="AQ84" s="94">
        <f ca="1">VLOOKUP($P84,'Regresion Q3'!$W$6:$Y$10,2,1)*$P84+VLOOKUP($P84,'Regresion Q3'!$W$6:$Y$10,3,1)</f>
        <v>7497980.5875448249</v>
      </c>
      <c r="AR84" s="94">
        <f ca="1">VLOOKUP($P84,'Regresion Q3'!$Z$6:$AB$10,2,1)*$P84+VLOOKUP($P84,'Regresion Q3'!$Z$6:$AB$10,3,1)</f>
        <v>7676163.4104839051</v>
      </c>
      <c r="AS84" s="94">
        <f>IF($BN84=$BN85,-1,DatosHoy[[#This Row],[G ajus PM Q1]]-BO85)</f>
        <v>-1</v>
      </c>
      <c r="AT84" s="94">
        <f>IF($BN84=$BN85,-1,DatosHoy[[#This Row],[G+V ajus PM Q1]]-BP85)</f>
        <v>-1</v>
      </c>
      <c r="AU84" s="94">
        <f>IF($BN84=$BN85,-1,DatosHoy[[#This Row],[CT ajus PM Q1]]-BQ85)</f>
        <v>-1</v>
      </c>
      <c r="AV84" s="94">
        <f ca="1">IF(DatosHoy[[#This Row],[G ajus PM Q1]]=DatosHoy[[#This Row],[G+V ajus PM Q1]],-1,DatosHoy[[#This Row],[G ajus PM Q1]]-DatosHoy[[#This Row],[G+V ajus PM Q1]])</f>
        <v>-130973.20812571794</v>
      </c>
      <c r="AW84" s="94">
        <f ca="1">IF(DatosHoy[[#This Row],[G+V ajus PM Q1]]=DatosHoy[[#This Row],[CT ajus PM Q1]],-1,DatosHoy[[#This Row],[G+V ajus PM Q1]]-DatosHoy[[#This Row],[CT ajus PM Q1]])</f>
        <v>-210752.3410740681</v>
      </c>
      <c r="AX84" s="94">
        <f>IF($BN84=$BN85,-1,DatosHoy[[#This Row],[G ajus PMd]]-BR85)</f>
        <v>-1</v>
      </c>
      <c r="AY84" s="94">
        <f>IF($BN84=$BN85,-1,DatosHoy[[#This Row],[G+V ajus PM Md]]-BS85)</f>
        <v>-1</v>
      </c>
      <c r="AZ84" s="94">
        <f>IF($BN84=$BN85,-1,DatosHoy[[#This Row],[CT ajus PM Md]]-BT85)</f>
        <v>-1</v>
      </c>
      <c r="BA84" s="94">
        <f ca="1">IF(DatosHoy[[#This Row],[G ajus PMd]]=DatosHoy[[#This Row],[G+V ajus PM Md]],-1,DatosHoy[[#This Row],[G ajus PMd]]-DatosHoy[[#This Row],[G+V ajus PM Md]])</f>
        <v>-326853.52235694416</v>
      </c>
      <c r="BB84" s="94">
        <f ca="1">IF(DatosHoy[[#This Row],[G+V ajus PM Md]]=DatosHoy[[#This Row],[CT ajus PM Md]],-1,DatosHoy[[#This Row],[G+V ajus PM Md]]-DatosHoy[[#This Row],[CT ajus PM Md]])</f>
        <v>-306253.68818791769</v>
      </c>
      <c r="BC84" s="94">
        <f>IF($BN84=$BN85,-1,DatosHoy[[#This Row],[G ajus PM Q3]]-BU85)</f>
        <v>-1</v>
      </c>
      <c r="BD84" s="94">
        <f>IF($BN84=$BN85,-1,DatosHoy[[#This Row],[G+V ajus PM Q3]]-BV85)</f>
        <v>-1</v>
      </c>
      <c r="BE84" s="94">
        <f>IF($BN84=$BN85,-1,DatosHoy[[#This Row],[CT ajus PM Q3]]-BW85)</f>
        <v>-1</v>
      </c>
      <c r="BF84" s="94">
        <f ca="1">IF(DatosHoy[[#This Row],[G ajus PM Q3]]=DatosHoy[[#This Row],[G+V ajus PM Q3]],-1,DatosHoy[[#This Row],[G ajus PM Q3]]-DatosHoy[[#This Row],[G+V ajus PM Q3]])</f>
        <v>-198475.16460195556</v>
      </c>
      <c r="BG84" s="94">
        <f ca="1">IF(DatosHoy[[#This Row],[G+V ajus PM Q3]]=DatosHoy[[#This Row],[CT ajus PM Q3]],-1,DatosHoy[[#This Row],[G+V ajus PM Q3]]-DatosHoy[[#This Row],[CT ajus PM Q3]])</f>
        <v>-181383.1676118141</v>
      </c>
      <c r="BH84" s="94">
        <f ca="1">IF(DatosHoy[[#This Row],[G ajus PM Q1]]=DatosHoy[[#This Row],[G ajus PMd]],-1,DatosHoy[[#This Row],[G ajus PM Q1]]-DatosHoy[[#This Row],[G ajus PMd]])</f>
        <v>-2106090.8824396934</v>
      </c>
      <c r="BI84" s="94">
        <f ca="1">IF(DatosHoy[[#This Row],[G+V ajus PM Q1]]=DatosHoy[[#This Row],[G+V ajus PM Md]],-1,DatosHoy[[#This Row],[G+V ajus PM Q1]]-DatosHoy[[#This Row],[G+V ajus PM Md]])</f>
        <v>-2301971.1966709197</v>
      </c>
      <c r="BJ84" s="94">
        <f ca="1">IF(DatosHoy[[#This Row],[CT ajus PM Q1]]=DatosHoy[[#This Row],[CT ajus PM Md]],-1,DatosHoy[[#This Row],[CT ajus PM Q1]]-DatosHoy[[#This Row],[CT ajus PM Md]])</f>
        <v>-2397472.5437847693</v>
      </c>
      <c r="BK84" s="94">
        <f ca="1">IF(DatosHoy[[#This Row],[G ajus PMd]]=DatosHoy[[#This Row],[G ajus PM Q3]],-1,DatosHoy[[#This Row],[G ajus PMd]]-DatosHoy[[#This Row],[G ajus PM Q3]])</f>
        <v>-848943.76769294124</v>
      </c>
      <c r="BL84" s="94">
        <f ca="1">IF(DatosHoy[[#This Row],[G+V ajus PM Md]]=DatosHoy[[#This Row],[G+V ajus PM Q3]],-1,DatosHoy[[#This Row],[G+V ajus PM Md]]-DatosHoy[[#This Row],[G+V ajus PM Q3]])</f>
        <v>-720565.40993795265</v>
      </c>
      <c r="BM84" s="94">
        <f ca="1">IF(DatosHoy[[#This Row],[CT ajus PM Md]]=DatosHoy[[#This Row],[CT ajus PM Q3]],-1,DatosHoy[[#This Row],[CT ajus PM Md]]-DatosHoy[[#This Row],[CT ajus PM Q3]])</f>
        <v>-595694.88936184905</v>
      </c>
      <c r="BN84" s="74">
        <v>379</v>
      </c>
      <c r="BO84" s="94">
        <f ca="1">IFERROR(VLOOKUP($BN84,'Regresion Q1'!$T$6:$V$10,2,1)*$BN84+VLOOKUP($BN84,'Regresion Q1'!$T$6:$V$10,3,1),VLOOKUP(MIN(DatosHoy[Puntos]),'Regresion Q1'!$T$6:$V$10,2,1)*$BN84+VLOOKUP(MIN(DatosHoy[Puntos]),'Regresion Q1'!$T$6:$V$10,3,1))</f>
        <v>4514526.9471599981</v>
      </c>
      <c r="BP84" s="94">
        <f ca="1">IFERROR(VLOOKUP($BN84,'Regresion Q1'!$W$6:$Y$10,2,1)*$BN84+VLOOKUP($BN84,'Regresion Q1'!$W$6:$Y$10,3,1),VLOOKUP(MIN(DatosHoy[Puntos]),'Regresion Q1'!$W$6:$Y$10,2,1)*$BN84+VLOOKUP(MIN(DatosHoy[Puntos]),'Regresion Q1'!$W$6:$Y$10,3,1))</f>
        <v>4645500.1552857161</v>
      </c>
      <c r="BQ84" s="94">
        <f ca="1">IFERROR(VLOOKUP($BN84,'Regresion Q1'!$Z$6:$AB$10,2,1)*$BN84+VLOOKUP($BN84,'Regresion Q1'!$Z$6:$AB$10,3,1),VLOOKUP(MIN(DatosHoy[Puntos]),'Regresion Q1'!$Z$6:$AB$10,2,1)*$BN84+VLOOKUP(MIN(DatosHoy[Puntos]),'Regresion Q1'!$Z$6:$AB$10,3,1))</f>
        <v>4856252.4963597842</v>
      </c>
      <c r="BR84" s="94">
        <f ca="1">IFERROR(VLOOKUP($BN84,'Regresion Md'!$T$6:$V$10,2,1)*$BN84+VLOOKUP($BN84,'Regresion Md'!$T$6:$V$10,3,1),VLOOKUP(MIN(DatosHoy[Puntos]),'Regresion Md'!$T$6:$V$10,2,1)*$BN84+VLOOKUP(MIN(DatosHoy[Puntos]),'Regresion Md'!$T$6:$V$10,3,1))</f>
        <v>6620617.8295996916</v>
      </c>
      <c r="BS84" s="94">
        <f ca="1">IFERROR(VLOOKUP($BN84,'Regresion Md'!$W$6:$Y$10,2,1)*$BN84+VLOOKUP($BN84,'Regresion Md'!$W$6:$Y$10,3,1),VLOOKUP(MIN(DatosHoy[Puntos]),'Regresion Md'!$W$6:$Y$10,2,1)*$BN84+VLOOKUP(MIN(DatosHoy[Puntos]),'Regresion Md'!$W$6:$Y$10,3,1))</f>
        <v>6947471.3519566357</v>
      </c>
      <c r="BT84" s="94">
        <f ca="1">IFERROR(VLOOKUP($BN84,'Regresion Md'!$Z$6:$AB$10,2,1)*$BN84+VLOOKUP($BN84,'Regresion Md'!$Z$6:$AB$10,3,1),VLOOKUP(MIN(DatosHoy[Puntos]),'Regresion Md'!$Z$6:$AB$10,2,1)*$BN84+VLOOKUP(MIN(DatosHoy[Puntos]),'Regresion Md'!$Z$6:$AB$10,3,1))</f>
        <v>7253725.0401445534</v>
      </c>
      <c r="BU84" s="94">
        <f ca="1">IFERROR(VLOOKUP($BN84,'Regresion Q3'!$T$6:$V$10,2,1)*$BN84+VLOOKUP($BN84,'Regresion Q3'!$T$6:$V$10,3,1),VLOOKUP(MIN(DatosHoy[Puntos]),'Regresion Q3'!$T$6:$V$10,2,1)*$BN84+VLOOKUP(MIN(DatosHoy[Puntos]),'Regresion Q3'!$T$6:$V$10,3,1))</f>
        <v>7469561.5972926328</v>
      </c>
      <c r="BV84" s="94">
        <f ca="1">IFERROR(VLOOKUP($BN84,'Regresion Q3'!$W$6:$Y$10,2,1)*$BN84+VLOOKUP($BN84,'Regresion Q3'!$W$6:$Y$10,3,1),VLOOKUP(MIN(DatosHoy[Puntos]),'Regresion Q3'!$W$6:$Y$10,2,1)*$BN84+VLOOKUP(MIN(DatosHoy[Puntos]),'Regresion Q3'!$W$6:$Y$10,3,1))</f>
        <v>7668036.7618945884</v>
      </c>
      <c r="BW84" s="94">
        <f ca="1">IFERROR(VLOOKUP($BN84,'Regresion Q3'!$Z$6:$AB$10,2,1)*$BN84+VLOOKUP($BN84,'Regresion Q3'!$Z$6:$AB$10,3,1),VLOOKUP(MIN(DatosHoy[Puntos]),'Regresion Q3'!$Z$6:$AB$10,2,1)*$BN84+VLOOKUP(MIN(DatosHoy[Puntos]),'Regresion Q3'!$Z$6:$AB$10,3,1))</f>
        <v>7849419.9295064025</v>
      </c>
      <c r="BX84" s="96">
        <f ca="1">DatosHoy[[#This Row],[CT Actual]]/DatosHoy[[#This Row],[CT ajus PM Md]]</f>
        <v>0.69931302081708246</v>
      </c>
      <c r="BY84" s="125" t="str">
        <f>VLOOKUP(DatosHoy[[#This Row],[Cargo Valorado]],Estadísticos[[Cargo]:[Nivel]],2,FALSE)</f>
        <v>Táctico</v>
      </c>
      <c r="BZ84" s="96">
        <f>(DatosHoy[[#This Row],[G+V Actual]]-DatosHoy[[#This Row],[G Actual]])/DatosHoy[[#This Row],[CT Actual]]</f>
        <v>0</v>
      </c>
      <c r="CA84" s="96">
        <f>(DatosHoy[[#This Row],[CT Actual]]-DatosHoy[[#This Row],[G+V Actual]])/DatosHoy[[#This Row],[CT Actual]]</f>
        <v>0</v>
      </c>
      <c r="CB84" s="139" t="s">
        <v>255</v>
      </c>
    </row>
    <row r="85" spans="2:80" x14ac:dyDescent="0.25">
      <c r="B85" s="73">
        <f t="shared" si="45"/>
        <v>80</v>
      </c>
      <c r="C85" s="74">
        <v>7441261.080000001</v>
      </c>
      <c r="D85" s="74">
        <v>7441261.080000001</v>
      </c>
      <c r="E85" s="74">
        <v>7441261.080000001</v>
      </c>
      <c r="F85" s="94">
        <f>VLOOKUP(DatosHoy[[#This Row],[Cargo Valorado]],Estadísticos[],3,0)</f>
        <v>6970677.4485671744</v>
      </c>
      <c r="G85" s="94">
        <f>VLOOKUP(DatosHoy[[#This Row],[Cargo Valorado]],Estadísticos[],4,0)</f>
        <v>6970677.4485671744</v>
      </c>
      <c r="H85" s="94">
        <f>VLOOKUP(DatosHoy[[#This Row],[Cargo Valorado]],Estadísticos[],5,0)</f>
        <v>6970677.4485671744</v>
      </c>
      <c r="I85" s="94">
        <f>VLOOKUP(DatosHoy[[#This Row],[Cargo Valorado]],Estadísticos[],6,0)</f>
        <v>7075571.5455171503</v>
      </c>
      <c r="J85" s="94">
        <f>VLOOKUP(DatosHoy[[#This Row],[Cargo Valorado]],Estadísticos[],7,0)</f>
        <v>7075571.5455171503</v>
      </c>
      <c r="K85" s="94">
        <f>VLOOKUP(DatosHoy[[#This Row],[Cargo Valorado]],Estadísticos[],8,0)</f>
        <v>7075571.5455171503</v>
      </c>
      <c r="L85" s="94">
        <f>VLOOKUP(DatosHoy[[#This Row],[Cargo Valorado]],Estadísticos[],9,0)</f>
        <v>7180465.6424671253</v>
      </c>
      <c r="M85" s="94">
        <f>VLOOKUP(DatosHoy[[#This Row],[Cargo Valorado]],Estadísticos[],10,0)</f>
        <v>7180465.6424671253</v>
      </c>
      <c r="N85" s="94">
        <f>VLOOKUP(DatosHoy[[#This Row],[Cargo Valorado]],Estadísticos[],11,0)</f>
        <v>7180465.6424671253</v>
      </c>
      <c r="O85" s="75" t="s">
        <v>182</v>
      </c>
      <c r="P85" s="75">
        <v>370</v>
      </c>
      <c r="Q85" s="95" t="str">
        <f t="shared" si="46"/>
        <v>$P$85</v>
      </c>
      <c r="R85" s="95" t="str">
        <f t="shared" si="47"/>
        <v>$F$85</v>
      </c>
      <c r="S85" s="95" t="str">
        <f t="shared" si="48"/>
        <v>$G$85</v>
      </c>
      <c r="T85" s="95" t="str">
        <f t="shared" si="49"/>
        <v>$H$85</v>
      </c>
      <c r="U85" s="95" t="str">
        <f t="shared" si="50"/>
        <v>$I$85</v>
      </c>
      <c r="V85" s="95" t="str">
        <f t="shared" si="51"/>
        <v>$J$85</v>
      </c>
      <c r="W85" s="95" t="str">
        <f t="shared" si="52"/>
        <v>$K$85</v>
      </c>
      <c r="X85" s="95" t="str">
        <f t="shared" si="53"/>
        <v>$L$85</v>
      </c>
      <c r="Y85" s="95" t="str">
        <f t="shared" si="54"/>
        <v>$M$85</v>
      </c>
      <c r="Z85" s="95" t="str">
        <f t="shared" si="55"/>
        <v>$N$85</v>
      </c>
      <c r="AA85" s="94">
        <f ca="1">VLOOKUP($P85,'Regresion Q1'!$E$6:$I$10,4,1)*$P85+VLOOKUP($P85,'Regresion Q1'!$E$6:$I$10,5,1)</f>
        <v>4292163.3421933949</v>
      </c>
      <c r="AB85" s="94">
        <f ca="1">VLOOKUP($P85,'Regresion Q1'!$J$6:$N$10,4,1)*$P85+VLOOKUP($P85,'Regresion Q1'!$J$6:$N$10,5,1)</f>
        <v>4406731.4404518008</v>
      </c>
      <c r="AC85" s="94">
        <f ca="1">VLOOKUP($P85,'Regresion Q1'!$O$6:$S$10,4,1)*$P85+VLOOKUP($P85,'Regresion Q1'!$O$6:$S$10,5,1)</f>
        <v>4590261.2107737511</v>
      </c>
      <c r="AD85" s="94">
        <f ca="1">VLOOKUP($P85,'Regresion Md'!$E$6:$I$10,4,1)*$P85+VLOOKUP($P85,'Regresion Md'!$E$6:$I$10,5,1)</f>
        <v>6742880.3193618311</v>
      </c>
      <c r="AE85" s="94">
        <f ca="1">VLOOKUP($P85,'Regresion Md'!$J$6:$N$10,4,1)*$P85+VLOOKUP($P85,'Regresion Md'!$J$6:$N$10,5,1)</f>
        <v>6890974.5311599392</v>
      </c>
      <c r="AF85" s="94">
        <f ca="1">VLOOKUP($P85,'Regresion Md'!$O$6:$S$10,4,1)*$P85+VLOOKUP($P85,'Regresion Md'!$O$6:$S$10,5,1)</f>
        <v>7065789.2286200114</v>
      </c>
      <c r="AG85" s="94">
        <f ca="1">VLOOKUP($P85,'Regresion Q3'!$E$6:$I$10,4,1)*$P85+VLOOKUP($P85,'Regresion Q3'!$E$6:$I$10,5,1)</f>
        <v>7694478.0952585703</v>
      </c>
      <c r="AH85" s="94">
        <f ca="1">VLOOKUP($P85,'Regresion Q3'!$J$6:$N$10,4,1)*$P85+VLOOKUP($P85,'Regresion Q3'!$J$6:$N$10,5,1)</f>
        <v>7806681.913530915</v>
      </c>
      <c r="AI85" s="94">
        <f ca="1">VLOOKUP($P85,'Regresion Q3'!$O$6:$S$10,4,1)*$P85+VLOOKUP($P85,'Regresion Q3'!$O$6:$S$10,5,1)</f>
        <v>7974603.8708453793</v>
      </c>
      <c r="AJ85" s="94">
        <f ca="1">VLOOKUP($P85,'Regresion Q1'!$T$6:$V$10,2,1)*$P85+VLOOKUP($P85,'Regresion Q1'!$T$6:$V$10,3,1)</f>
        <v>4292163.3421933949</v>
      </c>
      <c r="AK85" s="94">
        <f ca="1">VLOOKUP($P85,'Regresion Q1'!$W$6:$Y$10,2,1)*$P85+VLOOKUP($P85,'Regresion Q1'!$W$6:$Y$10,3,1)</f>
        <v>4406731.4404518008</v>
      </c>
      <c r="AL85" s="94">
        <f ca="1">VLOOKUP($P85,'Regresion Q1'!$Z$6:$AB$10,2,1)*$P85+VLOOKUP($P85,'Regresion Q1'!$Z$6:$AB$10,3,1)</f>
        <v>4590261.2107737511</v>
      </c>
      <c r="AM85" s="94">
        <f ca="1">VLOOKUP($P85,'Regresion Md'!$T$6:$V$10,2,1)*$P85+VLOOKUP($P85,'Regresion Md'!$T$6:$V$10,3,1)</f>
        <v>6414179.7476587556</v>
      </c>
      <c r="AN85" s="94">
        <f ca="1">VLOOKUP($P85,'Regresion Md'!$W$6:$Y$10,2,1)*$P85+VLOOKUP($P85,'Regresion Md'!$W$6:$Y$10,3,1)</f>
        <v>6723876.0076656025</v>
      </c>
      <c r="AO85" s="94">
        <f ca="1">VLOOKUP($P85,'Regresion Md'!$Z$6:$AB$10,2,1)*$P85+VLOOKUP($P85,'Regresion Md'!$Z$6:$AB$10,3,1)</f>
        <v>7023865.8398639224</v>
      </c>
      <c r="AP85" s="94">
        <f ca="1">VLOOKUP($P85,'Regresion Q3'!$T$6:$V$10,2,1)*$P85+VLOOKUP($P85,'Regresion Q3'!$T$6:$V$10,3,1)</f>
        <v>7303418.1924661808</v>
      </c>
      <c r="AQ85" s="94">
        <f ca="1">VLOOKUP($P85,'Regresion Q3'!$W$6:$Y$10,2,1)*$P85+VLOOKUP($P85,'Regresion Q3'!$W$6:$Y$10,3,1)</f>
        <v>7497980.5875448249</v>
      </c>
      <c r="AR85" s="94">
        <f ca="1">VLOOKUP($P85,'Regresion Q3'!$Z$6:$AB$10,2,1)*$P85+VLOOKUP($P85,'Regresion Q3'!$Z$6:$AB$10,3,1)</f>
        <v>7676163.4104839051</v>
      </c>
      <c r="AS85" s="94">
        <f>IF($BN85=$BN86,-1,DatosHoy[[#This Row],[G ajus PM Q1]]-BO86)</f>
        <v>-1</v>
      </c>
      <c r="AT85" s="94">
        <f>IF($BN85=$BN86,-1,DatosHoy[[#This Row],[G+V ajus PM Q1]]-BP86)</f>
        <v>-1</v>
      </c>
      <c r="AU85" s="94">
        <f>IF($BN85=$BN86,-1,DatosHoy[[#This Row],[CT ajus PM Q1]]-BQ86)</f>
        <v>-1</v>
      </c>
      <c r="AV85" s="94">
        <f ca="1">IF(DatosHoy[[#This Row],[G ajus PM Q1]]=DatosHoy[[#This Row],[G+V ajus PM Q1]],-1,DatosHoy[[#This Row],[G ajus PM Q1]]-DatosHoy[[#This Row],[G+V ajus PM Q1]])</f>
        <v>-130973.20812571794</v>
      </c>
      <c r="AW85" s="94">
        <f ca="1">IF(DatosHoy[[#This Row],[G+V ajus PM Q1]]=DatosHoy[[#This Row],[CT ajus PM Q1]],-1,DatosHoy[[#This Row],[G+V ajus PM Q1]]-DatosHoy[[#This Row],[CT ajus PM Q1]])</f>
        <v>-210752.3410740681</v>
      </c>
      <c r="AX85" s="94">
        <f>IF($BN85=$BN86,-1,DatosHoy[[#This Row],[G ajus PMd]]-BR86)</f>
        <v>-1</v>
      </c>
      <c r="AY85" s="94">
        <f>IF($BN85=$BN86,-1,DatosHoy[[#This Row],[G+V ajus PM Md]]-BS86)</f>
        <v>-1</v>
      </c>
      <c r="AZ85" s="94">
        <f>IF($BN85=$BN86,-1,DatosHoy[[#This Row],[CT ajus PM Md]]-BT86)</f>
        <v>-1</v>
      </c>
      <c r="BA85" s="94">
        <f ca="1">IF(DatosHoy[[#This Row],[G ajus PMd]]=DatosHoy[[#This Row],[G+V ajus PM Md]],-1,DatosHoy[[#This Row],[G ajus PMd]]-DatosHoy[[#This Row],[G+V ajus PM Md]])</f>
        <v>-326853.52235694416</v>
      </c>
      <c r="BB85" s="94">
        <f ca="1">IF(DatosHoy[[#This Row],[G+V ajus PM Md]]=DatosHoy[[#This Row],[CT ajus PM Md]],-1,DatosHoy[[#This Row],[G+V ajus PM Md]]-DatosHoy[[#This Row],[CT ajus PM Md]])</f>
        <v>-306253.68818791769</v>
      </c>
      <c r="BC85" s="94">
        <f>IF($BN85=$BN86,-1,DatosHoy[[#This Row],[G ajus PM Q3]]-BU86)</f>
        <v>-1</v>
      </c>
      <c r="BD85" s="94">
        <f>IF($BN85=$BN86,-1,DatosHoy[[#This Row],[G+V ajus PM Q3]]-BV86)</f>
        <v>-1</v>
      </c>
      <c r="BE85" s="94">
        <f>IF($BN85=$BN86,-1,DatosHoy[[#This Row],[CT ajus PM Q3]]-BW86)</f>
        <v>-1</v>
      </c>
      <c r="BF85" s="94">
        <f ca="1">IF(DatosHoy[[#This Row],[G ajus PM Q3]]=DatosHoy[[#This Row],[G+V ajus PM Q3]],-1,DatosHoy[[#This Row],[G ajus PM Q3]]-DatosHoy[[#This Row],[G+V ajus PM Q3]])</f>
        <v>-198475.16460195556</v>
      </c>
      <c r="BG85" s="94">
        <f ca="1">IF(DatosHoy[[#This Row],[G+V ajus PM Q3]]=DatosHoy[[#This Row],[CT ajus PM Q3]],-1,DatosHoy[[#This Row],[G+V ajus PM Q3]]-DatosHoy[[#This Row],[CT ajus PM Q3]])</f>
        <v>-181383.1676118141</v>
      </c>
      <c r="BH85" s="94">
        <f ca="1">IF(DatosHoy[[#This Row],[G ajus PM Q1]]=DatosHoy[[#This Row],[G ajus PMd]],-1,DatosHoy[[#This Row],[G ajus PM Q1]]-DatosHoy[[#This Row],[G ajus PMd]])</f>
        <v>-2106090.8824396934</v>
      </c>
      <c r="BI85" s="94">
        <f ca="1">IF(DatosHoy[[#This Row],[G+V ajus PM Q1]]=DatosHoy[[#This Row],[G+V ajus PM Md]],-1,DatosHoy[[#This Row],[G+V ajus PM Q1]]-DatosHoy[[#This Row],[G+V ajus PM Md]])</f>
        <v>-2301971.1966709197</v>
      </c>
      <c r="BJ85" s="94">
        <f ca="1">IF(DatosHoy[[#This Row],[CT ajus PM Q1]]=DatosHoy[[#This Row],[CT ajus PM Md]],-1,DatosHoy[[#This Row],[CT ajus PM Q1]]-DatosHoy[[#This Row],[CT ajus PM Md]])</f>
        <v>-2397472.5437847693</v>
      </c>
      <c r="BK85" s="94">
        <f ca="1">IF(DatosHoy[[#This Row],[G ajus PMd]]=DatosHoy[[#This Row],[G ajus PM Q3]],-1,DatosHoy[[#This Row],[G ajus PMd]]-DatosHoy[[#This Row],[G ajus PM Q3]])</f>
        <v>-848943.76769294124</v>
      </c>
      <c r="BL85" s="94">
        <f ca="1">IF(DatosHoy[[#This Row],[G+V ajus PM Md]]=DatosHoy[[#This Row],[G+V ajus PM Q3]],-1,DatosHoy[[#This Row],[G+V ajus PM Md]]-DatosHoy[[#This Row],[G+V ajus PM Q3]])</f>
        <v>-720565.40993795265</v>
      </c>
      <c r="BM85" s="94">
        <f ca="1">IF(DatosHoy[[#This Row],[CT ajus PM Md]]=DatosHoy[[#This Row],[CT ajus PM Q3]],-1,DatosHoy[[#This Row],[CT ajus PM Md]]-DatosHoy[[#This Row],[CT ajus PM Q3]])</f>
        <v>-595694.88936184905</v>
      </c>
      <c r="BN85" s="74">
        <v>379</v>
      </c>
      <c r="BO85" s="94">
        <f ca="1">IFERROR(VLOOKUP($BN85,'Regresion Q1'!$T$6:$V$10,2,1)*$BN85+VLOOKUP($BN85,'Regresion Q1'!$T$6:$V$10,3,1),VLOOKUP(MIN(DatosHoy[Puntos]),'Regresion Q1'!$T$6:$V$10,2,1)*$BN85+VLOOKUP(MIN(DatosHoy[Puntos]),'Regresion Q1'!$T$6:$V$10,3,1))</f>
        <v>4514526.9471599981</v>
      </c>
      <c r="BP85" s="94">
        <f ca="1">IFERROR(VLOOKUP($BN85,'Regresion Q1'!$W$6:$Y$10,2,1)*$BN85+VLOOKUP($BN85,'Regresion Q1'!$W$6:$Y$10,3,1),VLOOKUP(MIN(DatosHoy[Puntos]),'Regresion Q1'!$W$6:$Y$10,2,1)*$BN85+VLOOKUP(MIN(DatosHoy[Puntos]),'Regresion Q1'!$W$6:$Y$10,3,1))</f>
        <v>4645500.1552857161</v>
      </c>
      <c r="BQ85" s="94">
        <f ca="1">IFERROR(VLOOKUP($BN85,'Regresion Q1'!$Z$6:$AB$10,2,1)*$BN85+VLOOKUP($BN85,'Regresion Q1'!$Z$6:$AB$10,3,1),VLOOKUP(MIN(DatosHoy[Puntos]),'Regresion Q1'!$Z$6:$AB$10,2,1)*$BN85+VLOOKUP(MIN(DatosHoy[Puntos]),'Regresion Q1'!$Z$6:$AB$10,3,1))</f>
        <v>4856252.4963597842</v>
      </c>
      <c r="BR85" s="94">
        <f ca="1">IFERROR(VLOOKUP($BN85,'Regresion Md'!$T$6:$V$10,2,1)*$BN85+VLOOKUP($BN85,'Regresion Md'!$T$6:$V$10,3,1),VLOOKUP(MIN(DatosHoy[Puntos]),'Regresion Md'!$T$6:$V$10,2,1)*$BN85+VLOOKUP(MIN(DatosHoy[Puntos]),'Regresion Md'!$T$6:$V$10,3,1))</f>
        <v>6620617.8295996916</v>
      </c>
      <c r="BS85" s="94">
        <f ca="1">IFERROR(VLOOKUP($BN85,'Regresion Md'!$W$6:$Y$10,2,1)*$BN85+VLOOKUP($BN85,'Regresion Md'!$W$6:$Y$10,3,1),VLOOKUP(MIN(DatosHoy[Puntos]),'Regresion Md'!$W$6:$Y$10,2,1)*$BN85+VLOOKUP(MIN(DatosHoy[Puntos]),'Regresion Md'!$W$6:$Y$10,3,1))</f>
        <v>6947471.3519566357</v>
      </c>
      <c r="BT85" s="94">
        <f ca="1">IFERROR(VLOOKUP($BN85,'Regresion Md'!$Z$6:$AB$10,2,1)*$BN85+VLOOKUP($BN85,'Regresion Md'!$Z$6:$AB$10,3,1),VLOOKUP(MIN(DatosHoy[Puntos]),'Regresion Md'!$Z$6:$AB$10,2,1)*$BN85+VLOOKUP(MIN(DatosHoy[Puntos]),'Regresion Md'!$Z$6:$AB$10,3,1))</f>
        <v>7253725.0401445534</v>
      </c>
      <c r="BU85" s="94">
        <f ca="1">IFERROR(VLOOKUP($BN85,'Regresion Q3'!$T$6:$V$10,2,1)*$BN85+VLOOKUP($BN85,'Regresion Q3'!$T$6:$V$10,3,1),VLOOKUP(MIN(DatosHoy[Puntos]),'Regresion Q3'!$T$6:$V$10,2,1)*$BN85+VLOOKUP(MIN(DatosHoy[Puntos]),'Regresion Q3'!$T$6:$V$10,3,1))</f>
        <v>7469561.5972926328</v>
      </c>
      <c r="BV85" s="94">
        <f ca="1">IFERROR(VLOOKUP($BN85,'Regresion Q3'!$W$6:$Y$10,2,1)*$BN85+VLOOKUP($BN85,'Regresion Q3'!$W$6:$Y$10,3,1),VLOOKUP(MIN(DatosHoy[Puntos]),'Regresion Q3'!$W$6:$Y$10,2,1)*$BN85+VLOOKUP(MIN(DatosHoy[Puntos]),'Regresion Q3'!$W$6:$Y$10,3,1))</f>
        <v>7668036.7618945884</v>
      </c>
      <c r="BW85" s="94">
        <f ca="1">IFERROR(VLOOKUP($BN85,'Regresion Q3'!$Z$6:$AB$10,2,1)*$BN85+VLOOKUP($BN85,'Regresion Q3'!$Z$6:$AB$10,3,1),VLOOKUP(MIN(DatosHoy[Puntos]),'Regresion Q3'!$Z$6:$AB$10,2,1)*$BN85+VLOOKUP(MIN(DatosHoy[Puntos]),'Regresion Q3'!$Z$6:$AB$10,3,1))</f>
        <v>7849419.9295064025</v>
      </c>
      <c r="BX85" s="96">
        <f ca="1">DatosHoy[[#This Row],[CT Actual]]/DatosHoy[[#This Row],[CT ajus PM Md]]</f>
        <v>1.0258537563551913</v>
      </c>
      <c r="BY85" s="125" t="str">
        <f>VLOOKUP(DatosHoy[[#This Row],[Cargo Valorado]],Estadísticos[[Cargo]:[Nivel]],2,FALSE)</f>
        <v>Táctico</v>
      </c>
      <c r="BZ85" s="96">
        <f>(DatosHoy[[#This Row],[G+V Actual]]-DatosHoy[[#This Row],[G Actual]])/DatosHoy[[#This Row],[CT Actual]]</f>
        <v>0</v>
      </c>
      <c r="CA85" s="96">
        <f>(DatosHoy[[#This Row],[CT Actual]]-DatosHoy[[#This Row],[G+V Actual]])/DatosHoy[[#This Row],[CT Actual]]</f>
        <v>0</v>
      </c>
      <c r="CB85" s="139" t="s">
        <v>255</v>
      </c>
    </row>
    <row r="86" spans="2:80" x14ac:dyDescent="0.25">
      <c r="B86" s="73">
        <f t="shared" si="45"/>
        <v>81</v>
      </c>
      <c r="C86" s="74">
        <v>5424448.7000000002</v>
      </c>
      <c r="D86" s="74">
        <v>5424448.7000000002</v>
      </c>
      <c r="E86" s="74">
        <v>5424448.7000000002</v>
      </c>
      <c r="F86" s="94">
        <f>VLOOKUP(DatosHoy[[#This Row],[Cargo Valorado]],Estadísticos[],3,0)</f>
        <v>4323880.0237393137</v>
      </c>
      <c r="G86" s="94">
        <f>VLOOKUP(DatosHoy[[#This Row],[Cargo Valorado]],Estadísticos[],4,0)</f>
        <v>4637119.9775271146</v>
      </c>
      <c r="H86" s="94">
        <f>VLOOKUP(DatosHoy[[#This Row],[Cargo Valorado]],Estadísticos[],5,0)</f>
        <v>4965716.6673576972</v>
      </c>
      <c r="I86" s="94">
        <f>VLOOKUP(DatosHoy[[#This Row],[Cargo Valorado]],Estadísticos[],6,0)</f>
        <v>6376952.8007502453</v>
      </c>
      <c r="J86" s="94">
        <f>VLOOKUP(DatosHoy[[#This Row],[Cargo Valorado]],Estadísticos[],7,0)</f>
        <v>7037865.2358247805</v>
      </c>
      <c r="K86" s="94">
        <f>VLOOKUP(DatosHoy[[#This Row],[Cargo Valorado]],Estadísticos[],8,0)</f>
        <v>7123561.1558247805</v>
      </c>
      <c r="L86" s="94">
        <f>VLOOKUP(DatosHoy[[#This Row],[Cargo Valorado]],Estadísticos[],9,0)</f>
        <v>8365763.6354173692</v>
      </c>
      <c r="M86" s="94">
        <f>VLOOKUP(DatosHoy[[#This Row],[Cargo Valorado]],Estadísticos[],10,0)</f>
        <v>8947221.599380793</v>
      </c>
      <c r="N86" s="94">
        <f>VLOOKUP(DatosHoy[[#This Row],[Cargo Valorado]],Estadísticos[],11,0)</f>
        <v>8947221.599380793</v>
      </c>
      <c r="O86" s="75" t="s">
        <v>219</v>
      </c>
      <c r="P86" s="75">
        <v>376</v>
      </c>
      <c r="Q86" s="95" t="str">
        <f t="shared" si="46"/>
        <v>$P$86</v>
      </c>
      <c r="R86" s="95" t="str">
        <f t="shared" si="47"/>
        <v>$F$86</v>
      </c>
      <c r="S86" s="95" t="str">
        <f t="shared" si="48"/>
        <v>$G$86</v>
      </c>
      <c r="T86" s="95" t="str">
        <f t="shared" si="49"/>
        <v>$H$86</v>
      </c>
      <c r="U86" s="95" t="str">
        <f t="shared" si="50"/>
        <v>$I$86</v>
      </c>
      <c r="V86" s="95" t="str">
        <f t="shared" si="51"/>
        <v>$J$86</v>
      </c>
      <c r="W86" s="95" t="str">
        <f t="shared" si="52"/>
        <v>$K$86</v>
      </c>
      <c r="X86" s="95" t="str">
        <f t="shared" si="53"/>
        <v>$L$86</v>
      </c>
      <c r="Y86" s="95" t="str">
        <f t="shared" si="54"/>
        <v>$M$86</v>
      </c>
      <c r="Z86" s="95" t="str">
        <f t="shared" si="55"/>
        <v>$N$86</v>
      </c>
      <c r="AA86" s="94">
        <f ca="1">VLOOKUP($P86,'Regresion Q1'!$E$6:$I$10,4,1)*$P86+VLOOKUP($P86,'Regresion Q1'!$E$6:$I$10,5,1)</f>
        <v>5326165.9249397293</v>
      </c>
      <c r="AB86" s="94">
        <f ca="1">VLOOKUP($P86,'Regresion Q1'!$J$6:$N$10,4,1)*$P86+VLOOKUP($P86,'Regresion Q1'!$J$6:$N$10,5,1)</f>
        <v>5416357.6943178922</v>
      </c>
      <c r="AC86" s="94">
        <f ca="1">VLOOKUP($P86,'Regresion Q1'!$O$6:$S$10,4,1)*$P86+VLOOKUP($P86,'Regresion Q1'!$O$6:$S$10,5,1)</f>
        <v>5557980.2770078704</v>
      </c>
      <c r="AD86" s="94">
        <f ca="1">VLOOKUP($P86,'Regresion Md'!$E$6:$I$10,4,1)*$P86+VLOOKUP($P86,'Regresion Md'!$E$6:$I$10,5,1)</f>
        <v>6893395.9258206142</v>
      </c>
      <c r="AE86" s="94">
        <f ca="1">VLOOKUP($P86,'Regresion Md'!$J$6:$N$10,4,1)*$P86+VLOOKUP($P86,'Regresion Md'!$J$6:$N$10,5,1)</f>
        <v>7046590.9772949144</v>
      </c>
      <c r="AF86" s="94">
        <f ca="1">VLOOKUP($P86,'Regresion Md'!$O$6:$S$10,4,1)*$P86+VLOOKUP($P86,'Regresion Md'!$O$6:$S$10,5,1)</f>
        <v>7220672.7499347888</v>
      </c>
      <c r="AG86" s="94">
        <f ca="1">VLOOKUP($P86,'Regresion Q3'!$E$6:$I$10,4,1)*$P86+VLOOKUP($P86,'Regresion Q3'!$E$6:$I$10,5,1)</f>
        <v>7843834.8223547442</v>
      </c>
      <c r="AH86" s="94">
        <f ca="1">VLOOKUP($P86,'Regresion Q3'!$J$6:$N$10,4,1)*$P86+VLOOKUP($P86,'Regresion Q3'!$J$6:$N$10,5,1)</f>
        <v>7957923.0244574426</v>
      </c>
      <c r="AI86" s="94">
        <f ca="1">VLOOKUP($P86,'Regresion Q3'!$O$6:$S$10,4,1)*$P86+VLOOKUP($P86,'Regresion Q3'!$O$6:$S$10,5,1)</f>
        <v>8124950.1334406603</v>
      </c>
      <c r="AJ86" s="94">
        <f ca="1">VLOOKUP($P86,'Regresion Q1'!$T$6:$V$10,2,1)*$P86+VLOOKUP($P86,'Regresion Q1'!$T$6:$V$10,3,1)</f>
        <v>4440405.745504465</v>
      </c>
      <c r="AK86" s="94">
        <f ca="1">VLOOKUP($P86,'Regresion Q1'!$W$6:$Y$10,2,1)*$P86+VLOOKUP($P86,'Regresion Q1'!$W$6:$Y$10,3,1)</f>
        <v>4565910.5836744104</v>
      </c>
      <c r="AL86" s="94">
        <f ca="1">VLOOKUP($P86,'Regresion Q1'!$Z$6:$AB$10,2,1)*$P86+VLOOKUP($P86,'Regresion Q1'!$Z$6:$AB$10,3,1)</f>
        <v>4767588.7344977725</v>
      </c>
      <c r="AM86" s="94">
        <f ca="1">VLOOKUP($P86,'Regresion Md'!$T$6:$V$10,2,1)*$P86+VLOOKUP($P86,'Regresion Md'!$T$6:$V$10,3,1)</f>
        <v>6551805.1356193796</v>
      </c>
      <c r="AN86" s="94">
        <f ca="1">VLOOKUP($P86,'Regresion Md'!$W$6:$Y$10,2,1)*$P86+VLOOKUP($P86,'Regresion Md'!$W$6:$Y$10,3,1)</f>
        <v>6872939.5705262907</v>
      </c>
      <c r="AO86" s="94">
        <f ca="1">VLOOKUP($P86,'Regresion Md'!$Z$6:$AB$10,2,1)*$P86+VLOOKUP($P86,'Regresion Md'!$Z$6:$AB$10,3,1)</f>
        <v>7177105.306717677</v>
      </c>
      <c r="AP86" s="94">
        <f ca="1">VLOOKUP($P86,'Regresion Q3'!$T$6:$V$10,2,1)*$P86+VLOOKUP($P86,'Regresion Q3'!$T$6:$V$10,3,1)</f>
        <v>7414180.4623504821</v>
      </c>
      <c r="AQ86" s="94">
        <f ca="1">VLOOKUP($P86,'Regresion Q3'!$W$6:$Y$10,2,1)*$P86+VLOOKUP($P86,'Regresion Q3'!$W$6:$Y$10,3,1)</f>
        <v>7611351.3704446675</v>
      </c>
      <c r="AR86" s="94">
        <f ca="1">VLOOKUP($P86,'Regresion Q3'!$Z$6:$AB$10,2,1)*$P86+VLOOKUP($P86,'Regresion Q3'!$Z$6:$AB$10,3,1)</f>
        <v>7791667.756498903</v>
      </c>
      <c r="AS86" s="94">
        <f>IF($BN86=$BN87,-1,DatosHoy[[#This Row],[G ajus PM Q1]]-BO87)</f>
        <v>-1</v>
      </c>
      <c r="AT86" s="94">
        <f>IF($BN86=$BN87,-1,DatosHoy[[#This Row],[G+V ajus PM Q1]]-BP87)</f>
        <v>-1</v>
      </c>
      <c r="AU86" s="94">
        <f>IF($BN86=$BN87,-1,DatosHoy[[#This Row],[CT ajus PM Q1]]-BQ87)</f>
        <v>-1</v>
      </c>
      <c r="AV86" s="94">
        <f ca="1">IF(DatosHoy[[#This Row],[G ajus PM Q1]]=DatosHoy[[#This Row],[G+V ajus PM Q1]],-1,DatosHoy[[#This Row],[G ajus PM Q1]]-DatosHoy[[#This Row],[G+V ajus PM Q1]])</f>
        <v>-130973.20812571794</v>
      </c>
      <c r="AW86" s="94">
        <f ca="1">IF(DatosHoy[[#This Row],[G+V ajus PM Q1]]=DatosHoy[[#This Row],[CT ajus PM Q1]],-1,DatosHoy[[#This Row],[G+V ajus PM Q1]]-DatosHoy[[#This Row],[CT ajus PM Q1]])</f>
        <v>-210752.3410740681</v>
      </c>
      <c r="AX86" s="94">
        <f>IF($BN86=$BN87,-1,DatosHoy[[#This Row],[G ajus PMd]]-BR87)</f>
        <v>-1</v>
      </c>
      <c r="AY86" s="94">
        <f>IF($BN86=$BN87,-1,DatosHoy[[#This Row],[G+V ajus PM Md]]-BS87)</f>
        <v>-1</v>
      </c>
      <c r="AZ86" s="94">
        <f>IF($BN86=$BN87,-1,DatosHoy[[#This Row],[CT ajus PM Md]]-BT87)</f>
        <v>-1</v>
      </c>
      <c r="BA86" s="94">
        <f ca="1">IF(DatosHoy[[#This Row],[G ajus PMd]]=DatosHoy[[#This Row],[G+V ajus PM Md]],-1,DatosHoy[[#This Row],[G ajus PMd]]-DatosHoy[[#This Row],[G+V ajus PM Md]])</f>
        <v>-326853.52235694416</v>
      </c>
      <c r="BB86" s="94">
        <f ca="1">IF(DatosHoy[[#This Row],[G+V ajus PM Md]]=DatosHoy[[#This Row],[CT ajus PM Md]],-1,DatosHoy[[#This Row],[G+V ajus PM Md]]-DatosHoy[[#This Row],[CT ajus PM Md]])</f>
        <v>-306253.68818791769</v>
      </c>
      <c r="BC86" s="94">
        <f>IF($BN86=$BN87,-1,DatosHoy[[#This Row],[G ajus PM Q3]]-BU87)</f>
        <v>-1</v>
      </c>
      <c r="BD86" s="94">
        <f>IF($BN86=$BN87,-1,DatosHoy[[#This Row],[G+V ajus PM Q3]]-BV87)</f>
        <v>-1</v>
      </c>
      <c r="BE86" s="94">
        <f>IF($BN86=$BN87,-1,DatosHoy[[#This Row],[CT ajus PM Q3]]-BW87)</f>
        <v>-1</v>
      </c>
      <c r="BF86" s="94">
        <f ca="1">IF(DatosHoy[[#This Row],[G ajus PM Q3]]=DatosHoy[[#This Row],[G+V ajus PM Q3]],-1,DatosHoy[[#This Row],[G ajus PM Q3]]-DatosHoy[[#This Row],[G+V ajus PM Q3]])</f>
        <v>-198475.16460195556</v>
      </c>
      <c r="BG86" s="94">
        <f ca="1">IF(DatosHoy[[#This Row],[G+V ajus PM Q3]]=DatosHoy[[#This Row],[CT ajus PM Q3]],-1,DatosHoy[[#This Row],[G+V ajus PM Q3]]-DatosHoy[[#This Row],[CT ajus PM Q3]])</f>
        <v>-181383.1676118141</v>
      </c>
      <c r="BH86" s="94">
        <f ca="1">IF(DatosHoy[[#This Row],[G ajus PM Q1]]=DatosHoy[[#This Row],[G ajus PMd]],-1,DatosHoy[[#This Row],[G ajus PM Q1]]-DatosHoy[[#This Row],[G ajus PMd]])</f>
        <v>-2106090.8824396934</v>
      </c>
      <c r="BI86" s="94">
        <f ca="1">IF(DatosHoy[[#This Row],[G+V ajus PM Q1]]=DatosHoy[[#This Row],[G+V ajus PM Md]],-1,DatosHoy[[#This Row],[G+V ajus PM Q1]]-DatosHoy[[#This Row],[G+V ajus PM Md]])</f>
        <v>-2301971.1966709197</v>
      </c>
      <c r="BJ86" s="94">
        <f ca="1">IF(DatosHoy[[#This Row],[CT ajus PM Q1]]=DatosHoy[[#This Row],[CT ajus PM Md]],-1,DatosHoy[[#This Row],[CT ajus PM Q1]]-DatosHoy[[#This Row],[CT ajus PM Md]])</f>
        <v>-2397472.5437847693</v>
      </c>
      <c r="BK86" s="94">
        <f ca="1">IF(DatosHoy[[#This Row],[G ajus PMd]]=DatosHoy[[#This Row],[G ajus PM Q3]],-1,DatosHoy[[#This Row],[G ajus PMd]]-DatosHoy[[#This Row],[G ajus PM Q3]])</f>
        <v>-848943.76769294124</v>
      </c>
      <c r="BL86" s="94">
        <f ca="1">IF(DatosHoy[[#This Row],[G+V ajus PM Md]]=DatosHoy[[#This Row],[G+V ajus PM Q3]],-1,DatosHoy[[#This Row],[G+V ajus PM Md]]-DatosHoy[[#This Row],[G+V ajus PM Q3]])</f>
        <v>-720565.40993795265</v>
      </c>
      <c r="BM86" s="94">
        <f ca="1">IF(DatosHoy[[#This Row],[CT ajus PM Md]]=DatosHoy[[#This Row],[CT ajus PM Q3]],-1,DatosHoy[[#This Row],[CT ajus PM Md]]-DatosHoy[[#This Row],[CT ajus PM Q3]])</f>
        <v>-595694.88936184905</v>
      </c>
      <c r="BN86" s="74">
        <v>379</v>
      </c>
      <c r="BO86" s="94">
        <f ca="1">IFERROR(VLOOKUP($BN86,'Regresion Q1'!$T$6:$V$10,2,1)*$BN86+VLOOKUP($BN86,'Regresion Q1'!$T$6:$V$10,3,1),VLOOKUP(MIN(DatosHoy[Puntos]),'Regresion Q1'!$T$6:$V$10,2,1)*$BN86+VLOOKUP(MIN(DatosHoy[Puntos]),'Regresion Q1'!$T$6:$V$10,3,1))</f>
        <v>4514526.9471599981</v>
      </c>
      <c r="BP86" s="94">
        <f ca="1">IFERROR(VLOOKUP($BN86,'Regresion Q1'!$W$6:$Y$10,2,1)*$BN86+VLOOKUP($BN86,'Regresion Q1'!$W$6:$Y$10,3,1),VLOOKUP(MIN(DatosHoy[Puntos]),'Regresion Q1'!$W$6:$Y$10,2,1)*$BN86+VLOOKUP(MIN(DatosHoy[Puntos]),'Regresion Q1'!$W$6:$Y$10,3,1))</f>
        <v>4645500.1552857161</v>
      </c>
      <c r="BQ86" s="94">
        <f ca="1">IFERROR(VLOOKUP($BN86,'Regresion Q1'!$Z$6:$AB$10,2,1)*$BN86+VLOOKUP($BN86,'Regresion Q1'!$Z$6:$AB$10,3,1),VLOOKUP(MIN(DatosHoy[Puntos]),'Regresion Q1'!$Z$6:$AB$10,2,1)*$BN86+VLOOKUP(MIN(DatosHoy[Puntos]),'Regresion Q1'!$Z$6:$AB$10,3,1))</f>
        <v>4856252.4963597842</v>
      </c>
      <c r="BR86" s="94">
        <f ca="1">IFERROR(VLOOKUP($BN86,'Regresion Md'!$T$6:$V$10,2,1)*$BN86+VLOOKUP($BN86,'Regresion Md'!$T$6:$V$10,3,1),VLOOKUP(MIN(DatosHoy[Puntos]),'Regresion Md'!$T$6:$V$10,2,1)*$BN86+VLOOKUP(MIN(DatosHoy[Puntos]),'Regresion Md'!$T$6:$V$10,3,1))</f>
        <v>6620617.8295996916</v>
      </c>
      <c r="BS86" s="94">
        <f ca="1">IFERROR(VLOOKUP($BN86,'Regresion Md'!$W$6:$Y$10,2,1)*$BN86+VLOOKUP($BN86,'Regresion Md'!$W$6:$Y$10,3,1),VLOOKUP(MIN(DatosHoy[Puntos]),'Regresion Md'!$W$6:$Y$10,2,1)*$BN86+VLOOKUP(MIN(DatosHoy[Puntos]),'Regresion Md'!$W$6:$Y$10,3,1))</f>
        <v>6947471.3519566357</v>
      </c>
      <c r="BT86" s="94">
        <f ca="1">IFERROR(VLOOKUP($BN86,'Regresion Md'!$Z$6:$AB$10,2,1)*$BN86+VLOOKUP($BN86,'Regresion Md'!$Z$6:$AB$10,3,1),VLOOKUP(MIN(DatosHoy[Puntos]),'Regresion Md'!$Z$6:$AB$10,2,1)*$BN86+VLOOKUP(MIN(DatosHoy[Puntos]),'Regresion Md'!$Z$6:$AB$10,3,1))</f>
        <v>7253725.0401445534</v>
      </c>
      <c r="BU86" s="94">
        <f ca="1">IFERROR(VLOOKUP($BN86,'Regresion Q3'!$T$6:$V$10,2,1)*$BN86+VLOOKUP($BN86,'Regresion Q3'!$T$6:$V$10,3,1),VLOOKUP(MIN(DatosHoy[Puntos]),'Regresion Q3'!$T$6:$V$10,2,1)*$BN86+VLOOKUP(MIN(DatosHoy[Puntos]),'Regresion Q3'!$T$6:$V$10,3,1))</f>
        <v>7469561.5972926328</v>
      </c>
      <c r="BV86" s="94">
        <f ca="1">IFERROR(VLOOKUP($BN86,'Regresion Q3'!$W$6:$Y$10,2,1)*$BN86+VLOOKUP($BN86,'Regresion Q3'!$W$6:$Y$10,3,1),VLOOKUP(MIN(DatosHoy[Puntos]),'Regresion Q3'!$W$6:$Y$10,2,1)*$BN86+VLOOKUP(MIN(DatosHoy[Puntos]),'Regresion Q3'!$W$6:$Y$10,3,1))</f>
        <v>7668036.7618945884</v>
      </c>
      <c r="BW86" s="94">
        <f ca="1">IFERROR(VLOOKUP($BN86,'Regresion Q3'!$Z$6:$AB$10,2,1)*$BN86+VLOOKUP($BN86,'Regresion Q3'!$Z$6:$AB$10,3,1),VLOOKUP(MIN(DatosHoy[Puntos]),'Regresion Q3'!$Z$6:$AB$10,2,1)*$BN86+VLOOKUP(MIN(DatosHoy[Puntos]),'Regresion Q3'!$Z$6:$AB$10,3,1))</f>
        <v>7849419.9295064025</v>
      </c>
      <c r="BX86" s="96">
        <f ca="1">DatosHoy[[#This Row],[CT Actual]]/DatosHoy[[#This Row],[CT ajus PM Md]]</f>
        <v>0.74781559405398979</v>
      </c>
      <c r="BY86" s="125" t="str">
        <f>VLOOKUP(DatosHoy[[#This Row],[Cargo Valorado]],Estadísticos[[Cargo]:[Nivel]],2,FALSE)</f>
        <v>Táctico</v>
      </c>
      <c r="BZ86" s="96">
        <f>(DatosHoy[[#This Row],[G+V Actual]]-DatosHoy[[#This Row],[G Actual]])/DatosHoy[[#This Row],[CT Actual]]</f>
        <v>0</v>
      </c>
      <c r="CA86" s="96">
        <f>(DatosHoy[[#This Row],[CT Actual]]-DatosHoy[[#This Row],[G+V Actual]])/DatosHoy[[#This Row],[CT Actual]]</f>
        <v>0</v>
      </c>
      <c r="CB86" s="139" t="s">
        <v>255</v>
      </c>
    </row>
    <row r="87" spans="2:80" x14ac:dyDescent="0.25">
      <c r="B87" s="73">
        <f t="shared" si="45"/>
        <v>82</v>
      </c>
      <c r="C87" s="74">
        <v>4745510.1100000003</v>
      </c>
      <c r="D87" s="74">
        <v>4745510.1100000003</v>
      </c>
      <c r="E87" s="74">
        <v>4745510.1100000003</v>
      </c>
      <c r="F87" s="94">
        <f>VLOOKUP(DatosHoy[[#This Row],[Cargo Valorado]],Estadísticos[],3,0)</f>
        <v>5329547.8609580165</v>
      </c>
      <c r="G87" s="94">
        <f>VLOOKUP(DatosHoy[[#This Row],[Cargo Valorado]],Estadísticos[],4,0)</f>
        <v>5329547.8609580165</v>
      </c>
      <c r="H87" s="94">
        <f>VLOOKUP(DatosHoy[[#This Row],[Cargo Valorado]],Estadísticos[],5,0)</f>
        <v>5544495.1299478374</v>
      </c>
      <c r="I87" s="94">
        <f>VLOOKUP(DatosHoy[[#This Row],[Cargo Valorado]],Estadísticos[],6,0)</f>
        <v>5655981.2152625928</v>
      </c>
      <c r="J87" s="94">
        <f>VLOOKUP(DatosHoy[[#This Row],[Cargo Valorado]],Estadísticos[],7,0)</f>
        <v>5655981.2152625928</v>
      </c>
      <c r="K87" s="94">
        <f>VLOOKUP(DatosHoy[[#This Row],[Cargo Valorado]],Estadísticos[],8,0)</f>
        <v>5870928.4842524137</v>
      </c>
      <c r="L87" s="94">
        <f>VLOOKUP(DatosHoy[[#This Row],[Cargo Valorado]],Estadísticos[],9,0)</f>
        <v>8186702.1493943632</v>
      </c>
      <c r="M87" s="94">
        <f>VLOOKUP(DatosHoy[[#This Row],[Cargo Valorado]],Estadísticos[],10,0)</f>
        <v>8186702.1493943632</v>
      </c>
      <c r="N87" s="94">
        <f>VLOOKUP(DatosHoy[[#This Row],[Cargo Valorado]],Estadísticos[],11,0)</f>
        <v>8518295.6172226071</v>
      </c>
      <c r="O87" s="75" t="s">
        <v>220</v>
      </c>
      <c r="P87" s="75">
        <v>376</v>
      </c>
      <c r="Q87" s="95" t="str">
        <f t="shared" si="46"/>
        <v>$P$87</v>
      </c>
      <c r="R87" s="95" t="str">
        <f t="shared" si="47"/>
        <v>$F$87</v>
      </c>
      <c r="S87" s="95" t="str">
        <f t="shared" si="48"/>
        <v>$G$87</v>
      </c>
      <c r="T87" s="95" t="str">
        <f t="shared" si="49"/>
        <v>$H$87</v>
      </c>
      <c r="U87" s="95" t="str">
        <f t="shared" si="50"/>
        <v>$I$87</v>
      </c>
      <c r="V87" s="95" t="str">
        <f t="shared" si="51"/>
        <v>$J$87</v>
      </c>
      <c r="W87" s="95" t="str">
        <f t="shared" si="52"/>
        <v>$K$87</v>
      </c>
      <c r="X87" s="95" t="str">
        <f t="shared" si="53"/>
        <v>$L$87</v>
      </c>
      <c r="Y87" s="95" t="str">
        <f t="shared" si="54"/>
        <v>$M$87</v>
      </c>
      <c r="Z87" s="95" t="str">
        <f t="shared" si="55"/>
        <v>$N$87</v>
      </c>
      <c r="AA87" s="94">
        <f ca="1">VLOOKUP($P87,'Regresion Q1'!$E$6:$I$10,4,1)*$P87+VLOOKUP($P87,'Regresion Q1'!$E$6:$I$10,5,1)</f>
        <v>5326165.9249397293</v>
      </c>
      <c r="AB87" s="94">
        <f ca="1">VLOOKUP($P87,'Regresion Q1'!$J$6:$N$10,4,1)*$P87+VLOOKUP($P87,'Regresion Q1'!$J$6:$N$10,5,1)</f>
        <v>5416357.6943178922</v>
      </c>
      <c r="AC87" s="94">
        <f ca="1">VLOOKUP($P87,'Regresion Q1'!$O$6:$S$10,4,1)*$P87+VLOOKUP($P87,'Regresion Q1'!$O$6:$S$10,5,1)</f>
        <v>5557980.2770078704</v>
      </c>
      <c r="AD87" s="94">
        <f ca="1">VLOOKUP($P87,'Regresion Md'!$E$6:$I$10,4,1)*$P87+VLOOKUP($P87,'Regresion Md'!$E$6:$I$10,5,1)</f>
        <v>6893395.9258206142</v>
      </c>
      <c r="AE87" s="94">
        <f ca="1">VLOOKUP($P87,'Regresion Md'!$J$6:$N$10,4,1)*$P87+VLOOKUP($P87,'Regresion Md'!$J$6:$N$10,5,1)</f>
        <v>7046590.9772949144</v>
      </c>
      <c r="AF87" s="94">
        <f ca="1">VLOOKUP($P87,'Regresion Md'!$O$6:$S$10,4,1)*$P87+VLOOKUP($P87,'Regresion Md'!$O$6:$S$10,5,1)</f>
        <v>7220672.7499347888</v>
      </c>
      <c r="AG87" s="94">
        <f ca="1">VLOOKUP($P87,'Regresion Q3'!$E$6:$I$10,4,1)*$P87+VLOOKUP($P87,'Regresion Q3'!$E$6:$I$10,5,1)</f>
        <v>7843834.8223547442</v>
      </c>
      <c r="AH87" s="94">
        <f ca="1">VLOOKUP($P87,'Regresion Q3'!$J$6:$N$10,4,1)*$P87+VLOOKUP($P87,'Regresion Q3'!$J$6:$N$10,5,1)</f>
        <v>7957923.0244574426</v>
      </c>
      <c r="AI87" s="94">
        <f ca="1">VLOOKUP($P87,'Regresion Q3'!$O$6:$S$10,4,1)*$P87+VLOOKUP($P87,'Regresion Q3'!$O$6:$S$10,5,1)</f>
        <v>8124950.1334406603</v>
      </c>
      <c r="AJ87" s="94">
        <f ca="1">VLOOKUP($P87,'Regresion Q1'!$T$6:$V$10,2,1)*$P87+VLOOKUP($P87,'Regresion Q1'!$T$6:$V$10,3,1)</f>
        <v>4440405.745504465</v>
      </c>
      <c r="AK87" s="94">
        <f ca="1">VLOOKUP($P87,'Regresion Q1'!$W$6:$Y$10,2,1)*$P87+VLOOKUP($P87,'Regresion Q1'!$W$6:$Y$10,3,1)</f>
        <v>4565910.5836744104</v>
      </c>
      <c r="AL87" s="94">
        <f ca="1">VLOOKUP($P87,'Regresion Q1'!$Z$6:$AB$10,2,1)*$P87+VLOOKUP($P87,'Regresion Q1'!$Z$6:$AB$10,3,1)</f>
        <v>4767588.7344977725</v>
      </c>
      <c r="AM87" s="94">
        <f ca="1">VLOOKUP($P87,'Regresion Md'!$T$6:$V$10,2,1)*$P87+VLOOKUP($P87,'Regresion Md'!$T$6:$V$10,3,1)</f>
        <v>6551805.1356193796</v>
      </c>
      <c r="AN87" s="94">
        <f ca="1">VLOOKUP($P87,'Regresion Md'!$W$6:$Y$10,2,1)*$P87+VLOOKUP($P87,'Regresion Md'!$W$6:$Y$10,3,1)</f>
        <v>6872939.5705262907</v>
      </c>
      <c r="AO87" s="94">
        <f ca="1">VLOOKUP($P87,'Regresion Md'!$Z$6:$AB$10,2,1)*$P87+VLOOKUP($P87,'Regresion Md'!$Z$6:$AB$10,3,1)</f>
        <v>7177105.306717677</v>
      </c>
      <c r="AP87" s="94">
        <f ca="1">VLOOKUP($P87,'Regresion Q3'!$T$6:$V$10,2,1)*$P87+VLOOKUP($P87,'Regresion Q3'!$T$6:$V$10,3,1)</f>
        <v>7414180.4623504821</v>
      </c>
      <c r="AQ87" s="94">
        <f ca="1">VLOOKUP($P87,'Regresion Q3'!$W$6:$Y$10,2,1)*$P87+VLOOKUP($P87,'Regresion Q3'!$W$6:$Y$10,3,1)</f>
        <v>7611351.3704446675</v>
      </c>
      <c r="AR87" s="94">
        <f ca="1">VLOOKUP($P87,'Regresion Q3'!$Z$6:$AB$10,2,1)*$P87+VLOOKUP($P87,'Regresion Q3'!$Z$6:$AB$10,3,1)</f>
        <v>7791667.756498903</v>
      </c>
      <c r="AS87" s="94">
        <f>IF($BN87=$BN88,-1,DatosHoy[[#This Row],[G ajus PM Q1]]-BO88)</f>
        <v>-1</v>
      </c>
      <c r="AT87" s="94">
        <f>IF($BN87=$BN88,-1,DatosHoy[[#This Row],[G+V ajus PM Q1]]-BP88)</f>
        <v>-1</v>
      </c>
      <c r="AU87" s="94">
        <f>IF($BN87=$BN88,-1,DatosHoy[[#This Row],[CT ajus PM Q1]]-BQ88)</f>
        <v>-1</v>
      </c>
      <c r="AV87" s="94">
        <f ca="1">IF(DatosHoy[[#This Row],[G ajus PM Q1]]=DatosHoy[[#This Row],[G+V ajus PM Q1]],-1,DatosHoy[[#This Row],[G ajus PM Q1]]-DatosHoy[[#This Row],[G+V ajus PM Q1]])</f>
        <v>-130973.20812571794</v>
      </c>
      <c r="AW87" s="94">
        <f ca="1">IF(DatosHoy[[#This Row],[G+V ajus PM Q1]]=DatosHoy[[#This Row],[CT ajus PM Q1]],-1,DatosHoy[[#This Row],[G+V ajus PM Q1]]-DatosHoy[[#This Row],[CT ajus PM Q1]])</f>
        <v>-210752.3410740681</v>
      </c>
      <c r="AX87" s="94">
        <f>IF($BN87=$BN88,-1,DatosHoy[[#This Row],[G ajus PMd]]-BR88)</f>
        <v>-1</v>
      </c>
      <c r="AY87" s="94">
        <f>IF($BN87=$BN88,-1,DatosHoy[[#This Row],[G+V ajus PM Md]]-BS88)</f>
        <v>-1</v>
      </c>
      <c r="AZ87" s="94">
        <f>IF($BN87=$BN88,-1,DatosHoy[[#This Row],[CT ajus PM Md]]-BT88)</f>
        <v>-1</v>
      </c>
      <c r="BA87" s="94">
        <f ca="1">IF(DatosHoy[[#This Row],[G ajus PMd]]=DatosHoy[[#This Row],[G+V ajus PM Md]],-1,DatosHoy[[#This Row],[G ajus PMd]]-DatosHoy[[#This Row],[G+V ajus PM Md]])</f>
        <v>-326853.52235694416</v>
      </c>
      <c r="BB87" s="94">
        <f ca="1">IF(DatosHoy[[#This Row],[G+V ajus PM Md]]=DatosHoy[[#This Row],[CT ajus PM Md]],-1,DatosHoy[[#This Row],[G+V ajus PM Md]]-DatosHoy[[#This Row],[CT ajus PM Md]])</f>
        <v>-306253.68818791769</v>
      </c>
      <c r="BC87" s="94">
        <f>IF($BN87=$BN88,-1,DatosHoy[[#This Row],[G ajus PM Q3]]-BU88)</f>
        <v>-1</v>
      </c>
      <c r="BD87" s="94">
        <f>IF($BN87=$BN88,-1,DatosHoy[[#This Row],[G+V ajus PM Q3]]-BV88)</f>
        <v>-1</v>
      </c>
      <c r="BE87" s="94">
        <f>IF($BN87=$BN88,-1,DatosHoy[[#This Row],[CT ajus PM Q3]]-BW88)</f>
        <v>-1</v>
      </c>
      <c r="BF87" s="94">
        <f ca="1">IF(DatosHoy[[#This Row],[G ajus PM Q3]]=DatosHoy[[#This Row],[G+V ajus PM Q3]],-1,DatosHoy[[#This Row],[G ajus PM Q3]]-DatosHoy[[#This Row],[G+V ajus PM Q3]])</f>
        <v>-198475.16460195556</v>
      </c>
      <c r="BG87" s="94">
        <f ca="1">IF(DatosHoy[[#This Row],[G+V ajus PM Q3]]=DatosHoy[[#This Row],[CT ajus PM Q3]],-1,DatosHoy[[#This Row],[G+V ajus PM Q3]]-DatosHoy[[#This Row],[CT ajus PM Q3]])</f>
        <v>-181383.1676118141</v>
      </c>
      <c r="BH87" s="94">
        <f ca="1">IF(DatosHoy[[#This Row],[G ajus PM Q1]]=DatosHoy[[#This Row],[G ajus PMd]],-1,DatosHoy[[#This Row],[G ajus PM Q1]]-DatosHoy[[#This Row],[G ajus PMd]])</f>
        <v>-2106090.8824396934</v>
      </c>
      <c r="BI87" s="94">
        <f ca="1">IF(DatosHoy[[#This Row],[G+V ajus PM Q1]]=DatosHoy[[#This Row],[G+V ajus PM Md]],-1,DatosHoy[[#This Row],[G+V ajus PM Q1]]-DatosHoy[[#This Row],[G+V ajus PM Md]])</f>
        <v>-2301971.1966709197</v>
      </c>
      <c r="BJ87" s="94">
        <f ca="1">IF(DatosHoy[[#This Row],[CT ajus PM Q1]]=DatosHoy[[#This Row],[CT ajus PM Md]],-1,DatosHoy[[#This Row],[CT ajus PM Q1]]-DatosHoy[[#This Row],[CT ajus PM Md]])</f>
        <v>-2397472.5437847693</v>
      </c>
      <c r="BK87" s="94">
        <f ca="1">IF(DatosHoy[[#This Row],[G ajus PMd]]=DatosHoy[[#This Row],[G ajus PM Q3]],-1,DatosHoy[[#This Row],[G ajus PMd]]-DatosHoy[[#This Row],[G ajus PM Q3]])</f>
        <v>-848943.76769294124</v>
      </c>
      <c r="BL87" s="94">
        <f ca="1">IF(DatosHoy[[#This Row],[G+V ajus PM Md]]=DatosHoy[[#This Row],[G+V ajus PM Q3]],-1,DatosHoy[[#This Row],[G+V ajus PM Md]]-DatosHoy[[#This Row],[G+V ajus PM Q3]])</f>
        <v>-720565.40993795265</v>
      </c>
      <c r="BM87" s="94">
        <f ca="1">IF(DatosHoy[[#This Row],[CT ajus PM Md]]=DatosHoy[[#This Row],[CT ajus PM Q3]],-1,DatosHoy[[#This Row],[CT ajus PM Md]]-DatosHoy[[#This Row],[CT ajus PM Q3]])</f>
        <v>-595694.88936184905</v>
      </c>
      <c r="BN87" s="74">
        <v>379</v>
      </c>
      <c r="BO87" s="94">
        <f ca="1">IFERROR(VLOOKUP($BN87,'Regresion Q1'!$T$6:$V$10,2,1)*$BN87+VLOOKUP($BN87,'Regresion Q1'!$T$6:$V$10,3,1),VLOOKUP(MIN(DatosHoy[Puntos]),'Regresion Q1'!$T$6:$V$10,2,1)*$BN87+VLOOKUP(MIN(DatosHoy[Puntos]),'Regresion Q1'!$T$6:$V$10,3,1))</f>
        <v>4514526.9471599981</v>
      </c>
      <c r="BP87" s="94">
        <f ca="1">IFERROR(VLOOKUP($BN87,'Regresion Q1'!$W$6:$Y$10,2,1)*$BN87+VLOOKUP($BN87,'Regresion Q1'!$W$6:$Y$10,3,1),VLOOKUP(MIN(DatosHoy[Puntos]),'Regresion Q1'!$W$6:$Y$10,2,1)*$BN87+VLOOKUP(MIN(DatosHoy[Puntos]),'Regresion Q1'!$W$6:$Y$10,3,1))</f>
        <v>4645500.1552857161</v>
      </c>
      <c r="BQ87" s="94">
        <f ca="1">IFERROR(VLOOKUP($BN87,'Regresion Q1'!$Z$6:$AB$10,2,1)*$BN87+VLOOKUP($BN87,'Regresion Q1'!$Z$6:$AB$10,3,1),VLOOKUP(MIN(DatosHoy[Puntos]),'Regresion Q1'!$Z$6:$AB$10,2,1)*$BN87+VLOOKUP(MIN(DatosHoy[Puntos]),'Regresion Q1'!$Z$6:$AB$10,3,1))</f>
        <v>4856252.4963597842</v>
      </c>
      <c r="BR87" s="94">
        <f ca="1">IFERROR(VLOOKUP($BN87,'Regresion Md'!$T$6:$V$10,2,1)*$BN87+VLOOKUP($BN87,'Regresion Md'!$T$6:$V$10,3,1),VLOOKUP(MIN(DatosHoy[Puntos]),'Regresion Md'!$T$6:$V$10,2,1)*$BN87+VLOOKUP(MIN(DatosHoy[Puntos]),'Regresion Md'!$T$6:$V$10,3,1))</f>
        <v>6620617.8295996916</v>
      </c>
      <c r="BS87" s="94">
        <f ca="1">IFERROR(VLOOKUP($BN87,'Regresion Md'!$W$6:$Y$10,2,1)*$BN87+VLOOKUP($BN87,'Regresion Md'!$W$6:$Y$10,3,1),VLOOKUP(MIN(DatosHoy[Puntos]),'Regresion Md'!$W$6:$Y$10,2,1)*$BN87+VLOOKUP(MIN(DatosHoy[Puntos]),'Regresion Md'!$W$6:$Y$10,3,1))</f>
        <v>6947471.3519566357</v>
      </c>
      <c r="BT87" s="94">
        <f ca="1">IFERROR(VLOOKUP($BN87,'Regresion Md'!$Z$6:$AB$10,2,1)*$BN87+VLOOKUP($BN87,'Regresion Md'!$Z$6:$AB$10,3,1),VLOOKUP(MIN(DatosHoy[Puntos]),'Regresion Md'!$Z$6:$AB$10,2,1)*$BN87+VLOOKUP(MIN(DatosHoy[Puntos]),'Regresion Md'!$Z$6:$AB$10,3,1))</f>
        <v>7253725.0401445534</v>
      </c>
      <c r="BU87" s="94">
        <f ca="1">IFERROR(VLOOKUP($BN87,'Regresion Q3'!$T$6:$V$10,2,1)*$BN87+VLOOKUP($BN87,'Regresion Q3'!$T$6:$V$10,3,1),VLOOKUP(MIN(DatosHoy[Puntos]),'Regresion Q3'!$T$6:$V$10,2,1)*$BN87+VLOOKUP(MIN(DatosHoy[Puntos]),'Regresion Q3'!$T$6:$V$10,3,1))</f>
        <v>7469561.5972926328</v>
      </c>
      <c r="BV87" s="94">
        <f ca="1">IFERROR(VLOOKUP($BN87,'Regresion Q3'!$W$6:$Y$10,2,1)*$BN87+VLOOKUP($BN87,'Regresion Q3'!$W$6:$Y$10,3,1),VLOOKUP(MIN(DatosHoy[Puntos]),'Regresion Q3'!$W$6:$Y$10,2,1)*$BN87+VLOOKUP(MIN(DatosHoy[Puntos]),'Regresion Q3'!$W$6:$Y$10,3,1))</f>
        <v>7668036.7618945884</v>
      </c>
      <c r="BW87" s="94">
        <f ca="1">IFERROR(VLOOKUP($BN87,'Regresion Q3'!$Z$6:$AB$10,2,1)*$BN87+VLOOKUP($BN87,'Regresion Q3'!$Z$6:$AB$10,3,1),VLOOKUP(MIN(DatosHoy[Puntos]),'Regresion Q3'!$Z$6:$AB$10,2,1)*$BN87+VLOOKUP(MIN(DatosHoy[Puntos]),'Regresion Q3'!$Z$6:$AB$10,3,1))</f>
        <v>7849419.9295064025</v>
      </c>
      <c r="BX87" s="96">
        <f ca="1">DatosHoy[[#This Row],[CT Actual]]/DatosHoy[[#This Row],[CT ajus PM Md]]</f>
        <v>0.65421698282423879</v>
      </c>
      <c r="BY87" s="125" t="str">
        <f>VLOOKUP(DatosHoy[[#This Row],[Cargo Valorado]],Estadísticos[[Cargo]:[Nivel]],2,FALSE)</f>
        <v>Táctico</v>
      </c>
      <c r="BZ87" s="96">
        <f>(DatosHoy[[#This Row],[G+V Actual]]-DatosHoy[[#This Row],[G Actual]])/DatosHoy[[#This Row],[CT Actual]]</f>
        <v>0</v>
      </c>
      <c r="CA87" s="96">
        <f>(DatosHoy[[#This Row],[CT Actual]]-DatosHoy[[#This Row],[G+V Actual]])/DatosHoy[[#This Row],[CT Actual]]</f>
        <v>0</v>
      </c>
      <c r="CB87" s="139" t="s">
        <v>255</v>
      </c>
    </row>
    <row r="88" spans="2:80" x14ac:dyDescent="0.25">
      <c r="B88" s="73">
        <f t="shared" si="45"/>
        <v>83</v>
      </c>
      <c r="C88" s="74">
        <v>9295693</v>
      </c>
      <c r="D88" s="74">
        <v>9295693</v>
      </c>
      <c r="E88" s="74">
        <v>9295693</v>
      </c>
      <c r="F88" s="94">
        <f>VLOOKUP(DatosHoy[[#This Row],[Cargo Valorado]],Estadísticos[],3,0)</f>
        <v>6627727.8833570667</v>
      </c>
      <c r="G88" s="94">
        <f>VLOOKUP(DatosHoy[[#This Row],[Cargo Valorado]],Estadísticos[],4,0)</f>
        <v>6627727.8833570667</v>
      </c>
      <c r="H88" s="94">
        <f>VLOOKUP(DatosHoy[[#This Row],[Cargo Valorado]],Estadísticos[],5,0)</f>
        <v>6842675.1523468886</v>
      </c>
      <c r="I88" s="94">
        <f>VLOOKUP(DatosHoy[[#This Row],[Cargo Valorado]],Estadísticos[],6,0)</f>
        <v>8144631.3562837709</v>
      </c>
      <c r="J88" s="94">
        <f>VLOOKUP(DatosHoy[[#This Row],[Cargo Valorado]],Estadísticos[],7,0)</f>
        <v>8144631.3562837709</v>
      </c>
      <c r="K88" s="94">
        <f>VLOOKUP(DatosHoy[[#This Row],[Cargo Valorado]],Estadísticos[],8,0)</f>
        <v>8359578.6252735928</v>
      </c>
      <c r="L88" s="94">
        <f>VLOOKUP(DatosHoy[[#This Row],[Cargo Valorado]],Estadísticos[],9,0)</f>
        <v>10498310.864404365</v>
      </c>
      <c r="M88" s="94">
        <f>VLOOKUP(DatosHoy[[#This Row],[Cargo Valorado]],Estadísticos[],10,0)</f>
        <v>10498310.864404365</v>
      </c>
      <c r="N88" s="94">
        <f>VLOOKUP(DatosHoy[[#This Row],[Cargo Valorado]],Estadísticos[],11,0)</f>
        <v>10654276.447609143</v>
      </c>
      <c r="O88" s="75" t="s">
        <v>181</v>
      </c>
      <c r="P88" s="75">
        <v>381</v>
      </c>
      <c r="Q88" s="95" t="str">
        <f t="shared" si="46"/>
        <v>$P$88</v>
      </c>
      <c r="R88" s="95" t="str">
        <f t="shared" si="47"/>
        <v>$F$88</v>
      </c>
      <c r="S88" s="95" t="str">
        <f t="shared" si="48"/>
        <v>$G$88</v>
      </c>
      <c r="T88" s="95" t="str">
        <f t="shared" si="49"/>
        <v>$H$88</v>
      </c>
      <c r="U88" s="95" t="str">
        <f t="shared" si="50"/>
        <v>$I$88</v>
      </c>
      <c r="V88" s="95" t="str">
        <f t="shared" si="51"/>
        <v>$J$88</v>
      </c>
      <c r="W88" s="95" t="str">
        <f t="shared" si="52"/>
        <v>$K$88</v>
      </c>
      <c r="X88" s="95" t="str">
        <f t="shared" si="53"/>
        <v>$L$88</v>
      </c>
      <c r="Y88" s="95" t="str">
        <f t="shared" si="54"/>
        <v>$M$88</v>
      </c>
      <c r="Z88" s="95" t="str">
        <f t="shared" si="55"/>
        <v>$N$88</v>
      </c>
      <c r="AA88" s="94">
        <f ca="1">VLOOKUP($P88,'Regresion Q1'!$E$6:$I$10,4,1)*$P88+VLOOKUP($P88,'Regresion Q1'!$E$6:$I$10,5,1)</f>
        <v>6187834.7438950017</v>
      </c>
      <c r="AB88" s="94">
        <f ca="1">VLOOKUP($P88,'Regresion Q1'!$J$6:$N$10,4,1)*$P88+VLOOKUP($P88,'Regresion Q1'!$J$6:$N$10,5,1)</f>
        <v>6257712.9058729708</v>
      </c>
      <c r="AC88" s="94">
        <f ca="1">VLOOKUP($P88,'Regresion Q1'!$O$6:$S$10,4,1)*$P88+VLOOKUP($P88,'Regresion Q1'!$O$6:$S$10,5,1)</f>
        <v>6364412.832202971</v>
      </c>
      <c r="AD88" s="94">
        <f ca="1">VLOOKUP($P88,'Regresion Md'!$E$6:$I$10,4,1)*$P88+VLOOKUP($P88,'Regresion Md'!$E$6:$I$10,5,1)</f>
        <v>7018825.597869602</v>
      </c>
      <c r="AE88" s="94">
        <f ca="1">VLOOKUP($P88,'Regresion Md'!$J$6:$N$10,4,1)*$P88+VLOOKUP($P88,'Regresion Md'!$J$6:$N$10,5,1)</f>
        <v>7176271.3490740601</v>
      </c>
      <c r="AF88" s="94">
        <f ca="1">VLOOKUP($P88,'Regresion Md'!$O$6:$S$10,4,1)*$P88+VLOOKUP($P88,'Regresion Md'!$O$6:$S$10,5,1)</f>
        <v>7349742.3510304373</v>
      </c>
      <c r="AG88" s="94">
        <f ca="1">VLOOKUP($P88,'Regresion Q3'!$E$6:$I$10,4,1)*$P88+VLOOKUP($P88,'Regresion Q3'!$E$6:$I$10,5,1)</f>
        <v>7968298.7616015589</v>
      </c>
      <c r="AH88" s="94">
        <f ca="1">VLOOKUP($P88,'Regresion Q3'!$J$6:$N$10,4,1)*$P88+VLOOKUP($P88,'Regresion Q3'!$J$6:$N$10,5,1)</f>
        <v>8083957.2835628828</v>
      </c>
      <c r="AI88" s="94">
        <f ca="1">VLOOKUP($P88,'Regresion Q3'!$O$6:$S$10,4,1)*$P88+VLOOKUP($P88,'Regresion Q3'!$O$6:$S$10,5,1)</f>
        <v>8250238.6856033932</v>
      </c>
      <c r="AJ88" s="94">
        <f ca="1">VLOOKUP($P88,'Regresion Q1'!$T$6:$V$10,2,1)*$P88+VLOOKUP($P88,'Regresion Q1'!$T$6:$V$10,3,1)</f>
        <v>4563941.0815970208</v>
      </c>
      <c r="AK88" s="94">
        <f ca="1">VLOOKUP($P88,'Regresion Q1'!$W$6:$Y$10,2,1)*$P88+VLOOKUP($P88,'Regresion Q1'!$W$6:$Y$10,3,1)</f>
        <v>4698559.8696932532</v>
      </c>
      <c r="AL88" s="94">
        <f ca="1">VLOOKUP($P88,'Regresion Q1'!$Z$6:$AB$10,2,1)*$P88+VLOOKUP($P88,'Regresion Q1'!$Z$6:$AB$10,3,1)</f>
        <v>4915361.6709344592</v>
      </c>
      <c r="AM88" s="94">
        <f ca="1">VLOOKUP($P88,'Regresion Md'!$T$6:$V$10,2,1)*$P88+VLOOKUP($P88,'Regresion Md'!$T$6:$V$10,3,1)</f>
        <v>6666492.9589198995</v>
      </c>
      <c r="AN88" s="94">
        <f ca="1">VLOOKUP($P88,'Regresion Md'!$W$6:$Y$10,2,1)*$P88+VLOOKUP($P88,'Regresion Md'!$W$6:$Y$10,3,1)</f>
        <v>6997159.2062435318</v>
      </c>
      <c r="AO88" s="94">
        <f ca="1">VLOOKUP($P88,'Regresion Md'!$Z$6:$AB$10,2,1)*$P88+VLOOKUP($P88,'Regresion Md'!$Z$6:$AB$10,3,1)</f>
        <v>7304804.8624291383</v>
      </c>
      <c r="AP88" s="94">
        <f ca="1">VLOOKUP($P88,'Regresion Q3'!$T$6:$V$10,2,1)*$P88+VLOOKUP($P88,'Regresion Q3'!$T$6:$V$10,3,1)</f>
        <v>7506482.3539207336</v>
      </c>
      <c r="AQ88" s="94">
        <f ca="1">VLOOKUP($P88,'Regresion Q3'!$W$6:$Y$10,2,1)*$P88+VLOOKUP($P88,'Regresion Q3'!$W$6:$Y$10,3,1)</f>
        <v>7705827.0228612032</v>
      </c>
      <c r="AR88" s="94">
        <f ca="1">VLOOKUP($P88,'Regresion Q3'!$Z$6:$AB$10,2,1)*$P88+VLOOKUP($P88,'Regresion Q3'!$Z$6:$AB$10,3,1)</f>
        <v>7887921.3781780684</v>
      </c>
      <c r="AS88" s="94">
        <f>IF($BN88=$BN89,-1,DatosHoy[[#This Row],[G ajus PM Q1]]-BO89)</f>
        <v>-1</v>
      </c>
      <c r="AT88" s="94">
        <f>IF($BN88=$BN89,-1,DatosHoy[[#This Row],[G+V ajus PM Q1]]-BP89)</f>
        <v>-1</v>
      </c>
      <c r="AU88" s="94">
        <f>IF($BN88=$BN89,-1,DatosHoy[[#This Row],[CT ajus PM Q1]]-BQ89)</f>
        <v>-1</v>
      </c>
      <c r="AV88" s="94">
        <f ca="1">IF(DatosHoy[[#This Row],[G ajus PM Q1]]=DatosHoy[[#This Row],[G+V ajus PM Q1]],-1,DatosHoy[[#This Row],[G ajus PM Q1]]-DatosHoy[[#This Row],[G+V ajus PM Q1]])</f>
        <v>-130973.20812571794</v>
      </c>
      <c r="AW88" s="94">
        <f ca="1">IF(DatosHoy[[#This Row],[G+V ajus PM Q1]]=DatosHoy[[#This Row],[CT ajus PM Q1]],-1,DatosHoy[[#This Row],[G+V ajus PM Q1]]-DatosHoy[[#This Row],[CT ajus PM Q1]])</f>
        <v>-210752.3410740681</v>
      </c>
      <c r="AX88" s="94">
        <f>IF($BN88=$BN89,-1,DatosHoy[[#This Row],[G ajus PMd]]-BR89)</f>
        <v>-1</v>
      </c>
      <c r="AY88" s="94">
        <f>IF($BN88=$BN89,-1,DatosHoy[[#This Row],[G+V ajus PM Md]]-BS89)</f>
        <v>-1</v>
      </c>
      <c r="AZ88" s="94">
        <f>IF($BN88=$BN89,-1,DatosHoy[[#This Row],[CT ajus PM Md]]-BT89)</f>
        <v>-1</v>
      </c>
      <c r="BA88" s="94">
        <f ca="1">IF(DatosHoy[[#This Row],[G ajus PMd]]=DatosHoy[[#This Row],[G+V ajus PM Md]],-1,DatosHoy[[#This Row],[G ajus PMd]]-DatosHoy[[#This Row],[G+V ajus PM Md]])</f>
        <v>-326853.52235694416</v>
      </c>
      <c r="BB88" s="94">
        <f ca="1">IF(DatosHoy[[#This Row],[G+V ajus PM Md]]=DatosHoy[[#This Row],[CT ajus PM Md]],-1,DatosHoy[[#This Row],[G+V ajus PM Md]]-DatosHoy[[#This Row],[CT ajus PM Md]])</f>
        <v>-306253.68818791769</v>
      </c>
      <c r="BC88" s="94">
        <f>IF($BN88=$BN89,-1,DatosHoy[[#This Row],[G ajus PM Q3]]-BU89)</f>
        <v>-1</v>
      </c>
      <c r="BD88" s="94">
        <f>IF($BN88=$BN89,-1,DatosHoy[[#This Row],[G+V ajus PM Q3]]-BV89)</f>
        <v>-1</v>
      </c>
      <c r="BE88" s="94">
        <f>IF($BN88=$BN89,-1,DatosHoy[[#This Row],[CT ajus PM Q3]]-BW89)</f>
        <v>-1</v>
      </c>
      <c r="BF88" s="94">
        <f ca="1">IF(DatosHoy[[#This Row],[G ajus PM Q3]]=DatosHoy[[#This Row],[G+V ajus PM Q3]],-1,DatosHoy[[#This Row],[G ajus PM Q3]]-DatosHoy[[#This Row],[G+V ajus PM Q3]])</f>
        <v>-198475.16460195556</v>
      </c>
      <c r="BG88" s="94">
        <f ca="1">IF(DatosHoy[[#This Row],[G+V ajus PM Q3]]=DatosHoy[[#This Row],[CT ajus PM Q3]],-1,DatosHoy[[#This Row],[G+V ajus PM Q3]]-DatosHoy[[#This Row],[CT ajus PM Q3]])</f>
        <v>-181383.1676118141</v>
      </c>
      <c r="BH88" s="94">
        <f ca="1">IF(DatosHoy[[#This Row],[G ajus PM Q1]]=DatosHoy[[#This Row],[G ajus PMd]],-1,DatosHoy[[#This Row],[G ajus PM Q1]]-DatosHoy[[#This Row],[G ajus PMd]])</f>
        <v>-2106090.8824396934</v>
      </c>
      <c r="BI88" s="94">
        <f ca="1">IF(DatosHoy[[#This Row],[G+V ajus PM Q1]]=DatosHoy[[#This Row],[G+V ajus PM Md]],-1,DatosHoy[[#This Row],[G+V ajus PM Q1]]-DatosHoy[[#This Row],[G+V ajus PM Md]])</f>
        <v>-2301971.1966709197</v>
      </c>
      <c r="BJ88" s="94">
        <f ca="1">IF(DatosHoy[[#This Row],[CT ajus PM Q1]]=DatosHoy[[#This Row],[CT ajus PM Md]],-1,DatosHoy[[#This Row],[CT ajus PM Q1]]-DatosHoy[[#This Row],[CT ajus PM Md]])</f>
        <v>-2397472.5437847693</v>
      </c>
      <c r="BK88" s="94">
        <f ca="1">IF(DatosHoy[[#This Row],[G ajus PMd]]=DatosHoy[[#This Row],[G ajus PM Q3]],-1,DatosHoy[[#This Row],[G ajus PMd]]-DatosHoy[[#This Row],[G ajus PM Q3]])</f>
        <v>-848943.76769294124</v>
      </c>
      <c r="BL88" s="94">
        <f ca="1">IF(DatosHoy[[#This Row],[G+V ajus PM Md]]=DatosHoy[[#This Row],[G+V ajus PM Q3]],-1,DatosHoy[[#This Row],[G+V ajus PM Md]]-DatosHoy[[#This Row],[G+V ajus PM Q3]])</f>
        <v>-720565.40993795265</v>
      </c>
      <c r="BM88" s="94">
        <f ca="1">IF(DatosHoy[[#This Row],[CT ajus PM Md]]=DatosHoy[[#This Row],[CT ajus PM Q3]],-1,DatosHoy[[#This Row],[CT ajus PM Md]]-DatosHoy[[#This Row],[CT ajus PM Q3]])</f>
        <v>-595694.88936184905</v>
      </c>
      <c r="BN88" s="74">
        <v>379</v>
      </c>
      <c r="BO88" s="94">
        <f ca="1">IFERROR(VLOOKUP($BN88,'Regresion Q1'!$T$6:$V$10,2,1)*$BN88+VLOOKUP($BN88,'Regresion Q1'!$T$6:$V$10,3,1),VLOOKUP(MIN(DatosHoy[Puntos]),'Regresion Q1'!$T$6:$V$10,2,1)*$BN88+VLOOKUP(MIN(DatosHoy[Puntos]),'Regresion Q1'!$T$6:$V$10,3,1))</f>
        <v>4514526.9471599981</v>
      </c>
      <c r="BP88" s="94">
        <f ca="1">IFERROR(VLOOKUP($BN88,'Regresion Q1'!$W$6:$Y$10,2,1)*$BN88+VLOOKUP($BN88,'Regresion Q1'!$W$6:$Y$10,3,1),VLOOKUP(MIN(DatosHoy[Puntos]),'Regresion Q1'!$W$6:$Y$10,2,1)*$BN88+VLOOKUP(MIN(DatosHoy[Puntos]),'Regresion Q1'!$W$6:$Y$10,3,1))</f>
        <v>4645500.1552857161</v>
      </c>
      <c r="BQ88" s="94">
        <f ca="1">IFERROR(VLOOKUP($BN88,'Regresion Q1'!$Z$6:$AB$10,2,1)*$BN88+VLOOKUP($BN88,'Regresion Q1'!$Z$6:$AB$10,3,1),VLOOKUP(MIN(DatosHoy[Puntos]),'Regresion Q1'!$Z$6:$AB$10,2,1)*$BN88+VLOOKUP(MIN(DatosHoy[Puntos]),'Regresion Q1'!$Z$6:$AB$10,3,1))</f>
        <v>4856252.4963597842</v>
      </c>
      <c r="BR88" s="94">
        <f ca="1">IFERROR(VLOOKUP($BN88,'Regresion Md'!$T$6:$V$10,2,1)*$BN88+VLOOKUP($BN88,'Regresion Md'!$T$6:$V$10,3,1),VLOOKUP(MIN(DatosHoy[Puntos]),'Regresion Md'!$T$6:$V$10,2,1)*$BN88+VLOOKUP(MIN(DatosHoy[Puntos]),'Regresion Md'!$T$6:$V$10,3,1))</f>
        <v>6620617.8295996916</v>
      </c>
      <c r="BS88" s="94">
        <f ca="1">IFERROR(VLOOKUP($BN88,'Regresion Md'!$W$6:$Y$10,2,1)*$BN88+VLOOKUP($BN88,'Regresion Md'!$W$6:$Y$10,3,1),VLOOKUP(MIN(DatosHoy[Puntos]),'Regresion Md'!$W$6:$Y$10,2,1)*$BN88+VLOOKUP(MIN(DatosHoy[Puntos]),'Regresion Md'!$W$6:$Y$10,3,1))</f>
        <v>6947471.3519566357</v>
      </c>
      <c r="BT88" s="94">
        <f ca="1">IFERROR(VLOOKUP($BN88,'Regresion Md'!$Z$6:$AB$10,2,1)*$BN88+VLOOKUP($BN88,'Regresion Md'!$Z$6:$AB$10,3,1),VLOOKUP(MIN(DatosHoy[Puntos]),'Regresion Md'!$Z$6:$AB$10,2,1)*$BN88+VLOOKUP(MIN(DatosHoy[Puntos]),'Regresion Md'!$Z$6:$AB$10,3,1))</f>
        <v>7253725.0401445534</v>
      </c>
      <c r="BU88" s="94">
        <f ca="1">IFERROR(VLOOKUP($BN88,'Regresion Q3'!$T$6:$V$10,2,1)*$BN88+VLOOKUP($BN88,'Regresion Q3'!$T$6:$V$10,3,1),VLOOKUP(MIN(DatosHoy[Puntos]),'Regresion Q3'!$T$6:$V$10,2,1)*$BN88+VLOOKUP(MIN(DatosHoy[Puntos]),'Regresion Q3'!$T$6:$V$10,3,1))</f>
        <v>7469561.5972926328</v>
      </c>
      <c r="BV88" s="94">
        <f ca="1">IFERROR(VLOOKUP($BN88,'Regresion Q3'!$W$6:$Y$10,2,1)*$BN88+VLOOKUP($BN88,'Regresion Q3'!$W$6:$Y$10,3,1),VLOOKUP(MIN(DatosHoy[Puntos]),'Regresion Q3'!$W$6:$Y$10,2,1)*$BN88+VLOOKUP(MIN(DatosHoy[Puntos]),'Regresion Q3'!$W$6:$Y$10,3,1))</f>
        <v>7668036.7618945884</v>
      </c>
      <c r="BW88" s="94">
        <f ca="1">IFERROR(VLOOKUP($BN88,'Regresion Q3'!$Z$6:$AB$10,2,1)*$BN88+VLOOKUP($BN88,'Regresion Q3'!$Z$6:$AB$10,3,1),VLOOKUP(MIN(DatosHoy[Puntos]),'Regresion Q3'!$Z$6:$AB$10,2,1)*$BN88+VLOOKUP(MIN(DatosHoy[Puntos]),'Regresion Q3'!$Z$6:$AB$10,3,1))</f>
        <v>7849419.9295064025</v>
      </c>
      <c r="BX88" s="96">
        <f ca="1">DatosHoy[[#This Row],[CT Actual]]/DatosHoy[[#This Row],[CT ajus PM Md]]</f>
        <v>1.2815061156239738</v>
      </c>
      <c r="BY88" s="125" t="str">
        <f>VLOOKUP(DatosHoy[[#This Row],[Cargo Valorado]],Estadísticos[[Cargo]:[Nivel]],2,FALSE)</f>
        <v>Táctico</v>
      </c>
      <c r="BZ88" s="96">
        <f>(DatosHoy[[#This Row],[G+V Actual]]-DatosHoy[[#This Row],[G Actual]])/DatosHoy[[#This Row],[CT Actual]]</f>
        <v>0</v>
      </c>
      <c r="CA88" s="96">
        <f>(DatosHoy[[#This Row],[CT Actual]]-DatosHoy[[#This Row],[G+V Actual]])/DatosHoy[[#This Row],[CT Actual]]</f>
        <v>0</v>
      </c>
      <c r="CB88" s="139" t="s">
        <v>255</v>
      </c>
    </row>
    <row r="89" spans="2:80" x14ac:dyDescent="0.25">
      <c r="B89" s="73">
        <f t="shared" si="45"/>
        <v>84</v>
      </c>
      <c r="C89" s="74">
        <v>5356201.8400000008</v>
      </c>
      <c r="D89" s="74">
        <v>5356201.8400000008</v>
      </c>
      <c r="E89" s="74">
        <v>5356201.8400000008</v>
      </c>
      <c r="F89" s="94">
        <f>VLOOKUP(DatosHoy[[#This Row],[Cargo Valorado]],Estadísticos[],3,0)</f>
        <v>4748059.2373626102</v>
      </c>
      <c r="G89" s="94">
        <f>VLOOKUP(DatosHoy[[#This Row],[Cargo Valorado]],Estadísticos[],4,0)</f>
        <v>4748059.2373626102</v>
      </c>
      <c r="H89" s="94">
        <f>VLOOKUP(DatosHoy[[#This Row],[Cargo Valorado]],Estadísticos[],5,0)</f>
        <v>4748059.2373626102</v>
      </c>
      <c r="I89" s="94">
        <f>VLOOKUP(DatosHoy[[#This Row],[Cargo Valorado]],Estadísticos[],6,0)</f>
        <v>5028031.1143415952</v>
      </c>
      <c r="J89" s="94">
        <f>VLOOKUP(DatosHoy[[#This Row],[Cargo Valorado]],Estadísticos[],7,0)</f>
        <v>5028031.1143415952</v>
      </c>
      <c r="K89" s="94">
        <f>VLOOKUP(DatosHoy[[#This Row],[Cargo Valorado]],Estadísticos[],8,0)</f>
        <v>5028031.1143415952</v>
      </c>
      <c r="L89" s="94">
        <f>VLOOKUP(DatosHoy[[#This Row],[Cargo Valorado]],Estadísticos[],9,0)</f>
        <v>5229150.9557439778</v>
      </c>
      <c r="M89" s="94">
        <f>VLOOKUP(DatosHoy[[#This Row],[Cargo Valorado]],Estadísticos[],10,0)</f>
        <v>5229150.9557439778</v>
      </c>
      <c r="N89" s="94">
        <f>VLOOKUP(DatosHoy[[#This Row],[Cargo Valorado]],Estadísticos[],11,0)</f>
        <v>5229150.9557439778</v>
      </c>
      <c r="O89" s="75" t="s">
        <v>217</v>
      </c>
      <c r="P89" s="75">
        <v>384</v>
      </c>
      <c r="Q89" s="95" t="str">
        <f t="shared" si="46"/>
        <v>$P$89</v>
      </c>
      <c r="R89" s="95" t="str">
        <f t="shared" si="47"/>
        <v>$F$89</v>
      </c>
      <c r="S89" s="95" t="str">
        <f t="shared" si="48"/>
        <v>$G$89</v>
      </c>
      <c r="T89" s="95" t="str">
        <f t="shared" si="49"/>
        <v>$H$89</v>
      </c>
      <c r="U89" s="95" t="str">
        <f t="shared" si="50"/>
        <v>$I$89</v>
      </c>
      <c r="V89" s="95" t="str">
        <f t="shared" si="51"/>
        <v>$J$89</v>
      </c>
      <c r="W89" s="95" t="str">
        <f t="shared" si="52"/>
        <v>$K$89</v>
      </c>
      <c r="X89" s="95" t="str">
        <f t="shared" si="53"/>
        <v>$L$89</v>
      </c>
      <c r="Y89" s="95" t="str">
        <f t="shared" si="54"/>
        <v>$M$89</v>
      </c>
      <c r="Z89" s="95" t="str">
        <f t="shared" si="55"/>
        <v>$N$89</v>
      </c>
      <c r="AA89" s="94">
        <f ca="1">VLOOKUP($P89,'Regresion Q1'!$E$6:$I$10,4,1)*$P89+VLOOKUP($P89,'Regresion Q1'!$E$6:$I$10,5,1)</f>
        <v>6704836.0352681726</v>
      </c>
      <c r="AB89" s="94">
        <f ca="1">VLOOKUP($P89,'Regresion Q1'!$J$6:$N$10,4,1)*$P89+VLOOKUP($P89,'Regresion Q1'!$J$6:$N$10,5,1)</f>
        <v>6762526.032806024</v>
      </c>
      <c r="AC89" s="94">
        <f ca="1">VLOOKUP($P89,'Regresion Q1'!$O$6:$S$10,4,1)*$P89+VLOOKUP($P89,'Regresion Q1'!$O$6:$S$10,5,1)</f>
        <v>6848272.3653200269</v>
      </c>
      <c r="AD89" s="94">
        <f ca="1">VLOOKUP($P89,'Regresion Md'!$E$6:$I$10,4,1)*$P89+VLOOKUP($P89,'Regresion Md'!$E$6:$I$10,5,1)</f>
        <v>7094083.4010989936</v>
      </c>
      <c r="AE89" s="94">
        <f ca="1">VLOOKUP($P89,'Regresion Md'!$J$6:$N$10,4,1)*$P89+VLOOKUP($P89,'Regresion Md'!$J$6:$N$10,5,1)</f>
        <v>7254079.5721415486</v>
      </c>
      <c r="AF89" s="94">
        <f ca="1">VLOOKUP($P89,'Regresion Md'!$O$6:$S$10,4,1)*$P89+VLOOKUP($P89,'Regresion Md'!$O$6:$S$10,5,1)</f>
        <v>7427184.111687826</v>
      </c>
      <c r="AG89" s="94">
        <f ca="1">VLOOKUP($P89,'Regresion Q3'!$E$6:$I$10,4,1)*$P89+VLOOKUP($P89,'Regresion Q3'!$E$6:$I$10,5,1)</f>
        <v>8042977.1251496458</v>
      </c>
      <c r="AH89" s="94">
        <f ca="1">VLOOKUP($P89,'Regresion Q3'!$J$6:$N$10,4,1)*$P89+VLOOKUP($P89,'Regresion Q3'!$J$6:$N$10,5,1)</f>
        <v>8159577.8390261466</v>
      </c>
      <c r="AI89" s="94">
        <f ca="1">VLOOKUP($P89,'Regresion Q3'!$O$6:$S$10,4,1)*$P89+VLOOKUP($P89,'Regresion Q3'!$O$6:$S$10,5,1)</f>
        <v>8325411.8169010337</v>
      </c>
      <c r="AJ89" s="94">
        <f ca="1">VLOOKUP($P89,'Regresion Q1'!$T$6:$V$10,2,1)*$P89+VLOOKUP($P89,'Regresion Q1'!$T$6:$V$10,3,1)</f>
        <v>4638062.2832525559</v>
      </c>
      <c r="AK89" s="94">
        <f ca="1">VLOOKUP($P89,'Regresion Q1'!$W$6:$Y$10,2,1)*$P89+VLOOKUP($P89,'Regresion Q1'!$W$6:$Y$10,3,1)</f>
        <v>4778149.4413045589</v>
      </c>
      <c r="AL89" s="94">
        <f ca="1">VLOOKUP($P89,'Regresion Q1'!$Z$6:$AB$10,2,1)*$P89+VLOOKUP($P89,'Regresion Q1'!$Z$6:$AB$10,3,1)</f>
        <v>5004025.4327964708</v>
      </c>
      <c r="AM89" s="94">
        <f ca="1">VLOOKUP($P89,'Regresion Md'!$T$6:$V$10,2,1)*$P89+VLOOKUP($P89,'Regresion Md'!$T$6:$V$10,3,1)</f>
        <v>6735305.6529002115</v>
      </c>
      <c r="AN89" s="94">
        <f ca="1">VLOOKUP($P89,'Regresion Md'!$W$6:$Y$10,2,1)*$P89+VLOOKUP($P89,'Regresion Md'!$W$6:$Y$10,3,1)</f>
        <v>7071690.9876738749</v>
      </c>
      <c r="AO89" s="94">
        <f ca="1">VLOOKUP($P89,'Regresion Md'!$Z$6:$AB$10,2,1)*$P89+VLOOKUP($P89,'Regresion Md'!$Z$6:$AB$10,3,1)</f>
        <v>7381424.5958560165</v>
      </c>
      <c r="AP89" s="94">
        <f ca="1">VLOOKUP($P89,'Regresion Q3'!$T$6:$V$10,2,1)*$P89+VLOOKUP($P89,'Regresion Q3'!$T$6:$V$10,3,1)</f>
        <v>7561863.4888628842</v>
      </c>
      <c r="AQ89" s="94">
        <f ca="1">VLOOKUP($P89,'Regresion Q3'!$W$6:$Y$10,2,1)*$P89+VLOOKUP($P89,'Regresion Q3'!$W$6:$Y$10,3,1)</f>
        <v>7762512.414311124</v>
      </c>
      <c r="AR89" s="94">
        <f ca="1">VLOOKUP($P89,'Regresion Q3'!$Z$6:$AB$10,2,1)*$P89+VLOOKUP($P89,'Regresion Q3'!$Z$6:$AB$10,3,1)</f>
        <v>7945673.5511855679</v>
      </c>
      <c r="AS89" s="94">
        <f>IF($BN89=$BN90,-1,DatosHoy[[#This Row],[G ajus PM Q1]]-BO90)</f>
        <v>-1</v>
      </c>
      <c r="AT89" s="94">
        <f>IF($BN89=$BN90,-1,DatosHoy[[#This Row],[G+V ajus PM Q1]]-BP90)</f>
        <v>-1</v>
      </c>
      <c r="AU89" s="94">
        <f>IF($BN89=$BN90,-1,DatosHoy[[#This Row],[CT ajus PM Q1]]-BQ90)</f>
        <v>-1</v>
      </c>
      <c r="AV89" s="94">
        <f ca="1">IF(DatosHoy[[#This Row],[G ajus PM Q1]]=DatosHoy[[#This Row],[G+V ajus PM Q1]],-1,DatosHoy[[#This Row],[G ajus PM Q1]]-DatosHoy[[#This Row],[G+V ajus PM Q1]])</f>
        <v>-130973.20812571794</v>
      </c>
      <c r="AW89" s="94">
        <f ca="1">IF(DatosHoy[[#This Row],[G+V ajus PM Q1]]=DatosHoy[[#This Row],[CT ajus PM Q1]],-1,DatosHoy[[#This Row],[G+V ajus PM Q1]]-DatosHoy[[#This Row],[CT ajus PM Q1]])</f>
        <v>-210752.3410740681</v>
      </c>
      <c r="AX89" s="94">
        <f>IF($BN89=$BN90,-1,DatosHoy[[#This Row],[G ajus PMd]]-BR90)</f>
        <v>-1</v>
      </c>
      <c r="AY89" s="94">
        <f>IF($BN89=$BN90,-1,DatosHoy[[#This Row],[G+V ajus PM Md]]-BS90)</f>
        <v>-1</v>
      </c>
      <c r="AZ89" s="94">
        <f>IF($BN89=$BN90,-1,DatosHoy[[#This Row],[CT ajus PM Md]]-BT90)</f>
        <v>-1</v>
      </c>
      <c r="BA89" s="94">
        <f ca="1">IF(DatosHoy[[#This Row],[G ajus PMd]]=DatosHoy[[#This Row],[G+V ajus PM Md]],-1,DatosHoy[[#This Row],[G ajus PMd]]-DatosHoy[[#This Row],[G+V ajus PM Md]])</f>
        <v>-326853.52235694416</v>
      </c>
      <c r="BB89" s="94">
        <f ca="1">IF(DatosHoy[[#This Row],[G+V ajus PM Md]]=DatosHoy[[#This Row],[CT ajus PM Md]],-1,DatosHoy[[#This Row],[G+V ajus PM Md]]-DatosHoy[[#This Row],[CT ajus PM Md]])</f>
        <v>-306253.68818791769</v>
      </c>
      <c r="BC89" s="94">
        <f>IF($BN89=$BN90,-1,DatosHoy[[#This Row],[G ajus PM Q3]]-BU90)</f>
        <v>-1</v>
      </c>
      <c r="BD89" s="94">
        <f>IF($BN89=$BN90,-1,DatosHoy[[#This Row],[G+V ajus PM Q3]]-BV90)</f>
        <v>-1</v>
      </c>
      <c r="BE89" s="94">
        <f>IF($BN89=$BN90,-1,DatosHoy[[#This Row],[CT ajus PM Q3]]-BW90)</f>
        <v>-1</v>
      </c>
      <c r="BF89" s="94">
        <f ca="1">IF(DatosHoy[[#This Row],[G ajus PM Q3]]=DatosHoy[[#This Row],[G+V ajus PM Q3]],-1,DatosHoy[[#This Row],[G ajus PM Q3]]-DatosHoy[[#This Row],[G+V ajus PM Q3]])</f>
        <v>-198475.16460195556</v>
      </c>
      <c r="BG89" s="94">
        <f ca="1">IF(DatosHoy[[#This Row],[G+V ajus PM Q3]]=DatosHoy[[#This Row],[CT ajus PM Q3]],-1,DatosHoy[[#This Row],[G+V ajus PM Q3]]-DatosHoy[[#This Row],[CT ajus PM Q3]])</f>
        <v>-181383.1676118141</v>
      </c>
      <c r="BH89" s="94">
        <f ca="1">IF(DatosHoy[[#This Row],[G ajus PM Q1]]=DatosHoy[[#This Row],[G ajus PMd]],-1,DatosHoy[[#This Row],[G ajus PM Q1]]-DatosHoy[[#This Row],[G ajus PMd]])</f>
        <v>-2106090.8824396934</v>
      </c>
      <c r="BI89" s="94">
        <f ca="1">IF(DatosHoy[[#This Row],[G+V ajus PM Q1]]=DatosHoy[[#This Row],[G+V ajus PM Md]],-1,DatosHoy[[#This Row],[G+V ajus PM Q1]]-DatosHoy[[#This Row],[G+V ajus PM Md]])</f>
        <v>-2301971.1966709197</v>
      </c>
      <c r="BJ89" s="94">
        <f ca="1">IF(DatosHoy[[#This Row],[CT ajus PM Q1]]=DatosHoy[[#This Row],[CT ajus PM Md]],-1,DatosHoy[[#This Row],[CT ajus PM Q1]]-DatosHoy[[#This Row],[CT ajus PM Md]])</f>
        <v>-2397472.5437847693</v>
      </c>
      <c r="BK89" s="94">
        <f ca="1">IF(DatosHoy[[#This Row],[G ajus PMd]]=DatosHoy[[#This Row],[G ajus PM Q3]],-1,DatosHoy[[#This Row],[G ajus PMd]]-DatosHoy[[#This Row],[G ajus PM Q3]])</f>
        <v>-848943.76769294124</v>
      </c>
      <c r="BL89" s="94">
        <f ca="1">IF(DatosHoy[[#This Row],[G+V ajus PM Md]]=DatosHoy[[#This Row],[G+V ajus PM Q3]],-1,DatosHoy[[#This Row],[G+V ajus PM Md]]-DatosHoy[[#This Row],[G+V ajus PM Q3]])</f>
        <v>-720565.40993795265</v>
      </c>
      <c r="BM89" s="94">
        <f ca="1">IF(DatosHoy[[#This Row],[CT ajus PM Md]]=DatosHoy[[#This Row],[CT ajus PM Q3]],-1,DatosHoy[[#This Row],[CT ajus PM Md]]-DatosHoy[[#This Row],[CT ajus PM Q3]])</f>
        <v>-595694.88936184905</v>
      </c>
      <c r="BN89" s="74">
        <v>379</v>
      </c>
      <c r="BO89" s="94">
        <f ca="1">IFERROR(VLOOKUP($BN89,'Regresion Q1'!$T$6:$V$10,2,1)*$BN89+VLOOKUP($BN89,'Regresion Q1'!$T$6:$V$10,3,1),VLOOKUP(MIN(DatosHoy[Puntos]),'Regresion Q1'!$T$6:$V$10,2,1)*$BN89+VLOOKUP(MIN(DatosHoy[Puntos]),'Regresion Q1'!$T$6:$V$10,3,1))</f>
        <v>4514526.9471599981</v>
      </c>
      <c r="BP89" s="94">
        <f ca="1">IFERROR(VLOOKUP($BN89,'Regresion Q1'!$W$6:$Y$10,2,1)*$BN89+VLOOKUP($BN89,'Regresion Q1'!$W$6:$Y$10,3,1),VLOOKUP(MIN(DatosHoy[Puntos]),'Regresion Q1'!$W$6:$Y$10,2,1)*$BN89+VLOOKUP(MIN(DatosHoy[Puntos]),'Regresion Q1'!$W$6:$Y$10,3,1))</f>
        <v>4645500.1552857161</v>
      </c>
      <c r="BQ89" s="94">
        <f ca="1">IFERROR(VLOOKUP($BN89,'Regresion Q1'!$Z$6:$AB$10,2,1)*$BN89+VLOOKUP($BN89,'Regresion Q1'!$Z$6:$AB$10,3,1),VLOOKUP(MIN(DatosHoy[Puntos]),'Regresion Q1'!$Z$6:$AB$10,2,1)*$BN89+VLOOKUP(MIN(DatosHoy[Puntos]),'Regresion Q1'!$Z$6:$AB$10,3,1))</f>
        <v>4856252.4963597842</v>
      </c>
      <c r="BR89" s="94">
        <f ca="1">IFERROR(VLOOKUP($BN89,'Regresion Md'!$T$6:$V$10,2,1)*$BN89+VLOOKUP($BN89,'Regresion Md'!$T$6:$V$10,3,1),VLOOKUP(MIN(DatosHoy[Puntos]),'Regresion Md'!$T$6:$V$10,2,1)*$BN89+VLOOKUP(MIN(DatosHoy[Puntos]),'Regresion Md'!$T$6:$V$10,3,1))</f>
        <v>6620617.8295996916</v>
      </c>
      <c r="BS89" s="94">
        <f ca="1">IFERROR(VLOOKUP($BN89,'Regresion Md'!$W$6:$Y$10,2,1)*$BN89+VLOOKUP($BN89,'Regresion Md'!$W$6:$Y$10,3,1),VLOOKUP(MIN(DatosHoy[Puntos]),'Regresion Md'!$W$6:$Y$10,2,1)*$BN89+VLOOKUP(MIN(DatosHoy[Puntos]),'Regresion Md'!$W$6:$Y$10,3,1))</f>
        <v>6947471.3519566357</v>
      </c>
      <c r="BT89" s="94">
        <f ca="1">IFERROR(VLOOKUP($BN89,'Regresion Md'!$Z$6:$AB$10,2,1)*$BN89+VLOOKUP($BN89,'Regresion Md'!$Z$6:$AB$10,3,1),VLOOKUP(MIN(DatosHoy[Puntos]),'Regresion Md'!$Z$6:$AB$10,2,1)*$BN89+VLOOKUP(MIN(DatosHoy[Puntos]),'Regresion Md'!$Z$6:$AB$10,3,1))</f>
        <v>7253725.0401445534</v>
      </c>
      <c r="BU89" s="94">
        <f ca="1">IFERROR(VLOOKUP($BN89,'Regresion Q3'!$T$6:$V$10,2,1)*$BN89+VLOOKUP($BN89,'Regresion Q3'!$T$6:$V$10,3,1),VLOOKUP(MIN(DatosHoy[Puntos]),'Regresion Q3'!$T$6:$V$10,2,1)*$BN89+VLOOKUP(MIN(DatosHoy[Puntos]),'Regresion Q3'!$T$6:$V$10,3,1))</f>
        <v>7469561.5972926328</v>
      </c>
      <c r="BV89" s="94">
        <f ca="1">IFERROR(VLOOKUP($BN89,'Regresion Q3'!$W$6:$Y$10,2,1)*$BN89+VLOOKUP($BN89,'Regresion Q3'!$W$6:$Y$10,3,1),VLOOKUP(MIN(DatosHoy[Puntos]),'Regresion Q3'!$W$6:$Y$10,2,1)*$BN89+VLOOKUP(MIN(DatosHoy[Puntos]),'Regresion Q3'!$W$6:$Y$10,3,1))</f>
        <v>7668036.7618945884</v>
      </c>
      <c r="BW89" s="94">
        <f ca="1">IFERROR(VLOOKUP($BN89,'Regresion Q3'!$Z$6:$AB$10,2,1)*$BN89+VLOOKUP($BN89,'Regresion Q3'!$Z$6:$AB$10,3,1),VLOOKUP(MIN(DatosHoy[Puntos]),'Regresion Q3'!$Z$6:$AB$10,2,1)*$BN89+VLOOKUP(MIN(DatosHoy[Puntos]),'Regresion Q3'!$Z$6:$AB$10,3,1))</f>
        <v>7849419.9295064025</v>
      </c>
      <c r="BX89" s="96">
        <f ca="1">DatosHoy[[#This Row],[CT Actual]]/DatosHoy[[#This Row],[CT ajus PM Md]]</f>
        <v>0.73840706814181389</v>
      </c>
      <c r="BY89" s="125" t="str">
        <f>VLOOKUP(DatosHoy[[#This Row],[Cargo Valorado]],Estadísticos[[Cargo]:[Nivel]],2,FALSE)</f>
        <v>Táctico</v>
      </c>
      <c r="BZ89" s="96">
        <f>(DatosHoy[[#This Row],[G+V Actual]]-DatosHoy[[#This Row],[G Actual]])/DatosHoy[[#This Row],[CT Actual]]</f>
        <v>0</v>
      </c>
      <c r="CA89" s="96">
        <f>(DatosHoy[[#This Row],[CT Actual]]-DatosHoy[[#This Row],[G+V Actual]])/DatosHoy[[#This Row],[CT Actual]]</f>
        <v>0</v>
      </c>
      <c r="CB89" s="139" t="s">
        <v>255</v>
      </c>
    </row>
    <row r="90" spans="2:80" x14ac:dyDescent="0.25">
      <c r="B90" s="73">
        <f t="shared" si="45"/>
        <v>85</v>
      </c>
      <c r="C90" s="74">
        <v>4457225.96</v>
      </c>
      <c r="D90" s="74">
        <v>4457225.96</v>
      </c>
      <c r="E90" s="74">
        <v>4457225.96</v>
      </c>
      <c r="F90" s="94">
        <f>VLOOKUP(DatosHoy[[#This Row],[Cargo Valorado]],Estadísticos[],3,0)</f>
        <v>3973139.1203397582</v>
      </c>
      <c r="G90" s="94">
        <f>VLOOKUP(DatosHoy[[#This Row],[Cargo Valorado]],Estadísticos[],4,0)</f>
        <v>4202670.339062077</v>
      </c>
      <c r="H90" s="94">
        <f>VLOOKUP(DatosHoy[[#This Row],[Cargo Valorado]],Estadísticos[],5,0)</f>
        <v>4202670.339062077</v>
      </c>
      <c r="I90" s="94">
        <f>VLOOKUP(DatosHoy[[#This Row],[Cargo Valorado]],Estadísticos[],6,0)</f>
        <v>3978541.1245202036</v>
      </c>
      <c r="J90" s="94">
        <f>VLOOKUP(DatosHoy[[#This Row],[Cargo Valorado]],Estadísticos[],7,0)</f>
        <v>4437603.5619648416</v>
      </c>
      <c r="K90" s="94">
        <f>VLOOKUP(DatosHoy[[#This Row],[Cargo Valorado]],Estadísticos[],8,0)</f>
        <v>4437603.5619648416</v>
      </c>
      <c r="L90" s="94">
        <f>VLOOKUP(DatosHoy[[#This Row],[Cargo Valorado]],Estadísticos[],9,0)</f>
        <v>7516496.2536878735</v>
      </c>
      <c r="M90" s="94">
        <f>VLOOKUP(DatosHoy[[#This Row],[Cargo Valorado]],Estadísticos[],10,0)</f>
        <v>8111584.7261671675</v>
      </c>
      <c r="N90" s="94">
        <f>VLOOKUP(DatosHoy[[#This Row],[Cargo Valorado]],Estadísticos[],11,0)</f>
        <v>8197280.6461671675</v>
      </c>
      <c r="O90" s="75" t="s">
        <v>218</v>
      </c>
      <c r="P90" s="75">
        <v>384</v>
      </c>
      <c r="Q90" s="95" t="str">
        <f t="shared" si="46"/>
        <v>$P$90</v>
      </c>
      <c r="R90" s="95" t="str">
        <f t="shared" si="47"/>
        <v>$F$90</v>
      </c>
      <c r="S90" s="95" t="str">
        <f t="shared" si="48"/>
        <v>$G$90</v>
      </c>
      <c r="T90" s="95" t="str">
        <f t="shared" si="49"/>
        <v>$H$90</v>
      </c>
      <c r="U90" s="95" t="str">
        <f t="shared" si="50"/>
        <v>$I$90</v>
      </c>
      <c r="V90" s="95" t="str">
        <f t="shared" si="51"/>
        <v>$J$90</v>
      </c>
      <c r="W90" s="95" t="str">
        <f t="shared" si="52"/>
        <v>$K$90</v>
      </c>
      <c r="X90" s="95" t="str">
        <f t="shared" si="53"/>
        <v>$L$90</v>
      </c>
      <c r="Y90" s="95" t="str">
        <f t="shared" si="54"/>
        <v>$M$90</v>
      </c>
      <c r="Z90" s="95" t="str">
        <f t="shared" si="55"/>
        <v>$N$90</v>
      </c>
      <c r="AA90" s="94">
        <f ca="1">VLOOKUP($P90,'Regresion Q1'!$E$6:$I$10,4,1)*$P90+VLOOKUP($P90,'Regresion Q1'!$E$6:$I$10,5,1)</f>
        <v>6704836.0352681726</v>
      </c>
      <c r="AB90" s="94">
        <f ca="1">VLOOKUP($P90,'Regresion Q1'!$J$6:$N$10,4,1)*$P90+VLOOKUP($P90,'Regresion Q1'!$J$6:$N$10,5,1)</f>
        <v>6762526.032806024</v>
      </c>
      <c r="AC90" s="94">
        <f ca="1">VLOOKUP($P90,'Regresion Q1'!$O$6:$S$10,4,1)*$P90+VLOOKUP($P90,'Regresion Q1'!$O$6:$S$10,5,1)</f>
        <v>6848272.3653200269</v>
      </c>
      <c r="AD90" s="94">
        <f ca="1">VLOOKUP($P90,'Regresion Md'!$E$6:$I$10,4,1)*$P90+VLOOKUP($P90,'Regresion Md'!$E$6:$I$10,5,1)</f>
        <v>7094083.4010989936</v>
      </c>
      <c r="AE90" s="94">
        <f ca="1">VLOOKUP($P90,'Regresion Md'!$J$6:$N$10,4,1)*$P90+VLOOKUP($P90,'Regresion Md'!$J$6:$N$10,5,1)</f>
        <v>7254079.5721415486</v>
      </c>
      <c r="AF90" s="94">
        <f ca="1">VLOOKUP($P90,'Regresion Md'!$O$6:$S$10,4,1)*$P90+VLOOKUP($P90,'Regresion Md'!$O$6:$S$10,5,1)</f>
        <v>7427184.111687826</v>
      </c>
      <c r="AG90" s="94">
        <f ca="1">VLOOKUP($P90,'Regresion Q3'!$E$6:$I$10,4,1)*$P90+VLOOKUP($P90,'Regresion Q3'!$E$6:$I$10,5,1)</f>
        <v>8042977.1251496458</v>
      </c>
      <c r="AH90" s="94">
        <f ca="1">VLOOKUP($P90,'Regresion Q3'!$J$6:$N$10,4,1)*$P90+VLOOKUP($P90,'Regresion Q3'!$J$6:$N$10,5,1)</f>
        <v>8159577.8390261466</v>
      </c>
      <c r="AI90" s="94">
        <f ca="1">VLOOKUP($P90,'Regresion Q3'!$O$6:$S$10,4,1)*$P90+VLOOKUP($P90,'Regresion Q3'!$O$6:$S$10,5,1)</f>
        <v>8325411.8169010337</v>
      </c>
      <c r="AJ90" s="94">
        <f ca="1">VLOOKUP($P90,'Regresion Q1'!$T$6:$V$10,2,1)*$P90+VLOOKUP($P90,'Regresion Q1'!$T$6:$V$10,3,1)</f>
        <v>4638062.2832525559</v>
      </c>
      <c r="AK90" s="94">
        <f ca="1">VLOOKUP($P90,'Regresion Q1'!$W$6:$Y$10,2,1)*$P90+VLOOKUP($P90,'Regresion Q1'!$W$6:$Y$10,3,1)</f>
        <v>4778149.4413045589</v>
      </c>
      <c r="AL90" s="94">
        <f ca="1">VLOOKUP($P90,'Regresion Q1'!$Z$6:$AB$10,2,1)*$P90+VLOOKUP($P90,'Regresion Q1'!$Z$6:$AB$10,3,1)</f>
        <v>5004025.4327964708</v>
      </c>
      <c r="AM90" s="94">
        <f ca="1">VLOOKUP($P90,'Regresion Md'!$T$6:$V$10,2,1)*$P90+VLOOKUP($P90,'Regresion Md'!$T$6:$V$10,3,1)</f>
        <v>6735305.6529002115</v>
      </c>
      <c r="AN90" s="94">
        <f ca="1">VLOOKUP($P90,'Regresion Md'!$W$6:$Y$10,2,1)*$P90+VLOOKUP($P90,'Regresion Md'!$W$6:$Y$10,3,1)</f>
        <v>7071690.9876738749</v>
      </c>
      <c r="AO90" s="94">
        <f ca="1">VLOOKUP($P90,'Regresion Md'!$Z$6:$AB$10,2,1)*$P90+VLOOKUP($P90,'Regresion Md'!$Z$6:$AB$10,3,1)</f>
        <v>7381424.5958560165</v>
      </c>
      <c r="AP90" s="94">
        <f ca="1">VLOOKUP($P90,'Regresion Q3'!$T$6:$V$10,2,1)*$P90+VLOOKUP($P90,'Regresion Q3'!$T$6:$V$10,3,1)</f>
        <v>7561863.4888628842</v>
      </c>
      <c r="AQ90" s="94">
        <f ca="1">VLOOKUP($P90,'Regresion Q3'!$W$6:$Y$10,2,1)*$P90+VLOOKUP($P90,'Regresion Q3'!$W$6:$Y$10,3,1)</f>
        <v>7762512.414311124</v>
      </c>
      <c r="AR90" s="94">
        <f ca="1">VLOOKUP($P90,'Regresion Q3'!$Z$6:$AB$10,2,1)*$P90+VLOOKUP($P90,'Regresion Q3'!$Z$6:$AB$10,3,1)</f>
        <v>7945673.5511855679</v>
      </c>
      <c r="AS90" s="94">
        <f>IF($BN90=$BN91,-1,DatosHoy[[#This Row],[G ajus PM Q1]]-BO91)</f>
        <v>-1</v>
      </c>
      <c r="AT90" s="94">
        <f>IF($BN90=$BN91,-1,DatosHoy[[#This Row],[G+V ajus PM Q1]]-BP91)</f>
        <v>-1</v>
      </c>
      <c r="AU90" s="94">
        <f>IF($BN90=$BN91,-1,DatosHoy[[#This Row],[CT ajus PM Q1]]-BQ91)</f>
        <v>-1</v>
      </c>
      <c r="AV90" s="94">
        <f ca="1">IF(DatosHoy[[#This Row],[G ajus PM Q1]]=DatosHoy[[#This Row],[G+V ajus PM Q1]],-1,DatosHoy[[#This Row],[G ajus PM Q1]]-DatosHoy[[#This Row],[G+V ajus PM Q1]])</f>
        <v>-130973.20812571794</v>
      </c>
      <c r="AW90" s="94">
        <f ca="1">IF(DatosHoy[[#This Row],[G+V ajus PM Q1]]=DatosHoy[[#This Row],[CT ajus PM Q1]],-1,DatosHoy[[#This Row],[G+V ajus PM Q1]]-DatosHoy[[#This Row],[CT ajus PM Q1]])</f>
        <v>-210752.3410740681</v>
      </c>
      <c r="AX90" s="94">
        <f>IF($BN90=$BN91,-1,DatosHoy[[#This Row],[G ajus PMd]]-BR91)</f>
        <v>-1</v>
      </c>
      <c r="AY90" s="94">
        <f>IF($BN90=$BN91,-1,DatosHoy[[#This Row],[G+V ajus PM Md]]-BS91)</f>
        <v>-1</v>
      </c>
      <c r="AZ90" s="94">
        <f>IF($BN90=$BN91,-1,DatosHoy[[#This Row],[CT ajus PM Md]]-BT91)</f>
        <v>-1</v>
      </c>
      <c r="BA90" s="94">
        <f ca="1">IF(DatosHoy[[#This Row],[G ajus PMd]]=DatosHoy[[#This Row],[G+V ajus PM Md]],-1,DatosHoy[[#This Row],[G ajus PMd]]-DatosHoy[[#This Row],[G+V ajus PM Md]])</f>
        <v>-326853.52235694416</v>
      </c>
      <c r="BB90" s="94">
        <f ca="1">IF(DatosHoy[[#This Row],[G+V ajus PM Md]]=DatosHoy[[#This Row],[CT ajus PM Md]],-1,DatosHoy[[#This Row],[G+V ajus PM Md]]-DatosHoy[[#This Row],[CT ajus PM Md]])</f>
        <v>-306253.68818791769</v>
      </c>
      <c r="BC90" s="94">
        <f>IF($BN90=$BN91,-1,DatosHoy[[#This Row],[G ajus PM Q3]]-BU91)</f>
        <v>-1</v>
      </c>
      <c r="BD90" s="94">
        <f>IF($BN90=$BN91,-1,DatosHoy[[#This Row],[G+V ajus PM Q3]]-BV91)</f>
        <v>-1</v>
      </c>
      <c r="BE90" s="94">
        <f>IF($BN90=$BN91,-1,DatosHoy[[#This Row],[CT ajus PM Q3]]-BW91)</f>
        <v>-1</v>
      </c>
      <c r="BF90" s="94">
        <f ca="1">IF(DatosHoy[[#This Row],[G ajus PM Q3]]=DatosHoy[[#This Row],[G+V ajus PM Q3]],-1,DatosHoy[[#This Row],[G ajus PM Q3]]-DatosHoy[[#This Row],[G+V ajus PM Q3]])</f>
        <v>-198475.16460195556</v>
      </c>
      <c r="BG90" s="94">
        <f ca="1">IF(DatosHoy[[#This Row],[G+V ajus PM Q3]]=DatosHoy[[#This Row],[CT ajus PM Q3]],-1,DatosHoy[[#This Row],[G+V ajus PM Q3]]-DatosHoy[[#This Row],[CT ajus PM Q3]])</f>
        <v>-181383.1676118141</v>
      </c>
      <c r="BH90" s="94">
        <f ca="1">IF(DatosHoy[[#This Row],[G ajus PM Q1]]=DatosHoy[[#This Row],[G ajus PMd]],-1,DatosHoy[[#This Row],[G ajus PM Q1]]-DatosHoy[[#This Row],[G ajus PMd]])</f>
        <v>-2106090.8824396934</v>
      </c>
      <c r="BI90" s="94">
        <f ca="1">IF(DatosHoy[[#This Row],[G+V ajus PM Q1]]=DatosHoy[[#This Row],[G+V ajus PM Md]],-1,DatosHoy[[#This Row],[G+V ajus PM Q1]]-DatosHoy[[#This Row],[G+V ajus PM Md]])</f>
        <v>-2301971.1966709197</v>
      </c>
      <c r="BJ90" s="94">
        <f ca="1">IF(DatosHoy[[#This Row],[CT ajus PM Q1]]=DatosHoy[[#This Row],[CT ajus PM Md]],-1,DatosHoy[[#This Row],[CT ajus PM Q1]]-DatosHoy[[#This Row],[CT ajus PM Md]])</f>
        <v>-2397472.5437847693</v>
      </c>
      <c r="BK90" s="94">
        <f ca="1">IF(DatosHoy[[#This Row],[G ajus PMd]]=DatosHoy[[#This Row],[G ajus PM Q3]],-1,DatosHoy[[#This Row],[G ajus PMd]]-DatosHoy[[#This Row],[G ajus PM Q3]])</f>
        <v>-848943.76769294124</v>
      </c>
      <c r="BL90" s="94">
        <f ca="1">IF(DatosHoy[[#This Row],[G+V ajus PM Md]]=DatosHoy[[#This Row],[G+V ajus PM Q3]],-1,DatosHoy[[#This Row],[G+V ajus PM Md]]-DatosHoy[[#This Row],[G+V ajus PM Q3]])</f>
        <v>-720565.40993795265</v>
      </c>
      <c r="BM90" s="94">
        <f ca="1">IF(DatosHoy[[#This Row],[CT ajus PM Md]]=DatosHoy[[#This Row],[CT ajus PM Q3]],-1,DatosHoy[[#This Row],[CT ajus PM Md]]-DatosHoy[[#This Row],[CT ajus PM Q3]])</f>
        <v>-595694.88936184905</v>
      </c>
      <c r="BN90" s="74">
        <v>379</v>
      </c>
      <c r="BO90" s="94">
        <f ca="1">IFERROR(VLOOKUP($BN90,'Regresion Q1'!$T$6:$V$10,2,1)*$BN90+VLOOKUP($BN90,'Regresion Q1'!$T$6:$V$10,3,1),VLOOKUP(MIN(DatosHoy[Puntos]),'Regresion Q1'!$T$6:$V$10,2,1)*$BN90+VLOOKUP(MIN(DatosHoy[Puntos]),'Regresion Q1'!$T$6:$V$10,3,1))</f>
        <v>4514526.9471599981</v>
      </c>
      <c r="BP90" s="94">
        <f ca="1">IFERROR(VLOOKUP($BN90,'Regresion Q1'!$W$6:$Y$10,2,1)*$BN90+VLOOKUP($BN90,'Regresion Q1'!$W$6:$Y$10,3,1),VLOOKUP(MIN(DatosHoy[Puntos]),'Regresion Q1'!$W$6:$Y$10,2,1)*$BN90+VLOOKUP(MIN(DatosHoy[Puntos]),'Regresion Q1'!$W$6:$Y$10,3,1))</f>
        <v>4645500.1552857161</v>
      </c>
      <c r="BQ90" s="94">
        <f ca="1">IFERROR(VLOOKUP($BN90,'Regresion Q1'!$Z$6:$AB$10,2,1)*$BN90+VLOOKUP($BN90,'Regresion Q1'!$Z$6:$AB$10,3,1),VLOOKUP(MIN(DatosHoy[Puntos]),'Regresion Q1'!$Z$6:$AB$10,2,1)*$BN90+VLOOKUP(MIN(DatosHoy[Puntos]),'Regresion Q1'!$Z$6:$AB$10,3,1))</f>
        <v>4856252.4963597842</v>
      </c>
      <c r="BR90" s="94">
        <f ca="1">IFERROR(VLOOKUP($BN90,'Regresion Md'!$T$6:$V$10,2,1)*$BN90+VLOOKUP($BN90,'Regresion Md'!$T$6:$V$10,3,1),VLOOKUP(MIN(DatosHoy[Puntos]),'Regresion Md'!$T$6:$V$10,2,1)*$BN90+VLOOKUP(MIN(DatosHoy[Puntos]),'Regresion Md'!$T$6:$V$10,3,1))</f>
        <v>6620617.8295996916</v>
      </c>
      <c r="BS90" s="94">
        <f ca="1">IFERROR(VLOOKUP($BN90,'Regresion Md'!$W$6:$Y$10,2,1)*$BN90+VLOOKUP($BN90,'Regresion Md'!$W$6:$Y$10,3,1),VLOOKUP(MIN(DatosHoy[Puntos]),'Regresion Md'!$W$6:$Y$10,2,1)*$BN90+VLOOKUP(MIN(DatosHoy[Puntos]),'Regresion Md'!$W$6:$Y$10,3,1))</f>
        <v>6947471.3519566357</v>
      </c>
      <c r="BT90" s="94">
        <f ca="1">IFERROR(VLOOKUP($BN90,'Regresion Md'!$Z$6:$AB$10,2,1)*$BN90+VLOOKUP($BN90,'Regresion Md'!$Z$6:$AB$10,3,1),VLOOKUP(MIN(DatosHoy[Puntos]),'Regresion Md'!$Z$6:$AB$10,2,1)*$BN90+VLOOKUP(MIN(DatosHoy[Puntos]),'Regresion Md'!$Z$6:$AB$10,3,1))</f>
        <v>7253725.0401445534</v>
      </c>
      <c r="BU90" s="94">
        <f ca="1">IFERROR(VLOOKUP($BN90,'Regresion Q3'!$T$6:$V$10,2,1)*$BN90+VLOOKUP($BN90,'Regresion Q3'!$T$6:$V$10,3,1),VLOOKUP(MIN(DatosHoy[Puntos]),'Regresion Q3'!$T$6:$V$10,2,1)*$BN90+VLOOKUP(MIN(DatosHoy[Puntos]),'Regresion Q3'!$T$6:$V$10,3,1))</f>
        <v>7469561.5972926328</v>
      </c>
      <c r="BV90" s="94">
        <f ca="1">IFERROR(VLOOKUP($BN90,'Regresion Q3'!$W$6:$Y$10,2,1)*$BN90+VLOOKUP($BN90,'Regresion Q3'!$W$6:$Y$10,3,1),VLOOKUP(MIN(DatosHoy[Puntos]),'Regresion Q3'!$W$6:$Y$10,2,1)*$BN90+VLOOKUP(MIN(DatosHoy[Puntos]),'Regresion Q3'!$W$6:$Y$10,3,1))</f>
        <v>7668036.7618945884</v>
      </c>
      <c r="BW90" s="94">
        <f ca="1">IFERROR(VLOOKUP($BN90,'Regresion Q3'!$Z$6:$AB$10,2,1)*$BN90+VLOOKUP($BN90,'Regresion Q3'!$Z$6:$AB$10,3,1),VLOOKUP(MIN(DatosHoy[Puntos]),'Regresion Q3'!$Z$6:$AB$10,2,1)*$BN90+VLOOKUP(MIN(DatosHoy[Puntos]),'Regresion Q3'!$Z$6:$AB$10,3,1))</f>
        <v>7849419.9295064025</v>
      </c>
      <c r="BX90" s="96">
        <f ca="1">DatosHoy[[#This Row],[CT Actual]]/DatosHoy[[#This Row],[CT ajus PM Md]]</f>
        <v>0.61447407164349532</v>
      </c>
      <c r="BY90" s="125" t="str">
        <f>VLOOKUP(DatosHoy[[#This Row],[Cargo Valorado]],Estadísticos[[Cargo]:[Nivel]],2,FALSE)</f>
        <v>Táctico</v>
      </c>
      <c r="BZ90" s="96">
        <f>(DatosHoy[[#This Row],[G+V Actual]]-DatosHoy[[#This Row],[G Actual]])/DatosHoy[[#This Row],[CT Actual]]</f>
        <v>0</v>
      </c>
      <c r="CA90" s="96">
        <f>(DatosHoy[[#This Row],[CT Actual]]-DatosHoy[[#This Row],[G+V Actual]])/DatosHoy[[#This Row],[CT Actual]]</f>
        <v>0</v>
      </c>
      <c r="CB90" s="139" t="s">
        <v>255</v>
      </c>
    </row>
    <row r="91" spans="2:80" x14ac:dyDescent="0.25">
      <c r="B91" s="73">
        <f t="shared" si="45"/>
        <v>86</v>
      </c>
      <c r="C91" s="74">
        <v>4745510.1100000003</v>
      </c>
      <c r="D91" s="74">
        <v>4745510.1100000003</v>
      </c>
      <c r="E91" s="74">
        <v>4745510.1100000003</v>
      </c>
      <c r="F91" s="94">
        <f>VLOOKUP(DatosHoy[[#This Row],[Cargo Valorado]],Estadísticos[],3,0)</f>
        <v>9139836.976786565</v>
      </c>
      <c r="G91" s="94">
        <f>VLOOKUP(DatosHoy[[#This Row],[Cargo Valorado]],Estadísticos[],4,0)</f>
        <v>9139836.976786565</v>
      </c>
      <c r="H91" s="94">
        <f>VLOOKUP(DatosHoy[[#This Row],[Cargo Valorado]],Estadísticos[],5,0)</f>
        <v>9139836.976786565</v>
      </c>
      <c r="I91" s="94">
        <f>VLOOKUP(DatosHoy[[#This Row],[Cargo Valorado]],Estadísticos[],6,0)</f>
        <v>14453402.931129888</v>
      </c>
      <c r="J91" s="94">
        <f>VLOOKUP(DatosHoy[[#This Row],[Cargo Valorado]],Estadísticos[],7,0)</f>
        <v>14453402.931129888</v>
      </c>
      <c r="K91" s="94">
        <f>VLOOKUP(DatosHoy[[#This Row],[Cargo Valorado]],Estadísticos[],8,0)</f>
        <v>14595287.277824191</v>
      </c>
      <c r="L91" s="94">
        <f>VLOOKUP(DatosHoy[[#This Row],[Cargo Valorado]],Estadísticos[],9,0)</f>
        <v>15582840.257710904</v>
      </c>
      <c r="M91" s="94">
        <f>VLOOKUP(DatosHoy[[#This Row],[Cargo Valorado]],Estadísticos[],10,0)</f>
        <v>15582840.257710904</v>
      </c>
      <c r="N91" s="94">
        <f>VLOOKUP(DatosHoy[[#This Row],[Cargo Valorado]],Estadísticos[],11,0)</f>
        <v>15780582.170601029</v>
      </c>
      <c r="O91" s="75" t="s">
        <v>216</v>
      </c>
      <c r="P91" s="75">
        <v>396</v>
      </c>
      <c r="Q91" s="95" t="str">
        <f t="shared" si="46"/>
        <v>$P$91</v>
      </c>
      <c r="R91" s="95" t="str">
        <f t="shared" si="47"/>
        <v>$F$91</v>
      </c>
      <c r="S91" s="95" t="str">
        <f t="shared" si="48"/>
        <v>$G$91</v>
      </c>
      <c r="T91" s="95" t="str">
        <f t="shared" si="49"/>
        <v>$H$91</v>
      </c>
      <c r="U91" s="95" t="str">
        <f t="shared" si="50"/>
        <v>$I$91</v>
      </c>
      <c r="V91" s="95" t="str">
        <f t="shared" si="51"/>
        <v>$J$91</v>
      </c>
      <c r="W91" s="95" t="str">
        <f t="shared" si="52"/>
        <v>$K$91</v>
      </c>
      <c r="X91" s="95" t="str">
        <f t="shared" si="53"/>
        <v>$L$91</v>
      </c>
      <c r="Y91" s="95" t="str">
        <f t="shared" si="54"/>
        <v>$M$91</v>
      </c>
      <c r="Z91" s="95" t="str">
        <f t="shared" si="55"/>
        <v>$N$91</v>
      </c>
      <c r="AA91" s="94">
        <f ca="1">VLOOKUP($P91,'Regresion Q1'!$E$6:$I$10,4,1)*$P91+VLOOKUP($P91,'Regresion Q1'!$E$6:$I$10,5,1)</f>
        <v>4934547.0898746923</v>
      </c>
      <c r="AB91" s="94">
        <f ca="1">VLOOKUP($P91,'Regresion Q1'!$J$6:$N$10,4,1)*$P91+VLOOKUP($P91,'Regresion Q1'!$J$6:$N$10,5,1)</f>
        <v>5096507.7277497798</v>
      </c>
      <c r="AC91" s="94">
        <f ca="1">VLOOKUP($P91,'Regresion Q1'!$O$6:$S$10,4,1)*$P91+VLOOKUP($P91,'Regresion Q1'!$O$6:$S$10,5,1)</f>
        <v>5358680.4802445155</v>
      </c>
      <c r="AD91" s="94">
        <f ca="1">VLOOKUP($P91,'Regresion Md'!$E$6:$I$10,4,1)*$P91+VLOOKUP($P91,'Regresion Md'!$E$6:$I$10,5,1)</f>
        <v>7395114.6140165618</v>
      </c>
      <c r="AE91" s="94">
        <f ca="1">VLOOKUP($P91,'Regresion Md'!$J$6:$N$10,4,1)*$P91+VLOOKUP($P91,'Regresion Md'!$J$6:$N$10,5,1)</f>
        <v>7565312.464411499</v>
      </c>
      <c r="AF91" s="94">
        <f ca="1">VLOOKUP($P91,'Regresion Md'!$O$6:$S$10,4,1)*$P91+VLOOKUP($P91,'Regresion Md'!$O$6:$S$10,5,1)</f>
        <v>7736951.1543173809</v>
      </c>
      <c r="AG91" s="94">
        <f ca="1">VLOOKUP($P91,'Regresion Q3'!$E$6:$I$10,4,1)*$P91+VLOOKUP($P91,'Regresion Q3'!$E$6:$I$10,5,1)</f>
        <v>8341690.5793419974</v>
      </c>
      <c r="AH91" s="94">
        <f ca="1">VLOOKUP($P91,'Regresion Q3'!$J$6:$N$10,4,1)*$P91+VLOOKUP($P91,'Regresion Q3'!$J$6:$N$10,5,1)</f>
        <v>8462060.0608792007</v>
      </c>
      <c r="AI91" s="94">
        <f ca="1">VLOOKUP($P91,'Regresion Q3'!$O$6:$S$10,4,1)*$P91+VLOOKUP($P91,'Regresion Q3'!$O$6:$S$10,5,1)</f>
        <v>8626104.3420915939</v>
      </c>
      <c r="AJ91" s="94">
        <f ca="1">VLOOKUP($P91,'Regresion Q1'!$T$6:$V$10,2,1)*$P91+VLOOKUP($P91,'Regresion Q1'!$T$6:$V$10,3,1)</f>
        <v>4934547.0898746941</v>
      </c>
      <c r="AK91" s="94">
        <f ca="1">VLOOKUP($P91,'Regresion Q1'!$W$6:$Y$10,2,1)*$P91+VLOOKUP($P91,'Regresion Q1'!$W$6:$Y$10,3,1)</f>
        <v>5096507.7277497761</v>
      </c>
      <c r="AL91" s="94">
        <f ca="1">VLOOKUP($P91,'Regresion Q1'!$Z$6:$AB$10,2,1)*$P91+VLOOKUP($P91,'Regresion Q1'!$Z$6:$AB$10,3,1)</f>
        <v>5358680.4802445155</v>
      </c>
      <c r="AM91" s="94">
        <f ca="1">VLOOKUP($P91,'Regresion Md'!$T$6:$V$10,2,1)*$P91+VLOOKUP($P91,'Regresion Md'!$T$6:$V$10,3,1)</f>
        <v>7010556.4288214613</v>
      </c>
      <c r="AN91" s="94">
        <f ca="1">VLOOKUP($P91,'Regresion Md'!$W$6:$Y$10,2,1)*$P91+VLOOKUP($P91,'Regresion Md'!$W$6:$Y$10,3,1)</f>
        <v>7369818.1133952513</v>
      </c>
      <c r="AO91" s="94">
        <f ca="1">VLOOKUP($P91,'Regresion Md'!$Z$6:$AB$10,2,1)*$P91+VLOOKUP($P91,'Regresion Md'!$Z$6:$AB$10,3,1)</f>
        <v>7687903.5295635257</v>
      </c>
      <c r="AP91" s="94">
        <f ca="1">VLOOKUP($P91,'Regresion Q3'!$T$6:$V$10,2,1)*$P91+VLOOKUP($P91,'Regresion Q3'!$T$6:$V$10,3,1)</f>
        <v>7783388.0286314869</v>
      </c>
      <c r="AQ91" s="94">
        <f ca="1">VLOOKUP($P91,'Regresion Q3'!$W$6:$Y$10,2,1)*$P91+VLOOKUP($P91,'Regresion Q3'!$W$6:$Y$10,3,1)</f>
        <v>7989253.9801108083</v>
      </c>
      <c r="AR91" s="94">
        <f ca="1">VLOOKUP($P91,'Regresion Q3'!$Z$6:$AB$10,2,1)*$P91+VLOOKUP($P91,'Regresion Q3'!$Z$6:$AB$10,3,1)</f>
        <v>8176682.2432155646</v>
      </c>
      <c r="AS91" s="94">
        <f>IF($BN91=$BN92,-1,DatosHoy[[#This Row],[G ajus PM Q1]]-BO92)</f>
        <v>-1</v>
      </c>
      <c r="AT91" s="94">
        <f>IF($BN91=$BN92,-1,DatosHoy[[#This Row],[G+V ajus PM Q1]]-BP92)</f>
        <v>-1</v>
      </c>
      <c r="AU91" s="94">
        <f>IF($BN91=$BN92,-1,DatosHoy[[#This Row],[CT ajus PM Q1]]-BQ92)</f>
        <v>-1</v>
      </c>
      <c r="AV91" s="94">
        <f ca="1">IF(DatosHoy[[#This Row],[G ajus PM Q1]]=DatosHoy[[#This Row],[G+V ajus PM Q1]],-1,DatosHoy[[#This Row],[G ajus PM Q1]]-DatosHoy[[#This Row],[G+V ajus PM Q1]])</f>
        <v>-130973.20812571794</v>
      </c>
      <c r="AW91" s="94">
        <f ca="1">IF(DatosHoy[[#This Row],[G+V ajus PM Q1]]=DatosHoy[[#This Row],[CT ajus PM Q1]],-1,DatosHoy[[#This Row],[G+V ajus PM Q1]]-DatosHoy[[#This Row],[CT ajus PM Q1]])</f>
        <v>-210752.3410740681</v>
      </c>
      <c r="AX91" s="94">
        <f>IF($BN91=$BN92,-1,DatosHoy[[#This Row],[G ajus PMd]]-BR92)</f>
        <v>-1</v>
      </c>
      <c r="AY91" s="94">
        <f>IF($BN91=$BN92,-1,DatosHoy[[#This Row],[G+V ajus PM Md]]-BS92)</f>
        <v>-1</v>
      </c>
      <c r="AZ91" s="94">
        <f>IF($BN91=$BN92,-1,DatosHoy[[#This Row],[CT ajus PM Md]]-BT92)</f>
        <v>-1</v>
      </c>
      <c r="BA91" s="94">
        <f ca="1">IF(DatosHoy[[#This Row],[G ajus PMd]]=DatosHoy[[#This Row],[G+V ajus PM Md]],-1,DatosHoy[[#This Row],[G ajus PMd]]-DatosHoy[[#This Row],[G+V ajus PM Md]])</f>
        <v>-326853.52235694416</v>
      </c>
      <c r="BB91" s="94">
        <f ca="1">IF(DatosHoy[[#This Row],[G+V ajus PM Md]]=DatosHoy[[#This Row],[CT ajus PM Md]],-1,DatosHoy[[#This Row],[G+V ajus PM Md]]-DatosHoy[[#This Row],[CT ajus PM Md]])</f>
        <v>-306253.68818791769</v>
      </c>
      <c r="BC91" s="94">
        <f>IF($BN91=$BN92,-1,DatosHoy[[#This Row],[G ajus PM Q3]]-BU92)</f>
        <v>-1</v>
      </c>
      <c r="BD91" s="94">
        <f>IF($BN91=$BN92,-1,DatosHoy[[#This Row],[G+V ajus PM Q3]]-BV92)</f>
        <v>-1</v>
      </c>
      <c r="BE91" s="94">
        <f>IF($BN91=$BN92,-1,DatosHoy[[#This Row],[CT ajus PM Q3]]-BW92)</f>
        <v>-1</v>
      </c>
      <c r="BF91" s="94">
        <f ca="1">IF(DatosHoy[[#This Row],[G ajus PM Q3]]=DatosHoy[[#This Row],[G+V ajus PM Q3]],-1,DatosHoy[[#This Row],[G ajus PM Q3]]-DatosHoy[[#This Row],[G+V ajus PM Q3]])</f>
        <v>-198475.16460195556</v>
      </c>
      <c r="BG91" s="94">
        <f ca="1">IF(DatosHoy[[#This Row],[G+V ajus PM Q3]]=DatosHoy[[#This Row],[CT ajus PM Q3]],-1,DatosHoy[[#This Row],[G+V ajus PM Q3]]-DatosHoy[[#This Row],[CT ajus PM Q3]])</f>
        <v>-181383.1676118141</v>
      </c>
      <c r="BH91" s="94">
        <f ca="1">IF(DatosHoy[[#This Row],[G ajus PM Q1]]=DatosHoy[[#This Row],[G ajus PMd]],-1,DatosHoy[[#This Row],[G ajus PM Q1]]-DatosHoy[[#This Row],[G ajus PMd]])</f>
        <v>-2106090.8824396934</v>
      </c>
      <c r="BI91" s="94">
        <f ca="1">IF(DatosHoy[[#This Row],[G+V ajus PM Q1]]=DatosHoy[[#This Row],[G+V ajus PM Md]],-1,DatosHoy[[#This Row],[G+V ajus PM Q1]]-DatosHoy[[#This Row],[G+V ajus PM Md]])</f>
        <v>-2301971.1966709197</v>
      </c>
      <c r="BJ91" s="94">
        <f ca="1">IF(DatosHoy[[#This Row],[CT ajus PM Q1]]=DatosHoy[[#This Row],[CT ajus PM Md]],-1,DatosHoy[[#This Row],[CT ajus PM Q1]]-DatosHoy[[#This Row],[CT ajus PM Md]])</f>
        <v>-2397472.5437847693</v>
      </c>
      <c r="BK91" s="94">
        <f ca="1">IF(DatosHoy[[#This Row],[G ajus PMd]]=DatosHoy[[#This Row],[G ajus PM Q3]],-1,DatosHoy[[#This Row],[G ajus PMd]]-DatosHoy[[#This Row],[G ajus PM Q3]])</f>
        <v>-848943.76769294124</v>
      </c>
      <c r="BL91" s="94">
        <f ca="1">IF(DatosHoy[[#This Row],[G+V ajus PM Md]]=DatosHoy[[#This Row],[G+V ajus PM Q3]],-1,DatosHoy[[#This Row],[G+V ajus PM Md]]-DatosHoy[[#This Row],[G+V ajus PM Q3]])</f>
        <v>-720565.40993795265</v>
      </c>
      <c r="BM91" s="94">
        <f ca="1">IF(DatosHoy[[#This Row],[CT ajus PM Md]]=DatosHoy[[#This Row],[CT ajus PM Q3]],-1,DatosHoy[[#This Row],[CT ajus PM Md]]-DatosHoy[[#This Row],[CT ajus PM Q3]])</f>
        <v>-595694.88936184905</v>
      </c>
      <c r="BN91" s="74">
        <v>379</v>
      </c>
      <c r="BO91" s="94">
        <f ca="1">IFERROR(VLOOKUP($BN91,'Regresion Q1'!$T$6:$V$10,2,1)*$BN91+VLOOKUP($BN91,'Regresion Q1'!$T$6:$V$10,3,1),VLOOKUP(MIN(DatosHoy[Puntos]),'Regresion Q1'!$T$6:$V$10,2,1)*$BN91+VLOOKUP(MIN(DatosHoy[Puntos]),'Regresion Q1'!$T$6:$V$10,3,1))</f>
        <v>4514526.9471599981</v>
      </c>
      <c r="BP91" s="94">
        <f ca="1">IFERROR(VLOOKUP($BN91,'Regresion Q1'!$W$6:$Y$10,2,1)*$BN91+VLOOKUP($BN91,'Regresion Q1'!$W$6:$Y$10,3,1),VLOOKUP(MIN(DatosHoy[Puntos]),'Regresion Q1'!$W$6:$Y$10,2,1)*$BN91+VLOOKUP(MIN(DatosHoy[Puntos]),'Regresion Q1'!$W$6:$Y$10,3,1))</f>
        <v>4645500.1552857161</v>
      </c>
      <c r="BQ91" s="94">
        <f ca="1">IFERROR(VLOOKUP($BN91,'Regresion Q1'!$Z$6:$AB$10,2,1)*$BN91+VLOOKUP($BN91,'Regresion Q1'!$Z$6:$AB$10,3,1),VLOOKUP(MIN(DatosHoy[Puntos]),'Regresion Q1'!$Z$6:$AB$10,2,1)*$BN91+VLOOKUP(MIN(DatosHoy[Puntos]),'Regresion Q1'!$Z$6:$AB$10,3,1))</f>
        <v>4856252.4963597842</v>
      </c>
      <c r="BR91" s="94">
        <f ca="1">IFERROR(VLOOKUP($BN91,'Regresion Md'!$T$6:$V$10,2,1)*$BN91+VLOOKUP($BN91,'Regresion Md'!$T$6:$V$10,3,1),VLOOKUP(MIN(DatosHoy[Puntos]),'Regresion Md'!$T$6:$V$10,2,1)*$BN91+VLOOKUP(MIN(DatosHoy[Puntos]),'Regresion Md'!$T$6:$V$10,3,1))</f>
        <v>6620617.8295996916</v>
      </c>
      <c r="BS91" s="94">
        <f ca="1">IFERROR(VLOOKUP($BN91,'Regresion Md'!$W$6:$Y$10,2,1)*$BN91+VLOOKUP($BN91,'Regresion Md'!$W$6:$Y$10,3,1),VLOOKUP(MIN(DatosHoy[Puntos]),'Regresion Md'!$W$6:$Y$10,2,1)*$BN91+VLOOKUP(MIN(DatosHoy[Puntos]),'Regresion Md'!$W$6:$Y$10,3,1))</f>
        <v>6947471.3519566357</v>
      </c>
      <c r="BT91" s="94">
        <f ca="1">IFERROR(VLOOKUP($BN91,'Regresion Md'!$Z$6:$AB$10,2,1)*$BN91+VLOOKUP($BN91,'Regresion Md'!$Z$6:$AB$10,3,1),VLOOKUP(MIN(DatosHoy[Puntos]),'Regresion Md'!$Z$6:$AB$10,2,1)*$BN91+VLOOKUP(MIN(DatosHoy[Puntos]),'Regresion Md'!$Z$6:$AB$10,3,1))</f>
        <v>7253725.0401445534</v>
      </c>
      <c r="BU91" s="94">
        <f ca="1">IFERROR(VLOOKUP($BN91,'Regresion Q3'!$T$6:$V$10,2,1)*$BN91+VLOOKUP($BN91,'Regresion Q3'!$T$6:$V$10,3,1),VLOOKUP(MIN(DatosHoy[Puntos]),'Regresion Q3'!$T$6:$V$10,2,1)*$BN91+VLOOKUP(MIN(DatosHoy[Puntos]),'Regresion Q3'!$T$6:$V$10,3,1))</f>
        <v>7469561.5972926328</v>
      </c>
      <c r="BV91" s="94">
        <f ca="1">IFERROR(VLOOKUP($BN91,'Regresion Q3'!$W$6:$Y$10,2,1)*$BN91+VLOOKUP($BN91,'Regresion Q3'!$W$6:$Y$10,3,1),VLOOKUP(MIN(DatosHoy[Puntos]),'Regresion Q3'!$W$6:$Y$10,2,1)*$BN91+VLOOKUP(MIN(DatosHoy[Puntos]),'Regresion Q3'!$W$6:$Y$10,3,1))</f>
        <v>7668036.7618945884</v>
      </c>
      <c r="BW91" s="94">
        <f ca="1">IFERROR(VLOOKUP($BN91,'Regresion Q3'!$Z$6:$AB$10,2,1)*$BN91+VLOOKUP($BN91,'Regresion Q3'!$Z$6:$AB$10,3,1),VLOOKUP(MIN(DatosHoy[Puntos]),'Regresion Q3'!$Z$6:$AB$10,2,1)*$BN91+VLOOKUP(MIN(DatosHoy[Puntos]),'Regresion Q3'!$Z$6:$AB$10,3,1))</f>
        <v>7849419.9295064025</v>
      </c>
      <c r="BX91" s="96">
        <f ca="1">DatosHoy[[#This Row],[CT Actual]]/DatosHoy[[#This Row],[CT ajus PM Md]]</f>
        <v>0.65421698282423879</v>
      </c>
      <c r="BY91" s="125" t="str">
        <f>VLOOKUP(DatosHoy[[#This Row],[Cargo Valorado]],Estadísticos[[Cargo]:[Nivel]],2,FALSE)</f>
        <v>Táctico</v>
      </c>
      <c r="BZ91" s="96">
        <f>(DatosHoy[[#This Row],[G+V Actual]]-DatosHoy[[#This Row],[G Actual]])/DatosHoy[[#This Row],[CT Actual]]</f>
        <v>0</v>
      </c>
      <c r="CA91" s="96">
        <f>(DatosHoy[[#This Row],[CT Actual]]-DatosHoy[[#This Row],[G+V Actual]])/DatosHoy[[#This Row],[CT Actual]]</f>
        <v>0</v>
      </c>
      <c r="CB91" s="139" t="s">
        <v>255</v>
      </c>
    </row>
    <row r="92" spans="2:80" x14ac:dyDescent="0.25">
      <c r="B92" s="73">
        <f t="shared" si="45"/>
        <v>87</v>
      </c>
      <c r="C92" s="74">
        <v>4745510.1100000003</v>
      </c>
      <c r="D92" s="74">
        <v>4745510.1100000003</v>
      </c>
      <c r="E92" s="74">
        <v>4745510.1100000003</v>
      </c>
      <c r="F92" s="94">
        <f>VLOOKUP(DatosHoy[[#This Row],[Cargo Valorado]],Estadísticos[],3,0)</f>
        <v>9139836.976786565</v>
      </c>
      <c r="G92" s="94">
        <f>VLOOKUP(DatosHoy[[#This Row],[Cargo Valorado]],Estadísticos[],4,0)</f>
        <v>9139836.976786565</v>
      </c>
      <c r="H92" s="94">
        <f>VLOOKUP(DatosHoy[[#This Row],[Cargo Valorado]],Estadísticos[],5,0)</f>
        <v>9139836.976786565</v>
      </c>
      <c r="I92" s="94">
        <f>VLOOKUP(DatosHoy[[#This Row],[Cargo Valorado]],Estadísticos[],6,0)</f>
        <v>14453402.931129888</v>
      </c>
      <c r="J92" s="94">
        <f>VLOOKUP(DatosHoy[[#This Row],[Cargo Valorado]],Estadísticos[],7,0)</f>
        <v>14453402.931129888</v>
      </c>
      <c r="K92" s="94">
        <f>VLOOKUP(DatosHoy[[#This Row],[Cargo Valorado]],Estadísticos[],8,0)</f>
        <v>14595287.277824191</v>
      </c>
      <c r="L92" s="94">
        <f>VLOOKUP(DatosHoy[[#This Row],[Cargo Valorado]],Estadísticos[],9,0)</f>
        <v>15582840.257710904</v>
      </c>
      <c r="M92" s="94">
        <f>VLOOKUP(DatosHoy[[#This Row],[Cargo Valorado]],Estadísticos[],10,0)</f>
        <v>15582840.257710904</v>
      </c>
      <c r="N92" s="94">
        <f>VLOOKUP(DatosHoy[[#This Row],[Cargo Valorado]],Estadísticos[],11,0)</f>
        <v>15780582.170601029</v>
      </c>
      <c r="O92" s="75" t="s">
        <v>216</v>
      </c>
      <c r="P92" s="75">
        <v>396</v>
      </c>
      <c r="Q92" s="95" t="str">
        <f t="shared" si="46"/>
        <v>$P$92</v>
      </c>
      <c r="R92" s="95" t="str">
        <f t="shared" si="47"/>
        <v>$F$92</v>
      </c>
      <c r="S92" s="95" t="str">
        <f t="shared" si="48"/>
        <v>$G$92</v>
      </c>
      <c r="T92" s="95" t="str">
        <f t="shared" si="49"/>
        <v>$H$92</v>
      </c>
      <c r="U92" s="95" t="str">
        <f t="shared" si="50"/>
        <v>$I$92</v>
      </c>
      <c r="V92" s="95" t="str">
        <f t="shared" si="51"/>
        <v>$J$92</v>
      </c>
      <c r="W92" s="95" t="str">
        <f t="shared" si="52"/>
        <v>$K$92</v>
      </c>
      <c r="X92" s="95" t="str">
        <f t="shared" si="53"/>
        <v>$L$92</v>
      </c>
      <c r="Y92" s="95" t="str">
        <f t="shared" si="54"/>
        <v>$M$92</v>
      </c>
      <c r="Z92" s="95" t="str">
        <f t="shared" si="55"/>
        <v>$N$92</v>
      </c>
      <c r="AA92" s="94">
        <f ca="1">VLOOKUP($P92,'Regresion Q1'!$E$6:$I$10,4,1)*$P92+VLOOKUP($P92,'Regresion Q1'!$E$6:$I$10,5,1)</f>
        <v>4934547.0898746923</v>
      </c>
      <c r="AB92" s="94">
        <f ca="1">VLOOKUP($P92,'Regresion Q1'!$J$6:$N$10,4,1)*$P92+VLOOKUP($P92,'Regresion Q1'!$J$6:$N$10,5,1)</f>
        <v>5096507.7277497798</v>
      </c>
      <c r="AC92" s="94">
        <f ca="1">VLOOKUP($P92,'Regresion Q1'!$O$6:$S$10,4,1)*$P92+VLOOKUP($P92,'Regresion Q1'!$O$6:$S$10,5,1)</f>
        <v>5358680.4802445155</v>
      </c>
      <c r="AD92" s="94">
        <f ca="1">VLOOKUP($P92,'Regresion Md'!$E$6:$I$10,4,1)*$P92+VLOOKUP($P92,'Regresion Md'!$E$6:$I$10,5,1)</f>
        <v>7395114.6140165618</v>
      </c>
      <c r="AE92" s="94">
        <f ca="1">VLOOKUP($P92,'Regresion Md'!$J$6:$N$10,4,1)*$P92+VLOOKUP($P92,'Regresion Md'!$J$6:$N$10,5,1)</f>
        <v>7565312.464411499</v>
      </c>
      <c r="AF92" s="94">
        <f ca="1">VLOOKUP($P92,'Regresion Md'!$O$6:$S$10,4,1)*$P92+VLOOKUP($P92,'Regresion Md'!$O$6:$S$10,5,1)</f>
        <v>7736951.1543173809</v>
      </c>
      <c r="AG92" s="94">
        <f ca="1">VLOOKUP($P92,'Regresion Q3'!$E$6:$I$10,4,1)*$P92+VLOOKUP($P92,'Regresion Q3'!$E$6:$I$10,5,1)</f>
        <v>8341690.5793419974</v>
      </c>
      <c r="AH92" s="94">
        <f ca="1">VLOOKUP($P92,'Regresion Q3'!$J$6:$N$10,4,1)*$P92+VLOOKUP($P92,'Regresion Q3'!$J$6:$N$10,5,1)</f>
        <v>8462060.0608792007</v>
      </c>
      <c r="AI92" s="94">
        <f ca="1">VLOOKUP($P92,'Regresion Q3'!$O$6:$S$10,4,1)*$P92+VLOOKUP($P92,'Regresion Q3'!$O$6:$S$10,5,1)</f>
        <v>8626104.3420915939</v>
      </c>
      <c r="AJ92" s="94">
        <f ca="1">VLOOKUP($P92,'Regresion Q1'!$T$6:$V$10,2,1)*$P92+VLOOKUP($P92,'Regresion Q1'!$T$6:$V$10,3,1)</f>
        <v>4934547.0898746941</v>
      </c>
      <c r="AK92" s="94">
        <f ca="1">VLOOKUP($P92,'Regresion Q1'!$W$6:$Y$10,2,1)*$P92+VLOOKUP($P92,'Regresion Q1'!$W$6:$Y$10,3,1)</f>
        <v>5096507.7277497761</v>
      </c>
      <c r="AL92" s="94">
        <f ca="1">VLOOKUP($P92,'Regresion Q1'!$Z$6:$AB$10,2,1)*$P92+VLOOKUP($P92,'Regresion Q1'!$Z$6:$AB$10,3,1)</f>
        <v>5358680.4802445155</v>
      </c>
      <c r="AM92" s="94">
        <f ca="1">VLOOKUP($P92,'Regresion Md'!$T$6:$V$10,2,1)*$P92+VLOOKUP($P92,'Regresion Md'!$T$6:$V$10,3,1)</f>
        <v>7010556.4288214613</v>
      </c>
      <c r="AN92" s="94">
        <f ca="1">VLOOKUP($P92,'Regresion Md'!$W$6:$Y$10,2,1)*$P92+VLOOKUP($P92,'Regresion Md'!$W$6:$Y$10,3,1)</f>
        <v>7369818.1133952513</v>
      </c>
      <c r="AO92" s="94">
        <f ca="1">VLOOKUP($P92,'Regresion Md'!$Z$6:$AB$10,2,1)*$P92+VLOOKUP($P92,'Regresion Md'!$Z$6:$AB$10,3,1)</f>
        <v>7687903.5295635257</v>
      </c>
      <c r="AP92" s="94">
        <f ca="1">VLOOKUP($P92,'Regresion Q3'!$T$6:$V$10,2,1)*$P92+VLOOKUP($P92,'Regresion Q3'!$T$6:$V$10,3,1)</f>
        <v>7783388.0286314869</v>
      </c>
      <c r="AQ92" s="94">
        <f ca="1">VLOOKUP($P92,'Regresion Q3'!$W$6:$Y$10,2,1)*$P92+VLOOKUP($P92,'Regresion Q3'!$W$6:$Y$10,3,1)</f>
        <v>7989253.9801108083</v>
      </c>
      <c r="AR92" s="94">
        <f ca="1">VLOOKUP($P92,'Regresion Q3'!$Z$6:$AB$10,2,1)*$P92+VLOOKUP($P92,'Regresion Q3'!$Z$6:$AB$10,3,1)</f>
        <v>8176682.2432155646</v>
      </c>
      <c r="AS92" s="94">
        <f>IF($BN92=$BN93,-1,DatosHoy[[#This Row],[G ajus PM Q1]]-BO93)</f>
        <v>-1</v>
      </c>
      <c r="AT92" s="94">
        <f>IF($BN92=$BN93,-1,DatosHoy[[#This Row],[G+V ajus PM Q1]]-BP93)</f>
        <v>-1</v>
      </c>
      <c r="AU92" s="94">
        <f>IF($BN92=$BN93,-1,DatosHoy[[#This Row],[CT ajus PM Q1]]-BQ93)</f>
        <v>-1</v>
      </c>
      <c r="AV92" s="94">
        <f ca="1">IF(DatosHoy[[#This Row],[G ajus PM Q1]]=DatosHoy[[#This Row],[G+V ajus PM Q1]],-1,DatosHoy[[#This Row],[G ajus PM Q1]]-DatosHoy[[#This Row],[G+V ajus PM Q1]])</f>
        <v>-130973.20812571794</v>
      </c>
      <c r="AW92" s="94">
        <f ca="1">IF(DatosHoy[[#This Row],[G+V ajus PM Q1]]=DatosHoy[[#This Row],[CT ajus PM Q1]],-1,DatosHoy[[#This Row],[G+V ajus PM Q1]]-DatosHoy[[#This Row],[CT ajus PM Q1]])</f>
        <v>-210752.3410740681</v>
      </c>
      <c r="AX92" s="94">
        <f>IF($BN92=$BN93,-1,DatosHoy[[#This Row],[G ajus PMd]]-BR93)</f>
        <v>-1</v>
      </c>
      <c r="AY92" s="94">
        <f>IF($BN92=$BN93,-1,DatosHoy[[#This Row],[G+V ajus PM Md]]-BS93)</f>
        <v>-1</v>
      </c>
      <c r="AZ92" s="94">
        <f>IF($BN92=$BN93,-1,DatosHoy[[#This Row],[CT ajus PM Md]]-BT93)</f>
        <v>-1</v>
      </c>
      <c r="BA92" s="94">
        <f ca="1">IF(DatosHoy[[#This Row],[G ajus PMd]]=DatosHoy[[#This Row],[G+V ajus PM Md]],-1,DatosHoy[[#This Row],[G ajus PMd]]-DatosHoy[[#This Row],[G+V ajus PM Md]])</f>
        <v>-326853.52235694416</v>
      </c>
      <c r="BB92" s="94">
        <f ca="1">IF(DatosHoy[[#This Row],[G+V ajus PM Md]]=DatosHoy[[#This Row],[CT ajus PM Md]],-1,DatosHoy[[#This Row],[G+V ajus PM Md]]-DatosHoy[[#This Row],[CT ajus PM Md]])</f>
        <v>-306253.68818791769</v>
      </c>
      <c r="BC92" s="94">
        <f>IF($BN92=$BN93,-1,DatosHoy[[#This Row],[G ajus PM Q3]]-BU93)</f>
        <v>-1</v>
      </c>
      <c r="BD92" s="94">
        <f>IF($BN92=$BN93,-1,DatosHoy[[#This Row],[G+V ajus PM Q3]]-BV93)</f>
        <v>-1</v>
      </c>
      <c r="BE92" s="94">
        <f>IF($BN92=$BN93,-1,DatosHoy[[#This Row],[CT ajus PM Q3]]-BW93)</f>
        <v>-1</v>
      </c>
      <c r="BF92" s="94">
        <f ca="1">IF(DatosHoy[[#This Row],[G ajus PM Q3]]=DatosHoy[[#This Row],[G+V ajus PM Q3]],-1,DatosHoy[[#This Row],[G ajus PM Q3]]-DatosHoy[[#This Row],[G+V ajus PM Q3]])</f>
        <v>-198475.16460195556</v>
      </c>
      <c r="BG92" s="94">
        <f ca="1">IF(DatosHoy[[#This Row],[G+V ajus PM Q3]]=DatosHoy[[#This Row],[CT ajus PM Q3]],-1,DatosHoy[[#This Row],[G+V ajus PM Q3]]-DatosHoy[[#This Row],[CT ajus PM Q3]])</f>
        <v>-181383.1676118141</v>
      </c>
      <c r="BH92" s="94">
        <f ca="1">IF(DatosHoy[[#This Row],[G ajus PM Q1]]=DatosHoy[[#This Row],[G ajus PMd]],-1,DatosHoy[[#This Row],[G ajus PM Q1]]-DatosHoy[[#This Row],[G ajus PMd]])</f>
        <v>-2106090.8824396934</v>
      </c>
      <c r="BI92" s="94">
        <f ca="1">IF(DatosHoy[[#This Row],[G+V ajus PM Q1]]=DatosHoy[[#This Row],[G+V ajus PM Md]],-1,DatosHoy[[#This Row],[G+V ajus PM Q1]]-DatosHoy[[#This Row],[G+V ajus PM Md]])</f>
        <v>-2301971.1966709197</v>
      </c>
      <c r="BJ92" s="94">
        <f ca="1">IF(DatosHoy[[#This Row],[CT ajus PM Q1]]=DatosHoy[[#This Row],[CT ajus PM Md]],-1,DatosHoy[[#This Row],[CT ajus PM Q1]]-DatosHoy[[#This Row],[CT ajus PM Md]])</f>
        <v>-2397472.5437847693</v>
      </c>
      <c r="BK92" s="94">
        <f ca="1">IF(DatosHoy[[#This Row],[G ajus PMd]]=DatosHoy[[#This Row],[G ajus PM Q3]],-1,DatosHoy[[#This Row],[G ajus PMd]]-DatosHoy[[#This Row],[G ajus PM Q3]])</f>
        <v>-848943.76769294124</v>
      </c>
      <c r="BL92" s="94">
        <f ca="1">IF(DatosHoy[[#This Row],[G+V ajus PM Md]]=DatosHoy[[#This Row],[G+V ajus PM Q3]],-1,DatosHoy[[#This Row],[G+V ajus PM Md]]-DatosHoy[[#This Row],[G+V ajus PM Q3]])</f>
        <v>-720565.40993795265</v>
      </c>
      <c r="BM92" s="94">
        <f ca="1">IF(DatosHoy[[#This Row],[CT ajus PM Md]]=DatosHoy[[#This Row],[CT ajus PM Q3]],-1,DatosHoy[[#This Row],[CT ajus PM Md]]-DatosHoy[[#This Row],[CT ajus PM Q3]])</f>
        <v>-595694.88936184905</v>
      </c>
      <c r="BN92" s="74">
        <v>379</v>
      </c>
      <c r="BO92" s="94">
        <f ca="1">IFERROR(VLOOKUP($BN92,'Regresion Q1'!$T$6:$V$10,2,1)*$BN92+VLOOKUP($BN92,'Regresion Q1'!$T$6:$V$10,3,1),VLOOKUP(MIN(DatosHoy[Puntos]),'Regresion Q1'!$T$6:$V$10,2,1)*$BN92+VLOOKUP(MIN(DatosHoy[Puntos]),'Regresion Q1'!$T$6:$V$10,3,1))</f>
        <v>4514526.9471599981</v>
      </c>
      <c r="BP92" s="94">
        <f ca="1">IFERROR(VLOOKUP($BN92,'Regresion Q1'!$W$6:$Y$10,2,1)*$BN92+VLOOKUP($BN92,'Regresion Q1'!$W$6:$Y$10,3,1),VLOOKUP(MIN(DatosHoy[Puntos]),'Regresion Q1'!$W$6:$Y$10,2,1)*$BN92+VLOOKUP(MIN(DatosHoy[Puntos]),'Regresion Q1'!$W$6:$Y$10,3,1))</f>
        <v>4645500.1552857161</v>
      </c>
      <c r="BQ92" s="94">
        <f ca="1">IFERROR(VLOOKUP($BN92,'Regresion Q1'!$Z$6:$AB$10,2,1)*$BN92+VLOOKUP($BN92,'Regresion Q1'!$Z$6:$AB$10,3,1),VLOOKUP(MIN(DatosHoy[Puntos]),'Regresion Q1'!$Z$6:$AB$10,2,1)*$BN92+VLOOKUP(MIN(DatosHoy[Puntos]),'Regresion Q1'!$Z$6:$AB$10,3,1))</f>
        <v>4856252.4963597842</v>
      </c>
      <c r="BR92" s="94">
        <f ca="1">IFERROR(VLOOKUP($BN92,'Regresion Md'!$T$6:$V$10,2,1)*$BN92+VLOOKUP($BN92,'Regresion Md'!$T$6:$V$10,3,1),VLOOKUP(MIN(DatosHoy[Puntos]),'Regresion Md'!$T$6:$V$10,2,1)*$BN92+VLOOKUP(MIN(DatosHoy[Puntos]),'Regresion Md'!$T$6:$V$10,3,1))</f>
        <v>6620617.8295996916</v>
      </c>
      <c r="BS92" s="94">
        <f ca="1">IFERROR(VLOOKUP($BN92,'Regresion Md'!$W$6:$Y$10,2,1)*$BN92+VLOOKUP($BN92,'Regresion Md'!$W$6:$Y$10,3,1),VLOOKUP(MIN(DatosHoy[Puntos]),'Regresion Md'!$W$6:$Y$10,2,1)*$BN92+VLOOKUP(MIN(DatosHoy[Puntos]),'Regresion Md'!$W$6:$Y$10,3,1))</f>
        <v>6947471.3519566357</v>
      </c>
      <c r="BT92" s="94">
        <f ca="1">IFERROR(VLOOKUP($BN92,'Regresion Md'!$Z$6:$AB$10,2,1)*$BN92+VLOOKUP($BN92,'Regresion Md'!$Z$6:$AB$10,3,1),VLOOKUP(MIN(DatosHoy[Puntos]),'Regresion Md'!$Z$6:$AB$10,2,1)*$BN92+VLOOKUP(MIN(DatosHoy[Puntos]),'Regresion Md'!$Z$6:$AB$10,3,1))</f>
        <v>7253725.0401445534</v>
      </c>
      <c r="BU92" s="94">
        <f ca="1">IFERROR(VLOOKUP($BN92,'Regresion Q3'!$T$6:$V$10,2,1)*$BN92+VLOOKUP($BN92,'Regresion Q3'!$T$6:$V$10,3,1),VLOOKUP(MIN(DatosHoy[Puntos]),'Regresion Q3'!$T$6:$V$10,2,1)*$BN92+VLOOKUP(MIN(DatosHoy[Puntos]),'Regresion Q3'!$T$6:$V$10,3,1))</f>
        <v>7469561.5972926328</v>
      </c>
      <c r="BV92" s="94">
        <f ca="1">IFERROR(VLOOKUP($BN92,'Regresion Q3'!$W$6:$Y$10,2,1)*$BN92+VLOOKUP($BN92,'Regresion Q3'!$W$6:$Y$10,3,1),VLOOKUP(MIN(DatosHoy[Puntos]),'Regresion Q3'!$W$6:$Y$10,2,1)*$BN92+VLOOKUP(MIN(DatosHoy[Puntos]),'Regresion Q3'!$W$6:$Y$10,3,1))</f>
        <v>7668036.7618945884</v>
      </c>
      <c r="BW92" s="94">
        <f ca="1">IFERROR(VLOOKUP($BN92,'Regresion Q3'!$Z$6:$AB$10,2,1)*$BN92+VLOOKUP($BN92,'Regresion Q3'!$Z$6:$AB$10,3,1),VLOOKUP(MIN(DatosHoy[Puntos]),'Regresion Q3'!$Z$6:$AB$10,2,1)*$BN92+VLOOKUP(MIN(DatosHoy[Puntos]),'Regresion Q3'!$Z$6:$AB$10,3,1))</f>
        <v>7849419.9295064025</v>
      </c>
      <c r="BX92" s="96">
        <f ca="1">DatosHoy[[#This Row],[CT Actual]]/DatosHoy[[#This Row],[CT ajus PM Md]]</f>
        <v>0.65421698282423879</v>
      </c>
      <c r="BY92" s="125" t="str">
        <f>VLOOKUP(DatosHoy[[#This Row],[Cargo Valorado]],Estadísticos[[Cargo]:[Nivel]],2,FALSE)</f>
        <v>Táctico</v>
      </c>
      <c r="BZ92" s="96">
        <f>(DatosHoy[[#This Row],[G+V Actual]]-DatosHoy[[#This Row],[G Actual]])/DatosHoy[[#This Row],[CT Actual]]</f>
        <v>0</v>
      </c>
      <c r="CA92" s="96">
        <f>(DatosHoy[[#This Row],[CT Actual]]-DatosHoy[[#This Row],[G+V Actual]])/DatosHoy[[#This Row],[CT Actual]]</f>
        <v>0</v>
      </c>
      <c r="CB92" s="139" t="s">
        <v>255</v>
      </c>
    </row>
    <row r="93" spans="2:80" x14ac:dyDescent="0.25">
      <c r="B93" s="73">
        <f t="shared" si="45"/>
        <v>88</v>
      </c>
      <c r="C93" s="74">
        <v>4745510.1100000003</v>
      </c>
      <c r="D93" s="74">
        <v>4745510.1100000003</v>
      </c>
      <c r="E93" s="74">
        <v>4745510.1100000003</v>
      </c>
      <c r="F93" s="94">
        <f>VLOOKUP(DatosHoy[[#This Row],[Cargo Valorado]],Estadísticos[],3,0)</f>
        <v>9139836.976786565</v>
      </c>
      <c r="G93" s="94">
        <f>VLOOKUP(DatosHoy[[#This Row],[Cargo Valorado]],Estadísticos[],4,0)</f>
        <v>9139836.976786565</v>
      </c>
      <c r="H93" s="94">
        <f>VLOOKUP(DatosHoy[[#This Row],[Cargo Valorado]],Estadísticos[],5,0)</f>
        <v>9139836.976786565</v>
      </c>
      <c r="I93" s="94">
        <f>VLOOKUP(DatosHoy[[#This Row],[Cargo Valorado]],Estadísticos[],6,0)</f>
        <v>14453402.931129888</v>
      </c>
      <c r="J93" s="94">
        <f>VLOOKUP(DatosHoy[[#This Row],[Cargo Valorado]],Estadísticos[],7,0)</f>
        <v>14453402.931129888</v>
      </c>
      <c r="K93" s="94">
        <f>VLOOKUP(DatosHoy[[#This Row],[Cargo Valorado]],Estadísticos[],8,0)</f>
        <v>14595287.277824191</v>
      </c>
      <c r="L93" s="94">
        <f>VLOOKUP(DatosHoy[[#This Row],[Cargo Valorado]],Estadísticos[],9,0)</f>
        <v>15582840.257710904</v>
      </c>
      <c r="M93" s="94">
        <f>VLOOKUP(DatosHoy[[#This Row],[Cargo Valorado]],Estadísticos[],10,0)</f>
        <v>15582840.257710904</v>
      </c>
      <c r="N93" s="94">
        <f>VLOOKUP(DatosHoy[[#This Row],[Cargo Valorado]],Estadísticos[],11,0)</f>
        <v>15780582.170601029</v>
      </c>
      <c r="O93" s="75" t="s">
        <v>216</v>
      </c>
      <c r="P93" s="75">
        <v>396</v>
      </c>
      <c r="Q93" s="95" t="str">
        <f t="shared" si="46"/>
        <v>$P$93</v>
      </c>
      <c r="R93" s="95" t="str">
        <f t="shared" si="47"/>
        <v>$F$93</v>
      </c>
      <c r="S93" s="95" t="str">
        <f t="shared" si="48"/>
        <v>$G$93</v>
      </c>
      <c r="T93" s="95" t="str">
        <f t="shared" si="49"/>
        <v>$H$93</v>
      </c>
      <c r="U93" s="95" t="str">
        <f t="shared" si="50"/>
        <v>$I$93</v>
      </c>
      <c r="V93" s="95" t="str">
        <f t="shared" si="51"/>
        <v>$J$93</v>
      </c>
      <c r="W93" s="95" t="str">
        <f t="shared" si="52"/>
        <v>$K$93</v>
      </c>
      <c r="X93" s="95" t="str">
        <f t="shared" si="53"/>
        <v>$L$93</v>
      </c>
      <c r="Y93" s="95" t="str">
        <f t="shared" si="54"/>
        <v>$M$93</v>
      </c>
      <c r="Z93" s="95" t="str">
        <f t="shared" si="55"/>
        <v>$N$93</v>
      </c>
      <c r="AA93" s="94">
        <f ca="1">VLOOKUP($P93,'Regresion Q1'!$E$6:$I$10,4,1)*$P93+VLOOKUP($P93,'Regresion Q1'!$E$6:$I$10,5,1)</f>
        <v>4934547.0898746923</v>
      </c>
      <c r="AB93" s="94">
        <f ca="1">VLOOKUP($P93,'Regresion Q1'!$J$6:$N$10,4,1)*$P93+VLOOKUP($P93,'Regresion Q1'!$J$6:$N$10,5,1)</f>
        <v>5096507.7277497798</v>
      </c>
      <c r="AC93" s="94">
        <f ca="1">VLOOKUP($P93,'Regresion Q1'!$O$6:$S$10,4,1)*$P93+VLOOKUP($P93,'Regresion Q1'!$O$6:$S$10,5,1)</f>
        <v>5358680.4802445155</v>
      </c>
      <c r="AD93" s="94">
        <f ca="1">VLOOKUP($P93,'Regresion Md'!$E$6:$I$10,4,1)*$P93+VLOOKUP($P93,'Regresion Md'!$E$6:$I$10,5,1)</f>
        <v>7395114.6140165618</v>
      </c>
      <c r="AE93" s="94">
        <f ca="1">VLOOKUP($P93,'Regresion Md'!$J$6:$N$10,4,1)*$P93+VLOOKUP($P93,'Regresion Md'!$J$6:$N$10,5,1)</f>
        <v>7565312.464411499</v>
      </c>
      <c r="AF93" s="94">
        <f ca="1">VLOOKUP($P93,'Regresion Md'!$O$6:$S$10,4,1)*$P93+VLOOKUP($P93,'Regresion Md'!$O$6:$S$10,5,1)</f>
        <v>7736951.1543173809</v>
      </c>
      <c r="AG93" s="94">
        <f ca="1">VLOOKUP($P93,'Regresion Q3'!$E$6:$I$10,4,1)*$P93+VLOOKUP($P93,'Regresion Q3'!$E$6:$I$10,5,1)</f>
        <v>8341690.5793419974</v>
      </c>
      <c r="AH93" s="94">
        <f ca="1">VLOOKUP($P93,'Regresion Q3'!$J$6:$N$10,4,1)*$P93+VLOOKUP($P93,'Regresion Q3'!$J$6:$N$10,5,1)</f>
        <v>8462060.0608792007</v>
      </c>
      <c r="AI93" s="94">
        <f ca="1">VLOOKUP($P93,'Regresion Q3'!$O$6:$S$10,4,1)*$P93+VLOOKUP($P93,'Regresion Q3'!$O$6:$S$10,5,1)</f>
        <v>8626104.3420915939</v>
      </c>
      <c r="AJ93" s="94">
        <f ca="1">VLOOKUP($P93,'Regresion Q1'!$T$6:$V$10,2,1)*$P93+VLOOKUP($P93,'Regresion Q1'!$T$6:$V$10,3,1)</f>
        <v>4934547.0898746941</v>
      </c>
      <c r="AK93" s="94">
        <f ca="1">VLOOKUP($P93,'Regresion Q1'!$W$6:$Y$10,2,1)*$P93+VLOOKUP($P93,'Regresion Q1'!$W$6:$Y$10,3,1)</f>
        <v>5096507.7277497761</v>
      </c>
      <c r="AL93" s="94">
        <f ca="1">VLOOKUP($P93,'Regresion Q1'!$Z$6:$AB$10,2,1)*$P93+VLOOKUP($P93,'Regresion Q1'!$Z$6:$AB$10,3,1)</f>
        <v>5358680.4802445155</v>
      </c>
      <c r="AM93" s="94">
        <f ca="1">VLOOKUP($P93,'Regresion Md'!$T$6:$V$10,2,1)*$P93+VLOOKUP($P93,'Regresion Md'!$T$6:$V$10,3,1)</f>
        <v>7010556.4288214613</v>
      </c>
      <c r="AN93" s="94">
        <f ca="1">VLOOKUP($P93,'Regresion Md'!$W$6:$Y$10,2,1)*$P93+VLOOKUP($P93,'Regresion Md'!$W$6:$Y$10,3,1)</f>
        <v>7369818.1133952513</v>
      </c>
      <c r="AO93" s="94">
        <f ca="1">VLOOKUP($P93,'Regresion Md'!$Z$6:$AB$10,2,1)*$P93+VLOOKUP($P93,'Regresion Md'!$Z$6:$AB$10,3,1)</f>
        <v>7687903.5295635257</v>
      </c>
      <c r="AP93" s="94">
        <f ca="1">VLOOKUP($P93,'Regresion Q3'!$T$6:$V$10,2,1)*$P93+VLOOKUP($P93,'Regresion Q3'!$T$6:$V$10,3,1)</f>
        <v>7783388.0286314869</v>
      </c>
      <c r="AQ93" s="94">
        <f ca="1">VLOOKUP($P93,'Regresion Q3'!$W$6:$Y$10,2,1)*$P93+VLOOKUP($P93,'Regresion Q3'!$W$6:$Y$10,3,1)</f>
        <v>7989253.9801108083</v>
      </c>
      <c r="AR93" s="94">
        <f ca="1">VLOOKUP($P93,'Regresion Q3'!$Z$6:$AB$10,2,1)*$P93+VLOOKUP($P93,'Regresion Q3'!$Z$6:$AB$10,3,1)</f>
        <v>8176682.2432155646</v>
      </c>
      <c r="AS93" s="94">
        <f>IF($BN93=$BN94,-1,DatosHoy[[#This Row],[G ajus PM Q1]]-BO94)</f>
        <v>-1</v>
      </c>
      <c r="AT93" s="94">
        <f>IF($BN93=$BN94,-1,DatosHoy[[#This Row],[G+V ajus PM Q1]]-BP94)</f>
        <v>-1</v>
      </c>
      <c r="AU93" s="94">
        <f>IF($BN93=$BN94,-1,DatosHoy[[#This Row],[CT ajus PM Q1]]-BQ94)</f>
        <v>-1</v>
      </c>
      <c r="AV93" s="94">
        <f ca="1">IF(DatosHoy[[#This Row],[G ajus PM Q1]]=DatosHoy[[#This Row],[G+V ajus PM Q1]],-1,DatosHoy[[#This Row],[G ajus PM Q1]]-DatosHoy[[#This Row],[G+V ajus PM Q1]])</f>
        <v>-130973.20812571794</v>
      </c>
      <c r="AW93" s="94">
        <f ca="1">IF(DatosHoy[[#This Row],[G+V ajus PM Q1]]=DatosHoy[[#This Row],[CT ajus PM Q1]],-1,DatosHoy[[#This Row],[G+V ajus PM Q1]]-DatosHoy[[#This Row],[CT ajus PM Q1]])</f>
        <v>-210752.3410740681</v>
      </c>
      <c r="AX93" s="94">
        <f>IF($BN93=$BN94,-1,DatosHoy[[#This Row],[G ajus PMd]]-BR94)</f>
        <v>-1</v>
      </c>
      <c r="AY93" s="94">
        <f>IF($BN93=$BN94,-1,DatosHoy[[#This Row],[G+V ajus PM Md]]-BS94)</f>
        <v>-1</v>
      </c>
      <c r="AZ93" s="94">
        <f>IF($BN93=$BN94,-1,DatosHoy[[#This Row],[CT ajus PM Md]]-BT94)</f>
        <v>-1</v>
      </c>
      <c r="BA93" s="94">
        <f ca="1">IF(DatosHoy[[#This Row],[G ajus PMd]]=DatosHoy[[#This Row],[G+V ajus PM Md]],-1,DatosHoy[[#This Row],[G ajus PMd]]-DatosHoy[[#This Row],[G+V ajus PM Md]])</f>
        <v>-326853.52235694416</v>
      </c>
      <c r="BB93" s="94">
        <f ca="1">IF(DatosHoy[[#This Row],[G+V ajus PM Md]]=DatosHoy[[#This Row],[CT ajus PM Md]],-1,DatosHoy[[#This Row],[G+V ajus PM Md]]-DatosHoy[[#This Row],[CT ajus PM Md]])</f>
        <v>-306253.68818791769</v>
      </c>
      <c r="BC93" s="94">
        <f>IF($BN93=$BN94,-1,DatosHoy[[#This Row],[G ajus PM Q3]]-BU94)</f>
        <v>-1</v>
      </c>
      <c r="BD93" s="94">
        <f>IF($BN93=$BN94,-1,DatosHoy[[#This Row],[G+V ajus PM Q3]]-BV94)</f>
        <v>-1</v>
      </c>
      <c r="BE93" s="94">
        <f>IF($BN93=$BN94,-1,DatosHoy[[#This Row],[CT ajus PM Q3]]-BW94)</f>
        <v>-1</v>
      </c>
      <c r="BF93" s="94">
        <f ca="1">IF(DatosHoy[[#This Row],[G ajus PM Q3]]=DatosHoy[[#This Row],[G+V ajus PM Q3]],-1,DatosHoy[[#This Row],[G ajus PM Q3]]-DatosHoy[[#This Row],[G+V ajus PM Q3]])</f>
        <v>-198475.16460195556</v>
      </c>
      <c r="BG93" s="94">
        <f ca="1">IF(DatosHoy[[#This Row],[G+V ajus PM Q3]]=DatosHoy[[#This Row],[CT ajus PM Q3]],-1,DatosHoy[[#This Row],[G+V ajus PM Q3]]-DatosHoy[[#This Row],[CT ajus PM Q3]])</f>
        <v>-181383.1676118141</v>
      </c>
      <c r="BH93" s="94">
        <f ca="1">IF(DatosHoy[[#This Row],[G ajus PM Q1]]=DatosHoy[[#This Row],[G ajus PMd]],-1,DatosHoy[[#This Row],[G ajus PM Q1]]-DatosHoy[[#This Row],[G ajus PMd]])</f>
        <v>-2106090.8824396934</v>
      </c>
      <c r="BI93" s="94">
        <f ca="1">IF(DatosHoy[[#This Row],[G+V ajus PM Q1]]=DatosHoy[[#This Row],[G+V ajus PM Md]],-1,DatosHoy[[#This Row],[G+V ajus PM Q1]]-DatosHoy[[#This Row],[G+V ajus PM Md]])</f>
        <v>-2301971.1966709197</v>
      </c>
      <c r="BJ93" s="94">
        <f ca="1">IF(DatosHoy[[#This Row],[CT ajus PM Q1]]=DatosHoy[[#This Row],[CT ajus PM Md]],-1,DatosHoy[[#This Row],[CT ajus PM Q1]]-DatosHoy[[#This Row],[CT ajus PM Md]])</f>
        <v>-2397472.5437847693</v>
      </c>
      <c r="BK93" s="94">
        <f ca="1">IF(DatosHoy[[#This Row],[G ajus PMd]]=DatosHoy[[#This Row],[G ajus PM Q3]],-1,DatosHoy[[#This Row],[G ajus PMd]]-DatosHoy[[#This Row],[G ajus PM Q3]])</f>
        <v>-848943.76769294124</v>
      </c>
      <c r="BL93" s="94">
        <f ca="1">IF(DatosHoy[[#This Row],[G+V ajus PM Md]]=DatosHoy[[#This Row],[G+V ajus PM Q3]],-1,DatosHoy[[#This Row],[G+V ajus PM Md]]-DatosHoy[[#This Row],[G+V ajus PM Q3]])</f>
        <v>-720565.40993795265</v>
      </c>
      <c r="BM93" s="94">
        <f ca="1">IF(DatosHoy[[#This Row],[CT ajus PM Md]]=DatosHoy[[#This Row],[CT ajus PM Q3]],-1,DatosHoy[[#This Row],[CT ajus PM Md]]-DatosHoy[[#This Row],[CT ajus PM Q3]])</f>
        <v>-595694.88936184905</v>
      </c>
      <c r="BN93" s="74">
        <v>379</v>
      </c>
      <c r="BO93" s="94">
        <f ca="1">IFERROR(VLOOKUP($BN93,'Regresion Q1'!$T$6:$V$10,2,1)*$BN93+VLOOKUP($BN93,'Regresion Q1'!$T$6:$V$10,3,1),VLOOKUP(MIN(DatosHoy[Puntos]),'Regresion Q1'!$T$6:$V$10,2,1)*$BN93+VLOOKUP(MIN(DatosHoy[Puntos]),'Regresion Q1'!$T$6:$V$10,3,1))</f>
        <v>4514526.9471599981</v>
      </c>
      <c r="BP93" s="94">
        <f ca="1">IFERROR(VLOOKUP($BN93,'Regresion Q1'!$W$6:$Y$10,2,1)*$BN93+VLOOKUP($BN93,'Regresion Q1'!$W$6:$Y$10,3,1),VLOOKUP(MIN(DatosHoy[Puntos]),'Regresion Q1'!$W$6:$Y$10,2,1)*$BN93+VLOOKUP(MIN(DatosHoy[Puntos]),'Regresion Q1'!$W$6:$Y$10,3,1))</f>
        <v>4645500.1552857161</v>
      </c>
      <c r="BQ93" s="94">
        <f ca="1">IFERROR(VLOOKUP($BN93,'Regresion Q1'!$Z$6:$AB$10,2,1)*$BN93+VLOOKUP($BN93,'Regresion Q1'!$Z$6:$AB$10,3,1),VLOOKUP(MIN(DatosHoy[Puntos]),'Regresion Q1'!$Z$6:$AB$10,2,1)*$BN93+VLOOKUP(MIN(DatosHoy[Puntos]),'Regresion Q1'!$Z$6:$AB$10,3,1))</f>
        <v>4856252.4963597842</v>
      </c>
      <c r="BR93" s="94">
        <f ca="1">IFERROR(VLOOKUP($BN93,'Regresion Md'!$T$6:$V$10,2,1)*$BN93+VLOOKUP($BN93,'Regresion Md'!$T$6:$V$10,3,1),VLOOKUP(MIN(DatosHoy[Puntos]),'Regresion Md'!$T$6:$V$10,2,1)*$BN93+VLOOKUP(MIN(DatosHoy[Puntos]),'Regresion Md'!$T$6:$V$10,3,1))</f>
        <v>6620617.8295996916</v>
      </c>
      <c r="BS93" s="94">
        <f ca="1">IFERROR(VLOOKUP($BN93,'Regresion Md'!$W$6:$Y$10,2,1)*$BN93+VLOOKUP($BN93,'Regresion Md'!$W$6:$Y$10,3,1),VLOOKUP(MIN(DatosHoy[Puntos]),'Regresion Md'!$W$6:$Y$10,2,1)*$BN93+VLOOKUP(MIN(DatosHoy[Puntos]),'Regresion Md'!$W$6:$Y$10,3,1))</f>
        <v>6947471.3519566357</v>
      </c>
      <c r="BT93" s="94">
        <f ca="1">IFERROR(VLOOKUP($BN93,'Regresion Md'!$Z$6:$AB$10,2,1)*$BN93+VLOOKUP($BN93,'Regresion Md'!$Z$6:$AB$10,3,1),VLOOKUP(MIN(DatosHoy[Puntos]),'Regresion Md'!$Z$6:$AB$10,2,1)*$BN93+VLOOKUP(MIN(DatosHoy[Puntos]),'Regresion Md'!$Z$6:$AB$10,3,1))</f>
        <v>7253725.0401445534</v>
      </c>
      <c r="BU93" s="94">
        <f ca="1">IFERROR(VLOOKUP($BN93,'Regresion Q3'!$T$6:$V$10,2,1)*$BN93+VLOOKUP($BN93,'Regresion Q3'!$T$6:$V$10,3,1),VLOOKUP(MIN(DatosHoy[Puntos]),'Regresion Q3'!$T$6:$V$10,2,1)*$BN93+VLOOKUP(MIN(DatosHoy[Puntos]),'Regresion Q3'!$T$6:$V$10,3,1))</f>
        <v>7469561.5972926328</v>
      </c>
      <c r="BV93" s="94">
        <f ca="1">IFERROR(VLOOKUP($BN93,'Regresion Q3'!$W$6:$Y$10,2,1)*$BN93+VLOOKUP($BN93,'Regresion Q3'!$W$6:$Y$10,3,1),VLOOKUP(MIN(DatosHoy[Puntos]),'Regresion Q3'!$W$6:$Y$10,2,1)*$BN93+VLOOKUP(MIN(DatosHoy[Puntos]),'Regresion Q3'!$W$6:$Y$10,3,1))</f>
        <v>7668036.7618945884</v>
      </c>
      <c r="BW93" s="94">
        <f ca="1">IFERROR(VLOOKUP($BN93,'Regresion Q3'!$Z$6:$AB$10,2,1)*$BN93+VLOOKUP($BN93,'Regresion Q3'!$Z$6:$AB$10,3,1),VLOOKUP(MIN(DatosHoy[Puntos]),'Regresion Q3'!$Z$6:$AB$10,2,1)*$BN93+VLOOKUP(MIN(DatosHoy[Puntos]),'Regresion Q3'!$Z$6:$AB$10,3,1))</f>
        <v>7849419.9295064025</v>
      </c>
      <c r="BX93" s="96">
        <f ca="1">DatosHoy[[#This Row],[CT Actual]]/DatosHoy[[#This Row],[CT ajus PM Md]]</f>
        <v>0.65421698282423879</v>
      </c>
      <c r="BY93" s="125" t="str">
        <f>VLOOKUP(DatosHoy[[#This Row],[Cargo Valorado]],Estadísticos[[Cargo]:[Nivel]],2,FALSE)</f>
        <v>Táctico</v>
      </c>
      <c r="BZ93" s="96">
        <f>(DatosHoy[[#This Row],[G+V Actual]]-DatosHoy[[#This Row],[G Actual]])/DatosHoy[[#This Row],[CT Actual]]</f>
        <v>0</v>
      </c>
      <c r="CA93" s="96">
        <f>(DatosHoy[[#This Row],[CT Actual]]-DatosHoy[[#This Row],[G+V Actual]])/DatosHoy[[#This Row],[CT Actual]]</f>
        <v>0</v>
      </c>
      <c r="CB93" s="139" t="s">
        <v>255</v>
      </c>
    </row>
    <row r="94" spans="2:80" x14ac:dyDescent="0.25">
      <c r="B94" s="73">
        <f t="shared" si="45"/>
        <v>89</v>
      </c>
      <c r="C94" s="74">
        <v>4745510.1100000003</v>
      </c>
      <c r="D94" s="74">
        <v>4745510.1100000003</v>
      </c>
      <c r="E94" s="74">
        <v>4745510.1100000003</v>
      </c>
      <c r="F94" s="94">
        <f>VLOOKUP(DatosHoy[[#This Row],[Cargo Valorado]],Estadísticos[],3,0)</f>
        <v>9139836.976786565</v>
      </c>
      <c r="G94" s="94">
        <f>VLOOKUP(DatosHoy[[#This Row],[Cargo Valorado]],Estadísticos[],4,0)</f>
        <v>9139836.976786565</v>
      </c>
      <c r="H94" s="94">
        <f>VLOOKUP(DatosHoy[[#This Row],[Cargo Valorado]],Estadísticos[],5,0)</f>
        <v>9139836.976786565</v>
      </c>
      <c r="I94" s="94">
        <f>VLOOKUP(DatosHoy[[#This Row],[Cargo Valorado]],Estadísticos[],6,0)</f>
        <v>14453402.931129888</v>
      </c>
      <c r="J94" s="94">
        <f>VLOOKUP(DatosHoy[[#This Row],[Cargo Valorado]],Estadísticos[],7,0)</f>
        <v>14453402.931129888</v>
      </c>
      <c r="K94" s="94">
        <f>VLOOKUP(DatosHoy[[#This Row],[Cargo Valorado]],Estadísticos[],8,0)</f>
        <v>14595287.277824191</v>
      </c>
      <c r="L94" s="94">
        <f>VLOOKUP(DatosHoy[[#This Row],[Cargo Valorado]],Estadísticos[],9,0)</f>
        <v>15582840.257710904</v>
      </c>
      <c r="M94" s="94">
        <f>VLOOKUP(DatosHoy[[#This Row],[Cargo Valorado]],Estadísticos[],10,0)</f>
        <v>15582840.257710904</v>
      </c>
      <c r="N94" s="94">
        <f>VLOOKUP(DatosHoy[[#This Row],[Cargo Valorado]],Estadísticos[],11,0)</f>
        <v>15780582.170601029</v>
      </c>
      <c r="O94" s="75" t="s">
        <v>216</v>
      </c>
      <c r="P94" s="75">
        <v>396</v>
      </c>
      <c r="Q94" s="95" t="str">
        <f t="shared" si="46"/>
        <v>$P$94</v>
      </c>
      <c r="R94" s="95" t="str">
        <f t="shared" si="47"/>
        <v>$F$94</v>
      </c>
      <c r="S94" s="95" t="str">
        <f t="shared" si="48"/>
        <v>$G$94</v>
      </c>
      <c r="T94" s="95" t="str">
        <f t="shared" si="49"/>
        <v>$H$94</v>
      </c>
      <c r="U94" s="95" t="str">
        <f t="shared" si="50"/>
        <v>$I$94</v>
      </c>
      <c r="V94" s="95" t="str">
        <f t="shared" si="51"/>
        <v>$J$94</v>
      </c>
      <c r="W94" s="95" t="str">
        <f t="shared" si="52"/>
        <v>$K$94</v>
      </c>
      <c r="X94" s="95" t="str">
        <f t="shared" si="53"/>
        <v>$L$94</v>
      </c>
      <c r="Y94" s="95" t="str">
        <f t="shared" si="54"/>
        <v>$M$94</v>
      </c>
      <c r="Z94" s="95" t="str">
        <f t="shared" si="55"/>
        <v>$N$94</v>
      </c>
      <c r="AA94" s="94">
        <f ca="1">VLOOKUP($P94,'Regresion Q1'!$E$6:$I$10,4,1)*$P94+VLOOKUP($P94,'Regresion Q1'!$E$6:$I$10,5,1)</f>
        <v>4934547.0898746923</v>
      </c>
      <c r="AB94" s="94">
        <f ca="1">VLOOKUP($P94,'Regresion Q1'!$J$6:$N$10,4,1)*$P94+VLOOKUP($P94,'Regresion Q1'!$J$6:$N$10,5,1)</f>
        <v>5096507.7277497798</v>
      </c>
      <c r="AC94" s="94">
        <f ca="1">VLOOKUP($P94,'Regresion Q1'!$O$6:$S$10,4,1)*$P94+VLOOKUP($P94,'Regresion Q1'!$O$6:$S$10,5,1)</f>
        <v>5358680.4802445155</v>
      </c>
      <c r="AD94" s="94">
        <f ca="1">VLOOKUP($P94,'Regresion Md'!$E$6:$I$10,4,1)*$P94+VLOOKUP($P94,'Regresion Md'!$E$6:$I$10,5,1)</f>
        <v>7395114.6140165618</v>
      </c>
      <c r="AE94" s="94">
        <f ca="1">VLOOKUP($P94,'Regresion Md'!$J$6:$N$10,4,1)*$P94+VLOOKUP($P94,'Regresion Md'!$J$6:$N$10,5,1)</f>
        <v>7565312.464411499</v>
      </c>
      <c r="AF94" s="94">
        <f ca="1">VLOOKUP($P94,'Regresion Md'!$O$6:$S$10,4,1)*$P94+VLOOKUP($P94,'Regresion Md'!$O$6:$S$10,5,1)</f>
        <v>7736951.1543173809</v>
      </c>
      <c r="AG94" s="94">
        <f ca="1">VLOOKUP($P94,'Regresion Q3'!$E$6:$I$10,4,1)*$P94+VLOOKUP($P94,'Regresion Q3'!$E$6:$I$10,5,1)</f>
        <v>8341690.5793419974</v>
      </c>
      <c r="AH94" s="94">
        <f ca="1">VLOOKUP($P94,'Regresion Q3'!$J$6:$N$10,4,1)*$P94+VLOOKUP($P94,'Regresion Q3'!$J$6:$N$10,5,1)</f>
        <v>8462060.0608792007</v>
      </c>
      <c r="AI94" s="94">
        <f ca="1">VLOOKUP($P94,'Regresion Q3'!$O$6:$S$10,4,1)*$P94+VLOOKUP($P94,'Regresion Q3'!$O$6:$S$10,5,1)</f>
        <v>8626104.3420915939</v>
      </c>
      <c r="AJ94" s="94">
        <f ca="1">VLOOKUP($P94,'Regresion Q1'!$T$6:$V$10,2,1)*$P94+VLOOKUP($P94,'Regresion Q1'!$T$6:$V$10,3,1)</f>
        <v>4934547.0898746941</v>
      </c>
      <c r="AK94" s="94">
        <f ca="1">VLOOKUP($P94,'Regresion Q1'!$W$6:$Y$10,2,1)*$P94+VLOOKUP($P94,'Regresion Q1'!$W$6:$Y$10,3,1)</f>
        <v>5096507.7277497761</v>
      </c>
      <c r="AL94" s="94">
        <f ca="1">VLOOKUP($P94,'Regresion Q1'!$Z$6:$AB$10,2,1)*$P94+VLOOKUP($P94,'Regresion Q1'!$Z$6:$AB$10,3,1)</f>
        <v>5358680.4802445155</v>
      </c>
      <c r="AM94" s="94">
        <f ca="1">VLOOKUP($P94,'Regresion Md'!$T$6:$V$10,2,1)*$P94+VLOOKUP($P94,'Regresion Md'!$T$6:$V$10,3,1)</f>
        <v>7010556.4288214613</v>
      </c>
      <c r="AN94" s="94">
        <f ca="1">VLOOKUP($P94,'Regresion Md'!$W$6:$Y$10,2,1)*$P94+VLOOKUP($P94,'Regresion Md'!$W$6:$Y$10,3,1)</f>
        <v>7369818.1133952513</v>
      </c>
      <c r="AO94" s="94">
        <f ca="1">VLOOKUP($P94,'Regresion Md'!$Z$6:$AB$10,2,1)*$P94+VLOOKUP($P94,'Regresion Md'!$Z$6:$AB$10,3,1)</f>
        <v>7687903.5295635257</v>
      </c>
      <c r="AP94" s="94">
        <f ca="1">VLOOKUP($P94,'Regresion Q3'!$T$6:$V$10,2,1)*$P94+VLOOKUP($P94,'Regresion Q3'!$T$6:$V$10,3,1)</f>
        <v>7783388.0286314869</v>
      </c>
      <c r="AQ94" s="94">
        <f ca="1">VLOOKUP($P94,'Regresion Q3'!$W$6:$Y$10,2,1)*$P94+VLOOKUP($P94,'Regresion Q3'!$W$6:$Y$10,3,1)</f>
        <v>7989253.9801108083</v>
      </c>
      <c r="AR94" s="94">
        <f ca="1">VLOOKUP($P94,'Regresion Q3'!$Z$6:$AB$10,2,1)*$P94+VLOOKUP($P94,'Regresion Q3'!$Z$6:$AB$10,3,1)</f>
        <v>8176682.2432155646</v>
      </c>
      <c r="AS94" s="94">
        <f>IF($BN94=$BN95,-1,DatosHoy[[#This Row],[G ajus PM Q1]]-BO95)</f>
        <v>-1</v>
      </c>
      <c r="AT94" s="94">
        <f>IF($BN94=$BN95,-1,DatosHoy[[#This Row],[G+V ajus PM Q1]]-BP95)</f>
        <v>-1</v>
      </c>
      <c r="AU94" s="94">
        <f>IF($BN94=$BN95,-1,DatosHoy[[#This Row],[CT ajus PM Q1]]-BQ95)</f>
        <v>-1</v>
      </c>
      <c r="AV94" s="94">
        <f ca="1">IF(DatosHoy[[#This Row],[G ajus PM Q1]]=DatosHoy[[#This Row],[G+V ajus PM Q1]],-1,DatosHoy[[#This Row],[G ajus PM Q1]]-DatosHoy[[#This Row],[G+V ajus PM Q1]])</f>
        <v>-130973.20812571794</v>
      </c>
      <c r="AW94" s="94">
        <f ca="1">IF(DatosHoy[[#This Row],[G+V ajus PM Q1]]=DatosHoy[[#This Row],[CT ajus PM Q1]],-1,DatosHoy[[#This Row],[G+V ajus PM Q1]]-DatosHoy[[#This Row],[CT ajus PM Q1]])</f>
        <v>-210752.3410740681</v>
      </c>
      <c r="AX94" s="94">
        <f>IF($BN94=$BN95,-1,DatosHoy[[#This Row],[G ajus PMd]]-BR95)</f>
        <v>-1</v>
      </c>
      <c r="AY94" s="94">
        <f>IF($BN94=$BN95,-1,DatosHoy[[#This Row],[G+V ajus PM Md]]-BS95)</f>
        <v>-1</v>
      </c>
      <c r="AZ94" s="94">
        <f>IF($BN94=$BN95,-1,DatosHoy[[#This Row],[CT ajus PM Md]]-BT95)</f>
        <v>-1</v>
      </c>
      <c r="BA94" s="94">
        <f ca="1">IF(DatosHoy[[#This Row],[G ajus PMd]]=DatosHoy[[#This Row],[G+V ajus PM Md]],-1,DatosHoy[[#This Row],[G ajus PMd]]-DatosHoy[[#This Row],[G+V ajus PM Md]])</f>
        <v>-326853.52235694416</v>
      </c>
      <c r="BB94" s="94">
        <f ca="1">IF(DatosHoy[[#This Row],[G+V ajus PM Md]]=DatosHoy[[#This Row],[CT ajus PM Md]],-1,DatosHoy[[#This Row],[G+V ajus PM Md]]-DatosHoy[[#This Row],[CT ajus PM Md]])</f>
        <v>-306253.68818791769</v>
      </c>
      <c r="BC94" s="94">
        <f>IF($BN94=$BN95,-1,DatosHoy[[#This Row],[G ajus PM Q3]]-BU95)</f>
        <v>-1</v>
      </c>
      <c r="BD94" s="94">
        <f>IF($BN94=$BN95,-1,DatosHoy[[#This Row],[G+V ajus PM Q3]]-BV95)</f>
        <v>-1</v>
      </c>
      <c r="BE94" s="94">
        <f>IF($BN94=$BN95,-1,DatosHoy[[#This Row],[CT ajus PM Q3]]-BW95)</f>
        <v>-1</v>
      </c>
      <c r="BF94" s="94">
        <f ca="1">IF(DatosHoy[[#This Row],[G ajus PM Q3]]=DatosHoy[[#This Row],[G+V ajus PM Q3]],-1,DatosHoy[[#This Row],[G ajus PM Q3]]-DatosHoy[[#This Row],[G+V ajus PM Q3]])</f>
        <v>-198475.16460195556</v>
      </c>
      <c r="BG94" s="94">
        <f ca="1">IF(DatosHoy[[#This Row],[G+V ajus PM Q3]]=DatosHoy[[#This Row],[CT ajus PM Q3]],-1,DatosHoy[[#This Row],[G+V ajus PM Q3]]-DatosHoy[[#This Row],[CT ajus PM Q3]])</f>
        <v>-181383.1676118141</v>
      </c>
      <c r="BH94" s="94">
        <f ca="1">IF(DatosHoy[[#This Row],[G ajus PM Q1]]=DatosHoy[[#This Row],[G ajus PMd]],-1,DatosHoy[[#This Row],[G ajus PM Q1]]-DatosHoy[[#This Row],[G ajus PMd]])</f>
        <v>-2106090.8824396934</v>
      </c>
      <c r="BI94" s="94">
        <f ca="1">IF(DatosHoy[[#This Row],[G+V ajus PM Q1]]=DatosHoy[[#This Row],[G+V ajus PM Md]],-1,DatosHoy[[#This Row],[G+V ajus PM Q1]]-DatosHoy[[#This Row],[G+V ajus PM Md]])</f>
        <v>-2301971.1966709197</v>
      </c>
      <c r="BJ94" s="94">
        <f ca="1">IF(DatosHoy[[#This Row],[CT ajus PM Q1]]=DatosHoy[[#This Row],[CT ajus PM Md]],-1,DatosHoy[[#This Row],[CT ajus PM Q1]]-DatosHoy[[#This Row],[CT ajus PM Md]])</f>
        <v>-2397472.5437847693</v>
      </c>
      <c r="BK94" s="94">
        <f ca="1">IF(DatosHoy[[#This Row],[G ajus PMd]]=DatosHoy[[#This Row],[G ajus PM Q3]],-1,DatosHoy[[#This Row],[G ajus PMd]]-DatosHoy[[#This Row],[G ajus PM Q3]])</f>
        <v>-848943.76769294124</v>
      </c>
      <c r="BL94" s="94">
        <f ca="1">IF(DatosHoy[[#This Row],[G+V ajus PM Md]]=DatosHoy[[#This Row],[G+V ajus PM Q3]],-1,DatosHoy[[#This Row],[G+V ajus PM Md]]-DatosHoy[[#This Row],[G+V ajus PM Q3]])</f>
        <v>-720565.40993795265</v>
      </c>
      <c r="BM94" s="94">
        <f ca="1">IF(DatosHoy[[#This Row],[CT ajus PM Md]]=DatosHoy[[#This Row],[CT ajus PM Q3]],-1,DatosHoy[[#This Row],[CT ajus PM Md]]-DatosHoy[[#This Row],[CT ajus PM Q3]])</f>
        <v>-595694.88936184905</v>
      </c>
      <c r="BN94" s="74">
        <v>379</v>
      </c>
      <c r="BO94" s="94">
        <f ca="1">IFERROR(VLOOKUP($BN94,'Regresion Q1'!$T$6:$V$10,2,1)*$BN94+VLOOKUP($BN94,'Regresion Q1'!$T$6:$V$10,3,1),VLOOKUP(MIN(DatosHoy[Puntos]),'Regresion Q1'!$T$6:$V$10,2,1)*$BN94+VLOOKUP(MIN(DatosHoy[Puntos]),'Regresion Q1'!$T$6:$V$10,3,1))</f>
        <v>4514526.9471599981</v>
      </c>
      <c r="BP94" s="94">
        <f ca="1">IFERROR(VLOOKUP($BN94,'Regresion Q1'!$W$6:$Y$10,2,1)*$BN94+VLOOKUP($BN94,'Regresion Q1'!$W$6:$Y$10,3,1),VLOOKUP(MIN(DatosHoy[Puntos]),'Regresion Q1'!$W$6:$Y$10,2,1)*$BN94+VLOOKUP(MIN(DatosHoy[Puntos]),'Regresion Q1'!$W$6:$Y$10,3,1))</f>
        <v>4645500.1552857161</v>
      </c>
      <c r="BQ94" s="94">
        <f ca="1">IFERROR(VLOOKUP($BN94,'Regresion Q1'!$Z$6:$AB$10,2,1)*$BN94+VLOOKUP($BN94,'Regresion Q1'!$Z$6:$AB$10,3,1),VLOOKUP(MIN(DatosHoy[Puntos]),'Regresion Q1'!$Z$6:$AB$10,2,1)*$BN94+VLOOKUP(MIN(DatosHoy[Puntos]),'Regresion Q1'!$Z$6:$AB$10,3,1))</f>
        <v>4856252.4963597842</v>
      </c>
      <c r="BR94" s="94">
        <f ca="1">IFERROR(VLOOKUP($BN94,'Regresion Md'!$T$6:$V$10,2,1)*$BN94+VLOOKUP($BN94,'Regresion Md'!$T$6:$V$10,3,1),VLOOKUP(MIN(DatosHoy[Puntos]),'Regresion Md'!$T$6:$V$10,2,1)*$BN94+VLOOKUP(MIN(DatosHoy[Puntos]),'Regresion Md'!$T$6:$V$10,3,1))</f>
        <v>6620617.8295996916</v>
      </c>
      <c r="BS94" s="94">
        <f ca="1">IFERROR(VLOOKUP($BN94,'Regresion Md'!$W$6:$Y$10,2,1)*$BN94+VLOOKUP($BN94,'Regresion Md'!$W$6:$Y$10,3,1),VLOOKUP(MIN(DatosHoy[Puntos]),'Regresion Md'!$W$6:$Y$10,2,1)*$BN94+VLOOKUP(MIN(DatosHoy[Puntos]),'Regresion Md'!$W$6:$Y$10,3,1))</f>
        <v>6947471.3519566357</v>
      </c>
      <c r="BT94" s="94">
        <f ca="1">IFERROR(VLOOKUP($BN94,'Regresion Md'!$Z$6:$AB$10,2,1)*$BN94+VLOOKUP($BN94,'Regresion Md'!$Z$6:$AB$10,3,1),VLOOKUP(MIN(DatosHoy[Puntos]),'Regresion Md'!$Z$6:$AB$10,2,1)*$BN94+VLOOKUP(MIN(DatosHoy[Puntos]),'Regresion Md'!$Z$6:$AB$10,3,1))</f>
        <v>7253725.0401445534</v>
      </c>
      <c r="BU94" s="94">
        <f ca="1">IFERROR(VLOOKUP($BN94,'Regresion Q3'!$T$6:$V$10,2,1)*$BN94+VLOOKUP($BN94,'Regresion Q3'!$T$6:$V$10,3,1),VLOOKUP(MIN(DatosHoy[Puntos]),'Regresion Q3'!$T$6:$V$10,2,1)*$BN94+VLOOKUP(MIN(DatosHoy[Puntos]),'Regresion Q3'!$T$6:$V$10,3,1))</f>
        <v>7469561.5972926328</v>
      </c>
      <c r="BV94" s="94">
        <f ca="1">IFERROR(VLOOKUP($BN94,'Regresion Q3'!$W$6:$Y$10,2,1)*$BN94+VLOOKUP($BN94,'Regresion Q3'!$W$6:$Y$10,3,1),VLOOKUP(MIN(DatosHoy[Puntos]),'Regresion Q3'!$W$6:$Y$10,2,1)*$BN94+VLOOKUP(MIN(DatosHoy[Puntos]),'Regresion Q3'!$W$6:$Y$10,3,1))</f>
        <v>7668036.7618945884</v>
      </c>
      <c r="BW94" s="94">
        <f ca="1">IFERROR(VLOOKUP($BN94,'Regresion Q3'!$Z$6:$AB$10,2,1)*$BN94+VLOOKUP($BN94,'Regresion Q3'!$Z$6:$AB$10,3,1),VLOOKUP(MIN(DatosHoy[Puntos]),'Regresion Q3'!$Z$6:$AB$10,2,1)*$BN94+VLOOKUP(MIN(DatosHoy[Puntos]),'Regresion Q3'!$Z$6:$AB$10,3,1))</f>
        <v>7849419.9295064025</v>
      </c>
      <c r="BX94" s="96">
        <f ca="1">DatosHoy[[#This Row],[CT Actual]]/DatosHoy[[#This Row],[CT ajus PM Md]]</f>
        <v>0.65421698282423879</v>
      </c>
      <c r="BY94" s="125" t="str">
        <f>VLOOKUP(DatosHoy[[#This Row],[Cargo Valorado]],Estadísticos[[Cargo]:[Nivel]],2,FALSE)</f>
        <v>Táctico</v>
      </c>
      <c r="BZ94" s="96">
        <f>(DatosHoy[[#This Row],[G+V Actual]]-DatosHoy[[#This Row],[G Actual]])/DatosHoy[[#This Row],[CT Actual]]</f>
        <v>0</v>
      </c>
      <c r="CA94" s="96">
        <f>(DatosHoy[[#This Row],[CT Actual]]-DatosHoy[[#This Row],[G+V Actual]])/DatosHoy[[#This Row],[CT Actual]]</f>
        <v>0</v>
      </c>
      <c r="CB94" s="139" t="s">
        <v>255</v>
      </c>
    </row>
    <row r="95" spans="2:80" x14ac:dyDescent="0.25">
      <c r="B95" s="73">
        <f t="shared" si="45"/>
        <v>90</v>
      </c>
      <c r="C95" s="74">
        <v>4745510.1100000003</v>
      </c>
      <c r="D95" s="74">
        <v>4745510.1100000003</v>
      </c>
      <c r="E95" s="74">
        <v>4745510.1100000003</v>
      </c>
      <c r="F95" s="94">
        <f>VLOOKUP(DatosHoy[[#This Row],[Cargo Valorado]],Estadísticos[],3,0)</f>
        <v>9139836.976786565</v>
      </c>
      <c r="G95" s="94">
        <f>VLOOKUP(DatosHoy[[#This Row],[Cargo Valorado]],Estadísticos[],4,0)</f>
        <v>9139836.976786565</v>
      </c>
      <c r="H95" s="94">
        <f>VLOOKUP(DatosHoy[[#This Row],[Cargo Valorado]],Estadísticos[],5,0)</f>
        <v>9139836.976786565</v>
      </c>
      <c r="I95" s="94">
        <f>VLOOKUP(DatosHoy[[#This Row],[Cargo Valorado]],Estadísticos[],6,0)</f>
        <v>14453402.931129888</v>
      </c>
      <c r="J95" s="94">
        <f>VLOOKUP(DatosHoy[[#This Row],[Cargo Valorado]],Estadísticos[],7,0)</f>
        <v>14453402.931129888</v>
      </c>
      <c r="K95" s="94">
        <f>VLOOKUP(DatosHoy[[#This Row],[Cargo Valorado]],Estadísticos[],8,0)</f>
        <v>14595287.277824191</v>
      </c>
      <c r="L95" s="94">
        <f>VLOOKUP(DatosHoy[[#This Row],[Cargo Valorado]],Estadísticos[],9,0)</f>
        <v>15582840.257710904</v>
      </c>
      <c r="M95" s="94">
        <f>VLOOKUP(DatosHoy[[#This Row],[Cargo Valorado]],Estadísticos[],10,0)</f>
        <v>15582840.257710904</v>
      </c>
      <c r="N95" s="94">
        <f>VLOOKUP(DatosHoy[[#This Row],[Cargo Valorado]],Estadísticos[],11,0)</f>
        <v>15780582.170601029</v>
      </c>
      <c r="O95" s="75" t="s">
        <v>216</v>
      </c>
      <c r="P95" s="75">
        <v>396</v>
      </c>
      <c r="Q95" s="95" t="str">
        <f t="shared" si="46"/>
        <v>$P$95</v>
      </c>
      <c r="R95" s="95" t="str">
        <f t="shared" si="47"/>
        <v>$F$95</v>
      </c>
      <c r="S95" s="95" t="str">
        <f t="shared" si="48"/>
        <v>$G$95</v>
      </c>
      <c r="T95" s="95" t="str">
        <f t="shared" si="49"/>
        <v>$H$95</v>
      </c>
      <c r="U95" s="95" t="str">
        <f t="shared" si="50"/>
        <v>$I$95</v>
      </c>
      <c r="V95" s="95" t="str">
        <f t="shared" si="51"/>
        <v>$J$95</v>
      </c>
      <c r="W95" s="95" t="str">
        <f t="shared" si="52"/>
        <v>$K$95</v>
      </c>
      <c r="X95" s="95" t="str">
        <f t="shared" si="53"/>
        <v>$L$95</v>
      </c>
      <c r="Y95" s="95" t="str">
        <f t="shared" si="54"/>
        <v>$M$95</v>
      </c>
      <c r="Z95" s="95" t="str">
        <f t="shared" si="55"/>
        <v>$N$95</v>
      </c>
      <c r="AA95" s="94">
        <f ca="1">VLOOKUP($P95,'Regresion Q1'!$E$6:$I$10,4,1)*$P95+VLOOKUP($P95,'Regresion Q1'!$E$6:$I$10,5,1)</f>
        <v>4934547.0898746923</v>
      </c>
      <c r="AB95" s="94">
        <f ca="1">VLOOKUP($P95,'Regresion Q1'!$J$6:$N$10,4,1)*$P95+VLOOKUP($P95,'Regresion Q1'!$J$6:$N$10,5,1)</f>
        <v>5096507.7277497798</v>
      </c>
      <c r="AC95" s="94">
        <f ca="1">VLOOKUP($P95,'Regresion Q1'!$O$6:$S$10,4,1)*$P95+VLOOKUP($P95,'Regresion Q1'!$O$6:$S$10,5,1)</f>
        <v>5358680.4802445155</v>
      </c>
      <c r="AD95" s="94">
        <f ca="1">VLOOKUP($P95,'Regresion Md'!$E$6:$I$10,4,1)*$P95+VLOOKUP($P95,'Regresion Md'!$E$6:$I$10,5,1)</f>
        <v>7395114.6140165618</v>
      </c>
      <c r="AE95" s="94">
        <f ca="1">VLOOKUP($P95,'Regresion Md'!$J$6:$N$10,4,1)*$P95+VLOOKUP($P95,'Regresion Md'!$J$6:$N$10,5,1)</f>
        <v>7565312.464411499</v>
      </c>
      <c r="AF95" s="94">
        <f ca="1">VLOOKUP($P95,'Regresion Md'!$O$6:$S$10,4,1)*$P95+VLOOKUP($P95,'Regresion Md'!$O$6:$S$10,5,1)</f>
        <v>7736951.1543173809</v>
      </c>
      <c r="AG95" s="94">
        <f ca="1">VLOOKUP($P95,'Regresion Q3'!$E$6:$I$10,4,1)*$P95+VLOOKUP($P95,'Regresion Q3'!$E$6:$I$10,5,1)</f>
        <v>8341690.5793419974</v>
      </c>
      <c r="AH95" s="94">
        <f ca="1">VLOOKUP($P95,'Regresion Q3'!$J$6:$N$10,4,1)*$P95+VLOOKUP($P95,'Regresion Q3'!$J$6:$N$10,5,1)</f>
        <v>8462060.0608792007</v>
      </c>
      <c r="AI95" s="94">
        <f ca="1">VLOOKUP($P95,'Regresion Q3'!$O$6:$S$10,4,1)*$P95+VLOOKUP($P95,'Regresion Q3'!$O$6:$S$10,5,1)</f>
        <v>8626104.3420915939</v>
      </c>
      <c r="AJ95" s="94">
        <f ca="1">VLOOKUP($P95,'Regresion Q1'!$T$6:$V$10,2,1)*$P95+VLOOKUP($P95,'Regresion Q1'!$T$6:$V$10,3,1)</f>
        <v>4934547.0898746941</v>
      </c>
      <c r="AK95" s="94">
        <f ca="1">VLOOKUP($P95,'Regresion Q1'!$W$6:$Y$10,2,1)*$P95+VLOOKUP($P95,'Regresion Q1'!$W$6:$Y$10,3,1)</f>
        <v>5096507.7277497761</v>
      </c>
      <c r="AL95" s="94">
        <f ca="1">VLOOKUP($P95,'Regresion Q1'!$Z$6:$AB$10,2,1)*$P95+VLOOKUP($P95,'Regresion Q1'!$Z$6:$AB$10,3,1)</f>
        <v>5358680.4802445155</v>
      </c>
      <c r="AM95" s="94">
        <f ca="1">VLOOKUP($P95,'Regresion Md'!$T$6:$V$10,2,1)*$P95+VLOOKUP($P95,'Regresion Md'!$T$6:$V$10,3,1)</f>
        <v>7010556.4288214613</v>
      </c>
      <c r="AN95" s="94">
        <f ca="1">VLOOKUP($P95,'Regresion Md'!$W$6:$Y$10,2,1)*$P95+VLOOKUP($P95,'Regresion Md'!$W$6:$Y$10,3,1)</f>
        <v>7369818.1133952513</v>
      </c>
      <c r="AO95" s="94">
        <f ca="1">VLOOKUP($P95,'Regresion Md'!$Z$6:$AB$10,2,1)*$P95+VLOOKUP($P95,'Regresion Md'!$Z$6:$AB$10,3,1)</f>
        <v>7687903.5295635257</v>
      </c>
      <c r="AP95" s="94">
        <f ca="1">VLOOKUP($P95,'Regresion Q3'!$T$6:$V$10,2,1)*$P95+VLOOKUP($P95,'Regresion Q3'!$T$6:$V$10,3,1)</f>
        <v>7783388.0286314869</v>
      </c>
      <c r="AQ95" s="94">
        <f ca="1">VLOOKUP($P95,'Regresion Q3'!$W$6:$Y$10,2,1)*$P95+VLOOKUP($P95,'Regresion Q3'!$W$6:$Y$10,3,1)</f>
        <v>7989253.9801108083</v>
      </c>
      <c r="AR95" s="94">
        <f ca="1">VLOOKUP($P95,'Regresion Q3'!$Z$6:$AB$10,2,1)*$P95+VLOOKUP($P95,'Regresion Q3'!$Z$6:$AB$10,3,1)</f>
        <v>8176682.2432155646</v>
      </c>
      <c r="AS95" s="94">
        <f>IF($BN95=$BN96,-1,DatosHoy[[#This Row],[G ajus PM Q1]]-BO96)</f>
        <v>-1</v>
      </c>
      <c r="AT95" s="94">
        <f>IF($BN95=$BN96,-1,DatosHoy[[#This Row],[G+V ajus PM Q1]]-BP96)</f>
        <v>-1</v>
      </c>
      <c r="AU95" s="94">
        <f>IF($BN95=$BN96,-1,DatosHoy[[#This Row],[CT ajus PM Q1]]-BQ96)</f>
        <v>-1</v>
      </c>
      <c r="AV95" s="94">
        <f ca="1">IF(DatosHoy[[#This Row],[G ajus PM Q1]]=DatosHoy[[#This Row],[G+V ajus PM Q1]],-1,DatosHoy[[#This Row],[G ajus PM Q1]]-DatosHoy[[#This Row],[G+V ajus PM Q1]])</f>
        <v>-130973.20812571794</v>
      </c>
      <c r="AW95" s="94">
        <f ca="1">IF(DatosHoy[[#This Row],[G+V ajus PM Q1]]=DatosHoy[[#This Row],[CT ajus PM Q1]],-1,DatosHoy[[#This Row],[G+V ajus PM Q1]]-DatosHoy[[#This Row],[CT ajus PM Q1]])</f>
        <v>-210752.3410740681</v>
      </c>
      <c r="AX95" s="94">
        <f>IF($BN95=$BN96,-1,DatosHoy[[#This Row],[G ajus PMd]]-BR96)</f>
        <v>-1</v>
      </c>
      <c r="AY95" s="94">
        <f>IF($BN95=$BN96,-1,DatosHoy[[#This Row],[G+V ajus PM Md]]-BS96)</f>
        <v>-1</v>
      </c>
      <c r="AZ95" s="94">
        <f>IF($BN95=$BN96,-1,DatosHoy[[#This Row],[CT ajus PM Md]]-BT96)</f>
        <v>-1</v>
      </c>
      <c r="BA95" s="94">
        <f ca="1">IF(DatosHoy[[#This Row],[G ajus PMd]]=DatosHoy[[#This Row],[G+V ajus PM Md]],-1,DatosHoy[[#This Row],[G ajus PMd]]-DatosHoy[[#This Row],[G+V ajus PM Md]])</f>
        <v>-326853.52235694416</v>
      </c>
      <c r="BB95" s="94">
        <f ca="1">IF(DatosHoy[[#This Row],[G+V ajus PM Md]]=DatosHoy[[#This Row],[CT ajus PM Md]],-1,DatosHoy[[#This Row],[G+V ajus PM Md]]-DatosHoy[[#This Row],[CT ajus PM Md]])</f>
        <v>-306253.68818791769</v>
      </c>
      <c r="BC95" s="94">
        <f>IF($BN95=$BN96,-1,DatosHoy[[#This Row],[G ajus PM Q3]]-BU96)</f>
        <v>-1</v>
      </c>
      <c r="BD95" s="94">
        <f>IF($BN95=$BN96,-1,DatosHoy[[#This Row],[G+V ajus PM Q3]]-BV96)</f>
        <v>-1</v>
      </c>
      <c r="BE95" s="94">
        <f>IF($BN95=$BN96,-1,DatosHoy[[#This Row],[CT ajus PM Q3]]-BW96)</f>
        <v>-1</v>
      </c>
      <c r="BF95" s="94">
        <f ca="1">IF(DatosHoy[[#This Row],[G ajus PM Q3]]=DatosHoy[[#This Row],[G+V ajus PM Q3]],-1,DatosHoy[[#This Row],[G ajus PM Q3]]-DatosHoy[[#This Row],[G+V ajus PM Q3]])</f>
        <v>-198475.16460195556</v>
      </c>
      <c r="BG95" s="94">
        <f ca="1">IF(DatosHoy[[#This Row],[G+V ajus PM Q3]]=DatosHoy[[#This Row],[CT ajus PM Q3]],-1,DatosHoy[[#This Row],[G+V ajus PM Q3]]-DatosHoy[[#This Row],[CT ajus PM Q3]])</f>
        <v>-181383.1676118141</v>
      </c>
      <c r="BH95" s="94">
        <f ca="1">IF(DatosHoy[[#This Row],[G ajus PM Q1]]=DatosHoy[[#This Row],[G ajus PMd]],-1,DatosHoy[[#This Row],[G ajus PM Q1]]-DatosHoy[[#This Row],[G ajus PMd]])</f>
        <v>-2106090.8824396934</v>
      </c>
      <c r="BI95" s="94">
        <f ca="1">IF(DatosHoy[[#This Row],[G+V ajus PM Q1]]=DatosHoy[[#This Row],[G+V ajus PM Md]],-1,DatosHoy[[#This Row],[G+V ajus PM Q1]]-DatosHoy[[#This Row],[G+V ajus PM Md]])</f>
        <v>-2301971.1966709197</v>
      </c>
      <c r="BJ95" s="94">
        <f ca="1">IF(DatosHoy[[#This Row],[CT ajus PM Q1]]=DatosHoy[[#This Row],[CT ajus PM Md]],-1,DatosHoy[[#This Row],[CT ajus PM Q1]]-DatosHoy[[#This Row],[CT ajus PM Md]])</f>
        <v>-2397472.5437847693</v>
      </c>
      <c r="BK95" s="94">
        <f ca="1">IF(DatosHoy[[#This Row],[G ajus PMd]]=DatosHoy[[#This Row],[G ajus PM Q3]],-1,DatosHoy[[#This Row],[G ajus PMd]]-DatosHoy[[#This Row],[G ajus PM Q3]])</f>
        <v>-848943.76769294124</v>
      </c>
      <c r="BL95" s="94">
        <f ca="1">IF(DatosHoy[[#This Row],[G+V ajus PM Md]]=DatosHoy[[#This Row],[G+V ajus PM Q3]],-1,DatosHoy[[#This Row],[G+V ajus PM Md]]-DatosHoy[[#This Row],[G+V ajus PM Q3]])</f>
        <v>-720565.40993795265</v>
      </c>
      <c r="BM95" s="94">
        <f ca="1">IF(DatosHoy[[#This Row],[CT ajus PM Md]]=DatosHoy[[#This Row],[CT ajus PM Q3]],-1,DatosHoy[[#This Row],[CT ajus PM Md]]-DatosHoy[[#This Row],[CT ajus PM Q3]])</f>
        <v>-595694.88936184905</v>
      </c>
      <c r="BN95" s="74">
        <v>379</v>
      </c>
      <c r="BO95" s="94">
        <f ca="1">IFERROR(VLOOKUP($BN95,'Regresion Q1'!$T$6:$V$10,2,1)*$BN95+VLOOKUP($BN95,'Regresion Q1'!$T$6:$V$10,3,1),VLOOKUP(MIN(DatosHoy[Puntos]),'Regresion Q1'!$T$6:$V$10,2,1)*$BN95+VLOOKUP(MIN(DatosHoy[Puntos]),'Regresion Q1'!$T$6:$V$10,3,1))</f>
        <v>4514526.9471599981</v>
      </c>
      <c r="BP95" s="94">
        <f ca="1">IFERROR(VLOOKUP($BN95,'Regresion Q1'!$W$6:$Y$10,2,1)*$BN95+VLOOKUP($BN95,'Regresion Q1'!$W$6:$Y$10,3,1),VLOOKUP(MIN(DatosHoy[Puntos]),'Regresion Q1'!$W$6:$Y$10,2,1)*$BN95+VLOOKUP(MIN(DatosHoy[Puntos]),'Regresion Q1'!$W$6:$Y$10,3,1))</f>
        <v>4645500.1552857161</v>
      </c>
      <c r="BQ95" s="94">
        <f ca="1">IFERROR(VLOOKUP($BN95,'Regresion Q1'!$Z$6:$AB$10,2,1)*$BN95+VLOOKUP($BN95,'Regresion Q1'!$Z$6:$AB$10,3,1),VLOOKUP(MIN(DatosHoy[Puntos]),'Regresion Q1'!$Z$6:$AB$10,2,1)*$BN95+VLOOKUP(MIN(DatosHoy[Puntos]),'Regresion Q1'!$Z$6:$AB$10,3,1))</f>
        <v>4856252.4963597842</v>
      </c>
      <c r="BR95" s="94">
        <f ca="1">IFERROR(VLOOKUP($BN95,'Regresion Md'!$T$6:$V$10,2,1)*$BN95+VLOOKUP($BN95,'Regresion Md'!$T$6:$V$10,3,1),VLOOKUP(MIN(DatosHoy[Puntos]),'Regresion Md'!$T$6:$V$10,2,1)*$BN95+VLOOKUP(MIN(DatosHoy[Puntos]),'Regresion Md'!$T$6:$V$10,3,1))</f>
        <v>6620617.8295996916</v>
      </c>
      <c r="BS95" s="94">
        <f ca="1">IFERROR(VLOOKUP($BN95,'Regresion Md'!$W$6:$Y$10,2,1)*$BN95+VLOOKUP($BN95,'Regresion Md'!$W$6:$Y$10,3,1),VLOOKUP(MIN(DatosHoy[Puntos]),'Regresion Md'!$W$6:$Y$10,2,1)*$BN95+VLOOKUP(MIN(DatosHoy[Puntos]),'Regresion Md'!$W$6:$Y$10,3,1))</f>
        <v>6947471.3519566357</v>
      </c>
      <c r="BT95" s="94">
        <f ca="1">IFERROR(VLOOKUP($BN95,'Regresion Md'!$Z$6:$AB$10,2,1)*$BN95+VLOOKUP($BN95,'Regresion Md'!$Z$6:$AB$10,3,1),VLOOKUP(MIN(DatosHoy[Puntos]),'Regresion Md'!$Z$6:$AB$10,2,1)*$BN95+VLOOKUP(MIN(DatosHoy[Puntos]),'Regresion Md'!$Z$6:$AB$10,3,1))</f>
        <v>7253725.0401445534</v>
      </c>
      <c r="BU95" s="94">
        <f ca="1">IFERROR(VLOOKUP($BN95,'Regresion Q3'!$T$6:$V$10,2,1)*$BN95+VLOOKUP($BN95,'Regresion Q3'!$T$6:$V$10,3,1),VLOOKUP(MIN(DatosHoy[Puntos]),'Regresion Q3'!$T$6:$V$10,2,1)*$BN95+VLOOKUP(MIN(DatosHoy[Puntos]),'Regresion Q3'!$T$6:$V$10,3,1))</f>
        <v>7469561.5972926328</v>
      </c>
      <c r="BV95" s="94">
        <f ca="1">IFERROR(VLOOKUP($BN95,'Regresion Q3'!$W$6:$Y$10,2,1)*$BN95+VLOOKUP($BN95,'Regresion Q3'!$W$6:$Y$10,3,1),VLOOKUP(MIN(DatosHoy[Puntos]),'Regresion Q3'!$W$6:$Y$10,2,1)*$BN95+VLOOKUP(MIN(DatosHoy[Puntos]),'Regresion Q3'!$W$6:$Y$10,3,1))</f>
        <v>7668036.7618945884</v>
      </c>
      <c r="BW95" s="94">
        <f ca="1">IFERROR(VLOOKUP($BN95,'Regresion Q3'!$Z$6:$AB$10,2,1)*$BN95+VLOOKUP($BN95,'Regresion Q3'!$Z$6:$AB$10,3,1),VLOOKUP(MIN(DatosHoy[Puntos]),'Regresion Q3'!$Z$6:$AB$10,2,1)*$BN95+VLOOKUP(MIN(DatosHoy[Puntos]),'Regresion Q3'!$Z$6:$AB$10,3,1))</f>
        <v>7849419.9295064025</v>
      </c>
      <c r="BX95" s="96">
        <f ca="1">DatosHoy[[#This Row],[CT Actual]]/DatosHoy[[#This Row],[CT ajus PM Md]]</f>
        <v>0.65421698282423879</v>
      </c>
      <c r="BY95" s="125" t="str">
        <f>VLOOKUP(DatosHoy[[#This Row],[Cargo Valorado]],Estadísticos[[Cargo]:[Nivel]],2,FALSE)</f>
        <v>Táctico</v>
      </c>
      <c r="BZ95" s="96">
        <f>(DatosHoy[[#This Row],[G+V Actual]]-DatosHoy[[#This Row],[G Actual]])/DatosHoy[[#This Row],[CT Actual]]</f>
        <v>0</v>
      </c>
      <c r="CA95" s="96">
        <f>(DatosHoy[[#This Row],[CT Actual]]-DatosHoy[[#This Row],[G+V Actual]])/DatosHoy[[#This Row],[CT Actual]]</f>
        <v>0</v>
      </c>
      <c r="CB95" s="139" t="s">
        <v>255</v>
      </c>
    </row>
    <row r="96" spans="2:80" x14ac:dyDescent="0.25">
      <c r="B96" s="73">
        <f t="shared" si="45"/>
        <v>91</v>
      </c>
      <c r="C96" s="74">
        <v>4745510.1100000003</v>
      </c>
      <c r="D96" s="74">
        <v>4745510.1100000003</v>
      </c>
      <c r="E96" s="74">
        <v>4745510.1100000003</v>
      </c>
      <c r="F96" s="94">
        <f>VLOOKUP(DatosHoy[[#This Row],[Cargo Valorado]],Estadísticos[],3,0)</f>
        <v>9139836.976786565</v>
      </c>
      <c r="G96" s="94">
        <f>VLOOKUP(DatosHoy[[#This Row],[Cargo Valorado]],Estadísticos[],4,0)</f>
        <v>9139836.976786565</v>
      </c>
      <c r="H96" s="94">
        <f>VLOOKUP(DatosHoy[[#This Row],[Cargo Valorado]],Estadísticos[],5,0)</f>
        <v>9139836.976786565</v>
      </c>
      <c r="I96" s="94">
        <f>VLOOKUP(DatosHoy[[#This Row],[Cargo Valorado]],Estadísticos[],6,0)</f>
        <v>14453402.931129888</v>
      </c>
      <c r="J96" s="94">
        <f>VLOOKUP(DatosHoy[[#This Row],[Cargo Valorado]],Estadísticos[],7,0)</f>
        <v>14453402.931129888</v>
      </c>
      <c r="K96" s="94">
        <f>VLOOKUP(DatosHoy[[#This Row],[Cargo Valorado]],Estadísticos[],8,0)</f>
        <v>14595287.277824191</v>
      </c>
      <c r="L96" s="94">
        <f>VLOOKUP(DatosHoy[[#This Row],[Cargo Valorado]],Estadísticos[],9,0)</f>
        <v>15582840.257710904</v>
      </c>
      <c r="M96" s="94">
        <f>VLOOKUP(DatosHoy[[#This Row],[Cargo Valorado]],Estadísticos[],10,0)</f>
        <v>15582840.257710904</v>
      </c>
      <c r="N96" s="94">
        <f>VLOOKUP(DatosHoy[[#This Row],[Cargo Valorado]],Estadísticos[],11,0)</f>
        <v>15780582.170601029</v>
      </c>
      <c r="O96" s="75" t="s">
        <v>216</v>
      </c>
      <c r="P96" s="75">
        <v>396</v>
      </c>
      <c r="Q96" s="95" t="str">
        <f t="shared" si="46"/>
        <v>$P$96</v>
      </c>
      <c r="R96" s="95" t="str">
        <f t="shared" si="47"/>
        <v>$F$96</v>
      </c>
      <c r="S96" s="95" t="str">
        <f t="shared" si="48"/>
        <v>$G$96</v>
      </c>
      <c r="T96" s="95" t="str">
        <f t="shared" si="49"/>
        <v>$H$96</v>
      </c>
      <c r="U96" s="95" t="str">
        <f t="shared" si="50"/>
        <v>$I$96</v>
      </c>
      <c r="V96" s="95" t="str">
        <f t="shared" si="51"/>
        <v>$J$96</v>
      </c>
      <c r="W96" s="95" t="str">
        <f t="shared" si="52"/>
        <v>$K$96</v>
      </c>
      <c r="X96" s="95" t="str">
        <f t="shared" si="53"/>
        <v>$L$96</v>
      </c>
      <c r="Y96" s="95" t="str">
        <f t="shared" si="54"/>
        <v>$M$96</v>
      </c>
      <c r="Z96" s="95" t="str">
        <f t="shared" si="55"/>
        <v>$N$96</v>
      </c>
      <c r="AA96" s="94">
        <f ca="1">VLOOKUP($P96,'Regresion Q1'!$E$6:$I$10,4,1)*$P96+VLOOKUP($P96,'Regresion Q1'!$E$6:$I$10,5,1)</f>
        <v>4934547.0898746923</v>
      </c>
      <c r="AB96" s="94">
        <f ca="1">VLOOKUP($P96,'Regresion Q1'!$J$6:$N$10,4,1)*$P96+VLOOKUP($P96,'Regresion Q1'!$J$6:$N$10,5,1)</f>
        <v>5096507.7277497798</v>
      </c>
      <c r="AC96" s="94">
        <f ca="1">VLOOKUP($P96,'Regresion Q1'!$O$6:$S$10,4,1)*$P96+VLOOKUP($P96,'Regresion Q1'!$O$6:$S$10,5,1)</f>
        <v>5358680.4802445155</v>
      </c>
      <c r="AD96" s="94">
        <f ca="1">VLOOKUP($P96,'Regresion Md'!$E$6:$I$10,4,1)*$P96+VLOOKUP($P96,'Regresion Md'!$E$6:$I$10,5,1)</f>
        <v>7395114.6140165618</v>
      </c>
      <c r="AE96" s="94">
        <f ca="1">VLOOKUP($P96,'Regresion Md'!$J$6:$N$10,4,1)*$P96+VLOOKUP($P96,'Regresion Md'!$J$6:$N$10,5,1)</f>
        <v>7565312.464411499</v>
      </c>
      <c r="AF96" s="94">
        <f ca="1">VLOOKUP($P96,'Regresion Md'!$O$6:$S$10,4,1)*$P96+VLOOKUP($P96,'Regresion Md'!$O$6:$S$10,5,1)</f>
        <v>7736951.1543173809</v>
      </c>
      <c r="AG96" s="94">
        <f ca="1">VLOOKUP($P96,'Regresion Q3'!$E$6:$I$10,4,1)*$P96+VLOOKUP($P96,'Regresion Q3'!$E$6:$I$10,5,1)</f>
        <v>8341690.5793419974</v>
      </c>
      <c r="AH96" s="94">
        <f ca="1">VLOOKUP($P96,'Regresion Q3'!$J$6:$N$10,4,1)*$P96+VLOOKUP($P96,'Regresion Q3'!$J$6:$N$10,5,1)</f>
        <v>8462060.0608792007</v>
      </c>
      <c r="AI96" s="94">
        <f ca="1">VLOOKUP($P96,'Regresion Q3'!$O$6:$S$10,4,1)*$P96+VLOOKUP($P96,'Regresion Q3'!$O$6:$S$10,5,1)</f>
        <v>8626104.3420915939</v>
      </c>
      <c r="AJ96" s="94">
        <f ca="1">VLOOKUP($P96,'Regresion Q1'!$T$6:$V$10,2,1)*$P96+VLOOKUP($P96,'Regresion Q1'!$T$6:$V$10,3,1)</f>
        <v>4934547.0898746941</v>
      </c>
      <c r="AK96" s="94">
        <f ca="1">VLOOKUP($P96,'Regresion Q1'!$W$6:$Y$10,2,1)*$P96+VLOOKUP($P96,'Regresion Q1'!$W$6:$Y$10,3,1)</f>
        <v>5096507.7277497761</v>
      </c>
      <c r="AL96" s="94">
        <f ca="1">VLOOKUP($P96,'Regresion Q1'!$Z$6:$AB$10,2,1)*$P96+VLOOKUP($P96,'Regresion Q1'!$Z$6:$AB$10,3,1)</f>
        <v>5358680.4802445155</v>
      </c>
      <c r="AM96" s="94">
        <f ca="1">VLOOKUP($P96,'Regresion Md'!$T$6:$V$10,2,1)*$P96+VLOOKUP($P96,'Regresion Md'!$T$6:$V$10,3,1)</f>
        <v>7010556.4288214613</v>
      </c>
      <c r="AN96" s="94">
        <f ca="1">VLOOKUP($P96,'Regresion Md'!$W$6:$Y$10,2,1)*$P96+VLOOKUP($P96,'Regresion Md'!$W$6:$Y$10,3,1)</f>
        <v>7369818.1133952513</v>
      </c>
      <c r="AO96" s="94">
        <f ca="1">VLOOKUP($P96,'Regresion Md'!$Z$6:$AB$10,2,1)*$P96+VLOOKUP($P96,'Regresion Md'!$Z$6:$AB$10,3,1)</f>
        <v>7687903.5295635257</v>
      </c>
      <c r="AP96" s="94">
        <f ca="1">VLOOKUP($P96,'Regresion Q3'!$T$6:$V$10,2,1)*$P96+VLOOKUP($P96,'Regresion Q3'!$T$6:$V$10,3,1)</f>
        <v>7783388.0286314869</v>
      </c>
      <c r="AQ96" s="94">
        <f ca="1">VLOOKUP($P96,'Regresion Q3'!$W$6:$Y$10,2,1)*$P96+VLOOKUP($P96,'Regresion Q3'!$W$6:$Y$10,3,1)</f>
        <v>7989253.9801108083</v>
      </c>
      <c r="AR96" s="94">
        <f ca="1">VLOOKUP($P96,'Regresion Q3'!$Z$6:$AB$10,2,1)*$P96+VLOOKUP($P96,'Regresion Q3'!$Z$6:$AB$10,3,1)</f>
        <v>8176682.2432155646</v>
      </c>
      <c r="AS96" s="94">
        <f>IF($BN96=$BN97,-1,DatosHoy[[#This Row],[G ajus PM Q1]]-BO97)</f>
        <v>-1</v>
      </c>
      <c r="AT96" s="94">
        <f>IF($BN96=$BN97,-1,DatosHoy[[#This Row],[G+V ajus PM Q1]]-BP97)</f>
        <v>-1</v>
      </c>
      <c r="AU96" s="94">
        <f>IF($BN96=$BN97,-1,DatosHoy[[#This Row],[CT ajus PM Q1]]-BQ97)</f>
        <v>-1</v>
      </c>
      <c r="AV96" s="94">
        <f ca="1">IF(DatosHoy[[#This Row],[G ajus PM Q1]]=DatosHoy[[#This Row],[G+V ajus PM Q1]],-1,DatosHoy[[#This Row],[G ajus PM Q1]]-DatosHoy[[#This Row],[G+V ajus PM Q1]])</f>
        <v>-130973.20812571794</v>
      </c>
      <c r="AW96" s="94">
        <f ca="1">IF(DatosHoy[[#This Row],[G+V ajus PM Q1]]=DatosHoy[[#This Row],[CT ajus PM Q1]],-1,DatosHoy[[#This Row],[G+V ajus PM Q1]]-DatosHoy[[#This Row],[CT ajus PM Q1]])</f>
        <v>-210752.3410740681</v>
      </c>
      <c r="AX96" s="94">
        <f>IF($BN96=$BN97,-1,DatosHoy[[#This Row],[G ajus PMd]]-BR97)</f>
        <v>-1</v>
      </c>
      <c r="AY96" s="94">
        <f>IF($BN96=$BN97,-1,DatosHoy[[#This Row],[G+V ajus PM Md]]-BS97)</f>
        <v>-1</v>
      </c>
      <c r="AZ96" s="94">
        <f>IF($BN96=$BN97,-1,DatosHoy[[#This Row],[CT ajus PM Md]]-BT97)</f>
        <v>-1</v>
      </c>
      <c r="BA96" s="94">
        <f ca="1">IF(DatosHoy[[#This Row],[G ajus PMd]]=DatosHoy[[#This Row],[G+V ajus PM Md]],-1,DatosHoy[[#This Row],[G ajus PMd]]-DatosHoy[[#This Row],[G+V ajus PM Md]])</f>
        <v>-326853.52235694416</v>
      </c>
      <c r="BB96" s="94">
        <f ca="1">IF(DatosHoy[[#This Row],[G+V ajus PM Md]]=DatosHoy[[#This Row],[CT ajus PM Md]],-1,DatosHoy[[#This Row],[G+V ajus PM Md]]-DatosHoy[[#This Row],[CT ajus PM Md]])</f>
        <v>-306253.68818791769</v>
      </c>
      <c r="BC96" s="94">
        <f>IF($BN96=$BN97,-1,DatosHoy[[#This Row],[G ajus PM Q3]]-BU97)</f>
        <v>-1</v>
      </c>
      <c r="BD96" s="94">
        <f>IF($BN96=$BN97,-1,DatosHoy[[#This Row],[G+V ajus PM Q3]]-BV97)</f>
        <v>-1</v>
      </c>
      <c r="BE96" s="94">
        <f>IF($BN96=$BN97,-1,DatosHoy[[#This Row],[CT ajus PM Q3]]-BW97)</f>
        <v>-1</v>
      </c>
      <c r="BF96" s="94">
        <f ca="1">IF(DatosHoy[[#This Row],[G ajus PM Q3]]=DatosHoy[[#This Row],[G+V ajus PM Q3]],-1,DatosHoy[[#This Row],[G ajus PM Q3]]-DatosHoy[[#This Row],[G+V ajus PM Q3]])</f>
        <v>-198475.16460195556</v>
      </c>
      <c r="BG96" s="94">
        <f ca="1">IF(DatosHoy[[#This Row],[G+V ajus PM Q3]]=DatosHoy[[#This Row],[CT ajus PM Q3]],-1,DatosHoy[[#This Row],[G+V ajus PM Q3]]-DatosHoy[[#This Row],[CT ajus PM Q3]])</f>
        <v>-181383.1676118141</v>
      </c>
      <c r="BH96" s="94">
        <f ca="1">IF(DatosHoy[[#This Row],[G ajus PM Q1]]=DatosHoy[[#This Row],[G ajus PMd]],-1,DatosHoy[[#This Row],[G ajus PM Q1]]-DatosHoy[[#This Row],[G ajus PMd]])</f>
        <v>-2106090.8824396934</v>
      </c>
      <c r="BI96" s="94">
        <f ca="1">IF(DatosHoy[[#This Row],[G+V ajus PM Q1]]=DatosHoy[[#This Row],[G+V ajus PM Md]],-1,DatosHoy[[#This Row],[G+V ajus PM Q1]]-DatosHoy[[#This Row],[G+V ajus PM Md]])</f>
        <v>-2301971.1966709197</v>
      </c>
      <c r="BJ96" s="94">
        <f ca="1">IF(DatosHoy[[#This Row],[CT ajus PM Q1]]=DatosHoy[[#This Row],[CT ajus PM Md]],-1,DatosHoy[[#This Row],[CT ajus PM Q1]]-DatosHoy[[#This Row],[CT ajus PM Md]])</f>
        <v>-2397472.5437847693</v>
      </c>
      <c r="BK96" s="94">
        <f ca="1">IF(DatosHoy[[#This Row],[G ajus PMd]]=DatosHoy[[#This Row],[G ajus PM Q3]],-1,DatosHoy[[#This Row],[G ajus PMd]]-DatosHoy[[#This Row],[G ajus PM Q3]])</f>
        <v>-848943.76769294124</v>
      </c>
      <c r="BL96" s="94">
        <f ca="1">IF(DatosHoy[[#This Row],[G+V ajus PM Md]]=DatosHoy[[#This Row],[G+V ajus PM Q3]],-1,DatosHoy[[#This Row],[G+V ajus PM Md]]-DatosHoy[[#This Row],[G+V ajus PM Q3]])</f>
        <v>-720565.40993795265</v>
      </c>
      <c r="BM96" s="94">
        <f ca="1">IF(DatosHoy[[#This Row],[CT ajus PM Md]]=DatosHoy[[#This Row],[CT ajus PM Q3]],-1,DatosHoy[[#This Row],[CT ajus PM Md]]-DatosHoy[[#This Row],[CT ajus PM Q3]])</f>
        <v>-595694.88936184905</v>
      </c>
      <c r="BN96" s="74">
        <v>379</v>
      </c>
      <c r="BO96" s="94">
        <f ca="1">IFERROR(VLOOKUP($BN96,'Regresion Q1'!$T$6:$V$10,2,1)*$BN96+VLOOKUP($BN96,'Regresion Q1'!$T$6:$V$10,3,1),VLOOKUP(MIN(DatosHoy[Puntos]),'Regresion Q1'!$T$6:$V$10,2,1)*$BN96+VLOOKUP(MIN(DatosHoy[Puntos]),'Regresion Q1'!$T$6:$V$10,3,1))</f>
        <v>4514526.9471599981</v>
      </c>
      <c r="BP96" s="94">
        <f ca="1">IFERROR(VLOOKUP($BN96,'Regresion Q1'!$W$6:$Y$10,2,1)*$BN96+VLOOKUP($BN96,'Regresion Q1'!$W$6:$Y$10,3,1),VLOOKUP(MIN(DatosHoy[Puntos]),'Regresion Q1'!$W$6:$Y$10,2,1)*$BN96+VLOOKUP(MIN(DatosHoy[Puntos]),'Regresion Q1'!$W$6:$Y$10,3,1))</f>
        <v>4645500.1552857161</v>
      </c>
      <c r="BQ96" s="94">
        <f ca="1">IFERROR(VLOOKUP($BN96,'Regresion Q1'!$Z$6:$AB$10,2,1)*$BN96+VLOOKUP($BN96,'Regresion Q1'!$Z$6:$AB$10,3,1),VLOOKUP(MIN(DatosHoy[Puntos]),'Regresion Q1'!$Z$6:$AB$10,2,1)*$BN96+VLOOKUP(MIN(DatosHoy[Puntos]),'Regresion Q1'!$Z$6:$AB$10,3,1))</f>
        <v>4856252.4963597842</v>
      </c>
      <c r="BR96" s="94">
        <f ca="1">IFERROR(VLOOKUP($BN96,'Regresion Md'!$T$6:$V$10,2,1)*$BN96+VLOOKUP($BN96,'Regresion Md'!$T$6:$V$10,3,1),VLOOKUP(MIN(DatosHoy[Puntos]),'Regresion Md'!$T$6:$V$10,2,1)*$BN96+VLOOKUP(MIN(DatosHoy[Puntos]),'Regresion Md'!$T$6:$V$10,3,1))</f>
        <v>6620617.8295996916</v>
      </c>
      <c r="BS96" s="94">
        <f ca="1">IFERROR(VLOOKUP($BN96,'Regresion Md'!$W$6:$Y$10,2,1)*$BN96+VLOOKUP($BN96,'Regresion Md'!$W$6:$Y$10,3,1),VLOOKUP(MIN(DatosHoy[Puntos]),'Regresion Md'!$W$6:$Y$10,2,1)*$BN96+VLOOKUP(MIN(DatosHoy[Puntos]),'Regresion Md'!$W$6:$Y$10,3,1))</f>
        <v>6947471.3519566357</v>
      </c>
      <c r="BT96" s="94">
        <f ca="1">IFERROR(VLOOKUP($BN96,'Regresion Md'!$Z$6:$AB$10,2,1)*$BN96+VLOOKUP($BN96,'Regresion Md'!$Z$6:$AB$10,3,1),VLOOKUP(MIN(DatosHoy[Puntos]),'Regresion Md'!$Z$6:$AB$10,2,1)*$BN96+VLOOKUP(MIN(DatosHoy[Puntos]),'Regresion Md'!$Z$6:$AB$10,3,1))</f>
        <v>7253725.0401445534</v>
      </c>
      <c r="BU96" s="94">
        <f ca="1">IFERROR(VLOOKUP($BN96,'Regresion Q3'!$T$6:$V$10,2,1)*$BN96+VLOOKUP($BN96,'Regresion Q3'!$T$6:$V$10,3,1),VLOOKUP(MIN(DatosHoy[Puntos]),'Regresion Q3'!$T$6:$V$10,2,1)*$BN96+VLOOKUP(MIN(DatosHoy[Puntos]),'Regresion Q3'!$T$6:$V$10,3,1))</f>
        <v>7469561.5972926328</v>
      </c>
      <c r="BV96" s="94">
        <f ca="1">IFERROR(VLOOKUP($BN96,'Regresion Q3'!$W$6:$Y$10,2,1)*$BN96+VLOOKUP($BN96,'Regresion Q3'!$W$6:$Y$10,3,1),VLOOKUP(MIN(DatosHoy[Puntos]),'Regresion Q3'!$W$6:$Y$10,2,1)*$BN96+VLOOKUP(MIN(DatosHoy[Puntos]),'Regresion Q3'!$W$6:$Y$10,3,1))</f>
        <v>7668036.7618945884</v>
      </c>
      <c r="BW96" s="94">
        <f ca="1">IFERROR(VLOOKUP($BN96,'Regresion Q3'!$Z$6:$AB$10,2,1)*$BN96+VLOOKUP($BN96,'Regresion Q3'!$Z$6:$AB$10,3,1),VLOOKUP(MIN(DatosHoy[Puntos]),'Regresion Q3'!$Z$6:$AB$10,2,1)*$BN96+VLOOKUP(MIN(DatosHoy[Puntos]),'Regresion Q3'!$Z$6:$AB$10,3,1))</f>
        <v>7849419.9295064025</v>
      </c>
      <c r="BX96" s="96">
        <f ca="1">DatosHoy[[#This Row],[CT Actual]]/DatosHoy[[#This Row],[CT ajus PM Md]]</f>
        <v>0.65421698282423879</v>
      </c>
      <c r="BY96" s="125" t="str">
        <f>VLOOKUP(DatosHoy[[#This Row],[Cargo Valorado]],Estadísticos[[Cargo]:[Nivel]],2,FALSE)</f>
        <v>Táctico</v>
      </c>
      <c r="BZ96" s="96">
        <f>(DatosHoy[[#This Row],[G+V Actual]]-DatosHoy[[#This Row],[G Actual]])/DatosHoy[[#This Row],[CT Actual]]</f>
        <v>0</v>
      </c>
      <c r="CA96" s="96">
        <f>(DatosHoy[[#This Row],[CT Actual]]-DatosHoy[[#This Row],[G+V Actual]])/DatosHoy[[#This Row],[CT Actual]]</f>
        <v>0</v>
      </c>
      <c r="CB96" s="139" t="s">
        <v>255</v>
      </c>
    </row>
    <row r="97" spans="2:80" x14ac:dyDescent="0.25">
      <c r="B97" s="73">
        <f t="shared" si="45"/>
        <v>92</v>
      </c>
      <c r="C97" s="74">
        <v>4745510.1100000003</v>
      </c>
      <c r="D97" s="74">
        <v>4745510.1100000003</v>
      </c>
      <c r="E97" s="74">
        <v>4745510.1100000003</v>
      </c>
      <c r="F97" s="94">
        <f>VLOOKUP(DatosHoy[[#This Row],[Cargo Valorado]],Estadísticos[],3,0)</f>
        <v>9139836.976786565</v>
      </c>
      <c r="G97" s="94">
        <f>VLOOKUP(DatosHoy[[#This Row],[Cargo Valorado]],Estadísticos[],4,0)</f>
        <v>9139836.976786565</v>
      </c>
      <c r="H97" s="94">
        <f>VLOOKUP(DatosHoy[[#This Row],[Cargo Valorado]],Estadísticos[],5,0)</f>
        <v>9139836.976786565</v>
      </c>
      <c r="I97" s="94">
        <f>VLOOKUP(DatosHoy[[#This Row],[Cargo Valorado]],Estadísticos[],6,0)</f>
        <v>14453402.931129888</v>
      </c>
      <c r="J97" s="94">
        <f>VLOOKUP(DatosHoy[[#This Row],[Cargo Valorado]],Estadísticos[],7,0)</f>
        <v>14453402.931129888</v>
      </c>
      <c r="K97" s="94">
        <f>VLOOKUP(DatosHoy[[#This Row],[Cargo Valorado]],Estadísticos[],8,0)</f>
        <v>14595287.277824191</v>
      </c>
      <c r="L97" s="94">
        <f>VLOOKUP(DatosHoy[[#This Row],[Cargo Valorado]],Estadísticos[],9,0)</f>
        <v>15582840.257710904</v>
      </c>
      <c r="M97" s="94">
        <f>VLOOKUP(DatosHoy[[#This Row],[Cargo Valorado]],Estadísticos[],10,0)</f>
        <v>15582840.257710904</v>
      </c>
      <c r="N97" s="94">
        <f>VLOOKUP(DatosHoy[[#This Row],[Cargo Valorado]],Estadísticos[],11,0)</f>
        <v>15780582.170601029</v>
      </c>
      <c r="O97" s="75" t="s">
        <v>216</v>
      </c>
      <c r="P97" s="75">
        <v>396</v>
      </c>
      <c r="Q97" s="95" t="str">
        <f t="shared" si="46"/>
        <v>$P$97</v>
      </c>
      <c r="R97" s="95" t="str">
        <f t="shared" si="47"/>
        <v>$F$97</v>
      </c>
      <c r="S97" s="95" t="str">
        <f t="shared" si="48"/>
        <v>$G$97</v>
      </c>
      <c r="T97" s="95" t="str">
        <f t="shared" si="49"/>
        <v>$H$97</v>
      </c>
      <c r="U97" s="95" t="str">
        <f t="shared" si="50"/>
        <v>$I$97</v>
      </c>
      <c r="V97" s="95" t="str">
        <f t="shared" si="51"/>
        <v>$J$97</v>
      </c>
      <c r="W97" s="95" t="str">
        <f t="shared" si="52"/>
        <v>$K$97</v>
      </c>
      <c r="X97" s="95" t="str">
        <f t="shared" si="53"/>
        <v>$L$97</v>
      </c>
      <c r="Y97" s="95" t="str">
        <f t="shared" si="54"/>
        <v>$M$97</v>
      </c>
      <c r="Z97" s="95" t="str">
        <f t="shared" si="55"/>
        <v>$N$97</v>
      </c>
      <c r="AA97" s="94">
        <f ca="1">VLOOKUP($P97,'Regresion Q1'!$E$6:$I$10,4,1)*$P97+VLOOKUP($P97,'Regresion Q1'!$E$6:$I$10,5,1)</f>
        <v>4934547.0898746923</v>
      </c>
      <c r="AB97" s="94">
        <f ca="1">VLOOKUP($P97,'Regresion Q1'!$J$6:$N$10,4,1)*$P97+VLOOKUP($P97,'Regresion Q1'!$J$6:$N$10,5,1)</f>
        <v>5096507.7277497798</v>
      </c>
      <c r="AC97" s="94">
        <f ca="1">VLOOKUP($P97,'Regresion Q1'!$O$6:$S$10,4,1)*$P97+VLOOKUP($P97,'Regresion Q1'!$O$6:$S$10,5,1)</f>
        <v>5358680.4802445155</v>
      </c>
      <c r="AD97" s="94">
        <f ca="1">VLOOKUP($P97,'Regresion Md'!$E$6:$I$10,4,1)*$P97+VLOOKUP($P97,'Regresion Md'!$E$6:$I$10,5,1)</f>
        <v>7395114.6140165618</v>
      </c>
      <c r="AE97" s="94">
        <f ca="1">VLOOKUP($P97,'Regresion Md'!$J$6:$N$10,4,1)*$P97+VLOOKUP($P97,'Regresion Md'!$J$6:$N$10,5,1)</f>
        <v>7565312.464411499</v>
      </c>
      <c r="AF97" s="94">
        <f ca="1">VLOOKUP($P97,'Regresion Md'!$O$6:$S$10,4,1)*$P97+VLOOKUP($P97,'Regresion Md'!$O$6:$S$10,5,1)</f>
        <v>7736951.1543173809</v>
      </c>
      <c r="AG97" s="94">
        <f ca="1">VLOOKUP($P97,'Regresion Q3'!$E$6:$I$10,4,1)*$P97+VLOOKUP($P97,'Regresion Q3'!$E$6:$I$10,5,1)</f>
        <v>8341690.5793419974</v>
      </c>
      <c r="AH97" s="94">
        <f ca="1">VLOOKUP($P97,'Regresion Q3'!$J$6:$N$10,4,1)*$P97+VLOOKUP($P97,'Regresion Q3'!$J$6:$N$10,5,1)</f>
        <v>8462060.0608792007</v>
      </c>
      <c r="AI97" s="94">
        <f ca="1">VLOOKUP($P97,'Regresion Q3'!$O$6:$S$10,4,1)*$P97+VLOOKUP($P97,'Regresion Q3'!$O$6:$S$10,5,1)</f>
        <v>8626104.3420915939</v>
      </c>
      <c r="AJ97" s="94">
        <f ca="1">VLOOKUP($P97,'Regresion Q1'!$T$6:$V$10,2,1)*$P97+VLOOKUP($P97,'Regresion Q1'!$T$6:$V$10,3,1)</f>
        <v>4934547.0898746941</v>
      </c>
      <c r="AK97" s="94">
        <f ca="1">VLOOKUP($P97,'Regresion Q1'!$W$6:$Y$10,2,1)*$P97+VLOOKUP($P97,'Regresion Q1'!$W$6:$Y$10,3,1)</f>
        <v>5096507.7277497761</v>
      </c>
      <c r="AL97" s="94">
        <f ca="1">VLOOKUP($P97,'Regresion Q1'!$Z$6:$AB$10,2,1)*$P97+VLOOKUP($P97,'Regresion Q1'!$Z$6:$AB$10,3,1)</f>
        <v>5358680.4802445155</v>
      </c>
      <c r="AM97" s="94">
        <f ca="1">VLOOKUP($P97,'Regresion Md'!$T$6:$V$10,2,1)*$P97+VLOOKUP($P97,'Regresion Md'!$T$6:$V$10,3,1)</f>
        <v>7010556.4288214613</v>
      </c>
      <c r="AN97" s="94">
        <f ca="1">VLOOKUP($P97,'Regresion Md'!$W$6:$Y$10,2,1)*$P97+VLOOKUP($P97,'Regresion Md'!$W$6:$Y$10,3,1)</f>
        <v>7369818.1133952513</v>
      </c>
      <c r="AO97" s="94">
        <f ca="1">VLOOKUP($P97,'Regresion Md'!$Z$6:$AB$10,2,1)*$P97+VLOOKUP($P97,'Regresion Md'!$Z$6:$AB$10,3,1)</f>
        <v>7687903.5295635257</v>
      </c>
      <c r="AP97" s="94">
        <f ca="1">VLOOKUP($P97,'Regresion Q3'!$T$6:$V$10,2,1)*$P97+VLOOKUP($P97,'Regresion Q3'!$T$6:$V$10,3,1)</f>
        <v>7783388.0286314869</v>
      </c>
      <c r="AQ97" s="94">
        <f ca="1">VLOOKUP($P97,'Regresion Q3'!$W$6:$Y$10,2,1)*$P97+VLOOKUP($P97,'Regresion Q3'!$W$6:$Y$10,3,1)</f>
        <v>7989253.9801108083</v>
      </c>
      <c r="AR97" s="94">
        <f ca="1">VLOOKUP($P97,'Regresion Q3'!$Z$6:$AB$10,2,1)*$P97+VLOOKUP($P97,'Regresion Q3'!$Z$6:$AB$10,3,1)</f>
        <v>8176682.2432155646</v>
      </c>
      <c r="AS97" s="94">
        <f>IF($BN97=$BN98,-1,DatosHoy[[#This Row],[G ajus PM Q1]]-BO98)</f>
        <v>-1</v>
      </c>
      <c r="AT97" s="94">
        <f>IF($BN97=$BN98,-1,DatosHoy[[#This Row],[G+V ajus PM Q1]]-BP98)</f>
        <v>-1</v>
      </c>
      <c r="AU97" s="94">
        <f>IF($BN97=$BN98,-1,DatosHoy[[#This Row],[CT ajus PM Q1]]-BQ98)</f>
        <v>-1</v>
      </c>
      <c r="AV97" s="94">
        <f ca="1">IF(DatosHoy[[#This Row],[G ajus PM Q1]]=DatosHoy[[#This Row],[G+V ajus PM Q1]],-1,DatosHoy[[#This Row],[G ajus PM Q1]]-DatosHoy[[#This Row],[G+V ajus PM Q1]])</f>
        <v>-130973.20812571794</v>
      </c>
      <c r="AW97" s="94">
        <f ca="1">IF(DatosHoy[[#This Row],[G+V ajus PM Q1]]=DatosHoy[[#This Row],[CT ajus PM Q1]],-1,DatosHoy[[#This Row],[G+V ajus PM Q1]]-DatosHoy[[#This Row],[CT ajus PM Q1]])</f>
        <v>-210752.3410740681</v>
      </c>
      <c r="AX97" s="94">
        <f>IF($BN97=$BN98,-1,DatosHoy[[#This Row],[G ajus PMd]]-BR98)</f>
        <v>-1</v>
      </c>
      <c r="AY97" s="94">
        <f>IF($BN97=$BN98,-1,DatosHoy[[#This Row],[G+V ajus PM Md]]-BS98)</f>
        <v>-1</v>
      </c>
      <c r="AZ97" s="94">
        <f>IF($BN97=$BN98,-1,DatosHoy[[#This Row],[CT ajus PM Md]]-BT98)</f>
        <v>-1</v>
      </c>
      <c r="BA97" s="94">
        <f ca="1">IF(DatosHoy[[#This Row],[G ajus PMd]]=DatosHoy[[#This Row],[G+V ajus PM Md]],-1,DatosHoy[[#This Row],[G ajus PMd]]-DatosHoy[[#This Row],[G+V ajus PM Md]])</f>
        <v>-326853.52235694416</v>
      </c>
      <c r="BB97" s="94">
        <f ca="1">IF(DatosHoy[[#This Row],[G+V ajus PM Md]]=DatosHoy[[#This Row],[CT ajus PM Md]],-1,DatosHoy[[#This Row],[G+V ajus PM Md]]-DatosHoy[[#This Row],[CT ajus PM Md]])</f>
        <v>-306253.68818791769</v>
      </c>
      <c r="BC97" s="94">
        <f>IF($BN97=$BN98,-1,DatosHoy[[#This Row],[G ajus PM Q3]]-BU98)</f>
        <v>-1</v>
      </c>
      <c r="BD97" s="94">
        <f>IF($BN97=$BN98,-1,DatosHoy[[#This Row],[G+V ajus PM Q3]]-BV98)</f>
        <v>-1</v>
      </c>
      <c r="BE97" s="94">
        <f>IF($BN97=$BN98,-1,DatosHoy[[#This Row],[CT ajus PM Q3]]-BW98)</f>
        <v>-1</v>
      </c>
      <c r="BF97" s="94">
        <f ca="1">IF(DatosHoy[[#This Row],[G ajus PM Q3]]=DatosHoy[[#This Row],[G+V ajus PM Q3]],-1,DatosHoy[[#This Row],[G ajus PM Q3]]-DatosHoy[[#This Row],[G+V ajus PM Q3]])</f>
        <v>-198475.16460195556</v>
      </c>
      <c r="BG97" s="94">
        <f ca="1">IF(DatosHoy[[#This Row],[G+V ajus PM Q3]]=DatosHoy[[#This Row],[CT ajus PM Q3]],-1,DatosHoy[[#This Row],[G+V ajus PM Q3]]-DatosHoy[[#This Row],[CT ajus PM Q3]])</f>
        <v>-181383.1676118141</v>
      </c>
      <c r="BH97" s="94">
        <f ca="1">IF(DatosHoy[[#This Row],[G ajus PM Q1]]=DatosHoy[[#This Row],[G ajus PMd]],-1,DatosHoy[[#This Row],[G ajus PM Q1]]-DatosHoy[[#This Row],[G ajus PMd]])</f>
        <v>-2106090.8824396934</v>
      </c>
      <c r="BI97" s="94">
        <f ca="1">IF(DatosHoy[[#This Row],[G+V ajus PM Q1]]=DatosHoy[[#This Row],[G+V ajus PM Md]],-1,DatosHoy[[#This Row],[G+V ajus PM Q1]]-DatosHoy[[#This Row],[G+V ajus PM Md]])</f>
        <v>-2301971.1966709197</v>
      </c>
      <c r="BJ97" s="94">
        <f ca="1">IF(DatosHoy[[#This Row],[CT ajus PM Q1]]=DatosHoy[[#This Row],[CT ajus PM Md]],-1,DatosHoy[[#This Row],[CT ajus PM Q1]]-DatosHoy[[#This Row],[CT ajus PM Md]])</f>
        <v>-2397472.5437847693</v>
      </c>
      <c r="BK97" s="94">
        <f ca="1">IF(DatosHoy[[#This Row],[G ajus PMd]]=DatosHoy[[#This Row],[G ajus PM Q3]],-1,DatosHoy[[#This Row],[G ajus PMd]]-DatosHoy[[#This Row],[G ajus PM Q3]])</f>
        <v>-848943.76769294124</v>
      </c>
      <c r="BL97" s="94">
        <f ca="1">IF(DatosHoy[[#This Row],[G+V ajus PM Md]]=DatosHoy[[#This Row],[G+V ajus PM Q3]],-1,DatosHoy[[#This Row],[G+V ajus PM Md]]-DatosHoy[[#This Row],[G+V ajus PM Q3]])</f>
        <v>-720565.40993795265</v>
      </c>
      <c r="BM97" s="94">
        <f ca="1">IF(DatosHoy[[#This Row],[CT ajus PM Md]]=DatosHoy[[#This Row],[CT ajus PM Q3]],-1,DatosHoy[[#This Row],[CT ajus PM Md]]-DatosHoy[[#This Row],[CT ajus PM Q3]])</f>
        <v>-595694.88936184905</v>
      </c>
      <c r="BN97" s="74">
        <v>379</v>
      </c>
      <c r="BO97" s="94">
        <f ca="1">IFERROR(VLOOKUP($BN97,'Regresion Q1'!$T$6:$V$10,2,1)*$BN97+VLOOKUP($BN97,'Regresion Q1'!$T$6:$V$10,3,1),VLOOKUP(MIN(DatosHoy[Puntos]),'Regresion Q1'!$T$6:$V$10,2,1)*$BN97+VLOOKUP(MIN(DatosHoy[Puntos]),'Regresion Q1'!$T$6:$V$10,3,1))</f>
        <v>4514526.9471599981</v>
      </c>
      <c r="BP97" s="94">
        <f ca="1">IFERROR(VLOOKUP($BN97,'Regresion Q1'!$W$6:$Y$10,2,1)*$BN97+VLOOKUP($BN97,'Regresion Q1'!$W$6:$Y$10,3,1),VLOOKUP(MIN(DatosHoy[Puntos]),'Regresion Q1'!$W$6:$Y$10,2,1)*$BN97+VLOOKUP(MIN(DatosHoy[Puntos]),'Regresion Q1'!$W$6:$Y$10,3,1))</f>
        <v>4645500.1552857161</v>
      </c>
      <c r="BQ97" s="94">
        <f ca="1">IFERROR(VLOOKUP($BN97,'Regresion Q1'!$Z$6:$AB$10,2,1)*$BN97+VLOOKUP($BN97,'Regresion Q1'!$Z$6:$AB$10,3,1),VLOOKUP(MIN(DatosHoy[Puntos]),'Regresion Q1'!$Z$6:$AB$10,2,1)*$BN97+VLOOKUP(MIN(DatosHoy[Puntos]),'Regresion Q1'!$Z$6:$AB$10,3,1))</f>
        <v>4856252.4963597842</v>
      </c>
      <c r="BR97" s="94">
        <f ca="1">IFERROR(VLOOKUP($BN97,'Regresion Md'!$T$6:$V$10,2,1)*$BN97+VLOOKUP($BN97,'Regresion Md'!$T$6:$V$10,3,1),VLOOKUP(MIN(DatosHoy[Puntos]),'Regresion Md'!$T$6:$V$10,2,1)*$BN97+VLOOKUP(MIN(DatosHoy[Puntos]),'Regresion Md'!$T$6:$V$10,3,1))</f>
        <v>6620617.8295996916</v>
      </c>
      <c r="BS97" s="94">
        <f ca="1">IFERROR(VLOOKUP($BN97,'Regresion Md'!$W$6:$Y$10,2,1)*$BN97+VLOOKUP($BN97,'Regresion Md'!$W$6:$Y$10,3,1),VLOOKUP(MIN(DatosHoy[Puntos]),'Regresion Md'!$W$6:$Y$10,2,1)*$BN97+VLOOKUP(MIN(DatosHoy[Puntos]),'Regresion Md'!$W$6:$Y$10,3,1))</f>
        <v>6947471.3519566357</v>
      </c>
      <c r="BT97" s="94">
        <f ca="1">IFERROR(VLOOKUP($BN97,'Regresion Md'!$Z$6:$AB$10,2,1)*$BN97+VLOOKUP($BN97,'Regresion Md'!$Z$6:$AB$10,3,1),VLOOKUP(MIN(DatosHoy[Puntos]),'Regresion Md'!$Z$6:$AB$10,2,1)*$BN97+VLOOKUP(MIN(DatosHoy[Puntos]),'Regresion Md'!$Z$6:$AB$10,3,1))</f>
        <v>7253725.0401445534</v>
      </c>
      <c r="BU97" s="94">
        <f ca="1">IFERROR(VLOOKUP($BN97,'Regresion Q3'!$T$6:$V$10,2,1)*$BN97+VLOOKUP($BN97,'Regresion Q3'!$T$6:$V$10,3,1),VLOOKUP(MIN(DatosHoy[Puntos]),'Regresion Q3'!$T$6:$V$10,2,1)*$BN97+VLOOKUP(MIN(DatosHoy[Puntos]),'Regresion Q3'!$T$6:$V$10,3,1))</f>
        <v>7469561.5972926328</v>
      </c>
      <c r="BV97" s="94">
        <f ca="1">IFERROR(VLOOKUP($BN97,'Regresion Q3'!$W$6:$Y$10,2,1)*$BN97+VLOOKUP($BN97,'Regresion Q3'!$W$6:$Y$10,3,1),VLOOKUP(MIN(DatosHoy[Puntos]),'Regresion Q3'!$W$6:$Y$10,2,1)*$BN97+VLOOKUP(MIN(DatosHoy[Puntos]),'Regresion Q3'!$W$6:$Y$10,3,1))</f>
        <v>7668036.7618945884</v>
      </c>
      <c r="BW97" s="94">
        <f ca="1">IFERROR(VLOOKUP($BN97,'Regresion Q3'!$Z$6:$AB$10,2,1)*$BN97+VLOOKUP($BN97,'Regresion Q3'!$Z$6:$AB$10,3,1),VLOOKUP(MIN(DatosHoy[Puntos]),'Regresion Q3'!$Z$6:$AB$10,2,1)*$BN97+VLOOKUP(MIN(DatosHoy[Puntos]),'Regresion Q3'!$Z$6:$AB$10,3,1))</f>
        <v>7849419.9295064025</v>
      </c>
      <c r="BX97" s="96">
        <f ca="1">DatosHoy[[#This Row],[CT Actual]]/DatosHoy[[#This Row],[CT ajus PM Md]]</f>
        <v>0.65421698282423879</v>
      </c>
      <c r="BY97" s="125" t="str">
        <f>VLOOKUP(DatosHoy[[#This Row],[Cargo Valorado]],Estadísticos[[Cargo]:[Nivel]],2,FALSE)</f>
        <v>Táctico</v>
      </c>
      <c r="BZ97" s="96">
        <f>(DatosHoy[[#This Row],[G+V Actual]]-DatosHoy[[#This Row],[G Actual]])/DatosHoy[[#This Row],[CT Actual]]</f>
        <v>0</v>
      </c>
      <c r="CA97" s="96">
        <f>(DatosHoy[[#This Row],[CT Actual]]-DatosHoy[[#This Row],[G+V Actual]])/DatosHoy[[#This Row],[CT Actual]]</f>
        <v>0</v>
      </c>
      <c r="CB97" s="139" t="s">
        <v>255</v>
      </c>
    </row>
    <row r="98" spans="2:80" x14ac:dyDescent="0.25">
      <c r="B98" s="73">
        <f t="shared" si="45"/>
        <v>93</v>
      </c>
      <c r="C98" s="74">
        <v>6561111.9200000009</v>
      </c>
      <c r="D98" s="74">
        <v>6561111.9200000009</v>
      </c>
      <c r="E98" s="74">
        <v>6561111.9200000009</v>
      </c>
      <c r="F98" s="94">
        <f>VLOOKUP(DatosHoy[[#This Row],[Cargo Valorado]],Estadísticos[],3,0)</f>
        <v>6141314.4315406894</v>
      </c>
      <c r="G98" s="94">
        <f>VLOOKUP(DatosHoy[[#This Row],[Cargo Valorado]],Estadísticos[],4,0)</f>
        <v>6337832.1806617863</v>
      </c>
      <c r="H98" s="94">
        <f>VLOOKUP(DatosHoy[[#This Row],[Cargo Valorado]],Estadísticos[],5,0)</f>
        <v>6499042.6324041523</v>
      </c>
      <c r="I98" s="94">
        <f>VLOOKUP(DatosHoy[[#This Row],[Cargo Valorado]],Estadísticos[],6,0)</f>
        <v>7363195.8646999886</v>
      </c>
      <c r="J98" s="94">
        <f>VLOOKUP(DatosHoy[[#This Row],[Cargo Valorado]],Estadísticos[],7,0)</f>
        <v>7363195.8646999886</v>
      </c>
      <c r="K98" s="94">
        <f>VLOOKUP(DatosHoy[[#This Row],[Cargo Valorado]],Estadísticos[],8,0)</f>
        <v>7706482.7505402174</v>
      </c>
      <c r="L98" s="94">
        <f>VLOOKUP(DatosHoy[[#This Row],[Cargo Valorado]],Estadísticos[],9,0)</f>
        <v>8326990.4881251771</v>
      </c>
      <c r="M98" s="94">
        <f>VLOOKUP(DatosHoy[[#This Row],[Cargo Valorado]],Estadísticos[],10,0)</f>
        <v>8326990.4881251771</v>
      </c>
      <c r="N98" s="94">
        <f>VLOOKUP(DatosHoy[[#This Row],[Cargo Valorado]],Estadísticos[],11,0)</f>
        <v>8415432.5803668499</v>
      </c>
      <c r="O98" s="75" t="s">
        <v>215</v>
      </c>
      <c r="P98" s="75">
        <v>399</v>
      </c>
      <c r="Q98" s="95" t="str">
        <f t="shared" si="46"/>
        <v>$P$98</v>
      </c>
      <c r="R98" s="95" t="str">
        <f t="shared" si="47"/>
        <v>$F$98</v>
      </c>
      <c r="S98" s="95" t="str">
        <f t="shared" si="48"/>
        <v>$G$98</v>
      </c>
      <c r="T98" s="95" t="str">
        <f t="shared" si="49"/>
        <v>$H$98</v>
      </c>
      <c r="U98" s="95" t="str">
        <f t="shared" si="50"/>
        <v>$I$98</v>
      </c>
      <c r="V98" s="95" t="str">
        <f t="shared" si="51"/>
        <v>$J$98</v>
      </c>
      <c r="W98" s="95" t="str">
        <f t="shared" si="52"/>
        <v>$K$98</v>
      </c>
      <c r="X98" s="95" t="str">
        <f t="shared" si="53"/>
        <v>$L$98</v>
      </c>
      <c r="Y98" s="95" t="str">
        <f t="shared" si="54"/>
        <v>$M$98</v>
      </c>
      <c r="Z98" s="95" t="str">
        <f t="shared" si="55"/>
        <v>$N$98</v>
      </c>
      <c r="AA98" s="94">
        <f ca="1">VLOOKUP($P98,'Regresion Q1'!$E$6:$I$10,4,1)*$P98+VLOOKUP($P98,'Regresion Q1'!$E$6:$I$10,5,1)</f>
        <v>5014691.8664413448</v>
      </c>
      <c r="AB98" s="94">
        <f ca="1">VLOOKUP($P98,'Regresion Q1'!$J$6:$N$10,4,1)*$P98+VLOOKUP($P98,'Regresion Q1'!$J$6:$N$10,5,1)</f>
        <v>5189798.9654609896</v>
      </c>
      <c r="AC98" s="94">
        <f ca="1">VLOOKUP($P98,'Regresion Q1'!$O$6:$S$10,4,1)*$P98+VLOOKUP($P98,'Regresion Q1'!$O$6:$S$10,5,1)</f>
        <v>5451838.6633305214</v>
      </c>
      <c r="AD98" s="94">
        <f ca="1">VLOOKUP($P98,'Regresion Md'!$E$6:$I$10,4,1)*$P98+VLOOKUP($P98,'Regresion Md'!$E$6:$I$10,5,1)</f>
        <v>7470372.4172459533</v>
      </c>
      <c r="AE98" s="94">
        <f ca="1">VLOOKUP($P98,'Regresion Md'!$J$6:$N$10,4,1)*$P98+VLOOKUP($P98,'Regresion Md'!$J$6:$N$10,5,1)</f>
        <v>7643120.6874789875</v>
      </c>
      <c r="AF98" s="94">
        <f ca="1">VLOOKUP($P98,'Regresion Md'!$O$6:$S$10,4,1)*$P98+VLOOKUP($P98,'Regresion Md'!$O$6:$S$10,5,1)</f>
        <v>7814392.9149747696</v>
      </c>
      <c r="AG98" s="94">
        <f ca="1">VLOOKUP($P98,'Regresion Q3'!$E$6:$I$10,4,1)*$P98+VLOOKUP($P98,'Regresion Q3'!$E$6:$I$10,5,1)</f>
        <v>8416368.9428900853</v>
      </c>
      <c r="AH98" s="94">
        <f ca="1">VLOOKUP($P98,'Regresion Q3'!$J$6:$N$10,4,1)*$P98+VLOOKUP($P98,'Regresion Q3'!$J$6:$N$10,5,1)</f>
        <v>8537680.6163424663</v>
      </c>
      <c r="AI98" s="94">
        <f ca="1">VLOOKUP($P98,'Regresion Q3'!$O$6:$S$10,4,1)*$P98+VLOOKUP($P98,'Regresion Q3'!$O$6:$S$10,5,1)</f>
        <v>8701277.4733892325</v>
      </c>
      <c r="AJ98" s="94">
        <f ca="1">VLOOKUP($P98,'Regresion Q1'!$T$6:$V$10,2,1)*$P98+VLOOKUP($P98,'Regresion Q1'!$T$6:$V$10,3,1)</f>
        <v>5026874.9692078792</v>
      </c>
      <c r="AK98" s="94">
        <f ca="1">VLOOKUP($P98,'Regresion Q1'!$W$6:$Y$10,2,1)*$P98+VLOOKUP($P98,'Regresion Q1'!$W$6:$Y$10,3,1)</f>
        <v>5194488.8817246761</v>
      </c>
      <c r="AL98" s="94">
        <f ca="1">VLOOKUP($P98,'Regresion Q1'!$Z$6:$AB$10,2,1)*$P98+VLOOKUP($P98,'Regresion Q1'!$Z$6:$AB$10,3,1)</f>
        <v>5459811.2180704121</v>
      </c>
      <c r="AM98" s="94">
        <f ca="1">VLOOKUP($P98,'Regresion Md'!$T$6:$V$10,2,1)*$P98+VLOOKUP($P98,'Regresion Md'!$T$6:$V$10,3,1)</f>
        <v>7079369.1228017733</v>
      </c>
      <c r="AN98" s="94">
        <f ca="1">VLOOKUP($P98,'Regresion Md'!$W$6:$Y$10,2,1)*$P98+VLOOKUP($P98,'Regresion Md'!$W$6:$Y$10,3,1)</f>
        <v>7444349.8948255945</v>
      </c>
      <c r="AO98" s="94">
        <f ca="1">VLOOKUP($P98,'Regresion Md'!$Z$6:$AB$10,2,1)*$P98+VLOOKUP($P98,'Regresion Md'!$Z$6:$AB$10,3,1)</f>
        <v>7764523.2629904021</v>
      </c>
      <c r="AP98" s="94">
        <f ca="1">VLOOKUP($P98,'Regresion Q3'!$T$6:$V$10,2,1)*$P98+VLOOKUP($P98,'Regresion Q3'!$T$6:$V$10,3,1)</f>
        <v>7838769.1635736376</v>
      </c>
      <c r="AQ98" s="94">
        <f ca="1">VLOOKUP($P98,'Regresion Q3'!$W$6:$Y$10,2,1)*$P98+VLOOKUP($P98,'Regresion Q3'!$W$6:$Y$10,3,1)</f>
        <v>8045939.37156073</v>
      </c>
      <c r="AR98" s="94">
        <f ca="1">VLOOKUP($P98,'Regresion Q3'!$Z$6:$AB$10,2,1)*$P98+VLOOKUP($P98,'Regresion Q3'!$Z$6:$AB$10,3,1)</f>
        <v>8234434.4162230641</v>
      </c>
      <c r="AS98" s="94">
        <f>IF($BN98=$BN99,-1,DatosHoy[[#This Row],[G ajus PM Q1]]-BO99)</f>
        <v>-1</v>
      </c>
      <c r="AT98" s="94">
        <f>IF($BN98=$BN99,-1,DatosHoy[[#This Row],[G+V ajus PM Q1]]-BP99)</f>
        <v>-1</v>
      </c>
      <c r="AU98" s="94">
        <f>IF($BN98=$BN99,-1,DatosHoy[[#This Row],[CT ajus PM Q1]]-BQ99)</f>
        <v>-1</v>
      </c>
      <c r="AV98" s="94">
        <f ca="1">IF(DatosHoy[[#This Row],[G ajus PM Q1]]=DatosHoy[[#This Row],[G+V ajus PM Q1]],-1,DatosHoy[[#This Row],[G ajus PM Q1]]-DatosHoy[[#This Row],[G+V ajus PM Q1]])</f>
        <v>-130973.20812571794</v>
      </c>
      <c r="AW98" s="94">
        <f ca="1">IF(DatosHoy[[#This Row],[G+V ajus PM Q1]]=DatosHoy[[#This Row],[CT ajus PM Q1]],-1,DatosHoy[[#This Row],[G+V ajus PM Q1]]-DatosHoy[[#This Row],[CT ajus PM Q1]])</f>
        <v>-210752.3410740681</v>
      </c>
      <c r="AX98" s="94">
        <f>IF($BN98=$BN99,-1,DatosHoy[[#This Row],[G ajus PMd]]-BR99)</f>
        <v>-1</v>
      </c>
      <c r="AY98" s="94">
        <f>IF($BN98=$BN99,-1,DatosHoy[[#This Row],[G+V ajus PM Md]]-BS99)</f>
        <v>-1</v>
      </c>
      <c r="AZ98" s="94">
        <f>IF($BN98=$BN99,-1,DatosHoy[[#This Row],[CT ajus PM Md]]-BT99)</f>
        <v>-1</v>
      </c>
      <c r="BA98" s="94">
        <f ca="1">IF(DatosHoy[[#This Row],[G ajus PMd]]=DatosHoy[[#This Row],[G+V ajus PM Md]],-1,DatosHoy[[#This Row],[G ajus PMd]]-DatosHoy[[#This Row],[G+V ajus PM Md]])</f>
        <v>-326853.52235694416</v>
      </c>
      <c r="BB98" s="94">
        <f ca="1">IF(DatosHoy[[#This Row],[G+V ajus PM Md]]=DatosHoy[[#This Row],[CT ajus PM Md]],-1,DatosHoy[[#This Row],[G+V ajus PM Md]]-DatosHoy[[#This Row],[CT ajus PM Md]])</f>
        <v>-306253.68818791769</v>
      </c>
      <c r="BC98" s="94">
        <f>IF($BN98=$BN99,-1,DatosHoy[[#This Row],[G ajus PM Q3]]-BU99)</f>
        <v>-1</v>
      </c>
      <c r="BD98" s="94">
        <f>IF($BN98=$BN99,-1,DatosHoy[[#This Row],[G+V ajus PM Q3]]-BV99)</f>
        <v>-1</v>
      </c>
      <c r="BE98" s="94">
        <f>IF($BN98=$BN99,-1,DatosHoy[[#This Row],[CT ajus PM Q3]]-BW99)</f>
        <v>-1</v>
      </c>
      <c r="BF98" s="94">
        <f ca="1">IF(DatosHoy[[#This Row],[G ajus PM Q3]]=DatosHoy[[#This Row],[G+V ajus PM Q3]],-1,DatosHoy[[#This Row],[G ajus PM Q3]]-DatosHoy[[#This Row],[G+V ajus PM Q3]])</f>
        <v>-198475.16460195556</v>
      </c>
      <c r="BG98" s="94">
        <f ca="1">IF(DatosHoy[[#This Row],[G+V ajus PM Q3]]=DatosHoy[[#This Row],[CT ajus PM Q3]],-1,DatosHoy[[#This Row],[G+V ajus PM Q3]]-DatosHoy[[#This Row],[CT ajus PM Q3]])</f>
        <v>-181383.1676118141</v>
      </c>
      <c r="BH98" s="94">
        <f ca="1">IF(DatosHoy[[#This Row],[G ajus PM Q1]]=DatosHoy[[#This Row],[G ajus PMd]],-1,DatosHoy[[#This Row],[G ajus PM Q1]]-DatosHoy[[#This Row],[G ajus PMd]])</f>
        <v>-2106090.8824396934</v>
      </c>
      <c r="BI98" s="94">
        <f ca="1">IF(DatosHoy[[#This Row],[G+V ajus PM Q1]]=DatosHoy[[#This Row],[G+V ajus PM Md]],-1,DatosHoy[[#This Row],[G+V ajus PM Q1]]-DatosHoy[[#This Row],[G+V ajus PM Md]])</f>
        <v>-2301971.1966709197</v>
      </c>
      <c r="BJ98" s="94">
        <f ca="1">IF(DatosHoy[[#This Row],[CT ajus PM Q1]]=DatosHoy[[#This Row],[CT ajus PM Md]],-1,DatosHoy[[#This Row],[CT ajus PM Q1]]-DatosHoy[[#This Row],[CT ajus PM Md]])</f>
        <v>-2397472.5437847693</v>
      </c>
      <c r="BK98" s="94">
        <f ca="1">IF(DatosHoy[[#This Row],[G ajus PMd]]=DatosHoy[[#This Row],[G ajus PM Q3]],-1,DatosHoy[[#This Row],[G ajus PMd]]-DatosHoy[[#This Row],[G ajus PM Q3]])</f>
        <v>-848943.76769294124</v>
      </c>
      <c r="BL98" s="94">
        <f ca="1">IF(DatosHoy[[#This Row],[G+V ajus PM Md]]=DatosHoy[[#This Row],[G+V ajus PM Q3]],-1,DatosHoy[[#This Row],[G+V ajus PM Md]]-DatosHoy[[#This Row],[G+V ajus PM Q3]])</f>
        <v>-720565.40993795265</v>
      </c>
      <c r="BM98" s="94">
        <f ca="1">IF(DatosHoy[[#This Row],[CT ajus PM Md]]=DatosHoy[[#This Row],[CT ajus PM Q3]],-1,DatosHoy[[#This Row],[CT ajus PM Md]]-DatosHoy[[#This Row],[CT ajus PM Q3]])</f>
        <v>-595694.88936184905</v>
      </c>
      <c r="BN98" s="74">
        <v>379</v>
      </c>
      <c r="BO98" s="94">
        <f ca="1">IFERROR(VLOOKUP($BN98,'Regresion Q1'!$T$6:$V$10,2,1)*$BN98+VLOOKUP($BN98,'Regresion Q1'!$T$6:$V$10,3,1),VLOOKUP(MIN(DatosHoy[Puntos]),'Regresion Q1'!$T$6:$V$10,2,1)*$BN98+VLOOKUP(MIN(DatosHoy[Puntos]),'Regresion Q1'!$T$6:$V$10,3,1))</f>
        <v>4514526.9471599981</v>
      </c>
      <c r="BP98" s="94">
        <f ca="1">IFERROR(VLOOKUP($BN98,'Regresion Q1'!$W$6:$Y$10,2,1)*$BN98+VLOOKUP($BN98,'Regresion Q1'!$W$6:$Y$10,3,1),VLOOKUP(MIN(DatosHoy[Puntos]),'Regresion Q1'!$W$6:$Y$10,2,1)*$BN98+VLOOKUP(MIN(DatosHoy[Puntos]),'Regresion Q1'!$W$6:$Y$10,3,1))</f>
        <v>4645500.1552857161</v>
      </c>
      <c r="BQ98" s="94">
        <f ca="1">IFERROR(VLOOKUP($BN98,'Regresion Q1'!$Z$6:$AB$10,2,1)*$BN98+VLOOKUP($BN98,'Regresion Q1'!$Z$6:$AB$10,3,1),VLOOKUP(MIN(DatosHoy[Puntos]),'Regresion Q1'!$Z$6:$AB$10,2,1)*$BN98+VLOOKUP(MIN(DatosHoy[Puntos]),'Regresion Q1'!$Z$6:$AB$10,3,1))</f>
        <v>4856252.4963597842</v>
      </c>
      <c r="BR98" s="94">
        <f ca="1">IFERROR(VLOOKUP($BN98,'Regresion Md'!$T$6:$V$10,2,1)*$BN98+VLOOKUP($BN98,'Regresion Md'!$T$6:$V$10,3,1),VLOOKUP(MIN(DatosHoy[Puntos]),'Regresion Md'!$T$6:$V$10,2,1)*$BN98+VLOOKUP(MIN(DatosHoy[Puntos]),'Regresion Md'!$T$6:$V$10,3,1))</f>
        <v>6620617.8295996916</v>
      </c>
      <c r="BS98" s="94">
        <f ca="1">IFERROR(VLOOKUP($BN98,'Regresion Md'!$W$6:$Y$10,2,1)*$BN98+VLOOKUP($BN98,'Regresion Md'!$W$6:$Y$10,3,1),VLOOKUP(MIN(DatosHoy[Puntos]),'Regresion Md'!$W$6:$Y$10,2,1)*$BN98+VLOOKUP(MIN(DatosHoy[Puntos]),'Regresion Md'!$W$6:$Y$10,3,1))</f>
        <v>6947471.3519566357</v>
      </c>
      <c r="BT98" s="94">
        <f ca="1">IFERROR(VLOOKUP($BN98,'Regresion Md'!$Z$6:$AB$10,2,1)*$BN98+VLOOKUP($BN98,'Regresion Md'!$Z$6:$AB$10,3,1),VLOOKUP(MIN(DatosHoy[Puntos]),'Regresion Md'!$Z$6:$AB$10,2,1)*$BN98+VLOOKUP(MIN(DatosHoy[Puntos]),'Regresion Md'!$Z$6:$AB$10,3,1))</f>
        <v>7253725.0401445534</v>
      </c>
      <c r="BU98" s="94">
        <f ca="1">IFERROR(VLOOKUP($BN98,'Regresion Q3'!$T$6:$V$10,2,1)*$BN98+VLOOKUP($BN98,'Regresion Q3'!$T$6:$V$10,3,1),VLOOKUP(MIN(DatosHoy[Puntos]),'Regresion Q3'!$T$6:$V$10,2,1)*$BN98+VLOOKUP(MIN(DatosHoy[Puntos]),'Regresion Q3'!$T$6:$V$10,3,1))</f>
        <v>7469561.5972926328</v>
      </c>
      <c r="BV98" s="94">
        <f ca="1">IFERROR(VLOOKUP($BN98,'Regresion Q3'!$W$6:$Y$10,2,1)*$BN98+VLOOKUP($BN98,'Regresion Q3'!$W$6:$Y$10,3,1),VLOOKUP(MIN(DatosHoy[Puntos]),'Regresion Q3'!$W$6:$Y$10,2,1)*$BN98+VLOOKUP(MIN(DatosHoy[Puntos]),'Regresion Q3'!$W$6:$Y$10,3,1))</f>
        <v>7668036.7618945884</v>
      </c>
      <c r="BW98" s="94">
        <f ca="1">IFERROR(VLOOKUP($BN98,'Regresion Q3'!$Z$6:$AB$10,2,1)*$BN98+VLOOKUP($BN98,'Regresion Q3'!$Z$6:$AB$10,3,1),VLOOKUP(MIN(DatosHoy[Puntos]),'Regresion Q3'!$Z$6:$AB$10,2,1)*$BN98+VLOOKUP(MIN(DatosHoy[Puntos]),'Regresion Q3'!$Z$6:$AB$10,3,1))</f>
        <v>7849419.9295064025</v>
      </c>
      <c r="BX98" s="96">
        <f ca="1">DatosHoy[[#This Row],[CT Actual]]/DatosHoy[[#This Row],[CT ajus PM Md]]</f>
        <v>0.90451621528092141</v>
      </c>
      <c r="BY98" s="125" t="str">
        <f>VLOOKUP(DatosHoy[[#This Row],[Cargo Valorado]],Estadísticos[[Cargo]:[Nivel]],2,FALSE)</f>
        <v>Táctico</v>
      </c>
      <c r="BZ98" s="96">
        <f>(DatosHoy[[#This Row],[G+V Actual]]-DatosHoy[[#This Row],[G Actual]])/DatosHoy[[#This Row],[CT Actual]]</f>
        <v>0</v>
      </c>
      <c r="CA98" s="96">
        <f>(DatosHoy[[#This Row],[CT Actual]]-DatosHoy[[#This Row],[G+V Actual]])/DatosHoy[[#This Row],[CT Actual]]</f>
        <v>0</v>
      </c>
      <c r="CB98" s="139" t="s">
        <v>255</v>
      </c>
    </row>
    <row r="99" spans="2:80" x14ac:dyDescent="0.25">
      <c r="B99" s="73">
        <f t="shared" si="45"/>
        <v>94</v>
      </c>
      <c r="C99" s="74">
        <v>6471685.0000000009</v>
      </c>
      <c r="D99" s="74">
        <v>6471685.0000000009</v>
      </c>
      <c r="E99" s="74">
        <v>6471685.0000000009</v>
      </c>
      <c r="F99" s="94">
        <f>VLOOKUP(DatosHoy[[#This Row],[Cargo Valorado]],Estadísticos[],3,0)</f>
        <v>8823685.2648116369</v>
      </c>
      <c r="G99" s="94">
        <f>VLOOKUP(DatosHoy[[#This Row],[Cargo Valorado]],Estadísticos[],4,0)</f>
        <v>8823685.2648116369</v>
      </c>
      <c r="H99" s="94">
        <f>VLOOKUP(DatosHoy[[#This Row],[Cargo Valorado]],Estadísticos[],5,0)</f>
        <v>8896423.1878764387</v>
      </c>
      <c r="I99" s="94">
        <f>VLOOKUP(DatosHoy[[#This Row],[Cargo Valorado]],Estadísticos[],6,0)</f>
        <v>9806965.2786221374</v>
      </c>
      <c r="J99" s="94">
        <f>VLOOKUP(DatosHoy[[#This Row],[Cargo Valorado]],Estadísticos[],7,0)</f>
        <v>9806965.2786221374</v>
      </c>
      <c r="K99" s="94">
        <f>VLOOKUP(DatosHoy[[#This Row],[Cargo Valorado]],Estadísticos[],8,0)</f>
        <v>9855457.2273320053</v>
      </c>
      <c r="L99" s="94">
        <f>VLOOKUP(DatosHoy[[#This Row],[Cargo Valorado]],Estadísticos[],9,0)</f>
        <v>10790245.29243264</v>
      </c>
      <c r="M99" s="94">
        <f>VLOOKUP(DatosHoy[[#This Row],[Cargo Valorado]],Estadísticos[],10,0)</f>
        <v>10790245.29243264</v>
      </c>
      <c r="N99" s="94">
        <f>VLOOKUP(DatosHoy[[#This Row],[Cargo Valorado]],Estadísticos[],11,0)</f>
        <v>10814491.266787574</v>
      </c>
      <c r="O99" s="75" t="s">
        <v>180</v>
      </c>
      <c r="P99" s="75">
        <v>404</v>
      </c>
      <c r="Q99" s="95" t="str">
        <f t="shared" si="46"/>
        <v>$P$99</v>
      </c>
      <c r="R99" s="95" t="str">
        <f t="shared" si="47"/>
        <v>$F$99</v>
      </c>
      <c r="S99" s="95" t="str">
        <f t="shared" si="48"/>
        <v>$G$99</v>
      </c>
      <c r="T99" s="95" t="str">
        <f t="shared" si="49"/>
        <v>$H$99</v>
      </c>
      <c r="U99" s="95" t="str">
        <f t="shared" si="50"/>
        <v>$I$99</v>
      </c>
      <c r="V99" s="95" t="str">
        <f t="shared" si="51"/>
        <v>$J$99</v>
      </c>
      <c r="W99" s="95" t="str">
        <f t="shared" si="52"/>
        <v>$K$99</v>
      </c>
      <c r="X99" s="95" t="str">
        <f t="shared" si="53"/>
        <v>$L$99</v>
      </c>
      <c r="Y99" s="95" t="str">
        <f t="shared" si="54"/>
        <v>$M$99</v>
      </c>
      <c r="Z99" s="95" t="str">
        <f t="shared" si="55"/>
        <v>$N$99</v>
      </c>
      <c r="AA99" s="94">
        <f ca="1">VLOOKUP($P99,'Regresion Q1'!$E$6:$I$10,4,1)*$P99+VLOOKUP($P99,'Regresion Q1'!$E$6:$I$10,5,1)</f>
        <v>5148266.4940524325</v>
      </c>
      <c r="AB99" s="94">
        <f ca="1">VLOOKUP($P99,'Regresion Q1'!$J$6:$N$10,4,1)*$P99+VLOOKUP($P99,'Regresion Q1'!$J$6:$N$10,5,1)</f>
        <v>5345284.3616463393</v>
      </c>
      <c r="AC99" s="94">
        <f ca="1">VLOOKUP($P99,'Regresion Q1'!$O$6:$S$10,4,1)*$P99+VLOOKUP($P99,'Regresion Q1'!$O$6:$S$10,5,1)</f>
        <v>5607102.3018071949</v>
      </c>
      <c r="AD99" s="94">
        <f ca="1">VLOOKUP($P99,'Regresion Md'!$E$6:$I$10,4,1)*$P99+VLOOKUP($P99,'Regresion Md'!$E$6:$I$10,5,1)</f>
        <v>7595802.0892949393</v>
      </c>
      <c r="AE99" s="94">
        <f ca="1">VLOOKUP($P99,'Regresion Md'!$J$6:$N$10,4,1)*$P99+VLOOKUP($P99,'Regresion Md'!$J$6:$N$10,5,1)</f>
        <v>7772801.059258135</v>
      </c>
      <c r="AF99" s="94">
        <f ca="1">VLOOKUP($P99,'Regresion Md'!$O$6:$S$10,4,1)*$P99+VLOOKUP($P99,'Regresion Md'!$O$6:$S$10,5,1)</f>
        <v>7943462.5160704181</v>
      </c>
      <c r="AG99" s="94">
        <f ca="1">VLOOKUP($P99,'Regresion Q3'!$E$6:$I$10,4,1)*$P99+VLOOKUP($P99,'Regresion Q3'!$E$6:$I$10,5,1)</f>
        <v>8540832.8821368963</v>
      </c>
      <c r="AH99" s="94">
        <f ca="1">VLOOKUP($P99,'Regresion Q3'!$J$6:$N$10,4,1)*$P99+VLOOKUP($P99,'Regresion Q3'!$J$6:$N$10,5,1)</f>
        <v>8663714.8754479066</v>
      </c>
      <c r="AI99" s="94">
        <f ca="1">VLOOKUP($P99,'Regresion Q3'!$O$6:$S$10,4,1)*$P99+VLOOKUP($P99,'Regresion Q3'!$O$6:$S$10,5,1)</f>
        <v>8826566.0255519655</v>
      </c>
      <c r="AJ99" s="94">
        <f ca="1">VLOOKUP($P99,'Regresion Q1'!$T$6:$V$10,2,1)*$P99+VLOOKUP($P99,'Regresion Q1'!$T$6:$V$10,3,1)</f>
        <v>5180754.7680965234</v>
      </c>
      <c r="AK99" s="94">
        <f ca="1">VLOOKUP($P99,'Regresion Q1'!$W$6:$Y$10,2,1)*$P99+VLOOKUP($P99,'Regresion Q1'!$W$6:$Y$10,3,1)</f>
        <v>5357790.805016173</v>
      </c>
      <c r="AL99" s="94">
        <f ca="1">VLOOKUP($P99,'Regresion Q1'!$Z$6:$AB$10,2,1)*$P99+VLOOKUP($P99,'Regresion Q1'!$Z$6:$AB$10,3,1)</f>
        <v>5628362.4477802385</v>
      </c>
      <c r="AM99" s="94">
        <f ca="1">VLOOKUP($P99,'Regresion Md'!$T$6:$V$10,2,1)*$P99+VLOOKUP($P99,'Regresion Md'!$T$6:$V$10,3,1)</f>
        <v>7194056.9461022932</v>
      </c>
      <c r="AN99" s="94">
        <f ca="1">VLOOKUP($P99,'Regresion Md'!$W$6:$Y$10,2,1)*$P99+VLOOKUP($P99,'Regresion Md'!$W$6:$Y$10,3,1)</f>
        <v>7568569.5305428356</v>
      </c>
      <c r="AO99" s="94">
        <f ca="1">VLOOKUP($P99,'Regresion Md'!$Z$6:$AB$10,2,1)*$P99+VLOOKUP($P99,'Regresion Md'!$Z$6:$AB$10,3,1)</f>
        <v>7892222.8187018652</v>
      </c>
      <c r="AP99" s="94">
        <f ca="1">VLOOKUP($P99,'Regresion Q3'!$T$6:$V$10,2,1)*$P99+VLOOKUP($P99,'Regresion Q3'!$T$6:$V$10,3,1)</f>
        <v>7931071.055143889</v>
      </c>
      <c r="AQ99" s="94">
        <f ca="1">VLOOKUP($P99,'Regresion Q3'!$W$6:$Y$10,2,1)*$P99+VLOOKUP($P99,'Regresion Q3'!$W$6:$Y$10,3,1)</f>
        <v>8140415.0239772648</v>
      </c>
      <c r="AR99" s="94">
        <f ca="1">VLOOKUP($P99,'Regresion Q3'!$Z$6:$AB$10,2,1)*$P99+VLOOKUP($P99,'Regresion Q3'!$Z$6:$AB$10,3,1)</f>
        <v>8330688.0379022285</v>
      </c>
      <c r="AS99" s="94">
        <f ca="1">IF($BN99=$BN100,-1,DatosHoy[[#This Row],[G ajus PM Q1]]-BO100)</f>
        <v>-1651058.5338238496</v>
      </c>
      <c r="AT99" s="94">
        <f ca="1">IF($BN99=$BN100,-1,DatosHoy[[#This Row],[G+V ajus PM Q1]]-BP100)</f>
        <v>-1757422.9587960429</v>
      </c>
      <c r="AU99" s="94">
        <f ca="1">IF($BN99=$BN100,-1,DatosHoy[[#This Row],[CT ajus PM Q1]]-BQ100)</f>
        <v>-1850837.8215633426</v>
      </c>
      <c r="AV99" s="94">
        <f ca="1">IF(DatosHoy[[#This Row],[G ajus PM Q1]]=DatosHoy[[#This Row],[G+V ajus PM Q1]],-1,DatosHoy[[#This Row],[G ajus PM Q1]]-DatosHoy[[#This Row],[G+V ajus PM Q1]])</f>
        <v>-130973.20812571794</v>
      </c>
      <c r="AW99" s="94">
        <f ca="1">IF(DatosHoy[[#This Row],[G+V ajus PM Q1]]=DatosHoy[[#This Row],[CT ajus PM Q1]],-1,DatosHoy[[#This Row],[G+V ajus PM Q1]]-DatosHoy[[#This Row],[CT ajus PM Q1]])</f>
        <v>-210752.3410740681</v>
      </c>
      <c r="AX99" s="94">
        <f ca="1">IF($BN99=$BN100,-1,DatosHoy[[#This Row],[G ajus PMd]]-BR100)</f>
        <v>-1307441.1856259312</v>
      </c>
      <c r="AY99" s="94">
        <f ca="1">IF($BN99=$BN100,-1,DatosHoy[[#This Row],[G+V ajus PM Md]]-BS100)</f>
        <v>-1416103.8471765351</v>
      </c>
      <c r="AZ99" s="94">
        <f ca="1">IF($BN99=$BN100,-1,DatosHoy[[#This Row],[CT ajus PM Md]]-BT100)</f>
        <v>-1455774.9351106696</v>
      </c>
      <c r="BA99" s="94">
        <f ca="1">IF(DatosHoy[[#This Row],[G ajus PMd]]=DatosHoy[[#This Row],[G+V ajus PM Md]],-1,DatosHoy[[#This Row],[G ajus PMd]]-DatosHoy[[#This Row],[G+V ajus PM Md]])</f>
        <v>-326853.52235694416</v>
      </c>
      <c r="BB99" s="94">
        <f ca="1">IF(DatosHoy[[#This Row],[G+V ajus PM Md]]=DatosHoy[[#This Row],[CT ajus PM Md]],-1,DatosHoy[[#This Row],[G+V ajus PM Md]]-DatosHoy[[#This Row],[CT ajus PM Md]])</f>
        <v>-306253.68818791769</v>
      </c>
      <c r="BC99" s="94">
        <f ca="1">IF($BN99=$BN100,-1,DatosHoy[[#This Row],[G ajus PM Q3]]-BU100)</f>
        <v>-1052241.5639008628</v>
      </c>
      <c r="BD99" s="94">
        <f ca="1">IF($BN99=$BN100,-1,DatosHoy[[#This Row],[G+V ajus PM Q3]]-BV100)</f>
        <v>-1077022.4375485023</v>
      </c>
      <c r="BE99" s="94">
        <f ca="1">IF($BN99=$BN100,-1,DatosHoy[[#This Row],[CT ajus PM Q3]]-BW100)</f>
        <v>-1097291.2871424835</v>
      </c>
      <c r="BF99" s="94">
        <f ca="1">IF(DatosHoy[[#This Row],[G ajus PM Q3]]=DatosHoy[[#This Row],[G+V ajus PM Q3]],-1,DatosHoy[[#This Row],[G ajus PM Q3]]-DatosHoy[[#This Row],[G+V ajus PM Q3]])</f>
        <v>-198475.16460195556</v>
      </c>
      <c r="BG99" s="94">
        <f ca="1">IF(DatosHoy[[#This Row],[G+V ajus PM Q3]]=DatosHoy[[#This Row],[CT ajus PM Q3]],-1,DatosHoy[[#This Row],[G+V ajus PM Q3]]-DatosHoy[[#This Row],[CT ajus PM Q3]])</f>
        <v>-181383.1676118141</v>
      </c>
      <c r="BH99" s="94">
        <f ca="1">IF(DatosHoy[[#This Row],[G ajus PM Q1]]=DatosHoy[[#This Row],[G ajus PMd]],-1,DatosHoy[[#This Row],[G ajus PM Q1]]-DatosHoy[[#This Row],[G ajus PMd]])</f>
        <v>-2106090.8824396934</v>
      </c>
      <c r="BI99" s="94">
        <f ca="1">IF(DatosHoy[[#This Row],[G+V ajus PM Q1]]=DatosHoy[[#This Row],[G+V ajus PM Md]],-1,DatosHoy[[#This Row],[G+V ajus PM Q1]]-DatosHoy[[#This Row],[G+V ajus PM Md]])</f>
        <v>-2301971.1966709197</v>
      </c>
      <c r="BJ99" s="94">
        <f ca="1">IF(DatosHoy[[#This Row],[CT ajus PM Q1]]=DatosHoy[[#This Row],[CT ajus PM Md]],-1,DatosHoy[[#This Row],[CT ajus PM Q1]]-DatosHoy[[#This Row],[CT ajus PM Md]])</f>
        <v>-2397472.5437847693</v>
      </c>
      <c r="BK99" s="94">
        <f ca="1">IF(DatosHoy[[#This Row],[G ajus PMd]]=DatosHoy[[#This Row],[G ajus PM Q3]],-1,DatosHoy[[#This Row],[G ajus PMd]]-DatosHoy[[#This Row],[G ajus PM Q3]])</f>
        <v>-848943.76769294124</v>
      </c>
      <c r="BL99" s="94">
        <f ca="1">IF(DatosHoy[[#This Row],[G+V ajus PM Md]]=DatosHoy[[#This Row],[G+V ajus PM Q3]],-1,DatosHoy[[#This Row],[G+V ajus PM Md]]-DatosHoy[[#This Row],[G+V ajus PM Q3]])</f>
        <v>-720565.40993795265</v>
      </c>
      <c r="BM99" s="94">
        <f ca="1">IF(DatosHoy[[#This Row],[CT ajus PM Md]]=DatosHoy[[#This Row],[CT ajus PM Q3]],-1,DatosHoy[[#This Row],[CT ajus PM Md]]-DatosHoy[[#This Row],[CT ajus PM Q3]])</f>
        <v>-595694.88936184905</v>
      </c>
      <c r="BN99" s="74">
        <v>379</v>
      </c>
      <c r="BO99" s="94">
        <f ca="1">IFERROR(VLOOKUP($BN99,'Regresion Q1'!$T$6:$V$10,2,1)*$BN99+VLOOKUP($BN99,'Regresion Q1'!$T$6:$V$10,3,1),VLOOKUP(MIN(DatosHoy[Puntos]),'Regresion Q1'!$T$6:$V$10,2,1)*$BN99+VLOOKUP(MIN(DatosHoy[Puntos]),'Regresion Q1'!$T$6:$V$10,3,1))</f>
        <v>4514526.9471599981</v>
      </c>
      <c r="BP99" s="94">
        <f ca="1">IFERROR(VLOOKUP($BN99,'Regresion Q1'!$W$6:$Y$10,2,1)*$BN99+VLOOKUP($BN99,'Regresion Q1'!$W$6:$Y$10,3,1),VLOOKUP(MIN(DatosHoy[Puntos]),'Regresion Q1'!$W$6:$Y$10,2,1)*$BN99+VLOOKUP(MIN(DatosHoy[Puntos]),'Regresion Q1'!$W$6:$Y$10,3,1))</f>
        <v>4645500.1552857161</v>
      </c>
      <c r="BQ99" s="94">
        <f ca="1">IFERROR(VLOOKUP($BN99,'Regresion Q1'!$Z$6:$AB$10,2,1)*$BN99+VLOOKUP($BN99,'Regresion Q1'!$Z$6:$AB$10,3,1),VLOOKUP(MIN(DatosHoy[Puntos]),'Regresion Q1'!$Z$6:$AB$10,2,1)*$BN99+VLOOKUP(MIN(DatosHoy[Puntos]),'Regresion Q1'!$Z$6:$AB$10,3,1))</f>
        <v>4856252.4963597842</v>
      </c>
      <c r="BR99" s="94">
        <f ca="1">IFERROR(VLOOKUP($BN99,'Regresion Md'!$T$6:$V$10,2,1)*$BN99+VLOOKUP($BN99,'Regresion Md'!$T$6:$V$10,3,1),VLOOKUP(MIN(DatosHoy[Puntos]),'Regresion Md'!$T$6:$V$10,2,1)*$BN99+VLOOKUP(MIN(DatosHoy[Puntos]),'Regresion Md'!$T$6:$V$10,3,1))</f>
        <v>6620617.8295996916</v>
      </c>
      <c r="BS99" s="94">
        <f ca="1">IFERROR(VLOOKUP($BN99,'Regresion Md'!$W$6:$Y$10,2,1)*$BN99+VLOOKUP($BN99,'Regresion Md'!$W$6:$Y$10,3,1),VLOOKUP(MIN(DatosHoy[Puntos]),'Regresion Md'!$W$6:$Y$10,2,1)*$BN99+VLOOKUP(MIN(DatosHoy[Puntos]),'Regresion Md'!$W$6:$Y$10,3,1))</f>
        <v>6947471.3519566357</v>
      </c>
      <c r="BT99" s="94">
        <f ca="1">IFERROR(VLOOKUP($BN99,'Regresion Md'!$Z$6:$AB$10,2,1)*$BN99+VLOOKUP($BN99,'Regresion Md'!$Z$6:$AB$10,3,1),VLOOKUP(MIN(DatosHoy[Puntos]),'Regresion Md'!$Z$6:$AB$10,2,1)*$BN99+VLOOKUP(MIN(DatosHoy[Puntos]),'Regresion Md'!$Z$6:$AB$10,3,1))</f>
        <v>7253725.0401445534</v>
      </c>
      <c r="BU99" s="94">
        <f ca="1">IFERROR(VLOOKUP($BN99,'Regresion Q3'!$T$6:$V$10,2,1)*$BN99+VLOOKUP($BN99,'Regresion Q3'!$T$6:$V$10,3,1),VLOOKUP(MIN(DatosHoy[Puntos]),'Regresion Q3'!$T$6:$V$10,2,1)*$BN99+VLOOKUP(MIN(DatosHoy[Puntos]),'Regresion Q3'!$T$6:$V$10,3,1))</f>
        <v>7469561.5972926328</v>
      </c>
      <c r="BV99" s="94">
        <f ca="1">IFERROR(VLOOKUP($BN99,'Regresion Q3'!$W$6:$Y$10,2,1)*$BN99+VLOOKUP($BN99,'Regresion Q3'!$W$6:$Y$10,3,1),VLOOKUP(MIN(DatosHoy[Puntos]),'Regresion Q3'!$W$6:$Y$10,2,1)*$BN99+VLOOKUP(MIN(DatosHoy[Puntos]),'Regresion Q3'!$W$6:$Y$10,3,1))</f>
        <v>7668036.7618945884</v>
      </c>
      <c r="BW99" s="94">
        <f ca="1">IFERROR(VLOOKUP($BN99,'Regresion Q3'!$Z$6:$AB$10,2,1)*$BN99+VLOOKUP($BN99,'Regresion Q3'!$Z$6:$AB$10,3,1),VLOOKUP(MIN(DatosHoy[Puntos]),'Regresion Q3'!$Z$6:$AB$10,2,1)*$BN99+VLOOKUP(MIN(DatosHoy[Puntos]),'Regresion Q3'!$Z$6:$AB$10,3,1))</f>
        <v>7849419.9295064025</v>
      </c>
      <c r="BX99" s="96">
        <f ca="1">DatosHoy[[#This Row],[CT Actual]]/DatosHoy[[#This Row],[CT ajus PM Md]]</f>
        <v>0.89218780201669079</v>
      </c>
      <c r="BY99" s="125" t="str">
        <f>VLOOKUP(DatosHoy[[#This Row],[Cargo Valorado]],Estadísticos[[Cargo]:[Nivel]],2,FALSE)</f>
        <v>Táctico</v>
      </c>
      <c r="BZ99" s="96">
        <f>(DatosHoy[[#This Row],[G+V Actual]]-DatosHoy[[#This Row],[G Actual]])/DatosHoy[[#This Row],[CT Actual]]</f>
        <v>0</v>
      </c>
      <c r="CA99" s="96">
        <f>(DatosHoy[[#This Row],[CT Actual]]-DatosHoy[[#This Row],[G+V Actual]])/DatosHoy[[#This Row],[CT Actual]]</f>
        <v>0</v>
      </c>
      <c r="CB99" s="139" t="s">
        <v>255</v>
      </c>
    </row>
    <row r="100" spans="2:80" x14ac:dyDescent="0.25">
      <c r="B100" s="73">
        <f t="shared" si="45"/>
        <v>95</v>
      </c>
      <c r="C100" s="74">
        <v>4745510.1100000003</v>
      </c>
      <c r="D100" s="74">
        <v>4745510.1100000003</v>
      </c>
      <c r="E100" s="74">
        <v>4745510.1100000003</v>
      </c>
      <c r="F100" s="94">
        <f>VLOOKUP(DatosHoy[[#This Row],[Cargo Valorado]],Estadísticos[],3,0)</f>
        <v>4776375.2219249532</v>
      </c>
      <c r="G100" s="94">
        <f>VLOOKUP(DatosHoy[[#This Row],[Cargo Valorado]],Estadísticos[],4,0)</f>
        <v>4776375.2219249532</v>
      </c>
      <c r="H100" s="94">
        <f>VLOOKUP(DatosHoy[[#This Row],[Cargo Valorado]],Estadísticos[],5,0)</f>
        <v>5395421.3756679464</v>
      </c>
      <c r="I100" s="94">
        <f>VLOOKUP(DatosHoy[[#This Row],[Cargo Valorado]],Estadísticos[],6,0)</f>
        <v>5049030.7868568338</v>
      </c>
      <c r="J100" s="94">
        <f>VLOOKUP(DatosHoy[[#This Row],[Cargo Valorado]],Estadísticos[],7,0)</f>
        <v>5049030.7868568338</v>
      </c>
      <c r="K100" s="94">
        <f>VLOOKUP(DatosHoy[[#This Row],[Cargo Valorado]],Estadísticos[],8,0)</f>
        <v>5461728.2226854963</v>
      </c>
      <c r="L100" s="94">
        <f>VLOOKUP(DatosHoy[[#This Row],[Cargo Valorado]],Estadísticos[],9,0)</f>
        <v>5321686.3517887145</v>
      </c>
      <c r="M100" s="94">
        <f>VLOOKUP(DatosHoy[[#This Row],[Cargo Valorado]],Estadísticos[],10,0)</f>
        <v>5321686.3517887145</v>
      </c>
      <c r="N100" s="94">
        <f>VLOOKUP(DatosHoy[[#This Row],[Cargo Valorado]],Estadísticos[],11,0)</f>
        <v>5528035.0697030462</v>
      </c>
      <c r="O100" s="75" t="s">
        <v>214</v>
      </c>
      <c r="P100" s="75">
        <v>408</v>
      </c>
      <c r="Q100" s="95" t="str">
        <f t="shared" si="46"/>
        <v>$P$100</v>
      </c>
      <c r="R100" s="95" t="str">
        <f t="shared" si="47"/>
        <v>$F$100</v>
      </c>
      <c r="S100" s="95" t="str">
        <f t="shared" si="48"/>
        <v>$G$100</v>
      </c>
      <c r="T100" s="95" t="str">
        <f t="shared" si="49"/>
        <v>$H$100</v>
      </c>
      <c r="U100" s="95" t="str">
        <f t="shared" si="50"/>
        <v>$I$100</v>
      </c>
      <c r="V100" s="95" t="str">
        <f t="shared" si="51"/>
        <v>$J$100</v>
      </c>
      <c r="W100" s="95" t="str">
        <f t="shared" si="52"/>
        <v>$K$100</v>
      </c>
      <c r="X100" s="95" t="str">
        <f t="shared" si="53"/>
        <v>$L$100</v>
      </c>
      <c r="Y100" s="95" t="str">
        <f t="shared" si="54"/>
        <v>$M$100</v>
      </c>
      <c r="Z100" s="95" t="str">
        <f t="shared" si="55"/>
        <v>$N$100</v>
      </c>
      <c r="AA100" s="94">
        <f ca="1">VLOOKUP($P100,'Regresion Q1'!$E$6:$I$10,4,1)*$P100+VLOOKUP($P100,'Regresion Q1'!$E$6:$I$10,5,1)</f>
        <v>5255126.1961413026</v>
      </c>
      <c r="AB100" s="94">
        <f ca="1">VLOOKUP($P100,'Regresion Q1'!$J$6:$N$10,4,1)*$P100+VLOOKUP($P100,'Regresion Q1'!$J$6:$N$10,5,1)</f>
        <v>5469672.678594619</v>
      </c>
      <c r="AC100" s="94">
        <f ca="1">VLOOKUP($P100,'Regresion Q1'!$O$6:$S$10,4,1)*$P100+VLOOKUP($P100,'Regresion Q1'!$O$6:$S$10,5,1)</f>
        <v>5731313.2125885356</v>
      </c>
      <c r="AD100" s="94">
        <f ca="1">VLOOKUP($P100,'Regresion Md'!$E$6:$I$10,4,1)*$P100+VLOOKUP($P100,'Regresion Md'!$E$6:$I$10,5,1)</f>
        <v>7696145.8269341299</v>
      </c>
      <c r="AE100" s="94">
        <f ca="1">VLOOKUP($P100,'Regresion Md'!$J$6:$N$10,4,1)*$P100+VLOOKUP($P100,'Regresion Md'!$J$6:$N$10,5,1)</f>
        <v>7876545.3566814512</v>
      </c>
      <c r="AF100" s="94">
        <f ca="1">VLOOKUP($P100,'Regresion Md'!$O$6:$S$10,4,1)*$P100+VLOOKUP($P100,'Regresion Md'!$O$6:$S$10,5,1)</f>
        <v>8046718.1969469357</v>
      </c>
      <c r="AG100" s="94">
        <f ca="1">VLOOKUP($P100,'Regresion Q3'!$E$6:$I$10,4,1)*$P100+VLOOKUP($P100,'Regresion Q3'!$E$6:$I$10,5,1)</f>
        <v>8640404.033534348</v>
      </c>
      <c r="AH100" s="94">
        <f ca="1">VLOOKUP($P100,'Regresion Q3'!$J$6:$N$10,4,1)*$P100+VLOOKUP($P100,'Regresion Q3'!$J$6:$N$10,5,1)</f>
        <v>8764542.2827322558</v>
      </c>
      <c r="AI100" s="94">
        <f ca="1">VLOOKUP($P100,'Regresion Q3'!$O$6:$S$10,4,1)*$P100+VLOOKUP($P100,'Regresion Q3'!$O$6:$S$10,5,1)</f>
        <v>8926796.8672821522</v>
      </c>
      <c r="AJ100" s="94">
        <f ca="1">VLOOKUP($P100,'Regresion Q1'!$T$6:$V$10,2,1)*$P100+VLOOKUP($P100,'Regresion Q1'!$T$6:$V$10,3,1)</f>
        <v>5303858.6072074398</v>
      </c>
      <c r="AK100" s="94">
        <f ca="1">VLOOKUP($P100,'Regresion Q1'!$W$6:$Y$10,2,1)*$P100+VLOOKUP($P100,'Regresion Q1'!$W$6:$Y$10,3,1)</f>
        <v>5488432.3436493706</v>
      </c>
      <c r="AL100" s="94">
        <f ca="1">VLOOKUP($P100,'Regresion Q1'!$Z$6:$AB$10,2,1)*$P100+VLOOKUP($P100,'Regresion Q1'!$Z$6:$AB$10,3,1)</f>
        <v>5763203.4315481</v>
      </c>
      <c r="AM100" s="94">
        <f ca="1">VLOOKUP($P100,'Regresion Md'!$T$6:$V$10,2,1)*$P100+VLOOKUP($P100,'Regresion Md'!$T$6:$V$10,3,1)</f>
        <v>7285807.2047427092</v>
      </c>
      <c r="AN100" s="94">
        <f ca="1">VLOOKUP($P100,'Regresion Md'!$W$6:$Y$10,2,1)*$P100+VLOOKUP($P100,'Regresion Md'!$W$6:$Y$10,3,1)</f>
        <v>7667945.2391166259</v>
      </c>
      <c r="AO100" s="94">
        <f ca="1">VLOOKUP($P100,'Regresion Md'!$Z$6:$AB$10,2,1)*$P100+VLOOKUP($P100,'Regresion Md'!$Z$6:$AB$10,3,1)</f>
        <v>7994382.4632710349</v>
      </c>
      <c r="AP100" s="94">
        <f ca="1">VLOOKUP($P100,'Regresion Q3'!$T$6:$V$10,2,1)*$P100+VLOOKUP($P100,'Regresion Q3'!$T$6:$V$10,3,1)</f>
        <v>8004912.5684000896</v>
      </c>
      <c r="AQ100" s="94">
        <f ca="1">VLOOKUP($P100,'Regresion Q3'!$W$6:$Y$10,2,1)*$P100+VLOOKUP($P100,'Regresion Q3'!$W$6:$Y$10,3,1)</f>
        <v>8215995.5459104935</v>
      </c>
      <c r="AR100" s="94">
        <f ca="1">VLOOKUP($P100,'Regresion Q3'!$Z$6:$AB$10,2,1)*$P100+VLOOKUP($P100,'Regresion Q3'!$Z$6:$AB$10,3,1)</f>
        <v>8407690.9352455623</v>
      </c>
      <c r="AS100" s="94">
        <f>IF($BN100=$BN101,-1,DatosHoy[[#This Row],[G ajus PM Q1]]-BO101)</f>
        <v>-1</v>
      </c>
      <c r="AT100" s="94">
        <f>IF($BN100=$BN101,-1,DatosHoy[[#This Row],[G+V ajus PM Q1]]-BP101)</f>
        <v>-1</v>
      </c>
      <c r="AU100" s="94">
        <f>IF($BN100=$BN101,-1,DatosHoy[[#This Row],[CT ajus PM Q1]]-BQ101)</f>
        <v>-1</v>
      </c>
      <c r="AV100" s="94">
        <f ca="1">IF(DatosHoy[[#This Row],[G ajus PM Q1]]=DatosHoy[[#This Row],[G+V ajus PM Q1]],-1,DatosHoy[[#This Row],[G ajus PM Q1]]-DatosHoy[[#This Row],[G+V ajus PM Q1]])</f>
        <v>-237337.63309791125</v>
      </c>
      <c r="AW100" s="94">
        <f ca="1">IF(DatosHoy[[#This Row],[G+V ajus PM Q1]]=DatosHoy[[#This Row],[CT ajus PM Q1]],-1,DatosHoy[[#This Row],[G+V ajus PM Q1]]-DatosHoy[[#This Row],[CT ajus PM Q1]])</f>
        <v>-304167.20384136774</v>
      </c>
      <c r="AX100" s="94">
        <f>IF($BN100=$BN101,-1,DatosHoy[[#This Row],[G ajus PMd]]-BR101)</f>
        <v>-1</v>
      </c>
      <c r="AY100" s="94">
        <f>IF($BN100=$BN101,-1,DatosHoy[[#This Row],[G+V ajus PM Md]]-BS101)</f>
        <v>-1</v>
      </c>
      <c r="AZ100" s="94">
        <f>IF($BN100=$BN101,-1,DatosHoy[[#This Row],[CT ajus PM Md]]-BT101)</f>
        <v>-1</v>
      </c>
      <c r="BA100" s="94">
        <f ca="1">IF(DatosHoy[[#This Row],[G ajus PMd]]=DatosHoy[[#This Row],[G+V ajus PM Md]],-1,DatosHoy[[#This Row],[G ajus PMd]]-DatosHoy[[#This Row],[G+V ajus PM Md]])</f>
        <v>-435516.18390754797</v>
      </c>
      <c r="BB100" s="94">
        <f ca="1">IF(DatosHoy[[#This Row],[G+V ajus PM Md]]=DatosHoy[[#This Row],[CT ajus PM Md]],-1,DatosHoy[[#This Row],[G+V ajus PM Md]]-DatosHoy[[#This Row],[CT ajus PM Md]])</f>
        <v>-345924.77612205222</v>
      </c>
      <c r="BC100" s="94">
        <f>IF($BN100=$BN101,-1,DatosHoy[[#This Row],[G ajus PM Q3]]-BU101)</f>
        <v>-1</v>
      </c>
      <c r="BD100" s="94">
        <f>IF($BN100=$BN101,-1,DatosHoy[[#This Row],[G+V ajus PM Q3]]-BV101)</f>
        <v>-1</v>
      </c>
      <c r="BE100" s="94">
        <f>IF($BN100=$BN101,-1,DatosHoy[[#This Row],[CT ajus PM Q3]]-BW101)</f>
        <v>-1</v>
      </c>
      <c r="BF100" s="94">
        <f ca="1">IF(DatosHoy[[#This Row],[G ajus PM Q3]]=DatosHoy[[#This Row],[G+V ajus PM Q3]],-1,DatosHoy[[#This Row],[G ajus PM Q3]]-DatosHoy[[#This Row],[G+V ajus PM Q3]])</f>
        <v>-223256.03824959509</v>
      </c>
      <c r="BG100" s="94">
        <f ca="1">IF(DatosHoy[[#This Row],[G+V ajus PM Q3]]=DatosHoy[[#This Row],[CT ajus PM Q3]],-1,DatosHoy[[#This Row],[G+V ajus PM Q3]]-DatosHoy[[#This Row],[CT ajus PM Q3]])</f>
        <v>-201652.01720579527</v>
      </c>
      <c r="BH100" s="94">
        <f ca="1">IF(DatosHoy[[#This Row],[G ajus PM Q1]]=DatosHoy[[#This Row],[G ajus PMd]],-1,DatosHoy[[#This Row],[G ajus PM Q1]]-DatosHoy[[#This Row],[G ajus PMd]])</f>
        <v>-1762473.5342417751</v>
      </c>
      <c r="BI100" s="94">
        <f ca="1">IF(DatosHoy[[#This Row],[G+V ajus PM Q1]]=DatosHoy[[#This Row],[G+V ajus PM Md]],-1,DatosHoy[[#This Row],[G+V ajus PM Q1]]-DatosHoy[[#This Row],[G+V ajus PM Md]])</f>
        <v>-1960652.0850514118</v>
      </c>
      <c r="BJ100" s="94">
        <f ca="1">IF(DatosHoy[[#This Row],[CT ajus PM Q1]]=DatosHoy[[#This Row],[CT ajus PM Md]],-1,DatosHoy[[#This Row],[CT ajus PM Q1]]-DatosHoy[[#This Row],[CT ajus PM Md]])</f>
        <v>-2002409.6573320962</v>
      </c>
      <c r="BK100" s="94">
        <f ca="1">IF(DatosHoy[[#This Row],[G ajus PMd]]=DatosHoy[[#This Row],[G ajus PM Q3]],-1,DatosHoy[[#This Row],[G ajus PMd]]-DatosHoy[[#This Row],[G ajus PM Q3]])</f>
        <v>-593744.14596787281</v>
      </c>
      <c r="BL100" s="94">
        <f ca="1">IF(DatosHoy[[#This Row],[G+V ajus PM Md]]=DatosHoy[[#This Row],[G+V ajus PM Q3]],-1,DatosHoy[[#This Row],[G+V ajus PM Md]]-DatosHoy[[#This Row],[G+V ajus PM Q3]])</f>
        <v>-381484.00030991994</v>
      </c>
      <c r="BM100" s="94">
        <f ca="1">IF(DatosHoy[[#This Row],[CT ajus PM Md]]=DatosHoy[[#This Row],[CT ajus PM Q3]],-1,DatosHoy[[#This Row],[CT ajus PM Md]]-DatosHoy[[#This Row],[CT ajus PM Q3]])</f>
        <v>-237211.24139366299</v>
      </c>
      <c r="BN100" s="74">
        <v>436</v>
      </c>
      <c r="BO100" s="94">
        <f ca="1">IFERROR(VLOOKUP($BN100,'Regresion Q1'!$T$6:$V$10,2,1)*$BN100+VLOOKUP($BN100,'Regresion Q1'!$T$6:$V$10,3,1),VLOOKUP(MIN(DatosHoy[Puntos]),'Regresion Q1'!$T$6:$V$10,2,1)*$BN100+VLOOKUP(MIN(DatosHoy[Puntos]),'Regresion Q1'!$T$6:$V$10,3,1))</f>
        <v>6165585.4809838478</v>
      </c>
      <c r="BP100" s="94">
        <f ca="1">IFERROR(VLOOKUP($BN100,'Regresion Q1'!$W$6:$Y$10,2,1)*$BN100+VLOOKUP($BN100,'Regresion Q1'!$W$6:$Y$10,3,1),VLOOKUP(MIN(DatosHoy[Puntos]),'Regresion Q1'!$W$6:$Y$10,2,1)*$BN100+VLOOKUP(MIN(DatosHoy[Puntos]),'Regresion Q1'!$W$6:$Y$10,3,1))</f>
        <v>6402923.114081759</v>
      </c>
      <c r="BQ100" s="94">
        <f ca="1">IFERROR(VLOOKUP($BN100,'Regresion Q1'!$Z$6:$AB$10,2,1)*$BN100+VLOOKUP($BN100,'Regresion Q1'!$Z$6:$AB$10,3,1),VLOOKUP(MIN(DatosHoy[Puntos]),'Regresion Q1'!$Z$6:$AB$10,2,1)*$BN100+VLOOKUP(MIN(DatosHoy[Puntos]),'Regresion Q1'!$Z$6:$AB$10,3,1))</f>
        <v>6707090.3179231267</v>
      </c>
      <c r="BR100" s="94">
        <f ca="1">IFERROR(VLOOKUP($BN100,'Regresion Md'!$T$6:$V$10,2,1)*$BN100+VLOOKUP($BN100,'Regresion Md'!$T$6:$V$10,3,1),VLOOKUP(MIN(DatosHoy[Puntos]),'Regresion Md'!$T$6:$V$10,2,1)*$BN100+VLOOKUP(MIN(DatosHoy[Puntos]),'Regresion Md'!$T$6:$V$10,3,1))</f>
        <v>7928059.0152256228</v>
      </c>
      <c r="BS100" s="94">
        <f ca="1">IFERROR(VLOOKUP($BN100,'Regresion Md'!$W$6:$Y$10,2,1)*$BN100+VLOOKUP($BN100,'Regresion Md'!$W$6:$Y$10,3,1),VLOOKUP(MIN(DatosHoy[Puntos]),'Regresion Md'!$W$6:$Y$10,2,1)*$BN100+VLOOKUP(MIN(DatosHoy[Puntos]),'Regresion Md'!$W$6:$Y$10,3,1))</f>
        <v>8363575.1991331708</v>
      </c>
      <c r="BT100" s="94">
        <f ca="1">IFERROR(VLOOKUP($BN100,'Regresion Md'!$Z$6:$AB$10,2,1)*$BN100+VLOOKUP($BN100,'Regresion Md'!$Z$6:$AB$10,3,1),VLOOKUP(MIN(DatosHoy[Puntos]),'Regresion Md'!$Z$6:$AB$10,2,1)*$BN100+VLOOKUP(MIN(DatosHoy[Puntos]),'Regresion Md'!$Z$6:$AB$10,3,1))</f>
        <v>8709499.975255223</v>
      </c>
      <c r="BU100" s="94">
        <f ca="1">IFERROR(VLOOKUP($BN100,'Regresion Q3'!$T$6:$V$10,2,1)*$BN100+VLOOKUP($BN100,'Regresion Q3'!$T$6:$V$10,3,1),VLOOKUP(MIN(DatosHoy[Puntos]),'Regresion Q3'!$T$6:$V$10,2,1)*$BN100+VLOOKUP(MIN(DatosHoy[Puntos]),'Regresion Q3'!$T$6:$V$10,3,1))</f>
        <v>8521803.1611934956</v>
      </c>
      <c r="BV100" s="94">
        <f ca="1">IFERROR(VLOOKUP($BN100,'Regresion Q3'!$W$6:$Y$10,2,1)*$BN100+VLOOKUP($BN100,'Regresion Q3'!$W$6:$Y$10,3,1),VLOOKUP(MIN(DatosHoy[Puntos]),'Regresion Q3'!$W$6:$Y$10,2,1)*$BN100+VLOOKUP(MIN(DatosHoy[Puntos]),'Regresion Q3'!$W$6:$Y$10,3,1))</f>
        <v>8745059.1994430907</v>
      </c>
      <c r="BW100" s="94">
        <f ca="1">IFERROR(VLOOKUP($BN100,'Regresion Q3'!$Z$6:$AB$10,2,1)*$BN100+VLOOKUP($BN100,'Regresion Q3'!$Z$6:$AB$10,3,1),VLOOKUP(MIN(DatosHoy[Puntos]),'Regresion Q3'!$Z$6:$AB$10,2,1)*$BN100+VLOOKUP(MIN(DatosHoy[Puntos]),'Regresion Q3'!$Z$6:$AB$10,3,1))</f>
        <v>8946711.216648886</v>
      </c>
      <c r="BX100" s="96">
        <f ca="1">DatosHoy[[#This Row],[CT Actual]]/DatosHoy[[#This Row],[CT ajus PM Md]]</f>
        <v>0.54486596515099461</v>
      </c>
      <c r="BY100" s="125" t="str">
        <f>VLOOKUP(DatosHoy[[#This Row],[Cargo Valorado]],Estadísticos[[Cargo]:[Nivel]],2,FALSE)</f>
        <v>Táctico</v>
      </c>
      <c r="BZ100" s="96">
        <f>(DatosHoy[[#This Row],[G+V Actual]]-DatosHoy[[#This Row],[G Actual]])/DatosHoy[[#This Row],[CT Actual]]</f>
        <v>0</v>
      </c>
      <c r="CA100" s="96">
        <f>(DatosHoy[[#This Row],[CT Actual]]-DatosHoy[[#This Row],[G+V Actual]])/DatosHoy[[#This Row],[CT Actual]]</f>
        <v>0</v>
      </c>
      <c r="CB100" s="139" t="s">
        <v>255</v>
      </c>
    </row>
    <row r="101" spans="2:80" x14ac:dyDescent="0.25">
      <c r="B101" s="73">
        <f t="shared" si="45"/>
        <v>96</v>
      </c>
      <c r="C101" s="74">
        <v>4745510.1100000003</v>
      </c>
      <c r="D101" s="74">
        <v>4745510.1100000003</v>
      </c>
      <c r="E101" s="74">
        <v>4745510.1100000003</v>
      </c>
      <c r="F101" s="94">
        <f>VLOOKUP(DatosHoy[[#This Row],[Cargo Valorado]],Estadísticos[],3,0)</f>
        <v>4776375.2219249532</v>
      </c>
      <c r="G101" s="94">
        <f>VLOOKUP(DatosHoy[[#This Row],[Cargo Valorado]],Estadísticos[],4,0)</f>
        <v>4776375.2219249532</v>
      </c>
      <c r="H101" s="94">
        <f>VLOOKUP(DatosHoy[[#This Row],[Cargo Valorado]],Estadísticos[],5,0)</f>
        <v>5395421.3756679464</v>
      </c>
      <c r="I101" s="94">
        <f>VLOOKUP(DatosHoy[[#This Row],[Cargo Valorado]],Estadísticos[],6,0)</f>
        <v>5049030.7868568338</v>
      </c>
      <c r="J101" s="94">
        <f>VLOOKUP(DatosHoy[[#This Row],[Cargo Valorado]],Estadísticos[],7,0)</f>
        <v>5049030.7868568338</v>
      </c>
      <c r="K101" s="94">
        <f>VLOOKUP(DatosHoy[[#This Row],[Cargo Valorado]],Estadísticos[],8,0)</f>
        <v>5461728.2226854963</v>
      </c>
      <c r="L101" s="94">
        <f>VLOOKUP(DatosHoy[[#This Row],[Cargo Valorado]],Estadísticos[],9,0)</f>
        <v>5321686.3517887145</v>
      </c>
      <c r="M101" s="94">
        <f>VLOOKUP(DatosHoy[[#This Row],[Cargo Valorado]],Estadísticos[],10,0)</f>
        <v>5321686.3517887145</v>
      </c>
      <c r="N101" s="94">
        <f>VLOOKUP(DatosHoy[[#This Row],[Cargo Valorado]],Estadísticos[],11,0)</f>
        <v>5528035.0697030462</v>
      </c>
      <c r="O101" s="75" t="s">
        <v>214</v>
      </c>
      <c r="P101" s="75">
        <v>408</v>
      </c>
      <c r="Q101" s="95" t="str">
        <f t="shared" si="46"/>
        <v>$P$101</v>
      </c>
      <c r="R101" s="95" t="str">
        <f t="shared" si="47"/>
        <v>$F$101</v>
      </c>
      <c r="S101" s="95" t="str">
        <f t="shared" si="48"/>
        <v>$G$101</v>
      </c>
      <c r="T101" s="95" t="str">
        <f t="shared" si="49"/>
        <v>$H$101</v>
      </c>
      <c r="U101" s="95" t="str">
        <f t="shared" si="50"/>
        <v>$I$101</v>
      </c>
      <c r="V101" s="95" t="str">
        <f t="shared" si="51"/>
        <v>$J$101</v>
      </c>
      <c r="W101" s="95" t="str">
        <f t="shared" si="52"/>
        <v>$K$101</v>
      </c>
      <c r="X101" s="95" t="str">
        <f t="shared" si="53"/>
        <v>$L$101</v>
      </c>
      <c r="Y101" s="95" t="str">
        <f t="shared" si="54"/>
        <v>$M$101</v>
      </c>
      <c r="Z101" s="95" t="str">
        <f t="shared" si="55"/>
        <v>$N$101</v>
      </c>
      <c r="AA101" s="94">
        <f ca="1">VLOOKUP($P101,'Regresion Q1'!$E$6:$I$10,4,1)*$P101+VLOOKUP($P101,'Regresion Q1'!$E$6:$I$10,5,1)</f>
        <v>5255126.1961413026</v>
      </c>
      <c r="AB101" s="94">
        <f ca="1">VLOOKUP($P101,'Regresion Q1'!$J$6:$N$10,4,1)*$P101+VLOOKUP($P101,'Regresion Q1'!$J$6:$N$10,5,1)</f>
        <v>5469672.678594619</v>
      </c>
      <c r="AC101" s="94">
        <f ca="1">VLOOKUP($P101,'Regresion Q1'!$O$6:$S$10,4,1)*$P101+VLOOKUP($P101,'Regresion Q1'!$O$6:$S$10,5,1)</f>
        <v>5731313.2125885356</v>
      </c>
      <c r="AD101" s="94">
        <f ca="1">VLOOKUP($P101,'Regresion Md'!$E$6:$I$10,4,1)*$P101+VLOOKUP($P101,'Regresion Md'!$E$6:$I$10,5,1)</f>
        <v>7696145.8269341299</v>
      </c>
      <c r="AE101" s="94">
        <f ca="1">VLOOKUP($P101,'Regresion Md'!$J$6:$N$10,4,1)*$P101+VLOOKUP($P101,'Regresion Md'!$J$6:$N$10,5,1)</f>
        <v>7876545.3566814512</v>
      </c>
      <c r="AF101" s="94">
        <f ca="1">VLOOKUP($P101,'Regresion Md'!$O$6:$S$10,4,1)*$P101+VLOOKUP($P101,'Regresion Md'!$O$6:$S$10,5,1)</f>
        <v>8046718.1969469357</v>
      </c>
      <c r="AG101" s="94">
        <f ca="1">VLOOKUP($P101,'Regresion Q3'!$E$6:$I$10,4,1)*$P101+VLOOKUP($P101,'Regresion Q3'!$E$6:$I$10,5,1)</f>
        <v>8640404.033534348</v>
      </c>
      <c r="AH101" s="94">
        <f ca="1">VLOOKUP($P101,'Regresion Q3'!$J$6:$N$10,4,1)*$P101+VLOOKUP($P101,'Regresion Q3'!$J$6:$N$10,5,1)</f>
        <v>8764542.2827322558</v>
      </c>
      <c r="AI101" s="94">
        <f ca="1">VLOOKUP($P101,'Regresion Q3'!$O$6:$S$10,4,1)*$P101+VLOOKUP($P101,'Regresion Q3'!$O$6:$S$10,5,1)</f>
        <v>8926796.8672821522</v>
      </c>
      <c r="AJ101" s="94">
        <f ca="1">VLOOKUP($P101,'Regresion Q1'!$T$6:$V$10,2,1)*$P101+VLOOKUP($P101,'Regresion Q1'!$T$6:$V$10,3,1)</f>
        <v>5303858.6072074398</v>
      </c>
      <c r="AK101" s="94">
        <f ca="1">VLOOKUP($P101,'Regresion Q1'!$W$6:$Y$10,2,1)*$P101+VLOOKUP($P101,'Regresion Q1'!$W$6:$Y$10,3,1)</f>
        <v>5488432.3436493706</v>
      </c>
      <c r="AL101" s="94">
        <f ca="1">VLOOKUP($P101,'Regresion Q1'!$Z$6:$AB$10,2,1)*$P101+VLOOKUP($P101,'Regresion Q1'!$Z$6:$AB$10,3,1)</f>
        <v>5763203.4315481</v>
      </c>
      <c r="AM101" s="94">
        <f ca="1">VLOOKUP($P101,'Regresion Md'!$T$6:$V$10,2,1)*$P101+VLOOKUP($P101,'Regresion Md'!$T$6:$V$10,3,1)</f>
        <v>7285807.2047427092</v>
      </c>
      <c r="AN101" s="94">
        <f ca="1">VLOOKUP($P101,'Regresion Md'!$W$6:$Y$10,2,1)*$P101+VLOOKUP($P101,'Regresion Md'!$W$6:$Y$10,3,1)</f>
        <v>7667945.2391166259</v>
      </c>
      <c r="AO101" s="94">
        <f ca="1">VLOOKUP($P101,'Regresion Md'!$Z$6:$AB$10,2,1)*$P101+VLOOKUP($P101,'Regresion Md'!$Z$6:$AB$10,3,1)</f>
        <v>7994382.4632710349</v>
      </c>
      <c r="AP101" s="94">
        <f ca="1">VLOOKUP($P101,'Regresion Q3'!$T$6:$V$10,2,1)*$P101+VLOOKUP($P101,'Regresion Q3'!$T$6:$V$10,3,1)</f>
        <v>8004912.5684000896</v>
      </c>
      <c r="AQ101" s="94">
        <f ca="1">VLOOKUP($P101,'Regresion Q3'!$W$6:$Y$10,2,1)*$P101+VLOOKUP($P101,'Regresion Q3'!$W$6:$Y$10,3,1)</f>
        <v>8215995.5459104935</v>
      </c>
      <c r="AR101" s="94">
        <f ca="1">VLOOKUP($P101,'Regresion Q3'!$Z$6:$AB$10,2,1)*$P101+VLOOKUP($P101,'Regresion Q3'!$Z$6:$AB$10,3,1)</f>
        <v>8407690.9352455623</v>
      </c>
      <c r="AS101" s="94">
        <f>IF($BN101=$BN102,-1,DatosHoy[[#This Row],[G ajus PM Q1]]-BO102)</f>
        <v>-1</v>
      </c>
      <c r="AT101" s="94">
        <f>IF($BN101=$BN102,-1,DatosHoy[[#This Row],[G+V ajus PM Q1]]-BP102)</f>
        <v>-1</v>
      </c>
      <c r="AU101" s="94">
        <f>IF($BN101=$BN102,-1,DatosHoy[[#This Row],[CT ajus PM Q1]]-BQ102)</f>
        <v>-1</v>
      </c>
      <c r="AV101" s="94">
        <f ca="1">IF(DatosHoy[[#This Row],[G ajus PM Q1]]=DatosHoy[[#This Row],[G+V ajus PM Q1]],-1,DatosHoy[[#This Row],[G ajus PM Q1]]-DatosHoy[[#This Row],[G+V ajus PM Q1]])</f>
        <v>-237337.63309791125</v>
      </c>
      <c r="AW101" s="94">
        <f ca="1">IF(DatosHoy[[#This Row],[G+V ajus PM Q1]]=DatosHoy[[#This Row],[CT ajus PM Q1]],-1,DatosHoy[[#This Row],[G+V ajus PM Q1]]-DatosHoy[[#This Row],[CT ajus PM Q1]])</f>
        <v>-304167.20384136774</v>
      </c>
      <c r="AX101" s="94">
        <f>IF($BN101=$BN102,-1,DatosHoy[[#This Row],[G ajus PMd]]-BR102)</f>
        <v>-1</v>
      </c>
      <c r="AY101" s="94">
        <f>IF($BN101=$BN102,-1,DatosHoy[[#This Row],[G+V ajus PM Md]]-BS102)</f>
        <v>-1</v>
      </c>
      <c r="AZ101" s="94">
        <f>IF($BN101=$BN102,-1,DatosHoy[[#This Row],[CT ajus PM Md]]-BT102)</f>
        <v>-1</v>
      </c>
      <c r="BA101" s="94">
        <f ca="1">IF(DatosHoy[[#This Row],[G ajus PMd]]=DatosHoy[[#This Row],[G+V ajus PM Md]],-1,DatosHoy[[#This Row],[G ajus PMd]]-DatosHoy[[#This Row],[G+V ajus PM Md]])</f>
        <v>-435516.18390754797</v>
      </c>
      <c r="BB101" s="94">
        <f ca="1">IF(DatosHoy[[#This Row],[G+V ajus PM Md]]=DatosHoy[[#This Row],[CT ajus PM Md]],-1,DatosHoy[[#This Row],[G+V ajus PM Md]]-DatosHoy[[#This Row],[CT ajus PM Md]])</f>
        <v>-345924.77612205222</v>
      </c>
      <c r="BC101" s="94">
        <f>IF($BN101=$BN102,-1,DatosHoy[[#This Row],[G ajus PM Q3]]-BU102)</f>
        <v>-1</v>
      </c>
      <c r="BD101" s="94">
        <f>IF($BN101=$BN102,-1,DatosHoy[[#This Row],[G+V ajus PM Q3]]-BV102)</f>
        <v>-1</v>
      </c>
      <c r="BE101" s="94">
        <f>IF($BN101=$BN102,-1,DatosHoy[[#This Row],[CT ajus PM Q3]]-BW102)</f>
        <v>-1</v>
      </c>
      <c r="BF101" s="94">
        <f ca="1">IF(DatosHoy[[#This Row],[G ajus PM Q3]]=DatosHoy[[#This Row],[G+V ajus PM Q3]],-1,DatosHoy[[#This Row],[G ajus PM Q3]]-DatosHoy[[#This Row],[G+V ajus PM Q3]])</f>
        <v>-223256.03824959509</v>
      </c>
      <c r="BG101" s="94">
        <f ca="1">IF(DatosHoy[[#This Row],[G+V ajus PM Q3]]=DatosHoy[[#This Row],[CT ajus PM Q3]],-1,DatosHoy[[#This Row],[G+V ajus PM Q3]]-DatosHoy[[#This Row],[CT ajus PM Q3]])</f>
        <v>-201652.01720579527</v>
      </c>
      <c r="BH101" s="94">
        <f ca="1">IF(DatosHoy[[#This Row],[G ajus PM Q1]]=DatosHoy[[#This Row],[G ajus PMd]],-1,DatosHoy[[#This Row],[G ajus PM Q1]]-DatosHoy[[#This Row],[G ajus PMd]])</f>
        <v>-1762473.5342417751</v>
      </c>
      <c r="BI101" s="94">
        <f ca="1">IF(DatosHoy[[#This Row],[G+V ajus PM Q1]]=DatosHoy[[#This Row],[G+V ajus PM Md]],-1,DatosHoy[[#This Row],[G+V ajus PM Q1]]-DatosHoy[[#This Row],[G+V ajus PM Md]])</f>
        <v>-1960652.0850514118</v>
      </c>
      <c r="BJ101" s="94">
        <f ca="1">IF(DatosHoy[[#This Row],[CT ajus PM Q1]]=DatosHoy[[#This Row],[CT ajus PM Md]],-1,DatosHoy[[#This Row],[CT ajus PM Q1]]-DatosHoy[[#This Row],[CT ajus PM Md]])</f>
        <v>-2002409.6573320962</v>
      </c>
      <c r="BK101" s="94">
        <f ca="1">IF(DatosHoy[[#This Row],[G ajus PMd]]=DatosHoy[[#This Row],[G ajus PM Q3]],-1,DatosHoy[[#This Row],[G ajus PMd]]-DatosHoy[[#This Row],[G ajus PM Q3]])</f>
        <v>-593744.14596787281</v>
      </c>
      <c r="BL101" s="94">
        <f ca="1">IF(DatosHoy[[#This Row],[G+V ajus PM Md]]=DatosHoy[[#This Row],[G+V ajus PM Q3]],-1,DatosHoy[[#This Row],[G+V ajus PM Md]]-DatosHoy[[#This Row],[G+V ajus PM Q3]])</f>
        <v>-381484.00030991994</v>
      </c>
      <c r="BM101" s="94">
        <f ca="1">IF(DatosHoy[[#This Row],[CT ajus PM Md]]=DatosHoy[[#This Row],[CT ajus PM Q3]],-1,DatosHoy[[#This Row],[CT ajus PM Md]]-DatosHoy[[#This Row],[CT ajus PM Q3]])</f>
        <v>-237211.24139366299</v>
      </c>
      <c r="BN101" s="74">
        <v>436</v>
      </c>
      <c r="BO101" s="94">
        <f ca="1">IFERROR(VLOOKUP($BN101,'Regresion Q1'!$T$6:$V$10,2,1)*$BN101+VLOOKUP($BN101,'Regresion Q1'!$T$6:$V$10,3,1),VLOOKUP(MIN(DatosHoy[Puntos]),'Regresion Q1'!$T$6:$V$10,2,1)*$BN101+VLOOKUP(MIN(DatosHoy[Puntos]),'Regresion Q1'!$T$6:$V$10,3,1))</f>
        <v>6165585.4809838478</v>
      </c>
      <c r="BP101" s="94">
        <f ca="1">IFERROR(VLOOKUP($BN101,'Regresion Q1'!$W$6:$Y$10,2,1)*$BN101+VLOOKUP($BN101,'Regresion Q1'!$W$6:$Y$10,3,1),VLOOKUP(MIN(DatosHoy[Puntos]),'Regresion Q1'!$W$6:$Y$10,2,1)*$BN101+VLOOKUP(MIN(DatosHoy[Puntos]),'Regresion Q1'!$W$6:$Y$10,3,1))</f>
        <v>6402923.114081759</v>
      </c>
      <c r="BQ101" s="94">
        <f ca="1">IFERROR(VLOOKUP($BN101,'Regresion Q1'!$Z$6:$AB$10,2,1)*$BN101+VLOOKUP($BN101,'Regresion Q1'!$Z$6:$AB$10,3,1),VLOOKUP(MIN(DatosHoy[Puntos]),'Regresion Q1'!$Z$6:$AB$10,2,1)*$BN101+VLOOKUP(MIN(DatosHoy[Puntos]),'Regresion Q1'!$Z$6:$AB$10,3,1))</f>
        <v>6707090.3179231267</v>
      </c>
      <c r="BR101" s="94">
        <f ca="1">IFERROR(VLOOKUP($BN101,'Regresion Md'!$T$6:$V$10,2,1)*$BN101+VLOOKUP($BN101,'Regresion Md'!$T$6:$V$10,3,1),VLOOKUP(MIN(DatosHoy[Puntos]),'Regresion Md'!$T$6:$V$10,2,1)*$BN101+VLOOKUP(MIN(DatosHoy[Puntos]),'Regresion Md'!$T$6:$V$10,3,1))</f>
        <v>7928059.0152256228</v>
      </c>
      <c r="BS101" s="94">
        <f ca="1">IFERROR(VLOOKUP($BN101,'Regresion Md'!$W$6:$Y$10,2,1)*$BN101+VLOOKUP($BN101,'Regresion Md'!$W$6:$Y$10,3,1),VLOOKUP(MIN(DatosHoy[Puntos]),'Regresion Md'!$W$6:$Y$10,2,1)*$BN101+VLOOKUP(MIN(DatosHoy[Puntos]),'Regresion Md'!$W$6:$Y$10,3,1))</f>
        <v>8363575.1991331708</v>
      </c>
      <c r="BT101" s="94">
        <f ca="1">IFERROR(VLOOKUP($BN101,'Regresion Md'!$Z$6:$AB$10,2,1)*$BN101+VLOOKUP($BN101,'Regresion Md'!$Z$6:$AB$10,3,1),VLOOKUP(MIN(DatosHoy[Puntos]),'Regresion Md'!$Z$6:$AB$10,2,1)*$BN101+VLOOKUP(MIN(DatosHoy[Puntos]),'Regresion Md'!$Z$6:$AB$10,3,1))</f>
        <v>8709499.975255223</v>
      </c>
      <c r="BU101" s="94">
        <f ca="1">IFERROR(VLOOKUP($BN101,'Regresion Q3'!$T$6:$V$10,2,1)*$BN101+VLOOKUP($BN101,'Regresion Q3'!$T$6:$V$10,3,1),VLOOKUP(MIN(DatosHoy[Puntos]),'Regresion Q3'!$T$6:$V$10,2,1)*$BN101+VLOOKUP(MIN(DatosHoy[Puntos]),'Regresion Q3'!$T$6:$V$10,3,1))</f>
        <v>8521803.1611934956</v>
      </c>
      <c r="BV101" s="94">
        <f ca="1">IFERROR(VLOOKUP($BN101,'Regresion Q3'!$W$6:$Y$10,2,1)*$BN101+VLOOKUP($BN101,'Regresion Q3'!$W$6:$Y$10,3,1),VLOOKUP(MIN(DatosHoy[Puntos]),'Regresion Q3'!$W$6:$Y$10,2,1)*$BN101+VLOOKUP(MIN(DatosHoy[Puntos]),'Regresion Q3'!$W$6:$Y$10,3,1))</f>
        <v>8745059.1994430907</v>
      </c>
      <c r="BW101" s="94">
        <f ca="1">IFERROR(VLOOKUP($BN101,'Regresion Q3'!$Z$6:$AB$10,2,1)*$BN101+VLOOKUP($BN101,'Regresion Q3'!$Z$6:$AB$10,3,1),VLOOKUP(MIN(DatosHoy[Puntos]),'Regresion Q3'!$Z$6:$AB$10,2,1)*$BN101+VLOOKUP(MIN(DatosHoy[Puntos]),'Regresion Q3'!$Z$6:$AB$10,3,1))</f>
        <v>8946711.216648886</v>
      </c>
      <c r="BX101" s="96">
        <f ca="1">DatosHoy[[#This Row],[CT Actual]]/DatosHoy[[#This Row],[CT ajus PM Md]]</f>
        <v>0.54486596515099461</v>
      </c>
      <c r="BY101" s="125" t="str">
        <f>VLOOKUP(DatosHoy[[#This Row],[Cargo Valorado]],Estadísticos[[Cargo]:[Nivel]],2,FALSE)</f>
        <v>Táctico</v>
      </c>
      <c r="BZ101" s="96">
        <f>(DatosHoy[[#This Row],[G+V Actual]]-DatosHoy[[#This Row],[G Actual]])/DatosHoy[[#This Row],[CT Actual]]</f>
        <v>0</v>
      </c>
      <c r="CA101" s="96">
        <f>(DatosHoy[[#This Row],[CT Actual]]-DatosHoy[[#This Row],[G+V Actual]])/DatosHoy[[#This Row],[CT Actual]]</f>
        <v>0</v>
      </c>
      <c r="CB101" s="139" t="s">
        <v>255</v>
      </c>
    </row>
    <row r="102" spans="2:80" x14ac:dyDescent="0.25">
      <c r="B102" s="73">
        <f t="shared" ref="B102:B123" si="56">+ROW()-5</f>
        <v>97</v>
      </c>
      <c r="C102" s="74">
        <v>4745510.1100000003</v>
      </c>
      <c r="D102" s="74">
        <v>4745510.1100000003</v>
      </c>
      <c r="E102" s="74">
        <v>4745510.1100000003</v>
      </c>
      <c r="F102" s="94">
        <f>VLOOKUP(DatosHoy[[#This Row],[Cargo Valorado]],Estadísticos[],3,0)</f>
        <v>4776375.2219249532</v>
      </c>
      <c r="G102" s="94">
        <f>VLOOKUP(DatosHoy[[#This Row],[Cargo Valorado]],Estadísticos[],4,0)</f>
        <v>4776375.2219249532</v>
      </c>
      <c r="H102" s="94">
        <f>VLOOKUP(DatosHoy[[#This Row],[Cargo Valorado]],Estadísticos[],5,0)</f>
        <v>5395421.3756679464</v>
      </c>
      <c r="I102" s="94">
        <f>VLOOKUP(DatosHoy[[#This Row],[Cargo Valorado]],Estadísticos[],6,0)</f>
        <v>5049030.7868568338</v>
      </c>
      <c r="J102" s="94">
        <f>VLOOKUP(DatosHoy[[#This Row],[Cargo Valorado]],Estadísticos[],7,0)</f>
        <v>5049030.7868568338</v>
      </c>
      <c r="K102" s="94">
        <f>VLOOKUP(DatosHoy[[#This Row],[Cargo Valorado]],Estadísticos[],8,0)</f>
        <v>5461728.2226854963</v>
      </c>
      <c r="L102" s="94">
        <f>VLOOKUP(DatosHoy[[#This Row],[Cargo Valorado]],Estadísticos[],9,0)</f>
        <v>5321686.3517887145</v>
      </c>
      <c r="M102" s="94">
        <f>VLOOKUP(DatosHoy[[#This Row],[Cargo Valorado]],Estadísticos[],10,0)</f>
        <v>5321686.3517887145</v>
      </c>
      <c r="N102" s="94">
        <f>VLOOKUP(DatosHoy[[#This Row],[Cargo Valorado]],Estadísticos[],11,0)</f>
        <v>5528035.0697030462</v>
      </c>
      <c r="O102" s="75" t="s">
        <v>214</v>
      </c>
      <c r="P102" s="75">
        <v>408</v>
      </c>
      <c r="Q102" s="95" t="str">
        <f t="shared" si="46"/>
        <v>$P$102</v>
      </c>
      <c r="R102" s="95" t="str">
        <f t="shared" si="47"/>
        <v>$F$102</v>
      </c>
      <c r="S102" s="95" t="str">
        <f t="shared" si="48"/>
        <v>$G$102</v>
      </c>
      <c r="T102" s="95" t="str">
        <f t="shared" si="49"/>
        <v>$H$102</v>
      </c>
      <c r="U102" s="95" t="str">
        <f t="shared" si="50"/>
        <v>$I$102</v>
      </c>
      <c r="V102" s="95" t="str">
        <f t="shared" si="51"/>
        <v>$J$102</v>
      </c>
      <c r="W102" s="95" t="str">
        <f t="shared" si="52"/>
        <v>$K$102</v>
      </c>
      <c r="X102" s="95" t="str">
        <f t="shared" si="53"/>
        <v>$L$102</v>
      </c>
      <c r="Y102" s="95" t="str">
        <f t="shared" si="54"/>
        <v>$M$102</v>
      </c>
      <c r="Z102" s="95" t="str">
        <f t="shared" si="55"/>
        <v>$N$102</v>
      </c>
      <c r="AA102" s="94">
        <f ca="1">VLOOKUP($P102,'Regresion Q1'!$E$6:$I$10,4,1)*$P102+VLOOKUP($P102,'Regresion Q1'!$E$6:$I$10,5,1)</f>
        <v>5255126.1961413026</v>
      </c>
      <c r="AB102" s="94">
        <f ca="1">VLOOKUP($P102,'Regresion Q1'!$J$6:$N$10,4,1)*$P102+VLOOKUP($P102,'Regresion Q1'!$J$6:$N$10,5,1)</f>
        <v>5469672.678594619</v>
      </c>
      <c r="AC102" s="94">
        <f ca="1">VLOOKUP($P102,'Regresion Q1'!$O$6:$S$10,4,1)*$P102+VLOOKUP($P102,'Regresion Q1'!$O$6:$S$10,5,1)</f>
        <v>5731313.2125885356</v>
      </c>
      <c r="AD102" s="94">
        <f ca="1">VLOOKUP($P102,'Regresion Md'!$E$6:$I$10,4,1)*$P102+VLOOKUP($P102,'Regresion Md'!$E$6:$I$10,5,1)</f>
        <v>7696145.8269341299</v>
      </c>
      <c r="AE102" s="94">
        <f ca="1">VLOOKUP($P102,'Regresion Md'!$J$6:$N$10,4,1)*$P102+VLOOKUP($P102,'Regresion Md'!$J$6:$N$10,5,1)</f>
        <v>7876545.3566814512</v>
      </c>
      <c r="AF102" s="94">
        <f ca="1">VLOOKUP($P102,'Regresion Md'!$O$6:$S$10,4,1)*$P102+VLOOKUP($P102,'Regresion Md'!$O$6:$S$10,5,1)</f>
        <v>8046718.1969469357</v>
      </c>
      <c r="AG102" s="94">
        <f ca="1">VLOOKUP($P102,'Regresion Q3'!$E$6:$I$10,4,1)*$P102+VLOOKUP($P102,'Regresion Q3'!$E$6:$I$10,5,1)</f>
        <v>8640404.033534348</v>
      </c>
      <c r="AH102" s="94">
        <f ca="1">VLOOKUP($P102,'Regresion Q3'!$J$6:$N$10,4,1)*$P102+VLOOKUP($P102,'Regresion Q3'!$J$6:$N$10,5,1)</f>
        <v>8764542.2827322558</v>
      </c>
      <c r="AI102" s="94">
        <f ca="1">VLOOKUP($P102,'Regresion Q3'!$O$6:$S$10,4,1)*$P102+VLOOKUP($P102,'Regresion Q3'!$O$6:$S$10,5,1)</f>
        <v>8926796.8672821522</v>
      </c>
      <c r="AJ102" s="94">
        <f ca="1">VLOOKUP($P102,'Regresion Q1'!$T$6:$V$10,2,1)*$P102+VLOOKUP($P102,'Regresion Q1'!$T$6:$V$10,3,1)</f>
        <v>5303858.6072074398</v>
      </c>
      <c r="AK102" s="94">
        <f ca="1">VLOOKUP($P102,'Regresion Q1'!$W$6:$Y$10,2,1)*$P102+VLOOKUP($P102,'Regresion Q1'!$W$6:$Y$10,3,1)</f>
        <v>5488432.3436493706</v>
      </c>
      <c r="AL102" s="94">
        <f ca="1">VLOOKUP($P102,'Regresion Q1'!$Z$6:$AB$10,2,1)*$P102+VLOOKUP($P102,'Regresion Q1'!$Z$6:$AB$10,3,1)</f>
        <v>5763203.4315481</v>
      </c>
      <c r="AM102" s="94">
        <f ca="1">VLOOKUP($P102,'Regresion Md'!$T$6:$V$10,2,1)*$P102+VLOOKUP($P102,'Regresion Md'!$T$6:$V$10,3,1)</f>
        <v>7285807.2047427092</v>
      </c>
      <c r="AN102" s="94">
        <f ca="1">VLOOKUP($P102,'Regresion Md'!$W$6:$Y$10,2,1)*$P102+VLOOKUP($P102,'Regresion Md'!$W$6:$Y$10,3,1)</f>
        <v>7667945.2391166259</v>
      </c>
      <c r="AO102" s="94">
        <f ca="1">VLOOKUP($P102,'Regresion Md'!$Z$6:$AB$10,2,1)*$P102+VLOOKUP($P102,'Regresion Md'!$Z$6:$AB$10,3,1)</f>
        <v>7994382.4632710349</v>
      </c>
      <c r="AP102" s="94">
        <f ca="1">VLOOKUP($P102,'Regresion Q3'!$T$6:$V$10,2,1)*$P102+VLOOKUP($P102,'Regresion Q3'!$T$6:$V$10,3,1)</f>
        <v>8004912.5684000896</v>
      </c>
      <c r="AQ102" s="94">
        <f ca="1">VLOOKUP($P102,'Regresion Q3'!$W$6:$Y$10,2,1)*$P102+VLOOKUP($P102,'Regresion Q3'!$W$6:$Y$10,3,1)</f>
        <v>8215995.5459104935</v>
      </c>
      <c r="AR102" s="94">
        <f ca="1">VLOOKUP($P102,'Regresion Q3'!$Z$6:$AB$10,2,1)*$P102+VLOOKUP($P102,'Regresion Q3'!$Z$6:$AB$10,3,1)</f>
        <v>8407690.9352455623</v>
      </c>
      <c r="AS102" s="94">
        <f>IF($BN102=$BN103,-1,DatosHoy[[#This Row],[G ajus PM Q1]]-BO103)</f>
        <v>-1</v>
      </c>
      <c r="AT102" s="94">
        <f>IF($BN102=$BN103,-1,DatosHoy[[#This Row],[G+V ajus PM Q1]]-BP103)</f>
        <v>-1</v>
      </c>
      <c r="AU102" s="94">
        <f>IF($BN102=$BN103,-1,DatosHoy[[#This Row],[CT ajus PM Q1]]-BQ103)</f>
        <v>-1</v>
      </c>
      <c r="AV102" s="94">
        <f ca="1">IF(DatosHoy[[#This Row],[G ajus PM Q1]]=DatosHoy[[#This Row],[G+V ajus PM Q1]],-1,DatosHoy[[#This Row],[G ajus PM Q1]]-DatosHoy[[#This Row],[G+V ajus PM Q1]])</f>
        <v>-237337.63309791125</v>
      </c>
      <c r="AW102" s="94">
        <f ca="1">IF(DatosHoy[[#This Row],[G+V ajus PM Q1]]=DatosHoy[[#This Row],[CT ajus PM Q1]],-1,DatosHoy[[#This Row],[G+V ajus PM Q1]]-DatosHoy[[#This Row],[CT ajus PM Q1]])</f>
        <v>-304167.20384136774</v>
      </c>
      <c r="AX102" s="94">
        <f>IF($BN102=$BN103,-1,DatosHoy[[#This Row],[G ajus PMd]]-BR103)</f>
        <v>-1</v>
      </c>
      <c r="AY102" s="94">
        <f>IF($BN102=$BN103,-1,DatosHoy[[#This Row],[G+V ajus PM Md]]-BS103)</f>
        <v>-1</v>
      </c>
      <c r="AZ102" s="94">
        <f>IF($BN102=$BN103,-1,DatosHoy[[#This Row],[CT ajus PM Md]]-BT103)</f>
        <v>-1</v>
      </c>
      <c r="BA102" s="94">
        <f ca="1">IF(DatosHoy[[#This Row],[G ajus PMd]]=DatosHoy[[#This Row],[G+V ajus PM Md]],-1,DatosHoy[[#This Row],[G ajus PMd]]-DatosHoy[[#This Row],[G+V ajus PM Md]])</f>
        <v>-435516.18390754797</v>
      </c>
      <c r="BB102" s="94">
        <f ca="1">IF(DatosHoy[[#This Row],[G+V ajus PM Md]]=DatosHoy[[#This Row],[CT ajus PM Md]],-1,DatosHoy[[#This Row],[G+V ajus PM Md]]-DatosHoy[[#This Row],[CT ajus PM Md]])</f>
        <v>-345924.77612205222</v>
      </c>
      <c r="BC102" s="94">
        <f>IF($BN102=$BN103,-1,DatosHoy[[#This Row],[G ajus PM Q3]]-BU103)</f>
        <v>-1</v>
      </c>
      <c r="BD102" s="94">
        <f>IF($BN102=$BN103,-1,DatosHoy[[#This Row],[G+V ajus PM Q3]]-BV103)</f>
        <v>-1</v>
      </c>
      <c r="BE102" s="94">
        <f>IF($BN102=$BN103,-1,DatosHoy[[#This Row],[CT ajus PM Q3]]-BW103)</f>
        <v>-1</v>
      </c>
      <c r="BF102" s="94">
        <f ca="1">IF(DatosHoy[[#This Row],[G ajus PM Q3]]=DatosHoy[[#This Row],[G+V ajus PM Q3]],-1,DatosHoy[[#This Row],[G ajus PM Q3]]-DatosHoy[[#This Row],[G+V ajus PM Q3]])</f>
        <v>-223256.03824959509</v>
      </c>
      <c r="BG102" s="94">
        <f ca="1">IF(DatosHoy[[#This Row],[G+V ajus PM Q3]]=DatosHoy[[#This Row],[CT ajus PM Q3]],-1,DatosHoy[[#This Row],[G+V ajus PM Q3]]-DatosHoy[[#This Row],[CT ajus PM Q3]])</f>
        <v>-201652.01720579527</v>
      </c>
      <c r="BH102" s="94">
        <f ca="1">IF(DatosHoy[[#This Row],[G ajus PM Q1]]=DatosHoy[[#This Row],[G ajus PMd]],-1,DatosHoy[[#This Row],[G ajus PM Q1]]-DatosHoy[[#This Row],[G ajus PMd]])</f>
        <v>-1762473.5342417751</v>
      </c>
      <c r="BI102" s="94">
        <f ca="1">IF(DatosHoy[[#This Row],[G+V ajus PM Q1]]=DatosHoy[[#This Row],[G+V ajus PM Md]],-1,DatosHoy[[#This Row],[G+V ajus PM Q1]]-DatosHoy[[#This Row],[G+V ajus PM Md]])</f>
        <v>-1960652.0850514118</v>
      </c>
      <c r="BJ102" s="94">
        <f ca="1">IF(DatosHoy[[#This Row],[CT ajus PM Q1]]=DatosHoy[[#This Row],[CT ajus PM Md]],-1,DatosHoy[[#This Row],[CT ajus PM Q1]]-DatosHoy[[#This Row],[CT ajus PM Md]])</f>
        <v>-2002409.6573320962</v>
      </c>
      <c r="BK102" s="94">
        <f ca="1">IF(DatosHoy[[#This Row],[G ajus PMd]]=DatosHoy[[#This Row],[G ajus PM Q3]],-1,DatosHoy[[#This Row],[G ajus PMd]]-DatosHoy[[#This Row],[G ajus PM Q3]])</f>
        <v>-593744.14596787281</v>
      </c>
      <c r="BL102" s="94">
        <f ca="1">IF(DatosHoy[[#This Row],[G+V ajus PM Md]]=DatosHoy[[#This Row],[G+V ajus PM Q3]],-1,DatosHoy[[#This Row],[G+V ajus PM Md]]-DatosHoy[[#This Row],[G+V ajus PM Q3]])</f>
        <v>-381484.00030991994</v>
      </c>
      <c r="BM102" s="94">
        <f ca="1">IF(DatosHoy[[#This Row],[CT ajus PM Md]]=DatosHoy[[#This Row],[CT ajus PM Q3]],-1,DatosHoy[[#This Row],[CT ajus PM Md]]-DatosHoy[[#This Row],[CT ajus PM Q3]])</f>
        <v>-237211.24139366299</v>
      </c>
      <c r="BN102" s="74">
        <v>436</v>
      </c>
      <c r="BO102" s="94">
        <f ca="1">IFERROR(VLOOKUP($BN102,'Regresion Q1'!$T$6:$V$10,2,1)*$BN102+VLOOKUP($BN102,'Regresion Q1'!$T$6:$V$10,3,1),VLOOKUP(MIN(DatosHoy[Puntos]),'Regresion Q1'!$T$6:$V$10,2,1)*$BN102+VLOOKUP(MIN(DatosHoy[Puntos]),'Regresion Q1'!$T$6:$V$10,3,1))</f>
        <v>6165585.4809838478</v>
      </c>
      <c r="BP102" s="94">
        <f ca="1">IFERROR(VLOOKUP($BN102,'Regresion Q1'!$W$6:$Y$10,2,1)*$BN102+VLOOKUP($BN102,'Regresion Q1'!$W$6:$Y$10,3,1),VLOOKUP(MIN(DatosHoy[Puntos]),'Regresion Q1'!$W$6:$Y$10,2,1)*$BN102+VLOOKUP(MIN(DatosHoy[Puntos]),'Regresion Q1'!$W$6:$Y$10,3,1))</f>
        <v>6402923.114081759</v>
      </c>
      <c r="BQ102" s="94">
        <f ca="1">IFERROR(VLOOKUP($BN102,'Regresion Q1'!$Z$6:$AB$10,2,1)*$BN102+VLOOKUP($BN102,'Regresion Q1'!$Z$6:$AB$10,3,1),VLOOKUP(MIN(DatosHoy[Puntos]),'Regresion Q1'!$Z$6:$AB$10,2,1)*$BN102+VLOOKUP(MIN(DatosHoy[Puntos]),'Regresion Q1'!$Z$6:$AB$10,3,1))</f>
        <v>6707090.3179231267</v>
      </c>
      <c r="BR102" s="94">
        <f ca="1">IFERROR(VLOOKUP($BN102,'Regresion Md'!$T$6:$V$10,2,1)*$BN102+VLOOKUP($BN102,'Regresion Md'!$T$6:$V$10,3,1),VLOOKUP(MIN(DatosHoy[Puntos]),'Regresion Md'!$T$6:$V$10,2,1)*$BN102+VLOOKUP(MIN(DatosHoy[Puntos]),'Regresion Md'!$T$6:$V$10,3,1))</f>
        <v>7928059.0152256228</v>
      </c>
      <c r="BS102" s="94">
        <f ca="1">IFERROR(VLOOKUP($BN102,'Regresion Md'!$W$6:$Y$10,2,1)*$BN102+VLOOKUP($BN102,'Regresion Md'!$W$6:$Y$10,3,1),VLOOKUP(MIN(DatosHoy[Puntos]),'Regresion Md'!$W$6:$Y$10,2,1)*$BN102+VLOOKUP(MIN(DatosHoy[Puntos]),'Regresion Md'!$W$6:$Y$10,3,1))</f>
        <v>8363575.1991331708</v>
      </c>
      <c r="BT102" s="94">
        <f ca="1">IFERROR(VLOOKUP($BN102,'Regresion Md'!$Z$6:$AB$10,2,1)*$BN102+VLOOKUP($BN102,'Regresion Md'!$Z$6:$AB$10,3,1),VLOOKUP(MIN(DatosHoy[Puntos]),'Regresion Md'!$Z$6:$AB$10,2,1)*$BN102+VLOOKUP(MIN(DatosHoy[Puntos]),'Regresion Md'!$Z$6:$AB$10,3,1))</f>
        <v>8709499.975255223</v>
      </c>
      <c r="BU102" s="94">
        <f ca="1">IFERROR(VLOOKUP($BN102,'Regresion Q3'!$T$6:$V$10,2,1)*$BN102+VLOOKUP($BN102,'Regresion Q3'!$T$6:$V$10,3,1),VLOOKUP(MIN(DatosHoy[Puntos]),'Regresion Q3'!$T$6:$V$10,2,1)*$BN102+VLOOKUP(MIN(DatosHoy[Puntos]),'Regresion Q3'!$T$6:$V$10,3,1))</f>
        <v>8521803.1611934956</v>
      </c>
      <c r="BV102" s="94">
        <f ca="1">IFERROR(VLOOKUP($BN102,'Regresion Q3'!$W$6:$Y$10,2,1)*$BN102+VLOOKUP($BN102,'Regresion Q3'!$W$6:$Y$10,3,1),VLOOKUP(MIN(DatosHoy[Puntos]),'Regresion Q3'!$W$6:$Y$10,2,1)*$BN102+VLOOKUP(MIN(DatosHoy[Puntos]),'Regresion Q3'!$W$6:$Y$10,3,1))</f>
        <v>8745059.1994430907</v>
      </c>
      <c r="BW102" s="94">
        <f ca="1">IFERROR(VLOOKUP($BN102,'Regresion Q3'!$Z$6:$AB$10,2,1)*$BN102+VLOOKUP($BN102,'Regresion Q3'!$Z$6:$AB$10,3,1),VLOOKUP(MIN(DatosHoy[Puntos]),'Regresion Q3'!$Z$6:$AB$10,2,1)*$BN102+VLOOKUP(MIN(DatosHoy[Puntos]),'Regresion Q3'!$Z$6:$AB$10,3,1))</f>
        <v>8946711.216648886</v>
      </c>
      <c r="BX102" s="96">
        <f ca="1">DatosHoy[[#This Row],[CT Actual]]/DatosHoy[[#This Row],[CT ajus PM Md]]</f>
        <v>0.54486596515099461</v>
      </c>
      <c r="BY102" s="125" t="str">
        <f>VLOOKUP(DatosHoy[[#This Row],[Cargo Valorado]],Estadísticos[[Cargo]:[Nivel]],2,FALSE)</f>
        <v>Táctico</v>
      </c>
      <c r="BZ102" s="96">
        <f>(DatosHoy[[#This Row],[G+V Actual]]-DatosHoy[[#This Row],[G Actual]])/DatosHoy[[#This Row],[CT Actual]]</f>
        <v>0</v>
      </c>
      <c r="CA102" s="96">
        <f>(DatosHoy[[#This Row],[CT Actual]]-DatosHoy[[#This Row],[G+V Actual]])/DatosHoy[[#This Row],[CT Actual]]</f>
        <v>0</v>
      </c>
      <c r="CB102" s="139" t="s">
        <v>255</v>
      </c>
    </row>
    <row r="103" spans="2:80" x14ac:dyDescent="0.25">
      <c r="B103" s="73">
        <f t="shared" si="56"/>
        <v>98</v>
      </c>
      <c r="C103" s="74">
        <v>4745510.1100000003</v>
      </c>
      <c r="D103" s="74">
        <v>4745510.1100000003</v>
      </c>
      <c r="E103" s="74">
        <v>4745510.1100000003</v>
      </c>
      <c r="F103" s="94">
        <f>VLOOKUP(DatosHoy[[#This Row],[Cargo Valorado]],Estadísticos[],3,0)</f>
        <v>4776375.2219249532</v>
      </c>
      <c r="G103" s="94">
        <f>VLOOKUP(DatosHoy[[#This Row],[Cargo Valorado]],Estadísticos[],4,0)</f>
        <v>4776375.2219249532</v>
      </c>
      <c r="H103" s="94">
        <f>VLOOKUP(DatosHoy[[#This Row],[Cargo Valorado]],Estadísticos[],5,0)</f>
        <v>5395421.3756679464</v>
      </c>
      <c r="I103" s="94">
        <f>VLOOKUP(DatosHoy[[#This Row],[Cargo Valorado]],Estadísticos[],6,0)</f>
        <v>5049030.7868568338</v>
      </c>
      <c r="J103" s="94">
        <f>VLOOKUP(DatosHoy[[#This Row],[Cargo Valorado]],Estadísticos[],7,0)</f>
        <v>5049030.7868568338</v>
      </c>
      <c r="K103" s="94">
        <f>VLOOKUP(DatosHoy[[#This Row],[Cargo Valorado]],Estadísticos[],8,0)</f>
        <v>5461728.2226854963</v>
      </c>
      <c r="L103" s="94">
        <f>VLOOKUP(DatosHoy[[#This Row],[Cargo Valorado]],Estadísticos[],9,0)</f>
        <v>5321686.3517887145</v>
      </c>
      <c r="M103" s="94">
        <f>VLOOKUP(DatosHoy[[#This Row],[Cargo Valorado]],Estadísticos[],10,0)</f>
        <v>5321686.3517887145</v>
      </c>
      <c r="N103" s="94">
        <f>VLOOKUP(DatosHoy[[#This Row],[Cargo Valorado]],Estadísticos[],11,0)</f>
        <v>5528035.0697030462</v>
      </c>
      <c r="O103" s="75" t="s">
        <v>214</v>
      </c>
      <c r="P103" s="75">
        <v>408</v>
      </c>
      <c r="Q103" s="95" t="str">
        <f t="shared" si="46"/>
        <v>$P$103</v>
      </c>
      <c r="R103" s="95" t="str">
        <f t="shared" si="47"/>
        <v>$F$103</v>
      </c>
      <c r="S103" s="95" t="str">
        <f t="shared" si="48"/>
        <v>$G$103</v>
      </c>
      <c r="T103" s="95" t="str">
        <f t="shared" si="49"/>
        <v>$H$103</v>
      </c>
      <c r="U103" s="95" t="str">
        <f t="shared" si="50"/>
        <v>$I$103</v>
      </c>
      <c r="V103" s="95" t="str">
        <f t="shared" si="51"/>
        <v>$J$103</v>
      </c>
      <c r="W103" s="95" t="str">
        <f t="shared" si="52"/>
        <v>$K$103</v>
      </c>
      <c r="X103" s="95" t="str">
        <f t="shared" si="53"/>
        <v>$L$103</v>
      </c>
      <c r="Y103" s="95" t="str">
        <f t="shared" si="54"/>
        <v>$M$103</v>
      </c>
      <c r="Z103" s="95" t="str">
        <f t="shared" si="55"/>
        <v>$N$103</v>
      </c>
      <c r="AA103" s="94">
        <f ca="1">VLOOKUP($P103,'Regresion Q1'!$E$6:$I$10,4,1)*$P103+VLOOKUP($P103,'Regresion Q1'!$E$6:$I$10,5,1)</f>
        <v>5255126.1961413026</v>
      </c>
      <c r="AB103" s="94">
        <f ca="1">VLOOKUP($P103,'Regresion Q1'!$J$6:$N$10,4,1)*$P103+VLOOKUP($P103,'Regresion Q1'!$J$6:$N$10,5,1)</f>
        <v>5469672.678594619</v>
      </c>
      <c r="AC103" s="94">
        <f ca="1">VLOOKUP($P103,'Regresion Q1'!$O$6:$S$10,4,1)*$P103+VLOOKUP($P103,'Regresion Q1'!$O$6:$S$10,5,1)</f>
        <v>5731313.2125885356</v>
      </c>
      <c r="AD103" s="94">
        <f ca="1">VLOOKUP($P103,'Regresion Md'!$E$6:$I$10,4,1)*$P103+VLOOKUP($P103,'Regresion Md'!$E$6:$I$10,5,1)</f>
        <v>7696145.8269341299</v>
      </c>
      <c r="AE103" s="94">
        <f ca="1">VLOOKUP($P103,'Regresion Md'!$J$6:$N$10,4,1)*$P103+VLOOKUP($P103,'Regresion Md'!$J$6:$N$10,5,1)</f>
        <v>7876545.3566814512</v>
      </c>
      <c r="AF103" s="94">
        <f ca="1">VLOOKUP($P103,'Regresion Md'!$O$6:$S$10,4,1)*$P103+VLOOKUP($P103,'Regresion Md'!$O$6:$S$10,5,1)</f>
        <v>8046718.1969469357</v>
      </c>
      <c r="AG103" s="94">
        <f ca="1">VLOOKUP($P103,'Regresion Q3'!$E$6:$I$10,4,1)*$P103+VLOOKUP($P103,'Regresion Q3'!$E$6:$I$10,5,1)</f>
        <v>8640404.033534348</v>
      </c>
      <c r="AH103" s="94">
        <f ca="1">VLOOKUP($P103,'Regresion Q3'!$J$6:$N$10,4,1)*$P103+VLOOKUP($P103,'Regresion Q3'!$J$6:$N$10,5,1)</f>
        <v>8764542.2827322558</v>
      </c>
      <c r="AI103" s="94">
        <f ca="1">VLOOKUP($P103,'Regresion Q3'!$O$6:$S$10,4,1)*$P103+VLOOKUP($P103,'Regresion Q3'!$O$6:$S$10,5,1)</f>
        <v>8926796.8672821522</v>
      </c>
      <c r="AJ103" s="94">
        <f ca="1">VLOOKUP($P103,'Regresion Q1'!$T$6:$V$10,2,1)*$P103+VLOOKUP($P103,'Regresion Q1'!$T$6:$V$10,3,1)</f>
        <v>5303858.6072074398</v>
      </c>
      <c r="AK103" s="94">
        <f ca="1">VLOOKUP($P103,'Regresion Q1'!$W$6:$Y$10,2,1)*$P103+VLOOKUP($P103,'Regresion Q1'!$W$6:$Y$10,3,1)</f>
        <v>5488432.3436493706</v>
      </c>
      <c r="AL103" s="94">
        <f ca="1">VLOOKUP($P103,'Regresion Q1'!$Z$6:$AB$10,2,1)*$P103+VLOOKUP($P103,'Regresion Q1'!$Z$6:$AB$10,3,1)</f>
        <v>5763203.4315481</v>
      </c>
      <c r="AM103" s="94">
        <f ca="1">VLOOKUP($P103,'Regresion Md'!$T$6:$V$10,2,1)*$P103+VLOOKUP($P103,'Regresion Md'!$T$6:$V$10,3,1)</f>
        <v>7285807.2047427092</v>
      </c>
      <c r="AN103" s="94">
        <f ca="1">VLOOKUP($P103,'Regresion Md'!$W$6:$Y$10,2,1)*$P103+VLOOKUP($P103,'Regresion Md'!$W$6:$Y$10,3,1)</f>
        <v>7667945.2391166259</v>
      </c>
      <c r="AO103" s="94">
        <f ca="1">VLOOKUP($P103,'Regresion Md'!$Z$6:$AB$10,2,1)*$P103+VLOOKUP($P103,'Regresion Md'!$Z$6:$AB$10,3,1)</f>
        <v>7994382.4632710349</v>
      </c>
      <c r="AP103" s="94">
        <f ca="1">VLOOKUP($P103,'Regresion Q3'!$T$6:$V$10,2,1)*$P103+VLOOKUP($P103,'Regresion Q3'!$T$6:$V$10,3,1)</f>
        <v>8004912.5684000896</v>
      </c>
      <c r="AQ103" s="94">
        <f ca="1">VLOOKUP($P103,'Regresion Q3'!$W$6:$Y$10,2,1)*$P103+VLOOKUP($P103,'Regresion Q3'!$W$6:$Y$10,3,1)</f>
        <v>8215995.5459104935</v>
      </c>
      <c r="AR103" s="94">
        <f ca="1">VLOOKUP($P103,'Regresion Q3'!$Z$6:$AB$10,2,1)*$P103+VLOOKUP($P103,'Regresion Q3'!$Z$6:$AB$10,3,1)</f>
        <v>8407690.9352455623</v>
      </c>
      <c r="AS103" s="94">
        <f>IF($BN103=$BN104,-1,DatosHoy[[#This Row],[G ajus PM Q1]]-BO104)</f>
        <v>-1</v>
      </c>
      <c r="AT103" s="94">
        <f>IF($BN103=$BN104,-1,DatosHoy[[#This Row],[G+V ajus PM Q1]]-BP104)</f>
        <v>-1</v>
      </c>
      <c r="AU103" s="94">
        <f>IF($BN103=$BN104,-1,DatosHoy[[#This Row],[CT ajus PM Q1]]-BQ104)</f>
        <v>-1</v>
      </c>
      <c r="AV103" s="94">
        <f ca="1">IF(DatosHoy[[#This Row],[G ajus PM Q1]]=DatosHoy[[#This Row],[G+V ajus PM Q1]],-1,DatosHoy[[#This Row],[G ajus PM Q1]]-DatosHoy[[#This Row],[G+V ajus PM Q1]])</f>
        <v>-237337.63309791125</v>
      </c>
      <c r="AW103" s="94">
        <f ca="1">IF(DatosHoy[[#This Row],[G+V ajus PM Q1]]=DatosHoy[[#This Row],[CT ajus PM Q1]],-1,DatosHoy[[#This Row],[G+V ajus PM Q1]]-DatosHoy[[#This Row],[CT ajus PM Q1]])</f>
        <v>-304167.20384136774</v>
      </c>
      <c r="AX103" s="94">
        <f>IF($BN103=$BN104,-1,DatosHoy[[#This Row],[G ajus PMd]]-BR104)</f>
        <v>-1</v>
      </c>
      <c r="AY103" s="94">
        <f>IF($BN103=$BN104,-1,DatosHoy[[#This Row],[G+V ajus PM Md]]-BS104)</f>
        <v>-1</v>
      </c>
      <c r="AZ103" s="94">
        <f>IF($BN103=$BN104,-1,DatosHoy[[#This Row],[CT ajus PM Md]]-BT104)</f>
        <v>-1</v>
      </c>
      <c r="BA103" s="94">
        <f ca="1">IF(DatosHoy[[#This Row],[G ajus PMd]]=DatosHoy[[#This Row],[G+V ajus PM Md]],-1,DatosHoy[[#This Row],[G ajus PMd]]-DatosHoy[[#This Row],[G+V ajus PM Md]])</f>
        <v>-435516.18390754797</v>
      </c>
      <c r="BB103" s="94">
        <f ca="1">IF(DatosHoy[[#This Row],[G+V ajus PM Md]]=DatosHoy[[#This Row],[CT ajus PM Md]],-1,DatosHoy[[#This Row],[G+V ajus PM Md]]-DatosHoy[[#This Row],[CT ajus PM Md]])</f>
        <v>-345924.77612205222</v>
      </c>
      <c r="BC103" s="94">
        <f>IF($BN103=$BN104,-1,DatosHoy[[#This Row],[G ajus PM Q3]]-BU104)</f>
        <v>-1</v>
      </c>
      <c r="BD103" s="94">
        <f>IF($BN103=$BN104,-1,DatosHoy[[#This Row],[G+V ajus PM Q3]]-BV104)</f>
        <v>-1</v>
      </c>
      <c r="BE103" s="94">
        <f>IF($BN103=$BN104,-1,DatosHoy[[#This Row],[CT ajus PM Q3]]-BW104)</f>
        <v>-1</v>
      </c>
      <c r="BF103" s="94">
        <f ca="1">IF(DatosHoy[[#This Row],[G ajus PM Q3]]=DatosHoy[[#This Row],[G+V ajus PM Q3]],-1,DatosHoy[[#This Row],[G ajus PM Q3]]-DatosHoy[[#This Row],[G+V ajus PM Q3]])</f>
        <v>-223256.03824959509</v>
      </c>
      <c r="BG103" s="94">
        <f ca="1">IF(DatosHoy[[#This Row],[G+V ajus PM Q3]]=DatosHoy[[#This Row],[CT ajus PM Q3]],-1,DatosHoy[[#This Row],[G+V ajus PM Q3]]-DatosHoy[[#This Row],[CT ajus PM Q3]])</f>
        <v>-201652.01720579527</v>
      </c>
      <c r="BH103" s="94">
        <f ca="1">IF(DatosHoy[[#This Row],[G ajus PM Q1]]=DatosHoy[[#This Row],[G ajus PMd]],-1,DatosHoy[[#This Row],[G ajus PM Q1]]-DatosHoy[[#This Row],[G ajus PMd]])</f>
        <v>-1762473.5342417751</v>
      </c>
      <c r="BI103" s="94">
        <f ca="1">IF(DatosHoy[[#This Row],[G+V ajus PM Q1]]=DatosHoy[[#This Row],[G+V ajus PM Md]],-1,DatosHoy[[#This Row],[G+V ajus PM Q1]]-DatosHoy[[#This Row],[G+V ajus PM Md]])</f>
        <v>-1960652.0850514118</v>
      </c>
      <c r="BJ103" s="94">
        <f ca="1">IF(DatosHoy[[#This Row],[CT ajus PM Q1]]=DatosHoy[[#This Row],[CT ajus PM Md]],-1,DatosHoy[[#This Row],[CT ajus PM Q1]]-DatosHoy[[#This Row],[CT ajus PM Md]])</f>
        <v>-2002409.6573320962</v>
      </c>
      <c r="BK103" s="94">
        <f ca="1">IF(DatosHoy[[#This Row],[G ajus PMd]]=DatosHoy[[#This Row],[G ajus PM Q3]],-1,DatosHoy[[#This Row],[G ajus PMd]]-DatosHoy[[#This Row],[G ajus PM Q3]])</f>
        <v>-593744.14596787281</v>
      </c>
      <c r="BL103" s="94">
        <f ca="1">IF(DatosHoy[[#This Row],[G+V ajus PM Md]]=DatosHoy[[#This Row],[G+V ajus PM Q3]],-1,DatosHoy[[#This Row],[G+V ajus PM Md]]-DatosHoy[[#This Row],[G+V ajus PM Q3]])</f>
        <v>-381484.00030991994</v>
      </c>
      <c r="BM103" s="94">
        <f ca="1">IF(DatosHoy[[#This Row],[CT ajus PM Md]]=DatosHoy[[#This Row],[CT ajus PM Q3]],-1,DatosHoy[[#This Row],[CT ajus PM Md]]-DatosHoy[[#This Row],[CT ajus PM Q3]])</f>
        <v>-237211.24139366299</v>
      </c>
      <c r="BN103" s="74">
        <v>436</v>
      </c>
      <c r="BO103" s="94">
        <f ca="1">IFERROR(VLOOKUP($BN103,'Regresion Q1'!$T$6:$V$10,2,1)*$BN103+VLOOKUP($BN103,'Regresion Q1'!$T$6:$V$10,3,1),VLOOKUP(MIN(DatosHoy[Puntos]),'Regresion Q1'!$T$6:$V$10,2,1)*$BN103+VLOOKUP(MIN(DatosHoy[Puntos]),'Regresion Q1'!$T$6:$V$10,3,1))</f>
        <v>6165585.4809838478</v>
      </c>
      <c r="BP103" s="94">
        <f ca="1">IFERROR(VLOOKUP($BN103,'Regresion Q1'!$W$6:$Y$10,2,1)*$BN103+VLOOKUP($BN103,'Regresion Q1'!$W$6:$Y$10,3,1),VLOOKUP(MIN(DatosHoy[Puntos]),'Regresion Q1'!$W$6:$Y$10,2,1)*$BN103+VLOOKUP(MIN(DatosHoy[Puntos]),'Regresion Q1'!$W$6:$Y$10,3,1))</f>
        <v>6402923.114081759</v>
      </c>
      <c r="BQ103" s="94">
        <f ca="1">IFERROR(VLOOKUP($BN103,'Regresion Q1'!$Z$6:$AB$10,2,1)*$BN103+VLOOKUP($BN103,'Regresion Q1'!$Z$6:$AB$10,3,1),VLOOKUP(MIN(DatosHoy[Puntos]),'Regresion Q1'!$Z$6:$AB$10,2,1)*$BN103+VLOOKUP(MIN(DatosHoy[Puntos]),'Regresion Q1'!$Z$6:$AB$10,3,1))</f>
        <v>6707090.3179231267</v>
      </c>
      <c r="BR103" s="94">
        <f ca="1">IFERROR(VLOOKUP($BN103,'Regresion Md'!$T$6:$V$10,2,1)*$BN103+VLOOKUP($BN103,'Regresion Md'!$T$6:$V$10,3,1),VLOOKUP(MIN(DatosHoy[Puntos]),'Regresion Md'!$T$6:$V$10,2,1)*$BN103+VLOOKUP(MIN(DatosHoy[Puntos]),'Regresion Md'!$T$6:$V$10,3,1))</f>
        <v>7928059.0152256228</v>
      </c>
      <c r="BS103" s="94">
        <f ca="1">IFERROR(VLOOKUP($BN103,'Regresion Md'!$W$6:$Y$10,2,1)*$BN103+VLOOKUP($BN103,'Regresion Md'!$W$6:$Y$10,3,1),VLOOKUP(MIN(DatosHoy[Puntos]),'Regresion Md'!$W$6:$Y$10,2,1)*$BN103+VLOOKUP(MIN(DatosHoy[Puntos]),'Regresion Md'!$W$6:$Y$10,3,1))</f>
        <v>8363575.1991331708</v>
      </c>
      <c r="BT103" s="94">
        <f ca="1">IFERROR(VLOOKUP($BN103,'Regresion Md'!$Z$6:$AB$10,2,1)*$BN103+VLOOKUP($BN103,'Regresion Md'!$Z$6:$AB$10,3,1),VLOOKUP(MIN(DatosHoy[Puntos]),'Regresion Md'!$Z$6:$AB$10,2,1)*$BN103+VLOOKUP(MIN(DatosHoy[Puntos]),'Regresion Md'!$Z$6:$AB$10,3,1))</f>
        <v>8709499.975255223</v>
      </c>
      <c r="BU103" s="94">
        <f ca="1">IFERROR(VLOOKUP($BN103,'Regresion Q3'!$T$6:$V$10,2,1)*$BN103+VLOOKUP($BN103,'Regresion Q3'!$T$6:$V$10,3,1),VLOOKUP(MIN(DatosHoy[Puntos]),'Regresion Q3'!$T$6:$V$10,2,1)*$BN103+VLOOKUP(MIN(DatosHoy[Puntos]),'Regresion Q3'!$T$6:$V$10,3,1))</f>
        <v>8521803.1611934956</v>
      </c>
      <c r="BV103" s="94">
        <f ca="1">IFERROR(VLOOKUP($BN103,'Regresion Q3'!$W$6:$Y$10,2,1)*$BN103+VLOOKUP($BN103,'Regresion Q3'!$W$6:$Y$10,3,1),VLOOKUP(MIN(DatosHoy[Puntos]),'Regresion Q3'!$W$6:$Y$10,2,1)*$BN103+VLOOKUP(MIN(DatosHoy[Puntos]),'Regresion Q3'!$W$6:$Y$10,3,1))</f>
        <v>8745059.1994430907</v>
      </c>
      <c r="BW103" s="94">
        <f ca="1">IFERROR(VLOOKUP($BN103,'Regresion Q3'!$Z$6:$AB$10,2,1)*$BN103+VLOOKUP($BN103,'Regresion Q3'!$Z$6:$AB$10,3,1),VLOOKUP(MIN(DatosHoy[Puntos]),'Regresion Q3'!$Z$6:$AB$10,2,1)*$BN103+VLOOKUP(MIN(DatosHoy[Puntos]),'Regresion Q3'!$Z$6:$AB$10,3,1))</f>
        <v>8946711.216648886</v>
      </c>
      <c r="BX103" s="96">
        <f ca="1">DatosHoy[[#This Row],[CT Actual]]/DatosHoy[[#This Row],[CT ajus PM Md]]</f>
        <v>0.54486596515099461</v>
      </c>
      <c r="BY103" s="125" t="str">
        <f>VLOOKUP(DatosHoy[[#This Row],[Cargo Valorado]],Estadísticos[[Cargo]:[Nivel]],2,FALSE)</f>
        <v>Táctico</v>
      </c>
      <c r="BZ103" s="96">
        <f>(DatosHoy[[#This Row],[G+V Actual]]-DatosHoy[[#This Row],[G Actual]])/DatosHoy[[#This Row],[CT Actual]]</f>
        <v>0</v>
      </c>
      <c r="CA103" s="96">
        <f>(DatosHoy[[#This Row],[CT Actual]]-DatosHoy[[#This Row],[G+V Actual]])/DatosHoy[[#This Row],[CT Actual]]</f>
        <v>0</v>
      </c>
      <c r="CB103" s="139" t="s">
        <v>255</v>
      </c>
    </row>
    <row r="104" spans="2:80" x14ac:dyDescent="0.25">
      <c r="B104" s="73">
        <f t="shared" si="56"/>
        <v>99</v>
      </c>
      <c r="C104" s="74">
        <v>4745510.1100000003</v>
      </c>
      <c r="D104" s="74">
        <v>4745510.1100000003</v>
      </c>
      <c r="E104" s="74">
        <v>4745510.1100000003</v>
      </c>
      <c r="F104" s="94">
        <f>VLOOKUP(DatosHoy[[#This Row],[Cargo Valorado]],Estadísticos[],3,0)</f>
        <v>4776375.2219249532</v>
      </c>
      <c r="G104" s="94">
        <f>VLOOKUP(DatosHoy[[#This Row],[Cargo Valorado]],Estadísticos[],4,0)</f>
        <v>4776375.2219249532</v>
      </c>
      <c r="H104" s="94">
        <f>VLOOKUP(DatosHoy[[#This Row],[Cargo Valorado]],Estadísticos[],5,0)</f>
        <v>5395421.3756679464</v>
      </c>
      <c r="I104" s="94">
        <f>VLOOKUP(DatosHoy[[#This Row],[Cargo Valorado]],Estadísticos[],6,0)</f>
        <v>5049030.7868568338</v>
      </c>
      <c r="J104" s="94">
        <f>VLOOKUP(DatosHoy[[#This Row],[Cargo Valorado]],Estadísticos[],7,0)</f>
        <v>5049030.7868568338</v>
      </c>
      <c r="K104" s="94">
        <f>VLOOKUP(DatosHoy[[#This Row],[Cargo Valorado]],Estadísticos[],8,0)</f>
        <v>5461728.2226854963</v>
      </c>
      <c r="L104" s="94">
        <f>VLOOKUP(DatosHoy[[#This Row],[Cargo Valorado]],Estadísticos[],9,0)</f>
        <v>5321686.3517887145</v>
      </c>
      <c r="M104" s="94">
        <f>VLOOKUP(DatosHoy[[#This Row],[Cargo Valorado]],Estadísticos[],10,0)</f>
        <v>5321686.3517887145</v>
      </c>
      <c r="N104" s="94">
        <f>VLOOKUP(DatosHoy[[#This Row],[Cargo Valorado]],Estadísticos[],11,0)</f>
        <v>5528035.0697030462</v>
      </c>
      <c r="O104" s="75" t="s">
        <v>214</v>
      </c>
      <c r="P104" s="75">
        <v>408</v>
      </c>
      <c r="Q104" s="95" t="str">
        <f t="shared" si="46"/>
        <v>$P$104</v>
      </c>
      <c r="R104" s="95" t="str">
        <f t="shared" si="47"/>
        <v>$F$104</v>
      </c>
      <c r="S104" s="95" t="str">
        <f t="shared" si="48"/>
        <v>$G$104</v>
      </c>
      <c r="T104" s="95" t="str">
        <f t="shared" si="49"/>
        <v>$H$104</v>
      </c>
      <c r="U104" s="95" t="str">
        <f t="shared" si="50"/>
        <v>$I$104</v>
      </c>
      <c r="V104" s="95" t="str">
        <f t="shared" si="51"/>
        <v>$J$104</v>
      </c>
      <c r="W104" s="95" t="str">
        <f t="shared" si="52"/>
        <v>$K$104</v>
      </c>
      <c r="X104" s="95" t="str">
        <f t="shared" si="53"/>
        <v>$L$104</v>
      </c>
      <c r="Y104" s="95" t="str">
        <f t="shared" si="54"/>
        <v>$M$104</v>
      </c>
      <c r="Z104" s="95" t="str">
        <f t="shared" si="55"/>
        <v>$N$104</v>
      </c>
      <c r="AA104" s="94">
        <f ca="1">VLOOKUP($P104,'Regresion Q1'!$E$6:$I$10,4,1)*$P104+VLOOKUP($P104,'Regresion Q1'!$E$6:$I$10,5,1)</f>
        <v>5255126.1961413026</v>
      </c>
      <c r="AB104" s="94">
        <f ca="1">VLOOKUP($P104,'Regresion Q1'!$J$6:$N$10,4,1)*$P104+VLOOKUP($P104,'Regresion Q1'!$J$6:$N$10,5,1)</f>
        <v>5469672.678594619</v>
      </c>
      <c r="AC104" s="94">
        <f ca="1">VLOOKUP($P104,'Regresion Q1'!$O$6:$S$10,4,1)*$P104+VLOOKUP($P104,'Regresion Q1'!$O$6:$S$10,5,1)</f>
        <v>5731313.2125885356</v>
      </c>
      <c r="AD104" s="94">
        <f ca="1">VLOOKUP($P104,'Regresion Md'!$E$6:$I$10,4,1)*$P104+VLOOKUP($P104,'Regresion Md'!$E$6:$I$10,5,1)</f>
        <v>7696145.8269341299</v>
      </c>
      <c r="AE104" s="94">
        <f ca="1">VLOOKUP($P104,'Regresion Md'!$J$6:$N$10,4,1)*$P104+VLOOKUP($P104,'Regresion Md'!$J$6:$N$10,5,1)</f>
        <v>7876545.3566814512</v>
      </c>
      <c r="AF104" s="94">
        <f ca="1">VLOOKUP($P104,'Regresion Md'!$O$6:$S$10,4,1)*$P104+VLOOKUP($P104,'Regresion Md'!$O$6:$S$10,5,1)</f>
        <v>8046718.1969469357</v>
      </c>
      <c r="AG104" s="94">
        <f ca="1">VLOOKUP($P104,'Regresion Q3'!$E$6:$I$10,4,1)*$P104+VLOOKUP($P104,'Regresion Q3'!$E$6:$I$10,5,1)</f>
        <v>8640404.033534348</v>
      </c>
      <c r="AH104" s="94">
        <f ca="1">VLOOKUP($P104,'Regresion Q3'!$J$6:$N$10,4,1)*$P104+VLOOKUP($P104,'Regresion Q3'!$J$6:$N$10,5,1)</f>
        <v>8764542.2827322558</v>
      </c>
      <c r="AI104" s="94">
        <f ca="1">VLOOKUP($P104,'Regresion Q3'!$O$6:$S$10,4,1)*$P104+VLOOKUP($P104,'Regresion Q3'!$O$6:$S$10,5,1)</f>
        <v>8926796.8672821522</v>
      </c>
      <c r="AJ104" s="94">
        <f ca="1">VLOOKUP($P104,'Regresion Q1'!$T$6:$V$10,2,1)*$P104+VLOOKUP($P104,'Regresion Q1'!$T$6:$V$10,3,1)</f>
        <v>5303858.6072074398</v>
      </c>
      <c r="AK104" s="94">
        <f ca="1">VLOOKUP($P104,'Regresion Q1'!$W$6:$Y$10,2,1)*$P104+VLOOKUP($P104,'Regresion Q1'!$W$6:$Y$10,3,1)</f>
        <v>5488432.3436493706</v>
      </c>
      <c r="AL104" s="94">
        <f ca="1">VLOOKUP($P104,'Regresion Q1'!$Z$6:$AB$10,2,1)*$P104+VLOOKUP($P104,'Regresion Q1'!$Z$6:$AB$10,3,1)</f>
        <v>5763203.4315481</v>
      </c>
      <c r="AM104" s="94">
        <f ca="1">VLOOKUP($P104,'Regresion Md'!$T$6:$V$10,2,1)*$P104+VLOOKUP($P104,'Regresion Md'!$T$6:$V$10,3,1)</f>
        <v>7285807.2047427092</v>
      </c>
      <c r="AN104" s="94">
        <f ca="1">VLOOKUP($P104,'Regresion Md'!$W$6:$Y$10,2,1)*$P104+VLOOKUP($P104,'Regresion Md'!$W$6:$Y$10,3,1)</f>
        <v>7667945.2391166259</v>
      </c>
      <c r="AO104" s="94">
        <f ca="1">VLOOKUP($P104,'Regresion Md'!$Z$6:$AB$10,2,1)*$P104+VLOOKUP($P104,'Regresion Md'!$Z$6:$AB$10,3,1)</f>
        <v>7994382.4632710349</v>
      </c>
      <c r="AP104" s="94">
        <f ca="1">VLOOKUP($P104,'Regresion Q3'!$T$6:$V$10,2,1)*$P104+VLOOKUP($P104,'Regresion Q3'!$T$6:$V$10,3,1)</f>
        <v>8004912.5684000896</v>
      </c>
      <c r="AQ104" s="94">
        <f ca="1">VLOOKUP($P104,'Regresion Q3'!$W$6:$Y$10,2,1)*$P104+VLOOKUP($P104,'Regresion Q3'!$W$6:$Y$10,3,1)</f>
        <v>8215995.5459104935</v>
      </c>
      <c r="AR104" s="94">
        <f ca="1">VLOOKUP($P104,'Regresion Q3'!$Z$6:$AB$10,2,1)*$P104+VLOOKUP($P104,'Regresion Q3'!$Z$6:$AB$10,3,1)</f>
        <v>8407690.9352455623</v>
      </c>
      <c r="AS104" s="94">
        <f>IF($BN104=$BN105,-1,DatosHoy[[#This Row],[G ajus PM Q1]]-BO105)</f>
        <v>-1</v>
      </c>
      <c r="AT104" s="94">
        <f>IF($BN104=$BN105,-1,DatosHoy[[#This Row],[G+V ajus PM Q1]]-BP105)</f>
        <v>-1</v>
      </c>
      <c r="AU104" s="94">
        <f>IF($BN104=$BN105,-1,DatosHoy[[#This Row],[CT ajus PM Q1]]-BQ105)</f>
        <v>-1</v>
      </c>
      <c r="AV104" s="94">
        <f ca="1">IF(DatosHoy[[#This Row],[G ajus PM Q1]]=DatosHoy[[#This Row],[G+V ajus PM Q1]],-1,DatosHoy[[#This Row],[G ajus PM Q1]]-DatosHoy[[#This Row],[G+V ajus PM Q1]])</f>
        <v>-237337.63309791125</v>
      </c>
      <c r="AW104" s="94">
        <f ca="1">IF(DatosHoy[[#This Row],[G+V ajus PM Q1]]=DatosHoy[[#This Row],[CT ajus PM Q1]],-1,DatosHoy[[#This Row],[G+V ajus PM Q1]]-DatosHoy[[#This Row],[CT ajus PM Q1]])</f>
        <v>-304167.20384136774</v>
      </c>
      <c r="AX104" s="94">
        <f>IF($BN104=$BN105,-1,DatosHoy[[#This Row],[G ajus PMd]]-BR105)</f>
        <v>-1</v>
      </c>
      <c r="AY104" s="94">
        <f>IF($BN104=$BN105,-1,DatosHoy[[#This Row],[G+V ajus PM Md]]-BS105)</f>
        <v>-1</v>
      </c>
      <c r="AZ104" s="94">
        <f>IF($BN104=$BN105,-1,DatosHoy[[#This Row],[CT ajus PM Md]]-BT105)</f>
        <v>-1</v>
      </c>
      <c r="BA104" s="94">
        <f ca="1">IF(DatosHoy[[#This Row],[G ajus PMd]]=DatosHoy[[#This Row],[G+V ajus PM Md]],-1,DatosHoy[[#This Row],[G ajus PMd]]-DatosHoy[[#This Row],[G+V ajus PM Md]])</f>
        <v>-435516.18390754797</v>
      </c>
      <c r="BB104" s="94">
        <f ca="1">IF(DatosHoy[[#This Row],[G+V ajus PM Md]]=DatosHoy[[#This Row],[CT ajus PM Md]],-1,DatosHoy[[#This Row],[G+V ajus PM Md]]-DatosHoy[[#This Row],[CT ajus PM Md]])</f>
        <v>-345924.77612205222</v>
      </c>
      <c r="BC104" s="94">
        <f>IF($BN104=$BN105,-1,DatosHoy[[#This Row],[G ajus PM Q3]]-BU105)</f>
        <v>-1</v>
      </c>
      <c r="BD104" s="94">
        <f>IF($BN104=$BN105,-1,DatosHoy[[#This Row],[G+V ajus PM Q3]]-BV105)</f>
        <v>-1</v>
      </c>
      <c r="BE104" s="94">
        <f>IF($BN104=$BN105,-1,DatosHoy[[#This Row],[CT ajus PM Q3]]-BW105)</f>
        <v>-1</v>
      </c>
      <c r="BF104" s="94">
        <f ca="1">IF(DatosHoy[[#This Row],[G ajus PM Q3]]=DatosHoy[[#This Row],[G+V ajus PM Q3]],-1,DatosHoy[[#This Row],[G ajus PM Q3]]-DatosHoy[[#This Row],[G+V ajus PM Q3]])</f>
        <v>-223256.03824959509</v>
      </c>
      <c r="BG104" s="94">
        <f ca="1">IF(DatosHoy[[#This Row],[G+V ajus PM Q3]]=DatosHoy[[#This Row],[CT ajus PM Q3]],-1,DatosHoy[[#This Row],[G+V ajus PM Q3]]-DatosHoy[[#This Row],[CT ajus PM Q3]])</f>
        <v>-201652.01720579527</v>
      </c>
      <c r="BH104" s="94">
        <f ca="1">IF(DatosHoy[[#This Row],[G ajus PM Q1]]=DatosHoy[[#This Row],[G ajus PMd]],-1,DatosHoy[[#This Row],[G ajus PM Q1]]-DatosHoy[[#This Row],[G ajus PMd]])</f>
        <v>-1762473.5342417751</v>
      </c>
      <c r="BI104" s="94">
        <f ca="1">IF(DatosHoy[[#This Row],[G+V ajus PM Q1]]=DatosHoy[[#This Row],[G+V ajus PM Md]],-1,DatosHoy[[#This Row],[G+V ajus PM Q1]]-DatosHoy[[#This Row],[G+V ajus PM Md]])</f>
        <v>-1960652.0850514118</v>
      </c>
      <c r="BJ104" s="94">
        <f ca="1">IF(DatosHoy[[#This Row],[CT ajus PM Q1]]=DatosHoy[[#This Row],[CT ajus PM Md]],-1,DatosHoy[[#This Row],[CT ajus PM Q1]]-DatosHoy[[#This Row],[CT ajus PM Md]])</f>
        <v>-2002409.6573320962</v>
      </c>
      <c r="BK104" s="94">
        <f ca="1">IF(DatosHoy[[#This Row],[G ajus PMd]]=DatosHoy[[#This Row],[G ajus PM Q3]],-1,DatosHoy[[#This Row],[G ajus PMd]]-DatosHoy[[#This Row],[G ajus PM Q3]])</f>
        <v>-593744.14596787281</v>
      </c>
      <c r="BL104" s="94">
        <f ca="1">IF(DatosHoy[[#This Row],[G+V ajus PM Md]]=DatosHoy[[#This Row],[G+V ajus PM Q3]],-1,DatosHoy[[#This Row],[G+V ajus PM Md]]-DatosHoy[[#This Row],[G+V ajus PM Q3]])</f>
        <v>-381484.00030991994</v>
      </c>
      <c r="BM104" s="94">
        <f ca="1">IF(DatosHoy[[#This Row],[CT ajus PM Md]]=DatosHoy[[#This Row],[CT ajus PM Q3]],-1,DatosHoy[[#This Row],[CT ajus PM Md]]-DatosHoy[[#This Row],[CT ajus PM Q3]])</f>
        <v>-237211.24139366299</v>
      </c>
      <c r="BN104" s="74">
        <v>436</v>
      </c>
      <c r="BO104" s="94">
        <f ca="1">IFERROR(VLOOKUP($BN104,'Regresion Q1'!$T$6:$V$10,2,1)*$BN104+VLOOKUP($BN104,'Regresion Q1'!$T$6:$V$10,3,1),VLOOKUP(MIN(DatosHoy[Puntos]),'Regresion Q1'!$T$6:$V$10,2,1)*$BN104+VLOOKUP(MIN(DatosHoy[Puntos]),'Regresion Q1'!$T$6:$V$10,3,1))</f>
        <v>6165585.4809838478</v>
      </c>
      <c r="BP104" s="94">
        <f ca="1">IFERROR(VLOOKUP($BN104,'Regresion Q1'!$W$6:$Y$10,2,1)*$BN104+VLOOKUP($BN104,'Regresion Q1'!$W$6:$Y$10,3,1),VLOOKUP(MIN(DatosHoy[Puntos]),'Regresion Q1'!$W$6:$Y$10,2,1)*$BN104+VLOOKUP(MIN(DatosHoy[Puntos]),'Regresion Q1'!$W$6:$Y$10,3,1))</f>
        <v>6402923.114081759</v>
      </c>
      <c r="BQ104" s="94">
        <f ca="1">IFERROR(VLOOKUP($BN104,'Regresion Q1'!$Z$6:$AB$10,2,1)*$BN104+VLOOKUP($BN104,'Regresion Q1'!$Z$6:$AB$10,3,1),VLOOKUP(MIN(DatosHoy[Puntos]),'Regresion Q1'!$Z$6:$AB$10,2,1)*$BN104+VLOOKUP(MIN(DatosHoy[Puntos]),'Regresion Q1'!$Z$6:$AB$10,3,1))</f>
        <v>6707090.3179231267</v>
      </c>
      <c r="BR104" s="94">
        <f ca="1">IFERROR(VLOOKUP($BN104,'Regresion Md'!$T$6:$V$10,2,1)*$BN104+VLOOKUP($BN104,'Regresion Md'!$T$6:$V$10,3,1),VLOOKUP(MIN(DatosHoy[Puntos]),'Regresion Md'!$T$6:$V$10,2,1)*$BN104+VLOOKUP(MIN(DatosHoy[Puntos]),'Regresion Md'!$T$6:$V$10,3,1))</f>
        <v>7928059.0152256228</v>
      </c>
      <c r="BS104" s="94">
        <f ca="1">IFERROR(VLOOKUP($BN104,'Regresion Md'!$W$6:$Y$10,2,1)*$BN104+VLOOKUP($BN104,'Regresion Md'!$W$6:$Y$10,3,1),VLOOKUP(MIN(DatosHoy[Puntos]),'Regresion Md'!$W$6:$Y$10,2,1)*$BN104+VLOOKUP(MIN(DatosHoy[Puntos]),'Regresion Md'!$W$6:$Y$10,3,1))</f>
        <v>8363575.1991331708</v>
      </c>
      <c r="BT104" s="94">
        <f ca="1">IFERROR(VLOOKUP($BN104,'Regresion Md'!$Z$6:$AB$10,2,1)*$BN104+VLOOKUP($BN104,'Regresion Md'!$Z$6:$AB$10,3,1),VLOOKUP(MIN(DatosHoy[Puntos]),'Regresion Md'!$Z$6:$AB$10,2,1)*$BN104+VLOOKUP(MIN(DatosHoy[Puntos]),'Regresion Md'!$Z$6:$AB$10,3,1))</f>
        <v>8709499.975255223</v>
      </c>
      <c r="BU104" s="94">
        <f ca="1">IFERROR(VLOOKUP($BN104,'Regresion Q3'!$T$6:$V$10,2,1)*$BN104+VLOOKUP($BN104,'Regresion Q3'!$T$6:$V$10,3,1),VLOOKUP(MIN(DatosHoy[Puntos]),'Regresion Q3'!$T$6:$V$10,2,1)*$BN104+VLOOKUP(MIN(DatosHoy[Puntos]),'Regresion Q3'!$T$6:$V$10,3,1))</f>
        <v>8521803.1611934956</v>
      </c>
      <c r="BV104" s="94">
        <f ca="1">IFERROR(VLOOKUP($BN104,'Regresion Q3'!$W$6:$Y$10,2,1)*$BN104+VLOOKUP($BN104,'Regresion Q3'!$W$6:$Y$10,3,1),VLOOKUP(MIN(DatosHoy[Puntos]),'Regresion Q3'!$W$6:$Y$10,2,1)*$BN104+VLOOKUP(MIN(DatosHoy[Puntos]),'Regresion Q3'!$W$6:$Y$10,3,1))</f>
        <v>8745059.1994430907</v>
      </c>
      <c r="BW104" s="94">
        <f ca="1">IFERROR(VLOOKUP($BN104,'Regresion Q3'!$Z$6:$AB$10,2,1)*$BN104+VLOOKUP($BN104,'Regresion Q3'!$Z$6:$AB$10,3,1),VLOOKUP(MIN(DatosHoy[Puntos]),'Regresion Q3'!$Z$6:$AB$10,2,1)*$BN104+VLOOKUP(MIN(DatosHoy[Puntos]),'Regresion Q3'!$Z$6:$AB$10,3,1))</f>
        <v>8946711.216648886</v>
      </c>
      <c r="BX104" s="96">
        <f ca="1">DatosHoy[[#This Row],[CT Actual]]/DatosHoy[[#This Row],[CT ajus PM Md]]</f>
        <v>0.54486596515099461</v>
      </c>
      <c r="BY104" s="125" t="str">
        <f>VLOOKUP(DatosHoy[[#This Row],[Cargo Valorado]],Estadísticos[[Cargo]:[Nivel]],2,FALSE)</f>
        <v>Táctico</v>
      </c>
      <c r="BZ104" s="96">
        <f>(DatosHoy[[#This Row],[G+V Actual]]-DatosHoy[[#This Row],[G Actual]])/DatosHoy[[#This Row],[CT Actual]]</f>
        <v>0</v>
      </c>
      <c r="CA104" s="96">
        <f>(DatosHoy[[#This Row],[CT Actual]]-DatosHoy[[#This Row],[G+V Actual]])/DatosHoy[[#This Row],[CT Actual]]</f>
        <v>0</v>
      </c>
      <c r="CB104" s="139" t="s">
        <v>255</v>
      </c>
    </row>
    <row r="105" spans="2:80" x14ac:dyDescent="0.25">
      <c r="B105" s="73">
        <f t="shared" si="56"/>
        <v>100</v>
      </c>
      <c r="C105" s="74">
        <v>4745510.1100000003</v>
      </c>
      <c r="D105" s="74">
        <v>4745510.1100000003</v>
      </c>
      <c r="E105" s="74">
        <v>4745510.1100000003</v>
      </c>
      <c r="F105" s="94">
        <f>VLOOKUP(DatosHoy[[#This Row],[Cargo Valorado]],Estadísticos[],3,0)</f>
        <v>4776375.2219249532</v>
      </c>
      <c r="G105" s="94">
        <f>VLOOKUP(DatosHoy[[#This Row],[Cargo Valorado]],Estadísticos[],4,0)</f>
        <v>4776375.2219249532</v>
      </c>
      <c r="H105" s="94">
        <f>VLOOKUP(DatosHoy[[#This Row],[Cargo Valorado]],Estadísticos[],5,0)</f>
        <v>5395421.3756679464</v>
      </c>
      <c r="I105" s="94">
        <f>VLOOKUP(DatosHoy[[#This Row],[Cargo Valorado]],Estadísticos[],6,0)</f>
        <v>5049030.7868568338</v>
      </c>
      <c r="J105" s="94">
        <f>VLOOKUP(DatosHoy[[#This Row],[Cargo Valorado]],Estadísticos[],7,0)</f>
        <v>5049030.7868568338</v>
      </c>
      <c r="K105" s="94">
        <f>VLOOKUP(DatosHoy[[#This Row],[Cargo Valorado]],Estadísticos[],8,0)</f>
        <v>5461728.2226854963</v>
      </c>
      <c r="L105" s="94">
        <f>VLOOKUP(DatosHoy[[#This Row],[Cargo Valorado]],Estadísticos[],9,0)</f>
        <v>5321686.3517887145</v>
      </c>
      <c r="M105" s="94">
        <f>VLOOKUP(DatosHoy[[#This Row],[Cargo Valorado]],Estadísticos[],10,0)</f>
        <v>5321686.3517887145</v>
      </c>
      <c r="N105" s="94">
        <f>VLOOKUP(DatosHoy[[#This Row],[Cargo Valorado]],Estadísticos[],11,0)</f>
        <v>5528035.0697030462</v>
      </c>
      <c r="O105" s="75" t="s">
        <v>214</v>
      </c>
      <c r="P105" s="75">
        <v>408</v>
      </c>
      <c r="Q105" s="95" t="str">
        <f t="shared" si="46"/>
        <v>$P$105</v>
      </c>
      <c r="R105" s="95" t="str">
        <f t="shared" si="47"/>
        <v>$F$105</v>
      </c>
      <c r="S105" s="95" t="str">
        <f t="shared" si="48"/>
        <v>$G$105</v>
      </c>
      <c r="T105" s="95" t="str">
        <f t="shared" si="49"/>
        <v>$H$105</v>
      </c>
      <c r="U105" s="95" t="str">
        <f t="shared" si="50"/>
        <v>$I$105</v>
      </c>
      <c r="V105" s="95" t="str">
        <f t="shared" si="51"/>
        <v>$J$105</v>
      </c>
      <c r="W105" s="95" t="str">
        <f t="shared" si="52"/>
        <v>$K$105</v>
      </c>
      <c r="X105" s="95" t="str">
        <f t="shared" si="53"/>
        <v>$L$105</v>
      </c>
      <c r="Y105" s="95" t="str">
        <f t="shared" si="54"/>
        <v>$M$105</v>
      </c>
      <c r="Z105" s="95" t="str">
        <f t="shared" si="55"/>
        <v>$N$105</v>
      </c>
      <c r="AA105" s="94">
        <f ca="1">VLOOKUP($P105,'Regresion Q1'!$E$6:$I$10,4,1)*$P105+VLOOKUP($P105,'Regresion Q1'!$E$6:$I$10,5,1)</f>
        <v>5255126.1961413026</v>
      </c>
      <c r="AB105" s="94">
        <f ca="1">VLOOKUP($P105,'Regresion Q1'!$J$6:$N$10,4,1)*$P105+VLOOKUP($P105,'Regresion Q1'!$J$6:$N$10,5,1)</f>
        <v>5469672.678594619</v>
      </c>
      <c r="AC105" s="94">
        <f ca="1">VLOOKUP($P105,'Regresion Q1'!$O$6:$S$10,4,1)*$P105+VLOOKUP($P105,'Regresion Q1'!$O$6:$S$10,5,1)</f>
        <v>5731313.2125885356</v>
      </c>
      <c r="AD105" s="94">
        <f ca="1">VLOOKUP($P105,'Regresion Md'!$E$6:$I$10,4,1)*$P105+VLOOKUP($P105,'Regresion Md'!$E$6:$I$10,5,1)</f>
        <v>7696145.8269341299</v>
      </c>
      <c r="AE105" s="94">
        <f ca="1">VLOOKUP($P105,'Regresion Md'!$J$6:$N$10,4,1)*$P105+VLOOKUP($P105,'Regresion Md'!$J$6:$N$10,5,1)</f>
        <v>7876545.3566814512</v>
      </c>
      <c r="AF105" s="94">
        <f ca="1">VLOOKUP($P105,'Regresion Md'!$O$6:$S$10,4,1)*$P105+VLOOKUP($P105,'Regresion Md'!$O$6:$S$10,5,1)</f>
        <v>8046718.1969469357</v>
      </c>
      <c r="AG105" s="94">
        <f ca="1">VLOOKUP($P105,'Regresion Q3'!$E$6:$I$10,4,1)*$P105+VLOOKUP($P105,'Regresion Q3'!$E$6:$I$10,5,1)</f>
        <v>8640404.033534348</v>
      </c>
      <c r="AH105" s="94">
        <f ca="1">VLOOKUP($P105,'Regresion Q3'!$J$6:$N$10,4,1)*$P105+VLOOKUP($P105,'Regresion Q3'!$J$6:$N$10,5,1)</f>
        <v>8764542.2827322558</v>
      </c>
      <c r="AI105" s="94">
        <f ca="1">VLOOKUP($P105,'Regresion Q3'!$O$6:$S$10,4,1)*$P105+VLOOKUP($P105,'Regresion Q3'!$O$6:$S$10,5,1)</f>
        <v>8926796.8672821522</v>
      </c>
      <c r="AJ105" s="94">
        <f ca="1">VLOOKUP($P105,'Regresion Q1'!$T$6:$V$10,2,1)*$P105+VLOOKUP($P105,'Regresion Q1'!$T$6:$V$10,3,1)</f>
        <v>5303858.6072074398</v>
      </c>
      <c r="AK105" s="94">
        <f ca="1">VLOOKUP($P105,'Regresion Q1'!$W$6:$Y$10,2,1)*$P105+VLOOKUP($P105,'Regresion Q1'!$W$6:$Y$10,3,1)</f>
        <v>5488432.3436493706</v>
      </c>
      <c r="AL105" s="94">
        <f ca="1">VLOOKUP($P105,'Regresion Q1'!$Z$6:$AB$10,2,1)*$P105+VLOOKUP($P105,'Regresion Q1'!$Z$6:$AB$10,3,1)</f>
        <v>5763203.4315481</v>
      </c>
      <c r="AM105" s="94">
        <f ca="1">VLOOKUP($P105,'Regresion Md'!$T$6:$V$10,2,1)*$P105+VLOOKUP($P105,'Regresion Md'!$T$6:$V$10,3,1)</f>
        <v>7285807.2047427092</v>
      </c>
      <c r="AN105" s="94">
        <f ca="1">VLOOKUP($P105,'Regresion Md'!$W$6:$Y$10,2,1)*$P105+VLOOKUP($P105,'Regresion Md'!$W$6:$Y$10,3,1)</f>
        <v>7667945.2391166259</v>
      </c>
      <c r="AO105" s="94">
        <f ca="1">VLOOKUP($P105,'Regresion Md'!$Z$6:$AB$10,2,1)*$P105+VLOOKUP($P105,'Regresion Md'!$Z$6:$AB$10,3,1)</f>
        <v>7994382.4632710349</v>
      </c>
      <c r="AP105" s="94">
        <f ca="1">VLOOKUP($P105,'Regresion Q3'!$T$6:$V$10,2,1)*$P105+VLOOKUP($P105,'Regresion Q3'!$T$6:$V$10,3,1)</f>
        <v>8004912.5684000896</v>
      </c>
      <c r="AQ105" s="94">
        <f ca="1">VLOOKUP($P105,'Regresion Q3'!$W$6:$Y$10,2,1)*$P105+VLOOKUP($P105,'Regresion Q3'!$W$6:$Y$10,3,1)</f>
        <v>8215995.5459104935</v>
      </c>
      <c r="AR105" s="94">
        <f ca="1">VLOOKUP($P105,'Regresion Q3'!$Z$6:$AB$10,2,1)*$P105+VLOOKUP($P105,'Regresion Q3'!$Z$6:$AB$10,3,1)</f>
        <v>8407690.9352455623</v>
      </c>
      <c r="AS105" s="94">
        <f>IF($BN105=$BN106,-1,DatosHoy[[#This Row],[G ajus PM Q1]]-BO106)</f>
        <v>-1</v>
      </c>
      <c r="AT105" s="94">
        <f>IF($BN105=$BN106,-1,DatosHoy[[#This Row],[G+V ajus PM Q1]]-BP106)</f>
        <v>-1</v>
      </c>
      <c r="AU105" s="94">
        <f>IF($BN105=$BN106,-1,DatosHoy[[#This Row],[CT ajus PM Q1]]-BQ106)</f>
        <v>-1</v>
      </c>
      <c r="AV105" s="94">
        <f ca="1">IF(DatosHoy[[#This Row],[G ajus PM Q1]]=DatosHoy[[#This Row],[G+V ajus PM Q1]],-1,DatosHoy[[#This Row],[G ajus PM Q1]]-DatosHoy[[#This Row],[G+V ajus PM Q1]])</f>
        <v>-237337.63309791125</v>
      </c>
      <c r="AW105" s="94">
        <f ca="1">IF(DatosHoy[[#This Row],[G+V ajus PM Q1]]=DatosHoy[[#This Row],[CT ajus PM Q1]],-1,DatosHoy[[#This Row],[G+V ajus PM Q1]]-DatosHoy[[#This Row],[CT ajus PM Q1]])</f>
        <v>-304167.20384136774</v>
      </c>
      <c r="AX105" s="94">
        <f>IF($BN105=$BN106,-1,DatosHoy[[#This Row],[G ajus PMd]]-BR106)</f>
        <v>-1</v>
      </c>
      <c r="AY105" s="94">
        <f>IF($BN105=$BN106,-1,DatosHoy[[#This Row],[G+V ajus PM Md]]-BS106)</f>
        <v>-1</v>
      </c>
      <c r="AZ105" s="94">
        <f>IF($BN105=$BN106,-1,DatosHoy[[#This Row],[CT ajus PM Md]]-BT106)</f>
        <v>-1</v>
      </c>
      <c r="BA105" s="94">
        <f ca="1">IF(DatosHoy[[#This Row],[G ajus PMd]]=DatosHoy[[#This Row],[G+V ajus PM Md]],-1,DatosHoy[[#This Row],[G ajus PMd]]-DatosHoy[[#This Row],[G+V ajus PM Md]])</f>
        <v>-435516.18390754797</v>
      </c>
      <c r="BB105" s="94">
        <f ca="1">IF(DatosHoy[[#This Row],[G+V ajus PM Md]]=DatosHoy[[#This Row],[CT ajus PM Md]],-1,DatosHoy[[#This Row],[G+V ajus PM Md]]-DatosHoy[[#This Row],[CT ajus PM Md]])</f>
        <v>-345924.77612205222</v>
      </c>
      <c r="BC105" s="94">
        <f>IF($BN105=$BN106,-1,DatosHoy[[#This Row],[G ajus PM Q3]]-BU106)</f>
        <v>-1</v>
      </c>
      <c r="BD105" s="94">
        <f>IF($BN105=$BN106,-1,DatosHoy[[#This Row],[G+V ajus PM Q3]]-BV106)</f>
        <v>-1</v>
      </c>
      <c r="BE105" s="94">
        <f>IF($BN105=$BN106,-1,DatosHoy[[#This Row],[CT ajus PM Q3]]-BW106)</f>
        <v>-1</v>
      </c>
      <c r="BF105" s="94">
        <f ca="1">IF(DatosHoy[[#This Row],[G ajus PM Q3]]=DatosHoy[[#This Row],[G+V ajus PM Q3]],-1,DatosHoy[[#This Row],[G ajus PM Q3]]-DatosHoy[[#This Row],[G+V ajus PM Q3]])</f>
        <v>-223256.03824959509</v>
      </c>
      <c r="BG105" s="94">
        <f ca="1">IF(DatosHoy[[#This Row],[G+V ajus PM Q3]]=DatosHoy[[#This Row],[CT ajus PM Q3]],-1,DatosHoy[[#This Row],[G+V ajus PM Q3]]-DatosHoy[[#This Row],[CT ajus PM Q3]])</f>
        <v>-201652.01720579527</v>
      </c>
      <c r="BH105" s="94">
        <f ca="1">IF(DatosHoy[[#This Row],[G ajus PM Q1]]=DatosHoy[[#This Row],[G ajus PMd]],-1,DatosHoy[[#This Row],[G ajus PM Q1]]-DatosHoy[[#This Row],[G ajus PMd]])</f>
        <v>-1762473.5342417751</v>
      </c>
      <c r="BI105" s="94">
        <f ca="1">IF(DatosHoy[[#This Row],[G+V ajus PM Q1]]=DatosHoy[[#This Row],[G+V ajus PM Md]],-1,DatosHoy[[#This Row],[G+V ajus PM Q1]]-DatosHoy[[#This Row],[G+V ajus PM Md]])</f>
        <v>-1960652.0850514118</v>
      </c>
      <c r="BJ105" s="94">
        <f ca="1">IF(DatosHoy[[#This Row],[CT ajus PM Q1]]=DatosHoy[[#This Row],[CT ajus PM Md]],-1,DatosHoy[[#This Row],[CT ajus PM Q1]]-DatosHoy[[#This Row],[CT ajus PM Md]])</f>
        <v>-2002409.6573320962</v>
      </c>
      <c r="BK105" s="94">
        <f ca="1">IF(DatosHoy[[#This Row],[G ajus PMd]]=DatosHoy[[#This Row],[G ajus PM Q3]],-1,DatosHoy[[#This Row],[G ajus PMd]]-DatosHoy[[#This Row],[G ajus PM Q3]])</f>
        <v>-593744.14596787281</v>
      </c>
      <c r="BL105" s="94">
        <f ca="1">IF(DatosHoy[[#This Row],[G+V ajus PM Md]]=DatosHoy[[#This Row],[G+V ajus PM Q3]],-1,DatosHoy[[#This Row],[G+V ajus PM Md]]-DatosHoy[[#This Row],[G+V ajus PM Q3]])</f>
        <v>-381484.00030991994</v>
      </c>
      <c r="BM105" s="94">
        <f ca="1">IF(DatosHoy[[#This Row],[CT ajus PM Md]]=DatosHoy[[#This Row],[CT ajus PM Q3]],-1,DatosHoy[[#This Row],[CT ajus PM Md]]-DatosHoy[[#This Row],[CT ajus PM Q3]])</f>
        <v>-237211.24139366299</v>
      </c>
      <c r="BN105" s="74">
        <v>436</v>
      </c>
      <c r="BO105" s="94">
        <f ca="1">IFERROR(VLOOKUP($BN105,'Regresion Q1'!$T$6:$V$10,2,1)*$BN105+VLOOKUP($BN105,'Regresion Q1'!$T$6:$V$10,3,1),VLOOKUP(MIN(DatosHoy[Puntos]),'Regresion Q1'!$T$6:$V$10,2,1)*$BN105+VLOOKUP(MIN(DatosHoy[Puntos]),'Regresion Q1'!$T$6:$V$10,3,1))</f>
        <v>6165585.4809838478</v>
      </c>
      <c r="BP105" s="94">
        <f ca="1">IFERROR(VLOOKUP($BN105,'Regresion Q1'!$W$6:$Y$10,2,1)*$BN105+VLOOKUP($BN105,'Regresion Q1'!$W$6:$Y$10,3,1),VLOOKUP(MIN(DatosHoy[Puntos]),'Regresion Q1'!$W$6:$Y$10,2,1)*$BN105+VLOOKUP(MIN(DatosHoy[Puntos]),'Regresion Q1'!$W$6:$Y$10,3,1))</f>
        <v>6402923.114081759</v>
      </c>
      <c r="BQ105" s="94">
        <f ca="1">IFERROR(VLOOKUP($BN105,'Regresion Q1'!$Z$6:$AB$10,2,1)*$BN105+VLOOKUP($BN105,'Regresion Q1'!$Z$6:$AB$10,3,1),VLOOKUP(MIN(DatosHoy[Puntos]),'Regresion Q1'!$Z$6:$AB$10,2,1)*$BN105+VLOOKUP(MIN(DatosHoy[Puntos]),'Regresion Q1'!$Z$6:$AB$10,3,1))</f>
        <v>6707090.3179231267</v>
      </c>
      <c r="BR105" s="94">
        <f ca="1">IFERROR(VLOOKUP($BN105,'Regresion Md'!$T$6:$V$10,2,1)*$BN105+VLOOKUP($BN105,'Regresion Md'!$T$6:$V$10,3,1),VLOOKUP(MIN(DatosHoy[Puntos]),'Regresion Md'!$T$6:$V$10,2,1)*$BN105+VLOOKUP(MIN(DatosHoy[Puntos]),'Regresion Md'!$T$6:$V$10,3,1))</f>
        <v>7928059.0152256228</v>
      </c>
      <c r="BS105" s="94">
        <f ca="1">IFERROR(VLOOKUP($BN105,'Regresion Md'!$W$6:$Y$10,2,1)*$BN105+VLOOKUP($BN105,'Regresion Md'!$W$6:$Y$10,3,1),VLOOKUP(MIN(DatosHoy[Puntos]),'Regresion Md'!$W$6:$Y$10,2,1)*$BN105+VLOOKUP(MIN(DatosHoy[Puntos]),'Regresion Md'!$W$6:$Y$10,3,1))</f>
        <v>8363575.1991331708</v>
      </c>
      <c r="BT105" s="94">
        <f ca="1">IFERROR(VLOOKUP($BN105,'Regresion Md'!$Z$6:$AB$10,2,1)*$BN105+VLOOKUP($BN105,'Regresion Md'!$Z$6:$AB$10,3,1),VLOOKUP(MIN(DatosHoy[Puntos]),'Regresion Md'!$Z$6:$AB$10,2,1)*$BN105+VLOOKUP(MIN(DatosHoy[Puntos]),'Regresion Md'!$Z$6:$AB$10,3,1))</f>
        <v>8709499.975255223</v>
      </c>
      <c r="BU105" s="94">
        <f ca="1">IFERROR(VLOOKUP($BN105,'Regresion Q3'!$T$6:$V$10,2,1)*$BN105+VLOOKUP($BN105,'Regresion Q3'!$T$6:$V$10,3,1),VLOOKUP(MIN(DatosHoy[Puntos]),'Regresion Q3'!$T$6:$V$10,2,1)*$BN105+VLOOKUP(MIN(DatosHoy[Puntos]),'Regresion Q3'!$T$6:$V$10,3,1))</f>
        <v>8521803.1611934956</v>
      </c>
      <c r="BV105" s="94">
        <f ca="1">IFERROR(VLOOKUP($BN105,'Regresion Q3'!$W$6:$Y$10,2,1)*$BN105+VLOOKUP($BN105,'Regresion Q3'!$W$6:$Y$10,3,1),VLOOKUP(MIN(DatosHoy[Puntos]),'Regresion Q3'!$W$6:$Y$10,2,1)*$BN105+VLOOKUP(MIN(DatosHoy[Puntos]),'Regresion Q3'!$W$6:$Y$10,3,1))</f>
        <v>8745059.1994430907</v>
      </c>
      <c r="BW105" s="94">
        <f ca="1">IFERROR(VLOOKUP($BN105,'Regresion Q3'!$Z$6:$AB$10,2,1)*$BN105+VLOOKUP($BN105,'Regresion Q3'!$Z$6:$AB$10,3,1),VLOOKUP(MIN(DatosHoy[Puntos]),'Regresion Q3'!$Z$6:$AB$10,2,1)*$BN105+VLOOKUP(MIN(DatosHoy[Puntos]),'Regresion Q3'!$Z$6:$AB$10,3,1))</f>
        <v>8946711.216648886</v>
      </c>
      <c r="BX105" s="96">
        <f ca="1">DatosHoy[[#This Row],[CT Actual]]/DatosHoy[[#This Row],[CT ajus PM Md]]</f>
        <v>0.54486596515099461</v>
      </c>
      <c r="BY105" s="125" t="str">
        <f>VLOOKUP(DatosHoy[[#This Row],[Cargo Valorado]],Estadísticos[[Cargo]:[Nivel]],2,FALSE)</f>
        <v>Táctico</v>
      </c>
      <c r="BZ105" s="96">
        <f>(DatosHoy[[#This Row],[G+V Actual]]-DatosHoy[[#This Row],[G Actual]])/DatosHoy[[#This Row],[CT Actual]]</f>
        <v>0</v>
      </c>
      <c r="CA105" s="96">
        <f>(DatosHoy[[#This Row],[CT Actual]]-DatosHoy[[#This Row],[G+V Actual]])/DatosHoy[[#This Row],[CT Actual]]</f>
        <v>0</v>
      </c>
      <c r="CB105" s="139" t="s">
        <v>255</v>
      </c>
    </row>
    <row r="106" spans="2:80" x14ac:dyDescent="0.25">
      <c r="B106" s="73">
        <f t="shared" si="56"/>
        <v>101</v>
      </c>
      <c r="C106" s="74">
        <v>4745510.1100000003</v>
      </c>
      <c r="D106" s="74">
        <v>4745510.1100000003</v>
      </c>
      <c r="E106" s="74">
        <v>4745510.1100000003</v>
      </c>
      <c r="F106" s="94">
        <f>VLOOKUP(DatosHoy[[#This Row],[Cargo Valorado]],Estadísticos[],3,0)</f>
        <v>4776375.2219249532</v>
      </c>
      <c r="G106" s="94">
        <f>VLOOKUP(DatosHoy[[#This Row],[Cargo Valorado]],Estadísticos[],4,0)</f>
        <v>4776375.2219249532</v>
      </c>
      <c r="H106" s="94">
        <f>VLOOKUP(DatosHoy[[#This Row],[Cargo Valorado]],Estadísticos[],5,0)</f>
        <v>5395421.3756679464</v>
      </c>
      <c r="I106" s="94">
        <f>VLOOKUP(DatosHoy[[#This Row],[Cargo Valorado]],Estadísticos[],6,0)</f>
        <v>5049030.7868568338</v>
      </c>
      <c r="J106" s="94">
        <f>VLOOKUP(DatosHoy[[#This Row],[Cargo Valorado]],Estadísticos[],7,0)</f>
        <v>5049030.7868568338</v>
      </c>
      <c r="K106" s="94">
        <f>VLOOKUP(DatosHoy[[#This Row],[Cargo Valorado]],Estadísticos[],8,0)</f>
        <v>5461728.2226854963</v>
      </c>
      <c r="L106" s="94">
        <f>VLOOKUP(DatosHoy[[#This Row],[Cargo Valorado]],Estadísticos[],9,0)</f>
        <v>5321686.3517887145</v>
      </c>
      <c r="M106" s="94">
        <f>VLOOKUP(DatosHoy[[#This Row],[Cargo Valorado]],Estadísticos[],10,0)</f>
        <v>5321686.3517887145</v>
      </c>
      <c r="N106" s="94">
        <f>VLOOKUP(DatosHoy[[#This Row],[Cargo Valorado]],Estadísticos[],11,0)</f>
        <v>5528035.0697030462</v>
      </c>
      <c r="O106" s="75" t="s">
        <v>214</v>
      </c>
      <c r="P106" s="75">
        <v>408</v>
      </c>
      <c r="Q106" s="95" t="str">
        <f t="shared" si="46"/>
        <v>$P$106</v>
      </c>
      <c r="R106" s="95" t="str">
        <f t="shared" si="47"/>
        <v>$F$106</v>
      </c>
      <c r="S106" s="95" t="str">
        <f t="shared" si="48"/>
        <v>$G$106</v>
      </c>
      <c r="T106" s="95" t="str">
        <f t="shared" si="49"/>
        <v>$H$106</v>
      </c>
      <c r="U106" s="95" t="str">
        <f t="shared" si="50"/>
        <v>$I$106</v>
      </c>
      <c r="V106" s="95" t="str">
        <f t="shared" si="51"/>
        <v>$J$106</v>
      </c>
      <c r="W106" s="95" t="str">
        <f t="shared" si="52"/>
        <v>$K$106</v>
      </c>
      <c r="X106" s="95" t="str">
        <f t="shared" si="53"/>
        <v>$L$106</v>
      </c>
      <c r="Y106" s="95" t="str">
        <f t="shared" si="54"/>
        <v>$M$106</v>
      </c>
      <c r="Z106" s="95" t="str">
        <f t="shared" si="55"/>
        <v>$N$106</v>
      </c>
      <c r="AA106" s="94">
        <f ca="1">VLOOKUP($P106,'Regresion Q1'!$E$6:$I$10,4,1)*$P106+VLOOKUP($P106,'Regresion Q1'!$E$6:$I$10,5,1)</f>
        <v>5255126.1961413026</v>
      </c>
      <c r="AB106" s="94">
        <f ca="1">VLOOKUP($P106,'Regresion Q1'!$J$6:$N$10,4,1)*$P106+VLOOKUP($P106,'Regresion Q1'!$J$6:$N$10,5,1)</f>
        <v>5469672.678594619</v>
      </c>
      <c r="AC106" s="94">
        <f ca="1">VLOOKUP($P106,'Regresion Q1'!$O$6:$S$10,4,1)*$P106+VLOOKUP($P106,'Regresion Q1'!$O$6:$S$10,5,1)</f>
        <v>5731313.2125885356</v>
      </c>
      <c r="AD106" s="94">
        <f ca="1">VLOOKUP($P106,'Regresion Md'!$E$6:$I$10,4,1)*$P106+VLOOKUP($P106,'Regresion Md'!$E$6:$I$10,5,1)</f>
        <v>7696145.8269341299</v>
      </c>
      <c r="AE106" s="94">
        <f ca="1">VLOOKUP($P106,'Regresion Md'!$J$6:$N$10,4,1)*$P106+VLOOKUP($P106,'Regresion Md'!$J$6:$N$10,5,1)</f>
        <v>7876545.3566814512</v>
      </c>
      <c r="AF106" s="94">
        <f ca="1">VLOOKUP($P106,'Regresion Md'!$O$6:$S$10,4,1)*$P106+VLOOKUP($P106,'Regresion Md'!$O$6:$S$10,5,1)</f>
        <v>8046718.1969469357</v>
      </c>
      <c r="AG106" s="94">
        <f ca="1">VLOOKUP($P106,'Regresion Q3'!$E$6:$I$10,4,1)*$P106+VLOOKUP($P106,'Regresion Q3'!$E$6:$I$10,5,1)</f>
        <v>8640404.033534348</v>
      </c>
      <c r="AH106" s="94">
        <f ca="1">VLOOKUP($P106,'Regresion Q3'!$J$6:$N$10,4,1)*$P106+VLOOKUP($P106,'Regresion Q3'!$J$6:$N$10,5,1)</f>
        <v>8764542.2827322558</v>
      </c>
      <c r="AI106" s="94">
        <f ca="1">VLOOKUP($P106,'Regresion Q3'!$O$6:$S$10,4,1)*$P106+VLOOKUP($P106,'Regresion Q3'!$O$6:$S$10,5,1)</f>
        <v>8926796.8672821522</v>
      </c>
      <c r="AJ106" s="94">
        <f ca="1">VLOOKUP($P106,'Regresion Q1'!$T$6:$V$10,2,1)*$P106+VLOOKUP($P106,'Regresion Q1'!$T$6:$V$10,3,1)</f>
        <v>5303858.6072074398</v>
      </c>
      <c r="AK106" s="94">
        <f ca="1">VLOOKUP($P106,'Regresion Q1'!$W$6:$Y$10,2,1)*$P106+VLOOKUP($P106,'Regresion Q1'!$W$6:$Y$10,3,1)</f>
        <v>5488432.3436493706</v>
      </c>
      <c r="AL106" s="94">
        <f ca="1">VLOOKUP($P106,'Regresion Q1'!$Z$6:$AB$10,2,1)*$P106+VLOOKUP($P106,'Regresion Q1'!$Z$6:$AB$10,3,1)</f>
        <v>5763203.4315481</v>
      </c>
      <c r="AM106" s="94">
        <f ca="1">VLOOKUP($P106,'Regresion Md'!$T$6:$V$10,2,1)*$P106+VLOOKUP($P106,'Regresion Md'!$T$6:$V$10,3,1)</f>
        <v>7285807.2047427092</v>
      </c>
      <c r="AN106" s="94">
        <f ca="1">VLOOKUP($P106,'Regresion Md'!$W$6:$Y$10,2,1)*$P106+VLOOKUP($P106,'Regresion Md'!$W$6:$Y$10,3,1)</f>
        <v>7667945.2391166259</v>
      </c>
      <c r="AO106" s="94">
        <f ca="1">VLOOKUP($P106,'Regresion Md'!$Z$6:$AB$10,2,1)*$P106+VLOOKUP($P106,'Regresion Md'!$Z$6:$AB$10,3,1)</f>
        <v>7994382.4632710349</v>
      </c>
      <c r="AP106" s="94">
        <f ca="1">VLOOKUP($P106,'Regresion Q3'!$T$6:$V$10,2,1)*$P106+VLOOKUP($P106,'Regresion Q3'!$T$6:$V$10,3,1)</f>
        <v>8004912.5684000896</v>
      </c>
      <c r="AQ106" s="94">
        <f ca="1">VLOOKUP($P106,'Regresion Q3'!$W$6:$Y$10,2,1)*$P106+VLOOKUP($P106,'Regresion Q3'!$W$6:$Y$10,3,1)</f>
        <v>8215995.5459104935</v>
      </c>
      <c r="AR106" s="94">
        <f ca="1">VLOOKUP($P106,'Regresion Q3'!$Z$6:$AB$10,2,1)*$P106+VLOOKUP($P106,'Regresion Q3'!$Z$6:$AB$10,3,1)</f>
        <v>8407690.9352455623</v>
      </c>
      <c r="AS106" s="94">
        <f>IF($BN106=$BN107,-1,DatosHoy[[#This Row],[G ajus PM Q1]]-BO107)</f>
        <v>-1</v>
      </c>
      <c r="AT106" s="94">
        <f>IF($BN106=$BN107,-1,DatosHoy[[#This Row],[G+V ajus PM Q1]]-BP107)</f>
        <v>-1</v>
      </c>
      <c r="AU106" s="94">
        <f>IF($BN106=$BN107,-1,DatosHoy[[#This Row],[CT ajus PM Q1]]-BQ107)</f>
        <v>-1</v>
      </c>
      <c r="AV106" s="94">
        <f ca="1">IF(DatosHoy[[#This Row],[G ajus PM Q1]]=DatosHoy[[#This Row],[G+V ajus PM Q1]],-1,DatosHoy[[#This Row],[G ajus PM Q1]]-DatosHoy[[#This Row],[G+V ajus PM Q1]])</f>
        <v>-237337.63309791125</v>
      </c>
      <c r="AW106" s="94">
        <f ca="1">IF(DatosHoy[[#This Row],[G+V ajus PM Q1]]=DatosHoy[[#This Row],[CT ajus PM Q1]],-1,DatosHoy[[#This Row],[G+V ajus PM Q1]]-DatosHoy[[#This Row],[CT ajus PM Q1]])</f>
        <v>-304167.20384136774</v>
      </c>
      <c r="AX106" s="94">
        <f>IF($BN106=$BN107,-1,DatosHoy[[#This Row],[G ajus PMd]]-BR107)</f>
        <v>-1</v>
      </c>
      <c r="AY106" s="94">
        <f>IF($BN106=$BN107,-1,DatosHoy[[#This Row],[G+V ajus PM Md]]-BS107)</f>
        <v>-1</v>
      </c>
      <c r="AZ106" s="94">
        <f>IF($BN106=$BN107,-1,DatosHoy[[#This Row],[CT ajus PM Md]]-BT107)</f>
        <v>-1</v>
      </c>
      <c r="BA106" s="94">
        <f ca="1">IF(DatosHoy[[#This Row],[G ajus PMd]]=DatosHoy[[#This Row],[G+V ajus PM Md]],-1,DatosHoy[[#This Row],[G ajus PMd]]-DatosHoy[[#This Row],[G+V ajus PM Md]])</f>
        <v>-435516.18390754797</v>
      </c>
      <c r="BB106" s="94">
        <f ca="1">IF(DatosHoy[[#This Row],[G+V ajus PM Md]]=DatosHoy[[#This Row],[CT ajus PM Md]],-1,DatosHoy[[#This Row],[G+V ajus PM Md]]-DatosHoy[[#This Row],[CT ajus PM Md]])</f>
        <v>-345924.77612205222</v>
      </c>
      <c r="BC106" s="94">
        <f>IF($BN106=$BN107,-1,DatosHoy[[#This Row],[G ajus PM Q3]]-BU107)</f>
        <v>-1</v>
      </c>
      <c r="BD106" s="94">
        <f>IF($BN106=$BN107,-1,DatosHoy[[#This Row],[G+V ajus PM Q3]]-BV107)</f>
        <v>-1</v>
      </c>
      <c r="BE106" s="94">
        <f>IF($BN106=$BN107,-1,DatosHoy[[#This Row],[CT ajus PM Q3]]-BW107)</f>
        <v>-1</v>
      </c>
      <c r="BF106" s="94">
        <f ca="1">IF(DatosHoy[[#This Row],[G ajus PM Q3]]=DatosHoy[[#This Row],[G+V ajus PM Q3]],-1,DatosHoy[[#This Row],[G ajus PM Q3]]-DatosHoy[[#This Row],[G+V ajus PM Q3]])</f>
        <v>-223256.03824959509</v>
      </c>
      <c r="BG106" s="94">
        <f ca="1">IF(DatosHoy[[#This Row],[G+V ajus PM Q3]]=DatosHoy[[#This Row],[CT ajus PM Q3]],-1,DatosHoy[[#This Row],[G+V ajus PM Q3]]-DatosHoy[[#This Row],[CT ajus PM Q3]])</f>
        <v>-201652.01720579527</v>
      </c>
      <c r="BH106" s="94">
        <f ca="1">IF(DatosHoy[[#This Row],[G ajus PM Q1]]=DatosHoy[[#This Row],[G ajus PMd]],-1,DatosHoy[[#This Row],[G ajus PM Q1]]-DatosHoy[[#This Row],[G ajus PMd]])</f>
        <v>-1762473.5342417751</v>
      </c>
      <c r="BI106" s="94">
        <f ca="1">IF(DatosHoy[[#This Row],[G+V ajus PM Q1]]=DatosHoy[[#This Row],[G+V ajus PM Md]],-1,DatosHoy[[#This Row],[G+V ajus PM Q1]]-DatosHoy[[#This Row],[G+V ajus PM Md]])</f>
        <v>-1960652.0850514118</v>
      </c>
      <c r="BJ106" s="94">
        <f ca="1">IF(DatosHoy[[#This Row],[CT ajus PM Q1]]=DatosHoy[[#This Row],[CT ajus PM Md]],-1,DatosHoy[[#This Row],[CT ajus PM Q1]]-DatosHoy[[#This Row],[CT ajus PM Md]])</f>
        <v>-2002409.6573320962</v>
      </c>
      <c r="BK106" s="94">
        <f ca="1">IF(DatosHoy[[#This Row],[G ajus PMd]]=DatosHoy[[#This Row],[G ajus PM Q3]],-1,DatosHoy[[#This Row],[G ajus PMd]]-DatosHoy[[#This Row],[G ajus PM Q3]])</f>
        <v>-593744.14596787281</v>
      </c>
      <c r="BL106" s="94">
        <f ca="1">IF(DatosHoy[[#This Row],[G+V ajus PM Md]]=DatosHoy[[#This Row],[G+V ajus PM Q3]],-1,DatosHoy[[#This Row],[G+V ajus PM Md]]-DatosHoy[[#This Row],[G+V ajus PM Q3]])</f>
        <v>-381484.00030991994</v>
      </c>
      <c r="BM106" s="94">
        <f ca="1">IF(DatosHoy[[#This Row],[CT ajus PM Md]]=DatosHoy[[#This Row],[CT ajus PM Q3]],-1,DatosHoy[[#This Row],[CT ajus PM Md]]-DatosHoy[[#This Row],[CT ajus PM Q3]])</f>
        <v>-237211.24139366299</v>
      </c>
      <c r="BN106" s="74">
        <v>436</v>
      </c>
      <c r="BO106" s="94">
        <f ca="1">IFERROR(VLOOKUP($BN106,'Regresion Q1'!$T$6:$V$10,2,1)*$BN106+VLOOKUP($BN106,'Regresion Q1'!$T$6:$V$10,3,1),VLOOKUP(MIN(DatosHoy[Puntos]),'Regresion Q1'!$T$6:$V$10,2,1)*$BN106+VLOOKUP(MIN(DatosHoy[Puntos]),'Regresion Q1'!$T$6:$V$10,3,1))</f>
        <v>6165585.4809838478</v>
      </c>
      <c r="BP106" s="94">
        <f ca="1">IFERROR(VLOOKUP($BN106,'Regresion Q1'!$W$6:$Y$10,2,1)*$BN106+VLOOKUP($BN106,'Regresion Q1'!$W$6:$Y$10,3,1),VLOOKUP(MIN(DatosHoy[Puntos]),'Regresion Q1'!$W$6:$Y$10,2,1)*$BN106+VLOOKUP(MIN(DatosHoy[Puntos]),'Regresion Q1'!$W$6:$Y$10,3,1))</f>
        <v>6402923.114081759</v>
      </c>
      <c r="BQ106" s="94">
        <f ca="1">IFERROR(VLOOKUP($BN106,'Regresion Q1'!$Z$6:$AB$10,2,1)*$BN106+VLOOKUP($BN106,'Regresion Q1'!$Z$6:$AB$10,3,1),VLOOKUP(MIN(DatosHoy[Puntos]),'Regresion Q1'!$Z$6:$AB$10,2,1)*$BN106+VLOOKUP(MIN(DatosHoy[Puntos]),'Regresion Q1'!$Z$6:$AB$10,3,1))</f>
        <v>6707090.3179231267</v>
      </c>
      <c r="BR106" s="94">
        <f ca="1">IFERROR(VLOOKUP($BN106,'Regresion Md'!$T$6:$V$10,2,1)*$BN106+VLOOKUP($BN106,'Regresion Md'!$T$6:$V$10,3,1),VLOOKUP(MIN(DatosHoy[Puntos]),'Regresion Md'!$T$6:$V$10,2,1)*$BN106+VLOOKUP(MIN(DatosHoy[Puntos]),'Regresion Md'!$T$6:$V$10,3,1))</f>
        <v>7928059.0152256228</v>
      </c>
      <c r="BS106" s="94">
        <f ca="1">IFERROR(VLOOKUP($BN106,'Regresion Md'!$W$6:$Y$10,2,1)*$BN106+VLOOKUP($BN106,'Regresion Md'!$W$6:$Y$10,3,1),VLOOKUP(MIN(DatosHoy[Puntos]),'Regresion Md'!$W$6:$Y$10,2,1)*$BN106+VLOOKUP(MIN(DatosHoy[Puntos]),'Regresion Md'!$W$6:$Y$10,3,1))</f>
        <v>8363575.1991331708</v>
      </c>
      <c r="BT106" s="94">
        <f ca="1">IFERROR(VLOOKUP($BN106,'Regresion Md'!$Z$6:$AB$10,2,1)*$BN106+VLOOKUP($BN106,'Regresion Md'!$Z$6:$AB$10,3,1),VLOOKUP(MIN(DatosHoy[Puntos]),'Regresion Md'!$Z$6:$AB$10,2,1)*$BN106+VLOOKUP(MIN(DatosHoy[Puntos]),'Regresion Md'!$Z$6:$AB$10,3,1))</f>
        <v>8709499.975255223</v>
      </c>
      <c r="BU106" s="94">
        <f ca="1">IFERROR(VLOOKUP($BN106,'Regresion Q3'!$T$6:$V$10,2,1)*$BN106+VLOOKUP($BN106,'Regresion Q3'!$T$6:$V$10,3,1),VLOOKUP(MIN(DatosHoy[Puntos]),'Regresion Q3'!$T$6:$V$10,2,1)*$BN106+VLOOKUP(MIN(DatosHoy[Puntos]),'Regresion Q3'!$T$6:$V$10,3,1))</f>
        <v>8521803.1611934956</v>
      </c>
      <c r="BV106" s="94">
        <f ca="1">IFERROR(VLOOKUP($BN106,'Regresion Q3'!$W$6:$Y$10,2,1)*$BN106+VLOOKUP($BN106,'Regresion Q3'!$W$6:$Y$10,3,1),VLOOKUP(MIN(DatosHoy[Puntos]),'Regresion Q3'!$W$6:$Y$10,2,1)*$BN106+VLOOKUP(MIN(DatosHoy[Puntos]),'Regresion Q3'!$W$6:$Y$10,3,1))</f>
        <v>8745059.1994430907</v>
      </c>
      <c r="BW106" s="94">
        <f ca="1">IFERROR(VLOOKUP($BN106,'Regresion Q3'!$Z$6:$AB$10,2,1)*$BN106+VLOOKUP($BN106,'Regresion Q3'!$Z$6:$AB$10,3,1),VLOOKUP(MIN(DatosHoy[Puntos]),'Regresion Q3'!$Z$6:$AB$10,2,1)*$BN106+VLOOKUP(MIN(DatosHoy[Puntos]),'Regresion Q3'!$Z$6:$AB$10,3,1))</f>
        <v>8946711.216648886</v>
      </c>
      <c r="BX106" s="96">
        <f ca="1">DatosHoy[[#This Row],[CT Actual]]/DatosHoy[[#This Row],[CT ajus PM Md]]</f>
        <v>0.54486596515099461</v>
      </c>
      <c r="BY106" s="125" t="str">
        <f>VLOOKUP(DatosHoy[[#This Row],[Cargo Valorado]],Estadísticos[[Cargo]:[Nivel]],2,FALSE)</f>
        <v>Táctico</v>
      </c>
      <c r="BZ106" s="96">
        <f>(DatosHoy[[#This Row],[G+V Actual]]-DatosHoy[[#This Row],[G Actual]])/DatosHoy[[#This Row],[CT Actual]]</f>
        <v>0</v>
      </c>
      <c r="CA106" s="96">
        <f>(DatosHoy[[#This Row],[CT Actual]]-DatosHoy[[#This Row],[G+V Actual]])/DatosHoy[[#This Row],[CT Actual]]</f>
        <v>0</v>
      </c>
      <c r="CB106" s="139" t="s">
        <v>255</v>
      </c>
    </row>
    <row r="107" spans="2:80" x14ac:dyDescent="0.25">
      <c r="B107" s="73">
        <f t="shared" si="56"/>
        <v>102</v>
      </c>
      <c r="C107" s="74">
        <v>4745510.1100000003</v>
      </c>
      <c r="D107" s="74">
        <v>4745510.1100000003</v>
      </c>
      <c r="E107" s="74">
        <v>4745510.1100000003</v>
      </c>
      <c r="F107" s="94">
        <f>VLOOKUP(DatosHoy[[#This Row],[Cargo Valorado]],Estadísticos[],3,0)</f>
        <v>4776375.2219249532</v>
      </c>
      <c r="G107" s="94">
        <f>VLOOKUP(DatosHoy[[#This Row],[Cargo Valorado]],Estadísticos[],4,0)</f>
        <v>4776375.2219249532</v>
      </c>
      <c r="H107" s="94">
        <f>VLOOKUP(DatosHoy[[#This Row],[Cargo Valorado]],Estadísticos[],5,0)</f>
        <v>5395421.3756679464</v>
      </c>
      <c r="I107" s="94">
        <f>VLOOKUP(DatosHoy[[#This Row],[Cargo Valorado]],Estadísticos[],6,0)</f>
        <v>5049030.7868568338</v>
      </c>
      <c r="J107" s="94">
        <f>VLOOKUP(DatosHoy[[#This Row],[Cargo Valorado]],Estadísticos[],7,0)</f>
        <v>5049030.7868568338</v>
      </c>
      <c r="K107" s="94">
        <f>VLOOKUP(DatosHoy[[#This Row],[Cargo Valorado]],Estadísticos[],8,0)</f>
        <v>5461728.2226854963</v>
      </c>
      <c r="L107" s="94">
        <f>VLOOKUP(DatosHoy[[#This Row],[Cargo Valorado]],Estadísticos[],9,0)</f>
        <v>5321686.3517887145</v>
      </c>
      <c r="M107" s="94">
        <f>VLOOKUP(DatosHoy[[#This Row],[Cargo Valorado]],Estadísticos[],10,0)</f>
        <v>5321686.3517887145</v>
      </c>
      <c r="N107" s="94">
        <f>VLOOKUP(DatosHoy[[#This Row],[Cargo Valorado]],Estadísticos[],11,0)</f>
        <v>5528035.0697030462</v>
      </c>
      <c r="O107" s="75" t="s">
        <v>214</v>
      </c>
      <c r="P107" s="75">
        <v>408</v>
      </c>
      <c r="Q107" s="95" t="str">
        <f t="shared" si="46"/>
        <v>$P$107</v>
      </c>
      <c r="R107" s="95" t="str">
        <f t="shared" si="47"/>
        <v>$F$107</v>
      </c>
      <c r="S107" s="95" t="str">
        <f t="shared" si="48"/>
        <v>$G$107</v>
      </c>
      <c r="T107" s="95" t="str">
        <f t="shared" si="49"/>
        <v>$H$107</v>
      </c>
      <c r="U107" s="95" t="str">
        <f t="shared" si="50"/>
        <v>$I$107</v>
      </c>
      <c r="V107" s="95" t="str">
        <f t="shared" si="51"/>
        <v>$J$107</v>
      </c>
      <c r="W107" s="95" t="str">
        <f t="shared" si="52"/>
        <v>$K$107</v>
      </c>
      <c r="X107" s="95" t="str">
        <f t="shared" si="53"/>
        <v>$L$107</v>
      </c>
      <c r="Y107" s="95" t="str">
        <f t="shared" si="54"/>
        <v>$M$107</v>
      </c>
      <c r="Z107" s="95" t="str">
        <f t="shared" si="55"/>
        <v>$N$107</v>
      </c>
      <c r="AA107" s="94">
        <f ca="1">VLOOKUP($P107,'Regresion Q1'!$E$6:$I$10,4,1)*$P107+VLOOKUP($P107,'Regresion Q1'!$E$6:$I$10,5,1)</f>
        <v>5255126.1961413026</v>
      </c>
      <c r="AB107" s="94">
        <f ca="1">VLOOKUP($P107,'Regresion Q1'!$J$6:$N$10,4,1)*$P107+VLOOKUP($P107,'Regresion Q1'!$J$6:$N$10,5,1)</f>
        <v>5469672.678594619</v>
      </c>
      <c r="AC107" s="94">
        <f ca="1">VLOOKUP($P107,'Regresion Q1'!$O$6:$S$10,4,1)*$P107+VLOOKUP($P107,'Regresion Q1'!$O$6:$S$10,5,1)</f>
        <v>5731313.2125885356</v>
      </c>
      <c r="AD107" s="94">
        <f ca="1">VLOOKUP($P107,'Regresion Md'!$E$6:$I$10,4,1)*$P107+VLOOKUP($P107,'Regresion Md'!$E$6:$I$10,5,1)</f>
        <v>7696145.8269341299</v>
      </c>
      <c r="AE107" s="94">
        <f ca="1">VLOOKUP($P107,'Regresion Md'!$J$6:$N$10,4,1)*$P107+VLOOKUP($P107,'Regresion Md'!$J$6:$N$10,5,1)</f>
        <v>7876545.3566814512</v>
      </c>
      <c r="AF107" s="94">
        <f ca="1">VLOOKUP($P107,'Regresion Md'!$O$6:$S$10,4,1)*$P107+VLOOKUP($P107,'Regresion Md'!$O$6:$S$10,5,1)</f>
        <v>8046718.1969469357</v>
      </c>
      <c r="AG107" s="94">
        <f ca="1">VLOOKUP($P107,'Regresion Q3'!$E$6:$I$10,4,1)*$P107+VLOOKUP($P107,'Regresion Q3'!$E$6:$I$10,5,1)</f>
        <v>8640404.033534348</v>
      </c>
      <c r="AH107" s="94">
        <f ca="1">VLOOKUP($P107,'Regresion Q3'!$J$6:$N$10,4,1)*$P107+VLOOKUP($P107,'Regresion Q3'!$J$6:$N$10,5,1)</f>
        <v>8764542.2827322558</v>
      </c>
      <c r="AI107" s="94">
        <f ca="1">VLOOKUP($P107,'Regresion Q3'!$O$6:$S$10,4,1)*$P107+VLOOKUP($P107,'Regresion Q3'!$O$6:$S$10,5,1)</f>
        <v>8926796.8672821522</v>
      </c>
      <c r="AJ107" s="94">
        <f ca="1">VLOOKUP($P107,'Regresion Q1'!$T$6:$V$10,2,1)*$P107+VLOOKUP($P107,'Regresion Q1'!$T$6:$V$10,3,1)</f>
        <v>5303858.6072074398</v>
      </c>
      <c r="AK107" s="94">
        <f ca="1">VLOOKUP($P107,'Regresion Q1'!$W$6:$Y$10,2,1)*$P107+VLOOKUP($P107,'Regresion Q1'!$W$6:$Y$10,3,1)</f>
        <v>5488432.3436493706</v>
      </c>
      <c r="AL107" s="94">
        <f ca="1">VLOOKUP($P107,'Regresion Q1'!$Z$6:$AB$10,2,1)*$P107+VLOOKUP($P107,'Regresion Q1'!$Z$6:$AB$10,3,1)</f>
        <v>5763203.4315481</v>
      </c>
      <c r="AM107" s="94">
        <f ca="1">VLOOKUP($P107,'Regresion Md'!$T$6:$V$10,2,1)*$P107+VLOOKUP($P107,'Regresion Md'!$T$6:$V$10,3,1)</f>
        <v>7285807.2047427092</v>
      </c>
      <c r="AN107" s="94">
        <f ca="1">VLOOKUP($P107,'Regresion Md'!$W$6:$Y$10,2,1)*$P107+VLOOKUP($P107,'Regresion Md'!$W$6:$Y$10,3,1)</f>
        <v>7667945.2391166259</v>
      </c>
      <c r="AO107" s="94">
        <f ca="1">VLOOKUP($P107,'Regresion Md'!$Z$6:$AB$10,2,1)*$P107+VLOOKUP($P107,'Regresion Md'!$Z$6:$AB$10,3,1)</f>
        <v>7994382.4632710349</v>
      </c>
      <c r="AP107" s="94">
        <f ca="1">VLOOKUP($P107,'Regresion Q3'!$T$6:$V$10,2,1)*$P107+VLOOKUP($P107,'Regresion Q3'!$T$6:$V$10,3,1)</f>
        <v>8004912.5684000896</v>
      </c>
      <c r="AQ107" s="94">
        <f ca="1">VLOOKUP($P107,'Regresion Q3'!$W$6:$Y$10,2,1)*$P107+VLOOKUP($P107,'Regresion Q3'!$W$6:$Y$10,3,1)</f>
        <v>8215995.5459104935</v>
      </c>
      <c r="AR107" s="94">
        <f ca="1">VLOOKUP($P107,'Regresion Q3'!$Z$6:$AB$10,2,1)*$P107+VLOOKUP($P107,'Regresion Q3'!$Z$6:$AB$10,3,1)</f>
        <v>8407690.9352455623</v>
      </c>
      <c r="AS107" s="94">
        <f>IF($BN107=$BN108,-1,DatosHoy[[#This Row],[G ajus PM Q1]]-BO108)</f>
        <v>-1</v>
      </c>
      <c r="AT107" s="94">
        <f>IF($BN107=$BN108,-1,DatosHoy[[#This Row],[G+V ajus PM Q1]]-BP108)</f>
        <v>-1</v>
      </c>
      <c r="AU107" s="94">
        <f>IF($BN107=$BN108,-1,DatosHoy[[#This Row],[CT ajus PM Q1]]-BQ108)</f>
        <v>-1</v>
      </c>
      <c r="AV107" s="94">
        <f ca="1">IF(DatosHoy[[#This Row],[G ajus PM Q1]]=DatosHoy[[#This Row],[G+V ajus PM Q1]],-1,DatosHoy[[#This Row],[G ajus PM Q1]]-DatosHoy[[#This Row],[G+V ajus PM Q1]])</f>
        <v>-237337.63309791125</v>
      </c>
      <c r="AW107" s="94">
        <f ca="1">IF(DatosHoy[[#This Row],[G+V ajus PM Q1]]=DatosHoy[[#This Row],[CT ajus PM Q1]],-1,DatosHoy[[#This Row],[G+V ajus PM Q1]]-DatosHoy[[#This Row],[CT ajus PM Q1]])</f>
        <v>-304167.20384136774</v>
      </c>
      <c r="AX107" s="94">
        <f>IF($BN107=$BN108,-1,DatosHoy[[#This Row],[G ajus PMd]]-BR108)</f>
        <v>-1</v>
      </c>
      <c r="AY107" s="94">
        <f>IF($BN107=$BN108,-1,DatosHoy[[#This Row],[G+V ajus PM Md]]-BS108)</f>
        <v>-1</v>
      </c>
      <c r="AZ107" s="94">
        <f>IF($BN107=$BN108,-1,DatosHoy[[#This Row],[CT ajus PM Md]]-BT108)</f>
        <v>-1</v>
      </c>
      <c r="BA107" s="94">
        <f ca="1">IF(DatosHoy[[#This Row],[G ajus PMd]]=DatosHoy[[#This Row],[G+V ajus PM Md]],-1,DatosHoy[[#This Row],[G ajus PMd]]-DatosHoy[[#This Row],[G+V ajus PM Md]])</f>
        <v>-435516.18390754797</v>
      </c>
      <c r="BB107" s="94">
        <f ca="1">IF(DatosHoy[[#This Row],[G+V ajus PM Md]]=DatosHoy[[#This Row],[CT ajus PM Md]],-1,DatosHoy[[#This Row],[G+V ajus PM Md]]-DatosHoy[[#This Row],[CT ajus PM Md]])</f>
        <v>-345924.77612205222</v>
      </c>
      <c r="BC107" s="94">
        <f>IF($BN107=$BN108,-1,DatosHoy[[#This Row],[G ajus PM Q3]]-BU108)</f>
        <v>-1</v>
      </c>
      <c r="BD107" s="94">
        <f>IF($BN107=$BN108,-1,DatosHoy[[#This Row],[G+V ajus PM Q3]]-BV108)</f>
        <v>-1</v>
      </c>
      <c r="BE107" s="94">
        <f>IF($BN107=$BN108,-1,DatosHoy[[#This Row],[CT ajus PM Q3]]-BW108)</f>
        <v>-1</v>
      </c>
      <c r="BF107" s="94">
        <f ca="1">IF(DatosHoy[[#This Row],[G ajus PM Q3]]=DatosHoy[[#This Row],[G+V ajus PM Q3]],-1,DatosHoy[[#This Row],[G ajus PM Q3]]-DatosHoy[[#This Row],[G+V ajus PM Q3]])</f>
        <v>-223256.03824959509</v>
      </c>
      <c r="BG107" s="94">
        <f ca="1">IF(DatosHoy[[#This Row],[G+V ajus PM Q3]]=DatosHoy[[#This Row],[CT ajus PM Q3]],-1,DatosHoy[[#This Row],[G+V ajus PM Q3]]-DatosHoy[[#This Row],[CT ajus PM Q3]])</f>
        <v>-201652.01720579527</v>
      </c>
      <c r="BH107" s="94">
        <f ca="1">IF(DatosHoy[[#This Row],[G ajus PM Q1]]=DatosHoy[[#This Row],[G ajus PMd]],-1,DatosHoy[[#This Row],[G ajus PM Q1]]-DatosHoy[[#This Row],[G ajus PMd]])</f>
        <v>-1762473.5342417751</v>
      </c>
      <c r="BI107" s="94">
        <f ca="1">IF(DatosHoy[[#This Row],[G+V ajus PM Q1]]=DatosHoy[[#This Row],[G+V ajus PM Md]],-1,DatosHoy[[#This Row],[G+V ajus PM Q1]]-DatosHoy[[#This Row],[G+V ajus PM Md]])</f>
        <v>-1960652.0850514118</v>
      </c>
      <c r="BJ107" s="94">
        <f ca="1">IF(DatosHoy[[#This Row],[CT ajus PM Q1]]=DatosHoy[[#This Row],[CT ajus PM Md]],-1,DatosHoy[[#This Row],[CT ajus PM Q1]]-DatosHoy[[#This Row],[CT ajus PM Md]])</f>
        <v>-2002409.6573320962</v>
      </c>
      <c r="BK107" s="94">
        <f ca="1">IF(DatosHoy[[#This Row],[G ajus PMd]]=DatosHoy[[#This Row],[G ajus PM Q3]],-1,DatosHoy[[#This Row],[G ajus PMd]]-DatosHoy[[#This Row],[G ajus PM Q3]])</f>
        <v>-593744.14596787281</v>
      </c>
      <c r="BL107" s="94">
        <f ca="1">IF(DatosHoy[[#This Row],[G+V ajus PM Md]]=DatosHoy[[#This Row],[G+V ajus PM Q3]],-1,DatosHoy[[#This Row],[G+V ajus PM Md]]-DatosHoy[[#This Row],[G+V ajus PM Q3]])</f>
        <v>-381484.00030991994</v>
      </c>
      <c r="BM107" s="94">
        <f ca="1">IF(DatosHoy[[#This Row],[CT ajus PM Md]]=DatosHoy[[#This Row],[CT ajus PM Q3]],-1,DatosHoy[[#This Row],[CT ajus PM Md]]-DatosHoy[[#This Row],[CT ajus PM Q3]])</f>
        <v>-237211.24139366299</v>
      </c>
      <c r="BN107" s="74">
        <v>436</v>
      </c>
      <c r="BO107" s="94">
        <f ca="1">IFERROR(VLOOKUP($BN107,'Regresion Q1'!$T$6:$V$10,2,1)*$BN107+VLOOKUP($BN107,'Regresion Q1'!$T$6:$V$10,3,1),VLOOKUP(MIN(DatosHoy[Puntos]),'Regresion Q1'!$T$6:$V$10,2,1)*$BN107+VLOOKUP(MIN(DatosHoy[Puntos]),'Regresion Q1'!$T$6:$V$10,3,1))</f>
        <v>6165585.4809838478</v>
      </c>
      <c r="BP107" s="94">
        <f ca="1">IFERROR(VLOOKUP($BN107,'Regresion Q1'!$W$6:$Y$10,2,1)*$BN107+VLOOKUP($BN107,'Regresion Q1'!$W$6:$Y$10,3,1),VLOOKUP(MIN(DatosHoy[Puntos]),'Regresion Q1'!$W$6:$Y$10,2,1)*$BN107+VLOOKUP(MIN(DatosHoy[Puntos]),'Regresion Q1'!$W$6:$Y$10,3,1))</f>
        <v>6402923.114081759</v>
      </c>
      <c r="BQ107" s="94">
        <f ca="1">IFERROR(VLOOKUP($BN107,'Regresion Q1'!$Z$6:$AB$10,2,1)*$BN107+VLOOKUP($BN107,'Regresion Q1'!$Z$6:$AB$10,3,1),VLOOKUP(MIN(DatosHoy[Puntos]),'Regresion Q1'!$Z$6:$AB$10,2,1)*$BN107+VLOOKUP(MIN(DatosHoy[Puntos]),'Regresion Q1'!$Z$6:$AB$10,3,1))</f>
        <v>6707090.3179231267</v>
      </c>
      <c r="BR107" s="94">
        <f ca="1">IFERROR(VLOOKUP($BN107,'Regresion Md'!$T$6:$V$10,2,1)*$BN107+VLOOKUP($BN107,'Regresion Md'!$T$6:$V$10,3,1),VLOOKUP(MIN(DatosHoy[Puntos]),'Regresion Md'!$T$6:$V$10,2,1)*$BN107+VLOOKUP(MIN(DatosHoy[Puntos]),'Regresion Md'!$T$6:$V$10,3,1))</f>
        <v>7928059.0152256228</v>
      </c>
      <c r="BS107" s="94">
        <f ca="1">IFERROR(VLOOKUP($BN107,'Regresion Md'!$W$6:$Y$10,2,1)*$BN107+VLOOKUP($BN107,'Regresion Md'!$W$6:$Y$10,3,1),VLOOKUP(MIN(DatosHoy[Puntos]),'Regresion Md'!$W$6:$Y$10,2,1)*$BN107+VLOOKUP(MIN(DatosHoy[Puntos]),'Regresion Md'!$W$6:$Y$10,3,1))</f>
        <v>8363575.1991331708</v>
      </c>
      <c r="BT107" s="94">
        <f ca="1">IFERROR(VLOOKUP($BN107,'Regresion Md'!$Z$6:$AB$10,2,1)*$BN107+VLOOKUP($BN107,'Regresion Md'!$Z$6:$AB$10,3,1),VLOOKUP(MIN(DatosHoy[Puntos]),'Regresion Md'!$Z$6:$AB$10,2,1)*$BN107+VLOOKUP(MIN(DatosHoy[Puntos]),'Regresion Md'!$Z$6:$AB$10,3,1))</f>
        <v>8709499.975255223</v>
      </c>
      <c r="BU107" s="94">
        <f ca="1">IFERROR(VLOOKUP($BN107,'Regresion Q3'!$T$6:$V$10,2,1)*$BN107+VLOOKUP($BN107,'Regresion Q3'!$T$6:$V$10,3,1),VLOOKUP(MIN(DatosHoy[Puntos]),'Regresion Q3'!$T$6:$V$10,2,1)*$BN107+VLOOKUP(MIN(DatosHoy[Puntos]),'Regresion Q3'!$T$6:$V$10,3,1))</f>
        <v>8521803.1611934956</v>
      </c>
      <c r="BV107" s="94">
        <f ca="1">IFERROR(VLOOKUP($BN107,'Regresion Q3'!$W$6:$Y$10,2,1)*$BN107+VLOOKUP($BN107,'Regresion Q3'!$W$6:$Y$10,3,1),VLOOKUP(MIN(DatosHoy[Puntos]),'Regresion Q3'!$W$6:$Y$10,2,1)*$BN107+VLOOKUP(MIN(DatosHoy[Puntos]),'Regresion Q3'!$W$6:$Y$10,3,1))</f>
        <v>8745059.1994430907</v>
      </c>
      <c r="BW107" s="94">
        <f ca="1">IFERROR(VLOOKUP($BN107,'Regresion Q3'!$Z$6:$AB$10,2,1)*$BN107+VLOOKUP($BN107,'Regresion Q3'!$Z$6:$AB$10,3,1),VLOOKUP(MIN(DatosHoy[Puntos]),'Regresion Q3'!$Z$6:$AB$10,2,1)*$BN107+VLOOKUP(MIN(DatosHoy[Puntos]),'Regresion Q3'!$Z$6:$AB$10,3,1))</f>
        <v>8946711.216648886</v>
      </c>
      <c r="BX107" s="96">
        <f ca="1">DatosHoy[[#This Row],[CT Actual]]/DatosHoy[[#This Row],[CT ajus PM Md]]</f>
        <v>0.54486596515099461</v>
      </c>
      <c r="BY107" s="125" t="str">
        <f>VLOOKUP(DatosHoy[[#This Row],[Cargo Valorado]],Estadísticos[[Cargo]:[Nivel]],2,FALSE)</f>
        <v>Táctico</v>
      </c>
      <c r="BZ107" s="96">
        <f>(DatosHoy[[#This Row],[G+V Actual]]-DatosHoy[[#This Row],[G Actual]])/DatosHoy[[#This Row],[CT Actual]]</f>
        <v>0</v>
      </c>
      <c r="CA107" s="96">
        <f>(DatosHoy[[#This Row],[CT Actual]]-DatosHoy[[#This Row],[G+V Actual]])/DatosHoy[[#This Row],[CT Actual]]</f>
        <v>0</v>
      </c>
      <c r="CB107" s="139" t="s">
        <v>255</v>
      </c>
    </row>
    <row r="108" spans="2:80" x14ac:dyDescent="0.25">
      <c r="B108" s="73">
        <f t="shared" si="56"/>
        <v>103</v>
      </c>
      <c r="C108" s="74">
        <v>4471346</v>
      </c>
      <c r="D108" s="74">
        <v>7883689</v>
      </c>
      <c r="E108" s="74">
        <v>7883689</v>
      </c>
      <c r="F108" s="94">
        <f>VLOOKUP(DatosHoy[[#This Row],[Cargo Valorado]],Estadísticos[],3,0)</f>
        <v>2876032.7161361109</v>
      </c>
      <c r="G108" s="94">
        <f>VLOOKUP(DatosHoy[[#This Row],[Cargo Valorado]],Estadísticos[],4,0)</f>
        <v>6357207.1744830152</v>
      </c>
      <c r="H108" s="94">
        <f>VLOOKUP(DatosHoy[[#This Row],[Cargo Valorado]],Estadísticos[],5,0)</f>
        <v>6357207.1744830152</v>
      </c>
      <c r="I108" s="94">
        <f>VLOOKUP(DatosHoy[[#This Row],[Cargo Valorado]],Estadísticos[],6,0)</f>
        <v>6234953.4956079246</v>
      </c>
      <c r="J108" s="94">
        <f>VLOOKUP(DatosHoy[[#This Row],[Cargo Valorado]],Estadísticos[],7,0)</f>
        <v>7622779.5756527856</v>
      </c>
      <c r="K108" s="94">
        <f>VLOOKUP(DatosHoy[[#This Row],[Cargo Valorado]],Estadísticos[],8,0)</f>
        <v>7622779.5756527856</v>
      </c>
      <c r="L108" s="94">
        <f>VLOOKUP(DatosHoy[[#This Row],[Cargo Valorado]],Estadísticos[],9,0)</f>
        <v>6903926.118474748</v>
      </c>
      <c r="M108" s="94">
        <f>VLOOKUP(DatosHoy[[#This Row],[Cargo Valorado]],Estadísticos[],10,0)</f>
        <v>8900090.0442762207</v>
      </c>
      <c r="N108" s="94">
        <f>VLOOKUP(DatosHoy[[#This Row],[Cargo Valorado]],Estadísticos[],11,0)</f>
        <v>8900090.0442762207</v>
      </c>
      <c r="O108" s="75" t="s">
        <v>213</v>
      </c>
      <c r="P108" s="75">
        <v>409</v>
      </c>
      <c r="Q108" s="95" t="str">
        <f t="shared" si="46"/>
        <v>$P$108</v>
      </c>
      <c r="R108" s="95" t="str">
        <f t="shared" si="47"/>
        <v>$F$108</v>
      </c>
      <c r="S108" s="95" t="str">
        <f t="shared" si="48"/>
        <v>$G$108</v>
      </c>
      <c r="T108" s="95" t="str">
        <f t="shared" si="49"/>
        <v>$H$108</v>
      </c>
      <c r="U108" s="95" t="str">
        <f t="shared" si="50"/>
        <v>$I$108</v>
      </c>
      <c r="V108" s="95" t="str">
        <f t="shared" si="51"/>
        <v>$J$108</v>
      </c>
      <c r="W108" s="95" t="str">
        <f t="shared" si="52"/>
        <v>$K$108</v>
      </c>
      <c r="X108" s="95" t="str">
        <f t="shared" si="53"/>
        <v>$L$108</v>
      </c>
      <c r="Y108" s="95" t="str">
        <f t="shared" si="54"/>
        <v>$M$108</v>
      </c>
      <c r="Z108" s="95" t="str">
        <f t="shared" si="55"/>
        <v>$N$108</v>
      </c>
      <c r="AA108" s="94">
        <f ca="1">VLOOKUP($P108,'Regresion Q1'!$E$6:$I$10,4,1)*$P108+VLOOKUP($P108,'Regresion Q1'!$E$6:$I$10,5,1)</f>
        <v>5281841.1216635201</v>
      </c>
      <c r="AB108" s="94">
        <f ca="1">VLOOKUP($P108,'Regresion Q1'!$J$6:$N$10,4,1)*$P108+VLOOKUP($P108,'Regresion Q1'!$J$6:$N$10,5,1)</f>
        <v>5500769.757831689</v>
      </c>
      <c r="AC108" s="94">
        <f ca="1">VLOOKUP($P108,'Regresion Q1'!$O$6:$S$10,4,1)*$P108+VLOOKUP($P108,'Regresion Q1'!$O$6:$S$10,5,1)</f>
        <v>5762365.9402838703</v>
      </c>
      <c r="AD108" s="94">
        <f ca="1">VLOOKUP($P108,'Regresion Md'!$E$6:$I$10,4,1)*$P108+VLOOKUP($P108,'Regresion Md'!$E$6:$I$10,5,1)</f>
        <v>7721231.7613439271</v>
      </c>
      <c r="AE108" s="94">
        <f ca="1">VLOOKUP($P108,'Regresion Md'!$J$6:$N$10,4,1)*$P108+VLOOKUP($P108,'Regresion Md'!$J$6:$N$10,5,1)</f>
        <v>7902481.4310372807</v>
      </c>
      <c r="AF108" s="94">
        <f ca="1">VLOOKUP($P108,'Regresion Md'!$O$6:$S$10,4,1)*$P108+VLOOKUP($P108,'Regresion Md'!$O$6:$S$10,5,1)</f>
        <v>8072532.1171660665</v>
      </c>
      <c r="AG108" s="94">
        <f ca="1">VLOOKUP($P108,'Regresion Q3'!$E$6:$I$10,4,1)*$P108+VLOOKUP($P108,'Regresion Q3'!$E$6:$I$10,5,1)</f>
        <v>8665296.821383711</v>
      </c>
      <c r="AH108" s="94">
        <f ca="1">VLOOKUP($P108,'Regresion Q3'!$J$6:$N$10,4,1)*$P108+VLOOKUP($P108,'Regresion Q3'!$J$6:$N$10,5,1)</f>
        <v>8789749.1345533431</v>
      </c>
      <c r="AI108" s="94">
        <f ca="1">VLOOKUP($P108,'Regresion Q3'!$O$6:$S$10,4,1)*$P108+VLOOKUP($P108,'Regresion Q3'!$O$6:$S$10,5,1)</f>
        <v>8951854.5777147003</v>
      </c>
      <c r="AJ108" s="94">
        <f ca="1">VLOOKUP($P108,'Regresion Q1'!$T$6:$V$10,2,1)*$P108+VLOOKUP($P108,'Regresion Q1'!$T$6:$V$10,3,1)</f>
        <v>5334634.5669851676</v>
      </c>
      <c r="AK108" s="94">
        <f ca="1">VLOOKUP($P108,'Regresion Q1'!$W$6:$Y$10,2,1)*$P108+VLOOKUP($P108,'Regresion Q1'!$W$6:$Y$10,3,1)</f>
        <v>5521092.7283076718</v>
      </c>
      <c r="AL108" s="94">
        <f ca="1">VLOOKUP($P108,'Regresion Q1'!$Z$6:$AB$10,2,1)*$P108+VLOOKUP($P108,'Regresion Q1'!$Z$6:$AB$10,3,1)</f>
        <v>5796913.6774900649</v>
      </c>
      <c r="AM108" s="94">
        <f ca="1">VLOOKUP($P108,'Regresion Md'!$T$6:$V$10,2,1)*$P108+VLOOKUP($P108,'Regresion Md'!$T$6:$V$10,3,1)</f>
        <v>7308744.7694028132</v>
      </c>
      <c r="AN108" s="94">
        <f ca="1">VLOOKUP($P108,'Regresion Md'!$W$6:$Y$10,2,1)*$P108+VLOOKUP($P108,'Regresion Md'!$W$6:$Y$10,3,1)</f>
        <v>7692789.1662600748</v>
      </c>
      <c r="AO108" s="94">
        <f ca="1">VLOOKUP($P108,'Regresion Md'!$Z$6:$AB$10,2,1)*$P108+VLOOKUP($P108,'Regresion Md'!$Z$6:$AB$10,3,1)</f>
        <v>8019922.3744133264</v>
      </c>
      <c r="AP108" s="94">
        <f ca="1">VLOOKUP($P108,'Regresion Q3'!$T$6:$V$10,2,1)*$P108+VLOOKUP($P108,'Regresion Q3'!$T$6:$V$10,3,1)</f>
        <v>8023372.9467141395</v>
      </c>
      <c r="AQ108" s="94">
        <f ca="1">VLOOKUP($P108,'Regresion Q3'!$W$6:$Y$10,2,1)*$P108+VLOOKUP($P108,'Regresion Q3'!$W$6:$Y$10,3,1)</f>
        <v>8234890.6763938004</v>
      </c>
      <c r="AR108" s="94">
        <f ca="1">VLOOKUP($P108,'Regresion Q3'!$Z$6:$AB$10,2,1)*$P108+VLOOKUP($P108,'Regresion Q3'!$Z$6:$AB$10,3,1)</f>
        <v>8426941.659581393</v>
      </c>
      <c r="AS108" s="94">
        <f>IF($BN108=$BN109,-1,DatosHoy[[#This Row],[G ajus PM Q1]]-BO109)</f>
        <v>-1</v>
      </c>
      <c r="AT108" s="94">
        <f>IF($BN108=$BN109,-1,DatosHoy[[#This Row],[G+V ajus PM Q1]]-BP109)</f>
        <v>-1</v>
      </c>
      <c r="AU108" s="94">
        <f>IF($BN108=$BN109,-1,DatosHoy[[#This Row],[CT ajus PM Q1]]-BQ109)</f>
        <v>-1</v>
      </c>
      <c r="AV108" s="94">
        <f ca="1">IF(DatosHoy[[#This Row],[G ajus PM Q1]]=DatosHoy[[#This Row],[G+V ajus PM Q1]],-1,DatosHoy[[#This Row],[G ajus PM Q1]]-DatosHoy[[#This Row],[G+V ajus PM Q1]])</f>
        <v>-237337.63309791125</v>
      </c>
      <c r="AW108" s="94">
        <f ca="1">IF(DatosHoy[[#This Row],[G+V ajus PM Q1]]=DatosHoy[[#This Row],[CT ajus PM Q1]],-1,DatosHoy[[#This Row],[G+V ajus PM Q1]]-DatosHoy[[#This Row],[CT ajus PM Q1]])</f>
        <v>-304167.20384136774</v>
      </c>
      <c r="AX108" s="94">
        <f>IF($BN108=$BN109,-1,DatosHoy[[#This Row],[G ajus PMd]]-BR109)</f>
        <v>-1</v>
      </c>
      <c r="AY108" s="94">
        <f>IF($BN108=$BN109,-1,DatosHoy[[#This Row],[G+V ajus PM Md]]-BS109)</f>
        <v>-1</v>
      </c>
      <c r="AZ108" s="94">
        <f>IF($BN108=$BN109,-1,DatosHoy[[#This Row],[CT ajus PM Md]]-BT109)</f>
        <v>-1</v>
      </c>
      <c r="BA108" s="94">
        <f ca="1">IF(DatosHoy[[#This Row],[G ajus PMd]]=DatosHoy[[#This Row],[G+V ajus PM Md]],-1,DatosHoy[[#This Row],[G ajus PMd]]-DatosHoy[[#This Row],[G+V ajus PM Md]])</f>
        <v>-435516.18390754797</v>
      </c>
      <c r="BB108" s="94">
        <f ca="1">IF(DatosHoy[[#This Row],[G+V ajus PM Md]]=DatosHoy[[#This Row],[CT ajus PM Md]],-1,DatosHoy[[#This Row],[G+V ajus PM Md]]-DatosHoy[[#This Row],[CT ajus PM Md]])</f>
        <v>-345924.77612205222</v>
      </c>
      <c r="BC108" s="94">
        <f>IF($BN108=$BN109,-1,DatosHoy[[#This Row],[G ajus PM Q3]]-BU109)</f>
        <v>-1</v>
      </c>
      <c r="BD108" s="94">
        <f>IF($BN108=$BN109,-1,DatosHoy[[#This Row],[G+V ajus PM Q3]]-BV109)</f>
        <v>-1</v>
      </c>
      <c r="BE108" s="94">
        <f>IF($BN108=$BN109,-1,DatosHoy[[#This Row],[CT ajus PM Q3]]-BW109)</f>
        <v>-1</v>
      </c>
      <c r="BF108" s="94">
        <f ca="1">IF(DatosHoy[[#This Row],[G ajus PM Q3]]=DatosHoy[[#This Row],[G+V ajus PM Q3]],-1,DatosHoy[[#This Row],[G ajus PM Q3]]-DatosHoy[[#This Row],[G+V ajus PM Q3]])</f>
        <v>-223256.03824959509</v>
      </c>
      <c r="BG108" s="94">
        <f ca="1">IF(DatosHoy[[#This Row],[G+V ajus PM Q3]]=DatosHoy[[#This Row],[CT ajus PM Q3]],-1,DatosHoy[[#This Row],[G+V ajus PM Q3]]-DatosHoy[[#This Row],[CT ajus PM Q3]])</f>
        <v>-201652.01720579527</v>
      </c>
      <c r="BH108" s="94">
        <f ca="1">IF(DatosHoy[[#This Row],[G ajus PM Q1]]=DatosHoy[[#This Row],[G ajus PMd]],-1,DatosHoy[[#This Row],[G ajus PM Q1]]-DatosHoy[[#This Row],[G ajus PMd]])</f>
        <v>-1762473.5342417751</v>
      </c>
      <c r="BI108" s="94">
        <f ca="1">IF(DatosHoy[[#This Row],[G+V ajus PM Q1]]=DatosHoy[[#This Row],[G+V ajus PM Md]],-1,DatosHoy[[#This Row],[G+V ajus PM Q1]]-DatosHoy[[#This Row],[G+V ajus PM Md]])</f>
        <v>-1960652.0850514118</v>
      </c>
      <c r="BJ108" s="94">
        <f ca="1">IF(DatosHoy[[#This Row],[CT ajus PM Q1]]=DatosHoy[[#This Row],[CT ajus PM Md]],-1,DatosHoy[[#This Row],[CT ajus PM Q1]]-DatosHoy[[#This Row],[CT ajus PM Md]])</f>
        <v>-2002409.6573320962</v>
      </c>
      <c r="BK108" s="94">
        <f ca="1">IF(DatosHoy[[#This Row],[G ajus PMd]]=DatosHoy[[#This Row],[G ajus PM Q3]],-1,DatosHoy[[#This Row],[G ajus PMd]]-DatosHoy[[#This Row],[G ajus PM Q3]])</f>
        <v>-593744.14596787281</v>
      </c>
      <c r="BL108" s="94">
        <f ca="1">IF(DatosHoy[[#This Row],[G+V ajus PM Md]]=DatosHoy[[#This Row],[G+V ajus PM Q3]],-1,DatosHoy[[#This Row],[G+V ajus PM Md]]-DatosHoy[[#This Row],[G+V ajus PM Q3]])</f>
        <v>-381484.00030991994</v>
      </c>
      <c r="BM108" s="94">
        <f ca="1">IF(DatosHoy[[#This Row],[CT ajus PM Md]]=DatosHoy[[#This Row],[CT ajus PM Q3]],-1,DatosHoy[[#This Row],[CT ajus PM Md]]-DatosHoy[[#This Row],[CT ajus PM Q3]])</f>
        <v>-237211.24139366299</v>
      </c>
      <c r="BN108" s="74">
        <v>436</v>
      </c>
      <c r="BO108" s="94">
        <f ca="1">IFERROR(VLOOKUP($BN108,'Regresion Q1'!$T$6:$V$10,2,1)*$BN108+VLOOKUP($BN108,'Regresion Q1'!$T$6:$V$10,3,1),VLOOKUP(MIN(DatosHoy[Puntos]),'Regresion Q1'!$T$6:$V$10,2,1)*$BN108+VLOOKUP(MIN(DatosHoy[Puntos]),'Regresion Q1'!$T$6:$V$10,3,1))</f>
        <v>6165585.4809838478</v>
      </c>
      <c r="BP108" s="94">
        <f ca="1">IFERROR(VLOOKUP($BN108,'Regresion Q1'!$W$6:$Y$10,2,1)*$BN108+VLOOKUP($BN108,'Regresion Q1'!$W$6:$Y$10,3,1),VLOOKUP(MIN(DatosHoy[Puntos]),'Regresion Q1'!$W$6:$Y$10,2,1)*$BN108+VLOOKUP(MIN(DatosHoy[Puntos]),'Regresion Q1'!$W$6:$Y$10,3,1))</f>
        <v>6402923.114081759</v>
      </c>
      <c r="BQ108" s="94">
        <f ca="1">IFERROR(VLOOKUP($BN108,'Regresion Q1'!$Z$6:$AB$10,2,1)*$BN108+VLOOKUP($BN108,'Regresion Q1'!$Z$6:$AB$10,3,1),VLOOKUP(MIN(DatosHoy[Puntos]),'Regresion Q1'!$Z$6:$AB$10,2,1)*$BN108+VLOOKUP(MIN(DatosHoy[Puntos]),'Regresion Q1'!$Z$6:$AB$10,3,1))</f>
        <v>6707090.3179231267</v>
      </c>
      <c r="BR108" s="94">
        <f ca="1">IFERROR(VLOOKUP($BN108,'Regresion Md'!$T$6:$V$10,2,1)*$BN108+VLOOKUP($BN108,'Regresion Md'!$T$6:$V$10,3,1),VLOOKUP(MIN(DatosHoy[Puntos]),'Regresion Md'!$T$6:$V$10,2,1)*$BN108+VLOOKUP(MIN(DatosHoy[Puntos]),'Regresion Md'!$T$6:$V$10,3,1))</f>
        <v>7928059.0152256228</v>
      </c>
      <c r="BS108" s="94">
        <f ca="1">IFERROR(VLOOKUP($BN108,'Regresion Md'!$W$6:$Y$10,2,1)*$BN108+VLOOKUP($BN108,'Regresion Md'!$W$6:$Y$10,3,1),VLOOKUP(MIN(DatosHoy[Puntos]),'Regresion Md'!$W$6:$Y$10,2,1)*$BN108+VLOOKUP(MIN(DatosHoy[Puntos]),'Regresion Md'!$W$6:$Y$10,3,1))</f>
        <v>8363575.1991331708</v>
      </c>
      <c r="BT108" s="94">
        <f ca="1">IFERROR(VLOOKUP($BN108,'Regresion Md'!$Z$6:$AB$10,2,1)*$BN108+VLOOKUP($BN108,'Regresion Md'!$Z$6:$AB$10,3,1),VLOOKUP(MIN(DatosHoy[Puntos]),'Regresion Md'!$Z$6:$AB$10,2,1)*$BN108+VLOOKUP(MIN(DatosHoy[Puntos]),'Regresion Md'!$Z$6:$AB$10,3,1))</f>
        <v>8709499.975255223</v>
      </c>
      <c r="BU108" s="94">
        <f ca="1">IFERROR(VLOOKUP($BN108,'Regresion Q3'!$T$6:$V$10,2,1)*$BN108+VLOOKUP($BN108,'Regresion Q3'!$T$6:$V$10,3,1),VLOOKUP(MIN(DatosHoy[Puntos]),'Regresion Q3'!$T$6:$V$10,2,1)*$BN108+VLOOKUP(MIN(DatosHoy[Puntos]),'Regresion Q3'!$T$6:$V$10,3,1))</f>
        <v>8521803.1611934956</v>
      </c>
      <c r="BV108" s="94">
        <f ca="1">IFERROR(VLOOKUP($BN108,'Regresion Q3'!$W$6:$Y$10,2,1)*$BN108+VLOOKUP($BN108,'Regresion Q3'!$W$6:$Y$10,3,1),VLOOKUP(MIN(DatosHoy[Puntos]),'Regresion Q3'!$W$6:$Y$10,2,1)*$BN108+VLOOKUP(MIN(DatosHoy[Puntos]),'Regresion Q3'!$W$6:$Y$10,3,1))</f>
        <v>8745059.1994430907</v>
      </c>
      <c r="BW108" s="94">
        <f ca="1">IFERROR(VLOOKUP($BN108,'Regresion Q3'!$Z$6:$AB$10,2,1)*$BN108+VLOOKUP($BN108,'Regresion Q3'!$Z$6:$AB$10,3,1),VLOOKUP(MIN(DatosHoy[Puntos]),'Regresion Q3'!$Z$6:$AB$10,2,1)*$BN108+VLOOKUP(MIN(DatosHoy[Puntos]),'Regresion Q3'!$Z$6:$AB$10,3,1))</f>
        <v>8946711.216648886</v>
      </c>
      <c r="BX108" s="96">
        <f ca="1">DatosHoy[[#This Row],[CT Actual]]/DatosHoy[[#This Row],[CT ajus PM Md]]</f>
        <v>0.90518273407182326</v>
      </c>
      <c r="BY108" s="125" t="str">
        <f>VLOOKUP(DatosHoy[[#This Row],[Cargo Valorado]],Estadísticos[[Cargo]:[Nivel]],2,FALSE)</f>
        <v>Táctico</v>
      </c>
      <c r="BZ108" s="96">
        <f>(DatosHoy[[#This Row],[G+V Actual]]-DatosHoy[[#This Row],[G Actual]])/DatosHoy[[#This Row],[CT Actual]]</f>
        <v>0.43283582089552236</v>
      </c>
      <c r="CA108" s="96">
        <f>(DatosHoy[[#This Row],[CT Actual]]-DatosHoy[[#This Row],[G+V Actual]])/DatosHoy[[#This Row],[CT Actual]]</f>
        <v>0</v>
      </c>
      <c r="CB108" s="139" t="s">
        <v>256</v>
      </c>
    </row>
    <row r="109" spans="2:80" x14ac:dyDescent="0.25">
      <c r="B109" s="73">
        <f t="shared" si="56"/>
        <v>104</v>
      </c>
      <c r="C109" s="74">
        <v>5570355.7800000003</v>
      </c>
      <c r="D109" s="74">
        <v>5570355.7800000003</v>
      </c>
      <c r="E109" s="74">
        <v>5570355.7800000003</v>
      </c>
      <c r="F109" s="94">
        <f>VLOOKUP(DatosHoy[[#This Row],[Cargo Valorado]],Estadísticos[],3,0)</f>
        <v>4486683.5068420637</v>
      </c>
      <c r="G109" s="94">
        <f>VLOOKUP(DatosHoy[[#This Row],[Cargo Valorado]],Estadísticos[],4,0)</f>
        <v>4486683.5068420637</v>
      </c>
      <c r="H109" s="94">
        <f>VLOOKUP(DatosHoy[[#This Row],[Cargo Valorado]],Estadísticos[],5,0)</f>
        <v>4510929.4811969977</v>
      </c>
      <c r="I109" s="94">
        <f>VLOOKUP(DatosHoy[[#This Row],[Cargo Valorado]],Estadísticos[],6,0)</f>
        <v>5674853.869003037</v>
      </c>
      <c r="J109" s="94">
        <f>VLOOKUP(DatosHoy[[#This Row],[Cargo Valorado]],Estadísticos[],7,0)</f>
        <v>5674853.869003037</v>
      </c>
      <c r="K109" s="94">
        <f>VLOOKUP(DatosHoy[[#This Row],[Cargo Valorado]],Estadísticos[],8,0)</f>
        <v>5723345.8177129049</v>
      </c>
      <c r="L109" s="94">
        <f>VLOOKUP(DatosHoy[[#This Row],[Cargo Valorado]],Estadísticos[],9,0)</f>
        <v>6863024.2311640102</v>
      </c>
      <c r="M109" s="94">
        <f>VLOOKUP(DatosHoy[[#This Row],[Cargo Valorado]],Estadísticos[],10,0)</f>
        <v>6863024.2311640102</v>
      </c>
      <c r="N109" s="94">
        <f>VLOOKUP(DatosHoy[[#This Row],[Cargo Valorado]],Estadísticos[],11,0)</f>
        <v>6935762.1542288121</v>
      </c>
      <c r="O109" s="75" t="s">
        <v>212</v>
      </c>
      <c r="P109" s="75">
        <v>410</v>
      </c>
      <c r="Q109" s="95" t="str">
        <f t="shared" si="46"/>
        <v>$P$109</v>
      </c>
      <c r="R109" s="95" t="str">
        <f t="shared" si="47"/>
        <v>$F$109</v>
      </c>
      <c r="S109" s="95" t="str">
        <f t="shared" si="48"/>
        <v>$G$109</v>
      </c>
      <c r="T109" s="95" t="str">
        <f t="shared" si="49"/>
        <v>$H$109</v>
      </c>
      <c r="U109" s="95" t="str">
        <f t="shared" si="50"/>
        <v>$I$109</v>
      </c>
      <c r="V109" s="95" t="str">
        <f t="shared" si="51"/>
        <v>$J$109</v>
      </c>
      <c r="W109" s="95" t="str">
        <f t="shared" si="52"/>
        <v>$K$109</v>
      </c>
      <c r="X109" s="95" t="str">
        <f t="shared" si="53"/>
        <v>$L$109</v>
      </c>
      <c r="Y109" s="95" t="str">
        <f t="shared" si="54"/>
        <v>$M$109</v>
      </c>
      <c r="Z109" s="95" t="str">
        <f t="shared" si="55"/>
        <v>$N$109</v>
      </c>
      <c r="AA109" s="94">
        <f ca="1">VLOOKUP($P109,'Regresion Q1'!$E$6:$I$10,4,1)*$P109+VLOOKUP($P109,'Regresion Q1'!$E$6:$I$10,5,1)</f>
        <v>5308556.0471857376</v>
      </c>
      <c r="AB109" s="94">
        <f ca="1">VLOOKUP($P109,'Regresion Q1'!$J$6:$N$10,4,1)*$P109+VLOOKUP($P109,'Regresion Q1'!$J$6:$N$10,5,1)</f>
        <v>5531866.8370687589</v>
      </c>
      <c r="AC109" s="94">
        <f ca="1">VLOOKUP($P109,'Regresion Q1'!$O$6:$S$10,4,1)*$P109+VLOOKUP($P109,'Regresion Q1'!$O$6:$S$10,5,1)</f>
        <v>5793418.667979205</v>
      </c>
      <c r="AD109" s="94">
        <f ca="1">VLOOKUP($P109,'Regresion Md'!$E$6:$I$10,4,1)*$P109+VLOOKUP($P109,'Regresion Md'!$E$6:$I$10,5,1)</f>
        <v>7746317.6957537243</v>
      </c>
      <c r="AE109" s="94">
        <f ca="1">VLOOKUP($P109,'Regresion Md'!$J$6:$N$10,4,1)*$P109+VLOOKUP($P109,'Regresion Md'!$J$6:$N$10,5,1)</f>
        <v>7928417.5053931102</v>
      </c>
      <c r="AF109" s="94">
        <f ca="1">VLOOKUP($P109,'Regresion Md'!$O$6:$S$10,4,1)*$P109+VLOOKUP($P109,'Regresion Md'!$O$6:$S$10,5,1)</f>
        <v>8098346.0373851955</v>
      </c>
      <c r="AG109" s="94">
        <f ca="1">VLOOKUP($P109,'Regresion Q3'!$E$6:$I$10,4,1)*$P109+VLOOKUP($P109,'Regresion Q3'!$E$6:$I$10,5,1)</f>
        <v>8690189.6092330739</v>
      </c>
      <c r="AH109" s="94">
        <f ca="1">VLOOKUP($P109,'Regresion Q3'!$J$6:$N$10,4,1)*$P109+VLOOKUP($P109,'Regresion Q3'!$J$6:$N$10,5,1)</f>
        <v>8814955.9863744341</v>
      </c>
      <c r="AI109" s="94">
        <f ca="1">VLOOKUP($P109,'Regresion Q3'!$O$6:$S$10,4,1)*$P109+VLOOKUP($P109,'Regresion Q3'!$O$6:$S$10,5,1)</f>
        <v>8976912.2881472465</v>
      </c>
      <c r="AJ109" s="94">
        <f ca="1">VLOOKUP($P109,'Regresion Q1'!$T$6:$V$10,2,1)*$P109+VLOOKUP($P109,'Regresion Q1'!$T$6:$V$10,3,1)</f>
        <v>5365410.5267628971</v>
      </c>
      <c r="AK109" s="94">
        <f ca="1">VLOOKUP($P109,'Regresion Q1'!$W$6:$Y$10,2,1)*$P109+VLOOKUP($P109,'Regresion Q1'!$W$6:$Y$10,3,1)</f>
        <v>5553753.1129659712</v>
      </c>
      <c r="AL109" s="94">
        <f ca="1">VLOOKUP($P109,'Regresion Q1'!$Z$6:$AB$10,2,1)*$P109+VLOOKUP($P109,'Regresion Q1'!$Z$6:$AB$10,3,1)</f>
        <v>5830623.9234320298</v>
      </c>
      <c r="AM109" s="94">
        <f ca="1">VLOOKUP($P109,'Regresion Md'!$T$6:$V$10,2,1)*$P109+VLOOKUP($P109,'Regresion Md'!$T$6:$V$10,3,1)</f>
        <v>7331682.3340629172</v>
      </c>
      <c r="AN109" s="94">
        <f ca="1">VLOOKUP($P109,'Regresion Md'!$W$6:$Y$10,2,1)*$P109+VLOOKUP($P109,'Regresion Md'!$W$6:$Y$10,3,1)</f>
        <v>7717633.0934035219</v>
      </c>
      <c r="AO109" s="94">
        <f ca="1">VLOOKUP($P109,'Regresion Md'!$Z$6:$AB$10,2,1)*$P109+VLOOKUP($P109,'Regresion Md'!$Z$6:$AB$10,3,1)</f>
        <v>8045462.2855556197</v>
      </c>
      <c r="AP109" s="94">
        <f ca="1">VLOOKUP($P109,'Regresion Q3'!$T$6:$V$10,2,1)*$P109+VLOOKUP($P109,'Regresion Q3'!$T$6:$V$10,3,1)</f>
        <v>8041833.3250281904</v>
      </c>
      <c r="AQ109" s="94">
        <f ca="1">VLOOKUP($P109,'Regresion Q3'!$W$6:$Y$10,2,1)*$P109+VLOOKUP($P109,'Regresion Q3'!$W$6:$Y$10,3,1)</f>
        <v>8253785.8068771074</v>
      </c>
      <c r="AR109" s="94">
        <f ca="1">VLOOKUP($P109,'Regresion Q3'!$Z$6:$AB$10,2,1)*$P109+VLOOKUP($P109,'Regresion Q3'!$Z$6:$AB$10,3,1)</f>
        <v>8446192.3839172274</v>
      </c>
      <c r="AS109" s="94">
        <f>IF($BN109=$BN110,-1,DatosHoy[[#This Row],[G ajus PM Q1]]-BO110)</f>
        <v>-1</v>
      </c>
      <c r="AT109" s="94">
        <f>IF($BN109=$BN110,-1,DatosHoy[[#This Row],[G+V ajus PM Q1]]-BP110)</f>
        <v>-1</v>
      </c>
      <c r="AU109" s="94">
        <f>IF($BN109=$BN110,-1,DatosHoy[[#This Row],[CT ajus PM Q1]]-BQ110)</f>
        <v>-1</v>
      </c>
      <c r="AV109" s="94">
        <f ca="1">IF(DatosHoy[[#This Row],[G ajus PM Q1]]=DatosHoy[[#This Row],[G+V ajus PM Q1]],-1,DatosHoy[[#This Row],[G ajus PM Q1]]-DatosHoy[[#This Row],[G+V ajus PM Q1]])</f>
        <v>-237337.63309791125</v>
      </c>
      <c r="AW109" s="94">
        <f ca="1">IF(DatosHoy[[#This Row],[G+V ajus PM Q1]]=DatosHoy[[#This Row],[CT ajus PM Q1]],-1,DatosHoy[[#This Row],[G+V ajus PM Q1]]-DatosHoy[[#This Row],[CT ajus PM Q1]])</f>
        <v>-304167.20384136774</v>
      </c>
      <c r="AX109" s="94">
        <f>IF($BN109=$BN110,-1,DatosHoy[[#This Row],[G ajus PMd]]-BR110)</f>
        <v>-1</v>
      </c>
      <c r="AY109" s="94">
        <f>IF($BN109=$BN110,-1,DatosHoy[[#This Row],[G+V ajus PM Md]]-BS110)</f>
        <v>-1</v>
      </c>
      <c r="AZ109" s="94">
        <f>IF($BN109=$BN110,-1,DatosHoy[[#This Row],[CT ajus PM Md]]-BT110)</f>
        <v>-1</v>
      </c>
      <c r="BA109" s="94">
        <f ca="1">IF(DatosHoy[[#This Row],[G ajus PMd]]=DatosHoy[[#This Row],[G+V ajus PM Md]],-1,DatosHoy[[#This Row],[G ajus PMd]]-DatosHoy[[#This Row],[G+V ajus PM Md]])</f>
        <v>-435516.18390754797</v>
      </c>
      <c r="BB109" s="94">
        <f ca="1">IF(DatosHoy[[#This Row],[G+V ajus PM Md]]=DatosHoy[[#This Row],[CT ajus PM Md]],-1,DatosHoy[[#This Row],[G+V ajus PM Md]]-DatosHoy[[#This Row],[CT ajus PM Md]])</f>
        <v>-345924.77612205222</v>
      </c>
      <c r="BC109" s="94">
        <f>IF($BN109=$BN110,-1,DatosHoy[[#This Row],[G ajus PM Q3]]-BU110)</f>
        <v>-1</v>
      </c>
      <c r="BD109" s="94">
        <f>IF($BN109=$BN110,-1,DatosHoy[[#This Row],[G+V ajus PM Q3]]-BV110)</f>
        <v>-1</v>
      </c>
      <c r="BE109" s="94">
        <f>IF($BN109=$BN110,-1,DatosHoy[[#This Row],[CT ajus PM Q3]]-BW110)</f>
        <v>-1</v>
      </c>
      <c r="BF109" s="94">
        <f ca="1">IF(DatosHoy[[#This Row],[G ajus PM Q3]]=DatosHoy[[#This Row],[G+V ajus PM Q3]],-1,DatosHoy[[#This Row],[G ajus PM Q3]]-DatosHoy[[#This Row],[G+V ajus PM Q3]])</f>
        <v>-223256.03824959509</v>
      </c>
      <c r="BG109" s="94">
        <f ca="1">IF(DatosHoy[[#This Row],[G+V ajus PM Q3]]=DatosHoy[[#This Row],[CT ajus PM Q3]],-1,DatosHoy[[#This Row],[G+V ajus PM Q3]]-DatosHoy[[#This Row],[CT ajus PM Q3]])</f>
        <v>-201652.01720579527</v>
      </c>
      <c r="BH109" s="94">
        <f ca="1">IF(DatosHoy[[#This Row],[G ajus PM Q1]]=DatosHoy[[#This Row],[G ajus PMd]],-1,DatosHoy[[#This Row],[G ajus PM Q1]]-DatosHoy[[#This Row],[G ajus PMd]])</f>
        <v>-1762473.5342417751</v>
      </c>
      <c r="BI109" s="94">
        <f ca="1">IF(DatosHoy[[#This Row],[G+V ajus PM Q1]]=DatosHoy[[#This Row],[G+V ajus PM Md]],-1,DatosHoy[[#This Row],[G+V ajus PM Q1]]-DatosHoy[[#This Row],[G+V ajus PM Md]])</f>
        <v>-1960652.0850514118</v>
      </c>
      <c r="BJ109" s="94">
        <f ca="1">IF(DatosHoy[[#This Row],[CT ajus PM Q1]]=DatosHoy[[#This Row],[CT ajus PM Md]],-1,DatosHoy[[#This Row],[CT ajus PM Q1]]-DatosHoy[[#This Row],[CT ajus PM Md]])</f>
        <v>-2002409.6573320962</v>
      </c>
      <c r="BK109" s="94">
        <f ca="1">IF(DatosHoy[[#This Row],[G ajus PMd]]=DatosHoy[[#This Row],[G ajus PM Q3]],-1,DatosHoy[[#This Row],[G ajus PMd]]-DatosHoy[[#This Row],[G ajus PM Q3]])</f>
        <v>-593744.14596787281</v>
      </c>
      <c r="BL109" s="94">
        <f ca="1">IF(DatosHoy[[#This Row],[G+V ajus PM Md]]=DatosHoy[[#This Row],[G+V ajus PM Q3]],-1,DatosHoy[[#This Row],[G+V ajus PM Md]]-DatosHoy[[#This Row],[G+V ajus PM Q3]])</f>
        <v>-381484.00030991994</v>
      </c>
      <c r="BM109" s="94">
        <f ca="1">IF(DatosHoy[[#This Row],[CT ajus PM Md]]=DatosHoy[[#This Row],[CT ajus PM Q3]],-1,DatosHoy[[#This Row],[CT ajus PM Md]]-DatosHoy[[#This Row],[CT ajus PM Q3]])</f>
        <v>-237211.24139366299</v>
      </c>
      <c r="BN109" s="74">
        <v>436</v>
      </c>
      <c r="BO109" s="94">
        <f ca="1">IFERROR(VLOOKUP($BN109,'Regresion Q1'!$T$6:$V$10,2,1)*$BN109+VLOOKUP($BN109,'Regresion Q1'!$T$6:$V$10,3,1),VLOOKUP(MIN(DatosHoy[Puntos]),'Regresion Q1'!$T$6:$V$10,2,1)*$BN109+VLOOKUP(MIN(DatosHoy[Puntos]),'Regresion Q1'!$T$6:$V$10,3,1))</f>
        <v>6165585.4809838478</v>
      </c>
      <c r="BP109" s="94">
        <f ca="1">IFERROR(VLOOKUP($BN109,'Regresion Q1'!$W$6:$Y$10,2,1)*$BN109+VLOOKUP($BN109,'Regresion Q1'!$W$6:$Y$10,3,1),VLOOKUP(MIN(DatosHoy[Puntos]),'Regresion Q1'!$W$6:$Y$10,2,1)*$BN109+VLOOKUP(MIN(DatosHoy[Puntos]),'Regresion Q1'!$W$6:$Y$10,3,1))</f>
        <v>6402923.114081759</v>
      </c>
      <c r="BQ109" s="94">
        <f ca="1">IFERROR(VLOOKUP($BN109,'Regresion Q1'!$Z$6:$AB$10,2,1)*$BN109+VLOOKUP($BN109,'Regresion Q1'!$Z$6:$AB$10,3,1),VLOOKUP(MIN(DatosHoy[Puntos]),'Regresion Q1'!$Z$6:$AB$10,2,1)*$BN109+VLOOKUP(MIN(DatosHoy[Puntos]),'Regresion Q1'!$Z$6:$AB$10,3,1))</f>
        <v>6707090.3179231267</v>
      </c>
      <c r="BR109" s="94">
        <f ca="1">IFERROR(VLOOKUP($BN109,'Regresion Md'!$T$6:$V$10,2,1)*$BN109+VLOOKUP($BN109,'Regresion Md'!$T$6:$V$10,3,1),VLOOKUP(MIN(DatosHoy[Puntos]),'Regresion Md'!$T$6:$V$10,2,1)*$BN109+VLOOKUP(MIN(DatosHoy[Puntos]),'Regresion Md'!$T$6:$V$10,3,1))</f>
        <v>7928059.0152256228</v>
      </c>
      <c r="BS109" s="94">
        <f ca="1">IFERROR(VLOOKUP($BN109,'Regresion Md'!$W$6:$Y$10,2,1)*$BN109+VLOOKUP($BN109,'Regresion Md'!$W$6:$Y$10,3,1),VLOOKUP(MIN(DatosHoy[Puntos]),'Regresion Md'!$W$6:$Y$10,2,1)*$BN109+VLOOKUP(MIN(DatosHoy[Puntos]),'Regresion Md'!$W$6:$Y$10,3,1))</f>
        <v>8363575.1991331708</v>
      </c>
      <c r="BT109" s="94">
        <f ca="1">IFERROR(VLOOKUP($BN109,'Regresion Md'!$Z$6:$AB$10,2,1)*$BN109+VLOOKUP($BN109,'Regresion Md'!$Z$6:$AB$10,3,1),VLOOKUP(MIN(DatosHoy[Puntos]),'Regresion Md'!$Z$6:$AB$10,2,1)*$BN109+VLOOKUP(MIN(DatosHoy[Puntos]),'Regresion Md'!$Z$6:$AB$10,3,1))</f>
        <v>8709499.975255223</v>
      </c>
      <c r="BU109" s="94">
        <f ca="1">IFERROR(VLOOKUP($BN109,'Regresion Q3'!$T$6:$V$10,2,1)*$BN109+VLOOKUP($BN109,'Regresion Q3'!$T$6:$V$10,3,1),VLOOKUP(MIN(DatosHoy[Puntos]),'Regresion Q3'!$T$6:$V$10,2,1)*$BN109+VLOOKUP(MIN(DatosHoy[Puntos]),'Regresion Q3'!$T$6:$V$10,3,1))</f>
        <v>8521803.1611934956</v>
      </c>
      <c r="BV109" s="94">
        <f ca="1">IFERROR(VLOOKUP($BN109,'Regresion Q3'!$W$6:$Y$10,2,1)*$BN109+VLOOKUP($BN109,'Regresion Q3'!$W$6:$Y$10,3,1),VLOOKUP(MIN(DatosHoy[Puntos]),'Regresion Q3'!$W$6:$Y$10,2,1)*$BN109+VLOOKUP(MIN(DatosHoy[Puntos]),'Regresion Q3'!$W$6:$Y$10,3,1))</f>
        <v>8745059.1994430907</v>
      </c>
      <c r="BW109" s="94">
        <f ca="1">IFERROR(VLOOKUP($BN109,'Regresion Q3'!$Z$6:$AB$10,2,1)*$BN109+VLOOKUP($BN109,'Regresion Q3'!$Z$6:$AB$10,3,1),VLOOKUP(MIN(DatosHoy[Puntos]),'Regresion Q3'!$Z$6:$AB$10,2,1)*$BN109+VLOOKUP(MIN(DatosHoy[Puntos]),'Regresion Q3'!$Z$6:$AB$10,3,1))</f>
        <v>8946711.216648886</v>
      </c>
      <c r="BX109" s="96">
        <f ca="1">DatosHoy[[#This Row],[CT Actual]]/DatosHoy[[#This Row],[CT ajus PM Md]]</f>
        <v>0.63957239747701666</v>
      </c>
      <c r="BY109" s="125" t="str">
        <f>VLOOKUP(DatosHoy[[#This Row],[Cargo Valorado]],Estadísticos[[Cargo]:[Nivel]],2,FALSE)</f>
        <v>Táctico</v>
      </c>
      <c r="BZ109" s="96">
        <f>(DatosHoy[[#This Row],[G+V Actual]]-DatosHoy[[#This Row],[G Actual]])/DatosHoy[[#This Row],[CT Actual]]</f>
        <v>0</v>
      </c>
      <c r="CA109" s="96">
        <f>(DatosHoy[[#This Row],[CT Actual]]-DatosHoy[[#This Row],[G+V Actual]])/DatosHoy[[#This Row],[CT Actual]]</f>
        <v>0</v>
      </c>
      <c r="CB109" s="139" t="s">
        <v>255</v>
      </c>
    </row>
    <row r="110" spans="2:80" x14ac:dyDescent="0.25">
      <c r="B110" s="73">
        <f t="shared" si="56"/>
        <v>105</v>
      </c>
      <c r="C110" s="74">
        <v>5818633.1500000004</v>
      </c>
      <c r="D110" s="74">
        <v>5818633.1500000004</v>
      </c>
      <c r="E110" s="74">
        <v>5818633.1500000004</v>
      </c>
      <c r="F110" s="94">
        <f>VLOOKUP(DatosHoy[[#This Row],[Cargo Valorado]],Estadísticos[],3,0)</f>
        <v>5110824.4104303624</v>
      </c>
      <c r="G110" s="94">
        <f>VLOOKUP(DatosHoy[[#This Row],[Cargo Valorado]],Estadísticos[],4,0)</f>
        <v>5110824.4104303624</v>
      </c>
      <c r="H110" s="94">
        <f>VLOOKUP(DatosHoy[[#This Row],[Cargo Valorado]],Estadísticos[],5,0)</f>
        <v>5229150.9557439778</v>
      </c>
      <c r="I110" s="94">
        <f>VLOOKUP(DatosHoy[[#This Row],[Cargo Valorado]],Estadísticos[],6,0)</f>
        <v>5229150.9557439778</v>
      </c>
      <c r="J110" s="94">
        <f>VLOOKUP(DatosHoy[[#This Row],[Cargo Valorado]],Estadísticos[],7,0)</f>
        <v>5229150.9557439778</v>
      </c>
      <c r="K110" s="94">
        <f>VLOOKUP(DatosHoy[[#This Row],[Cargo Valorado]],Estadísticos[],8,0)</f>
        <v>5580112.8306619748</v>
      </c>
      <c r="L110" s="94">
        <f>VLOOKUP(DatosHoy[[#This Row],[Cargo Valorado]],Estadísticos[],9,0)</f>
        <v>6458923.2035587672</v>
      </c>
      <c r="M110" s="94">
        <f>VLOOKUP(DatosHoy[[#This Row],[Cargo Valorado]],Estadísticos[],10,0)</f>
        <v>6458923.2035587672</v>
      </c>
      <c r="N110" s="94">
        <f>VLOOKUP(DatosHoy[[#This Row],[Cargo Valorado]],Estadísticos[],11,0)</f>
        <v>6458923.2035587672</v>
      </c>
      <c r="O110" s="75" t="s">
        <v>211</v>
      </c>
      <c r="P110" s="75">
        <v>410</v>
      </c>
      <c r="Q110" s="95" t="str">
        <f t="shared" si="46"/>
        <v>$P$110</v>
      </c>
      <c r="R110" s="95" t="str">
        <f t="shared" si="47"/>
        <v>$F$110</v>
      </c>
      <c r="S110" s="95" t="str">
        <f t="shared" si="48"/>
        <v>$G$110</v>
      </c>
      <c r="T110" s="95" t="str">
        <f t="shared" si="49"/>
        <v>$H$110</v>
      </c>
      <c r="U110" s="95" t="str">
        <f t="shared" si="50"/>
        <v>$I$110</v>
      </c>
      <c r="V110" s="95" t="str">
        <f t="shared" si="51"/>
        <v>$J$110</v>
      </c>
      <c r="W110" s="95" t="str">
        <f t="shared" si="52"/>
        <v>$K$110</v>
      </c>
      <c r="X110" s="95" t="str">
        <f t="shared" si="53"/>
        <v>$L$110</v>
      </c>
      <c r="Y110" s="95" t="str">
        <f t="shared" si="54"/>
        <v>$M$110</v>
      </c>
      <c r="Z110" s="95" t="str">
        <f t="shared" si="55"/>
        <v>$N$110</v>
      </c>
      <c r="AA110" s="94">
        <f ca="1">VLOOKUP($P110,'Regresion Q1'!$E$6:$I$10,4,1)*$P110+VLOOKUP($P110,'Regresion Q1'!$E$6:$I$10,5,1)</f>
        <v>5308556.0471857376</v>
      </c>
      <c r="AB110" s="94">
        <f ca="1">VLOOKUP($P110,'Regresion Q1'!$J$6:$N$10,4,1)*$P110+VLOOKUP($P110,'Regresion Q1'!$J$6:$N$10,5,1)</f>
        <v>5531866.8370687589</v>
      </c>
      <c r="AC110" s="94">
        <f ca="1">VLOOKUP($P110,'Regresion Q1'!$O$6:$S$10,4,1)*$P110+VLOOKUP($P110,'Regresion Q1'!$O$6:$S$10,5,1)</f>
        <v>5793418.667979205</v>
      </c>
      <c r="AD110" s="94">
        <f ca="1">VLOOKUP($P110,'Regresion Md'!$E$6:$I$10,4,1)*$P110+VLOOKUP($P110,'Regresion Md'!$E$6:$I$10,5,1)</f>
        <v>7746317.6957537243</v>
      </c>
      <c r="AE110" s="94">
        <f ca="1">VLOOKUP($P110,'Regresion Md'!$J$6:$N$10,4,1)*$P110+VLOOKUP($P110,'Regresion Md'!$J$6:$N$10,5,1)</f>
        <v>7928417.5053931102</v>
      </c>
      <c r="AF110" s="94">
        <f ca="1">VLOOKUP($P110,'Regresion Md'!$O$6:$S$10,4,1)*$P110+VLOOKUP($P110,'Regresion Md'!$O$6:$S$10,5,1)</f>
        <v>8098346.0373851955</v>
      </c>
      <c r="AG110" s="94">
        <f ca="1">VLOOKUP($P110,'Regresion Q3'!$E$6:$I$10,4,1)*$P110+VLOOKUP($P110,'Regresion Q3'!$E$6:$I$10,5,1)</f>
        <v>8690189.6092330739</v>
      </c>
      <c r="AH110" s="94">
        <f ca="1">VLOOKUP($P110,'Regresion Q3'!$J$6:$N$10,4,1)*$P110+VLOOKUP($P110,'Regresion Q3'!$J$6:$N$10,5,1)</f>
        <v>8814955.9863744341</v>
      </c>
      <c r="AI110" s="94">
        <f ca="1">VLOOKUP($P110,'Regresion Q3'!$O$6:$S$10,4,1)*$P110+VLOOKUP($P110,'Regresion Q3'!$O$6:$S$10,5,1)</f>
        <v>8976912.2881472465</v>
      </c>
      <c r="AJ110" s="94">
        <f ca="1">VLOOKUP($P110,'Regresion Q1'!$T$6:$V$10,2,1)*$P110+VLOOKUP($P110,'Regresion Q1'!$T$6:$V$10,3,1)</f>
        <v>5365410.5267628971</v>
      </c>
      <c r="AK110" s="94">
        <f ca="1">VLOOKUP($P110,'Regresion Q1'!$W$6:$Y$10,2,1)*$P110+VLOOKUP($P110,'Regresion Q1'!$W$6:$Y$10,3,1)</f>
        <v>5553753.1129659712</v>
      </c>
      <c r="AL110" s="94">
        <f ca="1">VLOOKUP($P110,'Regresion Q1'!$Z$6:$AB$10,2,1)*$P110+VLOOKUP($P110,'Regresion Q1'!$Z$6:$AB$10,3,1)</f>
        <v>5830623.9234320298</v>
      </c>
      <c r="AM110" s="94">
        <f ca="1">VLOOKUP($P110,'Regresion Md'!$T$6:$V$10,2,1)*$P110+VLOOKUP($P110,'Regresion Md'!$T$6:$V$10,3,1)</f>
        <v>7331682.3340629172</v>
      </c>
      <c r="AN110" s="94">
        <f ca="1">VLOOKUP($P110,'Regresion Md'!$W$6:$Y$10,2,1)*$P110+VLOOKUP($P110,'Regresion Md'!$W$6:$Y$10,3,1)</f>
        <v>7717633.0934035219</v>
      </c>
      <c r="AO110" s="94">
        <f ca="1">VLOOKUP($P110,'Regresion Md'!$Z$6:$AB$10,2,1)*$P110+VLOOKUP($P110,'Regresion Md'!$Z$6:$AB$10,3,1)</f>
        <v>8045462.2855556197</v>
      </c>
      <c r="AP110" s="94">
        <f ca="1">VLOOKUP($P110,'Regresion Q3'!$T$6:$V$10,2,1)*$P110+VLOOKUP($P110,'Regresion Q3'!$T$6:$V$10,3,1)</f>
        <v>8041833.3250281904</v>
      </c>
      <c r="AQ110" s="94">
        <f ca="1">VLOOKUP($P110,'Regresion Q3'!$W$6:$Y$10,2,1)*$P110+VLOOKUP($P110,'Regresion Q3'!$W$6:$Y$10,3,1)</f>
        <v>8253785.8068771074</v>
      </c>
      <c r="AR110" s="94">
        <f ca="1">VLOOKUP($P110,'Regresion Q3'!$Z$6:$AB$10,2,1)*$P110+VLOOKUP($P110,'Regresion Q3'!$Z$6:$AB$10,3,1)</f>
        <v>8446192.3839172274</v>
      </c>
      <c r="AS110" s="94">
        <f>IF($BN110=$BN111,-1,DatosHoy[[#This Row],[G ajus PM Q1]]-BO111)</f>
        <v>-1</v>
      </c>
      <c r="AT110" s="94">
        <f>IF($BN110=$BN111,-1,DatosHoy[[#This Row],[G+V ajus PM Q1]]-BP111)</f>
        <v>-1</v>
      </c>
      <c r="AU110" s="94">
        <f>IF($BN110=$BN111,-1,DatosHoy[[#This Row],[CT ajus PM Q1]]-BQ111)</f>
        <v>-1</v>
      </c>
      <c r="AV110" s="94">
        <f ca="1">IF(DatosHoy[[#This Row],[G ajus PM Q1]]=DatosHoy[[#This Row],[G+V ajus PM Q1]],-1,DatosHoy[[#This Row],[G ajus PM Q1]]-DatosHoy[[#This Row],[G+V ajus PM Q1]])</f>
        <v>-237337.63309791125</v>
      </c>
      <c r="AW110" s="94">
        <f ca="1">IF(DatosHoy[[#This Row],[G+V ajus PM Q1]]=DatosHoy[[#This Row],[CT ajus PM Q1]],-1,DatosHoy[[#This Row],[G+V ajus PM Q1]]-DatosHoy[[#This Row],[CT ajus PM Q1]])</f>
        <v>-304167.20384136774</v>
      </c>
      <c r="AX110" s="94">
        <f>IF($BN110=$BN111,-1,DatosHoy[[#This Row],[G ajus PMd]]-BR111)</f>
        <v>-1</v>
      </c>
      <c r="AY110" s="94">
        <f>IF($BN110=$BN111,-1,DatosHoy[[#This Row],[G+V ajus PM Md]]-BS111)</f>
        <v>-1</v>
      </c>
      <c r="AZ110" s="94">
        <f>IF($BN110=$BN111,-1,DatosHoy[[#This Row],[CT ajus PM Md]]-BT111)</f>
        <v>-1</v>
      </c>
      <c r="BA110" s="94">
        <f ca="1">IF(DatosHoy[[#This Row],[G ajus PMd]]=DatosHoy[[#This Row],[G+V ajus PM Md]],-1,DatosHoy[[#This Row],[G ajus PMd]]-DatosHoy[[#This Row],[G+V ajus PM Md]])</f>
        <v>-435516.18390754797</v>
      </c>
      <c r="BB110" s="94">
        <f ca="1">IF(DatosHoy[[#This Row],[G+V ajus PM Md]]=DatosHoy[[#This Row],[CT ajus PM Md]],-1,DatosHoy[[#This Row],[G+V ajus PM Md]]-DatosHoy[[#This Row],[CT ajus PM Md]])</f>
        <v>-345924.77612205222</v>
      </c>
      <c r="BC110" s="94">
        <f>IF($BN110=$BN111,-1,DatosHoy[[#This Row],[G ajus PM Q3]]-BU111)</f>
        <v>-1</v>
      </c>
      <c r="BD110" s="94">
        <f>IF($BN110=$BN111,-1,DatosHoy[[#This Row],[G+V ajus PM Q3]]-BV111)</f>
        <v>-1</v>
      </c>
      <c r="BE110" s="94">
        <f>IF($BN110=$BN111,-1,DatosHoy[[#This Row],[CT ajus PM Q3]]-BW111)</f>
        <v>-1</v>
      </c>
      <c r="BF110" s="94">
        <f ca="1">IF(DatosHoy[[#This Row],[G ajus PM Q3]]=DatosHoy[[#This Row],[G+V ajus PM Q3]],-1,DatosHoy[[#This Row],[G ajus PM Q3]]-DatosHoy[[#This Row],[G+V ajus PM Q3]])</f>
        <v>-223256.03824959509</v>
      </c>
      <c r="BG110" s="94">
        <f ca="1">IF(DatosHoy[[#This Row],[G+V ajus PM Q3]]=DatosHoy[[#This Row],[CT ajus PM Q3]],-1,DatosHoy[[#This Row],[G+V ajus PM Q3]]-DatosHoy[[#This Row],[CT ajus PM Q3]])</f>
        <v>-201652.01720579527</v>
      </c>
      <c r="BH110" s="94">
        <f ca="1">IF(DatosHoy[[#This Row],[G ajus PM Q1]]=DatosHoy[[#This Row],[G ajus PMd]],-1,DatosHoy[[#This Row],[G ajus PM Q1]]-DatosHoy[[#This Row],[G ajus PMd]])</f>
        <v>-1762473.5342417751</v>
      </c>
      <c r="BI110" s="94">
        <f ca="1">IF(DatosHoy[[#This Row],[G+V ajus PM Q1]]=DatosHoy[[#This Row],[G+V ajus PM Md]],-1,DatosHoy[[#This Row],[G+V ajus PM Q1]]-DatosHoy[[#This Row],[G+V ajus PM Md]])</f>
        <v>-1960652.0850514118</v>
      </c>
      <c r="BJ110" s="94">
        <f ca="1">IF(DatosHoy[[#This Row],[CT ajus PM Q1]]=DatosHoy[[#This Row],[CT ajus PM Md]],-1,DatosHoy[[#This Row],[CT ajus PM Q1]]-DatosHoy[[#This Row],[CT ajus PM Md]])</f>
        <v>-2002409.6573320962</v>
      </c>
      <c r="BK110" s="94">
        <f ca="1">IF(DatosHoy[[#This Row],[G ajus PMd]]=DatosHoy[[#This Row],[G ajus PM Q3]],-1,DatosHoy[[#This Row],[G ajus PMd]]-DatosHoy[[#This Row],[G ajus PM Q3]])</f>
        <v>-593744.14596787281</v>
      </c>
      <c r="BL110" s="94">
        <f ca="1">IF(DatosHoy[[#This Row],[G+V ajus PM Md]]=DatosHoy[[#This Row],[G+V ajus PM Q3]],-1,DatosHoy[[#This Row],[G+V ajus PM Md]]-DatosHoy[[#This Row],[G+V ajus PM Q3]])</f>
        <v>-381484.00030991994</v>
      </c>
      <c r="BM110" s="94">
        <f ca="1">IF(DatosHoy[[#This Row],[CT ajus PM Md]]=DatosHoy[[#This Row],[CT ajus PM Q3]],-1,DatosHoy[[#This Row],[CT ajus PM Md]]-DatosHoy[[#This Row],[CT ajus PM Q3]])</f>
        <v>-237211.24139366299</v>
      </c>
      <c r="BN110" s="74">
        <v>436</v>
      </c>
      <c r="BO110" s="94">
        <f ca="1">IFERROR(VLOOKUP($BN110,'Regresion Q1'!$T$6:$V$10,2,1)*$BN110+VLOOKUP($BN110,'Regresion Q1'!$T$6:$V$10,3,1),VLOOKUP(MIN(DatosHoy[Puntos]),'Regresion Q1'!$T$6:$V$10,2,1)*$BN110+VLOOKUP(MIN(DatosHoy[Puntos]),'Regresion Q1'!$T$6:$V$10,3,1))</f>
        <v>6165585.4809838478</v>
      </c>
      <c r="BP110" s="94">
        <f ca="1">IFERROR(VLOOKUP($BN110,'Regresion Q1'!$W$6:$Y$10,2,1)*$BN110+VLOOKUP($BN110,'Regresion Q1'!$W$6:$Y$10,3,1),VLOOKUP(MIN(DatosHoy[Puntos]),'Regresion Q1'!$W$6:$Y$10,2,1)*$BN110+VLOOKUP(MIN(DatosHoy[Puntos]),'Regresion Q1'!$W$6:$Y$10,3,1))</f>
        <v>6402923.114081759</v>
      </c>
      <c r="BQ110" s="94">
        <f ca="1">IFERROR(VLOOKUP($BN110,'Regresion Q1'!$Z$6:$AB$10,2,1)*$BN110+VLOOKUP($BN110,'Regresion Q1'!$Z$6:$AB$10,3,1),VLOOKUP(MIN(DatosHoy[Puntos]),'Regresion Q1'!$Z$6:$AB$10,2,1)*$BN110+VLOOKUP(MIN(DatosHoy[Puntos]),'Regresion Q1'!$Z$6:$AB$10,3,1))</f>
        <v>6707090.3179231267</v>
      </c>
      <c r="BR110" s="94">
        <f ca="1">IFERROR(VLOOKUP($BN110,'Regresion Md'!$T$6:$V$10,2,1)*$BN110+VLOOKUP($BN110,'Regresion Md'!$T$6:$V$10,3,1),VLOOKUP(MIN(DatosHoy[Puntos]),'Regresion Md'!$T$6:$V$10,2,1)*$BN110+VLOOKUP(MIN(DatosHoy[Puntos]),'Regresion Md'!$T$6:$V$10,3,1))</f>
        <v>7928059.0152256228</v>
      </c>
      <c r="BS110" s="94">
        <f ca="1">IFERROR(VLOOKUP($BN110,'Regresion Md'!$W$6:$Y$10,2,1)*$BN110+VLOOKUP($BN110,'Regresion Md'!$W$6:$Y$10,3,1),VLOOKUP(MIN(DatosHoy[Puntos]),'Regresion Md'!$W$6:$Y$10,2,1)*$BN110+VLOOKUP(MIN(DatosHoy[Puntos]),'Regresion Md'!$W$6:$Y$10,3,1))</f>
        <v>8363575.1991331708</v>
      </c>
      <c r="BT110" s="94">
        <f ca="1">IFERROR(VLOOKUP($BN110,'Regresion Md'!$Z$6:$AB$10,2,1)*$BN110+VLOOKUP($BN110,'Regresion Md'!$Z$6:$AB$10,3,1),VLOOKUP(MIN(DatosHoy[Puntos]),'Regresion Md'!$Z$6:$AB$10,2,1)*$BN110+VLOOKUP(MIN(DatosHoy[Puntos]),'Regresion Md'!$Z$6:$AB$10,3,1))</f>
        <v>8709499.975255223</v>
      </c>
      <c r="BU110" s="94">
        <f ca="1">IFERROR(VLOOKUP($BN110,'Regresion Q3'!$T$6:$V$10,2,1)*$BN110+VLOOKUP($BN110,'Regresion Q3'!$T$6:$V$10,3,1),VLOOKUP(MIN(DatosHoy[Puntos]),'Regresion Q3'!$T$6:$V$10,2,1)*$BN110+VLOOKUP(MIN(DatosHoy[Puntos]),'Regresion Q3'!$T$6:$V$10,3,1))</f>
        <v>8521803.1611934956</v>
      </c>
      <c r="BV110" s="94">
        <f ca="1">IFERROR(VLOOKUP($BN110,'Regresion Q3'!$W$6:$Y$10,2,1)*$BN110+VLOOKUP($BN110,'Regresion Q3'!$W$6:$Y$10,3,1),VLOOKUP(MIN(DatosHoy[Puntos]),'Regresion Q3'!$W$6:$Y$10,2,1)*$BN110+VLOOKUP(MIN(DatosHoy[Puntos]),'Regresion Q3'!$W$6:$Y$10,3,1))</f>
        <v>8745059.1994430907</v>
      </c>
      <c r="BW110" s="94">
        <f ca="1">IFERROR(VLOOKUP($BN110,'Regresion Q3'!$Z$6:$AB$10,2,1)*$BN110+VLOOKUP($BN110,'Regresion Q3'!$Z$6:$AB$10,3,1),VLOOKUP(MIN(DatosHoy[Puntos]),'Regresion Q3'!$Z$6:$AB$10,2,1)*$BN110+VLOOKUP(MIN(DatosHoy[Puntos]),'Regresion Q3'!$Z$6:$AB$10,3,1))</f>
        <v>8946711.216648886</v>
      </c>
      <c r="BX110" s="96">
        <f ca="1">DatosHoy[[#This Row],[CT Actual]]/DatosHoy[[#This Row],[CT ajus PM Md]]</f>
        <v>0.66807889850524871</v>
      </c>
      <c r="BY110" s="125" t="str">
        <f>VLOOKUP(DatosHoy[[#This Row],[Cargo Valorado]],Estadísticos[[Cargo]:[Nivel]],2,FALSE)</f>
        <v>Táctico</v>
      </c>
      <c r="BZ110" s="96">
        <f>(DatosHoy[[#This Row],[G+V Actual]]-DatosHoy[[#This Row],[G Actual]])/DatosHoy[[#This Row],[CT Actual]]</f>
        <v>0</v>
      </c>
      <c r="CA110" s="96">
        <f>(DatosHoy[[#This Row],[CT Actual]]-DatosHoy[[#This Row],[G+V Actual]])/DatosHoy[[#This Row],[CT Actual]]</f>
        <v>0</v>
      </c>
      <c r="CB110" s="139" t="s">
        <v>255</v>
      </c>
    </row>
    <row r="111" spans="2:80" x14ac:dyDescent="0.25">
      <c r="B111" s="73">
        <f t="shared" si="56"/>
        <v>106</v>
      </c>
      <c r="C111" s="74">
        <v>11251318.540000001</v>
      </c>
      <c r="D111" s="74">
        <v>11251318.540000001</v>
      </c>
      <c r="E111" s="74">
        <v>11251318.540000001</v>
      </c>
      <c r="F111" s="94">
        <f>VLOOKUP(DatosHoy[[#This Row],[Cargo Valorado]],Estadísticos[],3,0)</f>
        <v>6699561.9990374036</v>
      </c>
      <c r="G111" s="94">
        <f>VLOOKUP(DatosHoy[[#This Row],[Cargo Valorado]],Estadísticos[],4,0)</f>
        <v>6699561.9990374036</v>
      </c>
      <c r="H111" s="94">
        <f>VLOOKUP(DatosHoy[[#This Row],[Cargo Valorado]],Estadísticos[],5,0)</f>
        <v>6699561.9990374036</v>
      </c>
      <c r="I111" s="94">
        <f>VLOOKUP(DatosHoy[[#This Row],[Cargo Valorado]],Estadísticos[],6,0)</f>
        <v>10687967.952967066</v>
      </c>
      <c r="J111" s="94">
        <f>VLOOKUP(DatosHoy[[#This Row],[Cargo Valorado]],Estadísticos[],7,0)</f>
        <v>11166717.238259573</v>
      </c>
      <c r="K111" s="94">
        <f>VLOOKUP(DatosHoy[[#This Row],[Cargo Valorado]],Estadísticos[],8,0)</f>
        <v>11229202.785150416</v>
      </c>
      <c r="L111" s="94">
        <f>VLOOKUP(DatosHoy[[#This Row],[Cargo Valorado]],Estadísticos[],9,0)</f>
        <v>15289230.673820298</v>
      </c>
      <c r="M111" s="94">
        <f>VLOOKUP(DatosHoy[[#This Row],[Cargo Valorado]],Estadísticos[],10,0)</f>
        <v>15528605.316466551</v>
      </c>
      <c r="N111" s="94">
        <f>VLOOKUP(DatosHoy[[#This Row],[Cargo Valorado]],Estadísticos[],11,0)</f>
        <v>15594663.649575708</v>
      </c>
      <c r="O111" s="75" t="s">
        <v>209</v>
      </c>
      <c r="P111" s="75">
        <v>420</v>
      </c>
      <c r="Q111" s="95" t="str">
        <f t="shared" ref="Q111:Q123" si="57">"$"&amp;"P"&amp;"$"&amp;ROW()</f>
        <v>$P$111</v>
      </c>
      <c r="R111" s="95" t="str">
        <f t="shared" ref="R111:R123" si="58">"$"&amp;"F"&amp;"$"&amp;ROW()</f>
        <v>$F$111</v>
      </c>
      <c r="S111" s="95" t="str">
        <f t="shared" ref="S111:S123" si="59">"$"&amp;"G"&amp;"$"&amp;ROW()</f>
        <v>$G$111</v>
      </c>
      <c r="T111" s="95" t="str">
        <f t="shared" ref="T111:T123" si="60">"$"&amp;"H"&amp;"$"&amp;ROW()</f>
        <v>$H$111</v>
      </c>
      <c r="U111" s="95" t="str">
        <f t="shared" ref="U111:U123" si="61">"$"&amp;"I"&amp;"$"&amp;ROW()</f>
        <v>$I$111</v>
      </c>
      <c r="V111" s="95" t="str">
        <f t="shared" ref="V111:V123" si="62">"$"&amp;"J"&amp;"$"&amp;ROW()</f>
        <v>$J$111</v>
      </c>
      <c r="W111" s="95" t="str">
        <f t="shared" ref="W111:W123" si="63">"$"&amp;"K"&amp;"$"&amp;ROW()</f>
        <v>$K$111</v>
      </c>
      <c r="X111" s="95" t="str">
        <f t="shared" ref="X111:X123" si="64">"$"&amp;"L"&amp;"$"&amp;ROW()</f>
        <v>$L$111</v>
      </c>
      <c r="Y111" s="95" t="str">
        <f t="shared" ref="Y111:Y123" si="65">"$"&amp;"M"&amp;"$"&amp;ROW()</f>
        <v>$M$111</v>
      </c>
      <c r="Z111" s="95" t="str">
        <f t="shared" ref="Z111:Z123" si="66">"$"&amp;"N"&amp;"$"&amp;ROW()</f>
        <v>$N$111</v>
      </c>
      <c r="AA111" s="94">
        <f ca="1">VLOOKUP($P111,'Regresion Q1'!$E$6:$I$10,4,1)*$P111+VLOOKUP($P111,'Regresion Q1'!$E$6:$I$10,5,1)</f>
        <v>5575705.3024079129</v>
      </c>
      <c r="AB111" s="94">
        <f ca="1">VLOOKUP($P111,'Regresion Q1'!$J$6:$N$10,4,1)*$P111+VLOOKUP($P111,'Regresion Q1'!$J$6:$N$10,5,1)</f>
        <v>5842837.6294394583</v>
      </c>
      <c r="AC111" s="94">
        <f ca="1">VLOOKUP($P111,'Regresion Q1'!$O$6:$S$10,4,1)*$P111+VLOOKUP($P111,'Regresion Q1'!$O$6:$S$10,5,1)</f>
        <v>6103945.9449325539</v>
      </c>
      <c r="AD111" s="94">
        <f ca="1">VLOOKUP($P111,'Regresion Md'!$E$6:$I$10,4,1)*$P111+VLOOKUP($P111,'Regresion Md'!$E$6:$I$10,5,1)</f>
        <v>7997177.0398516981</v>
      </c>
      <c r="AE111" s="94">
        <f ca="1">VLOOKUP($P111,'Regresion Md'!$J$6:$N$10,4,1)*$P111+VLOOKUP($P111,'Regresion Md'!$J$6:$N$10,5,1)</f>
        <v>8187778.2489514034</v>
      </c>
      <c r="AF111" s="94">
        <f ca="1">VLOOKUP($P111,'Regresion Md'!$O$6:$S$10,4,1)*$P111+VLOOKUP($P111,'Regresion Md'!$O$6:$S$10,5,1)</f>
        <v>8356485.2395764906</v>
      </c>
      <c r="AG111" s="94">
        <f ca="1">VLOOKUP($P111,'Regresion Q3'!$E$6:$I$10,4,1)*$P111+VLOOKUP($P111,'Regresion Q3'!$E$6:$I$10,5,1)</f>
        <v>8939117.4877266996</v>
      </c>
      <c r="AH111" s="94">
        <f ca="1">VLOOKUP($P111,'Regresion Q3'!$J$6:$N$10,4,1)*$P111+VLOOKUP($P111,'Regresion Q3'!$J$6:$N$10,5,1)</f>
        <v>9067024.5045853108</v>
      </c>
      <c r="AI111" s="94">
        <f ca="1">VLOOKUP($P111,'Regresion Q3'!$O$6:$S$10,4,1)*$P111+VLOOKUP($P111,'Regresion Q3'!$O$6:$S$10,5,1)</f>
        <v>9227489.3924727123</v>
      </c>
      <c r="AJ111" s="94">
        <f ca="1">VLOOKUP($P111,'Regresion Q1'!$T$6:$V$10,2,1)*$P111+VLOOKUP($P111,'Regresion Q1'!$T$6:$V$10,3,1)</f>
        <v>5673170.1245401856</v>
      </c>
      <c r="AK111" s="94">
        <f ca="1">VLOOKUP($P111,'Regresion Q1'!$W$6:$Y$10,2,1)*$P111+VLOOKUP($P111,'Regresion Q1'!$W$6:$Y$10,3,1)</f>
        <v>5880356.959548967</v>
      </c>
      <c r="AL111" s="94">
        <f ca="1">VLOOKUP($P111,'Regresion Q1'!$Z$6:$AB$10,2,1)*$P111+VLOOKUP($P111,'Regresion Q1'!$Z$6:$AB$10,3,1)</f>
        <v>6167726.3828516826</v>
      </c>
      <c r="AM111" s="94">
        <f ca="1">VLOOKUP($P111,'Regresion Md'!$T$6:$V$10,2,1)*$P111+VLOOKUP($P111,'Regresion Md'!$T$6:$V$10,3,1)</f>
        <v>7561057.9806639571</v>
      </c>
      <c r="AN111" s="94">
        <f ca="1">VLOOKUP($P111,'Regresion Md'!$W$6:$Y$10,2,1)*$P111+VLOOKUP($P111,'Regresion Md'!$W$6:$Y$10,3,1)</f>
        <v>7966072.3648380022</v>
      </c>
      <c r="AO111" s="94">
        <f ca="1">VLOOKUP($P111,'Regresion Md'!$Z$6:$AB$10,2,1)*$P111+VLOOKUP($P111,'Regresion Md'!$Z$6:$AB$10,3,1)</f>
        <v>8300861.3969785441</v>
      </c>
      <c r="AP111" s="94">
        <f ca="1">VLOOKUP($P111,'Regresion Q3'!$T$6:$V$10,2,1)*$P111+VLOOKUP($P111,'Regresion Q3'!$T$6:$V$10,3,1)</f>
        <v>8226437.1081686923</v>
      </c>
      <c r="AQ111" s="94">
        <f ca="1">VLOOKUP($P111,'Regresion Q3'!$W$6:$Y$10,2,1)*$P111+VLOOKUP($P111,'Regresion Q3'!$W$6:$Y$10,3,1)</f>
        <v>8442737.1117101777</v>
      </c>
      <c r="AR111" s="94">
        <f ca="1">VLOOKUP($P111,'Regresion Q3'!$Z$6:$AB$10,2,1)*$P111+VLOOKUP($P111,'Regresion Q3'!$Z$6:$AB$10,3,1)</f>
        <v>8638699.6272755582</v>
      </c>
      <c r="AS111" s="94">
        <f>IF($BN111=$BN112,-1,DatosHoy[[#This Row],[G ajus PM Q1]]-BO112)</f>
        <v>-1</v>
      </c>
      <c r="AT111" s="94">
        <f>IF($BN111=$BN112,-1,DatosHoy[[#This Row],[G+V ajus PM Q1]]-BP112)</f>
        <v>-1</v>
      </c>
      <c r="AU111" s="94">
        <f>IF($BN111=$BN112,-1,DatosHoy[[#This Row],[CT ajus PM Q1]]-BQ112)</f>
        <v>-1</v>
      </c>
      <c r="AV111" s="94">
        <f ca="1">IF(DatosHoy[[#This Row],[G ajus PM Q1]]=DatosHoy[[#This Row],[G+V ajus PM Q1]],-1,DatosHoy[[#This Row],[G ajus PM Q1]]-DatosHoy[[#This Row],[G+V ajus PM Q1]])</f>
        <v>-237337.63309791125</v>
      </c>
      <c r="AW111" s="94">
        <f ca="1">IF(DatosHoy[[#This Row],[G+V ajus PM Q1]]=DatosHoy[[#This Row],[CT ajus PM Q1]],-1,DatosHoy[[#This Row],[G+V ajus PM Q1]]-DatosHoy[[#This Row],[CT ajus PM Q1]])</f>
        <v>-304167.20384136774</v>
      </c>
      <c r="AX111" s="94">
        <f>IF($BN111=$BN112,-1,DatosHoy[[#This Row],[G ajus PMd]]-BR112)</f>
        <v>-1</v>
      </c>
      <c r="AY111" s="94">
        <f>IF($BN111=$BN112,-1,DatosHoy[[#This Row],[G+V ajus PM Md]]-BS112)</f>
        <v>-1</v>
      </c>
      <c r="AZ111" s="94">
        <f>IF($BN111=$BN112,-1,DatosHoy[[#This Row],[CT ajus PM Md]]-BT112)</f>
        <v>-1</v>
      </c>
      <c r="BA111" s="94">
        <f ca="1">IF(DatosHoy[[#This Row],[G ajus PMd]]=DatosHoy[[#This Row],[G+V ajus PM Md]],-1,DatosHoy[[#This Row],[G ajus PMd]]-DatosHoy[[#This Row],[G+V ajus PM Md]])</f>
        <v>-435516.18390754797</v>
      </c>
      <c r="BB111" s="94">
        <f ca="1">IF(DatosHoy[[#This Row],[G+V ajus PM Md]]=DatosHoy[[#This Row],[CT ajus PM Md]],-1,DatosHoy[[#This Row],[G+V ajus PM Md]]-DatosHoy[[#This Row],[CT ajus PM Md]])</f>
        <v>-345924.77612205222</v>
      </c>
      <c r="BC111" s="94">
        <f>IF($BN111=$BN112,-1,DatosHoy[[#This Row],[G ajus PM Q3]]-BU112)</f>
        <v>-1</v>
      </c>
      <c r="BD111" s="94">
        <f>IF($BN111=$BN112,-1,DatosHoy[[#This Row],[G+V ajus PM Q3]]-BV112)</f>
        <v>-1</v>
      </c>
      <c r="BE111" s="94">
        <f>IF($BN111=$BN112,-1,DatosHoy[[#This Row],[CT ajus PM Q3]]-BW112)</f>
        <v>-1</v>
      </c>
      <c r="BF111" s="94">
        <f ca="1">IF(DatosHoy[[#This Row],[G ajus PM Q3]]=DatosHoy[[#This Row],[G+V ajus PM Q3]],-1,DatosHoy[[#This Row],[G ajus PM Q3]]-DatosHoy[[#This Row],[G+V ajus PM Q3]])</f>
        <v>-223256.03824959509</v>
      </c>
      <c r="BG111" s="94">
        <f ca="1">IF(DatosHoy[[#This Row],[G+V ajus PM Q3]]=DatosHoy[[#This Row],[CT ajus PM Q3]],-1,DatosHoy[[#This Row],[G+V ajus PM Q3]]-DatosHoy[[#This Row],[CT ajus PM Q3]])</f>
        <v>-201652.01720579527</v>
      </c>
      <c r="BH111" s="94">
        <f ca="1">IF(DatosHoy[[#This Row],[G ajus PM Q1]]=DatosHoy[[#This Row],[G ajus PMd]],-1,DatosHoy[[#This Row],[G ajus PM Q1]]-DatosHoy[[#This Row],[G ajus PMd]])</f>
        <v>-1762473.5342417751</v>
      </c>
      <c r="BI111" s="94">
        <f ca="1">IF(DatosHoy[[#This Row],[G+V ajus PM Q1]]=DatosHoy[[#This Row],[G+V ajus PM Md]],-1,DatosHoy[[#This Row],[G+V ajus PM Q1]]-DatosHoy[[#This Row],[G+V ajus PM Md]])</f>
        <v>-1960652.0850514118</v>
      </c>
      <c r="BJ111" s="94">
        <f ca="1">IF(DatosHoy[[#This Row],[CT ajus PM Q1]]=DatosHoy[[#This Row],[CT ajus PM Md]],-1,DatosHoy[[#This Row],[CT ajus PM Q1]]-DatosHoy[[#This Row],[CT ajus PM Md]])</f>
        <v>-2002409.6573320962</v>
      </c>
      <c r="BK111" s="94">
        <f ca="1">IF(DatosHoy[[#This Row],[G ajus PMd]]=DatosHoy[[#This Row],[G ajus PM Q3]],-1,DatosHoy[[#This Row],[G ajus PMd]]-DatosHoy[[#This Row],[G ajus PM Q3]])</f>
        <v>-593744.14596787281</v>
      </c>
      <c r="BL111" s="94">
        <f ca="1">IF(DatosHoy[[#This Row],[G+V ajus PM Md]]=DatosHoy[[#This Row],[G+V ajus PM Q3]],-1,DatosHoy[[#This Row],[G+V ajus PM Md]]-DatosHoy[[#This Row],[G+V ajus PM Q3]])</f>
        <v>-381484.00030991994</v>
      </c>
      <c r="BM111" s="94">
        <f ca="1">IF(DatosHoy[[#This Row],[CT ajus PM Md]]=DatosHoy[[#This Row],[CT ajus PM Q3]],-1,DatosHoy[[#This Row],[CT ajus PM Md]]-DatosHoy[[#This Row],[CT ajus PM Q3]])</f>
        <v>-237211.24139366299</v>
      </c>
      <c r="BN111" s="74">
        <v>436</v>
      </c>
      <c r="BO111" s="94">
        <f ca="1">IFERROR(VLOOKUP($BN111,'Regresion Q1'!$T$6:$V$10,2,1)*$BN111+VLOOKUP($BN111,'Regresion Q1'!$T$6:$V$10,3,1),VLOOKUP(MIN(DatosHoy[Puntos]),'Regresion Q1'!$T$6:$V$10,2,1)*$BN111+VLOOKUP(MIN(DatosHoy[Puntos]),'Regresion Q1'!$T$6:$V$10,3,1))</f>
        <v>6165585.4809838478</v>
      </c>
      <c r="BP111" s="94">
        <f ca="1">IFERROR(VLOOKUP($BN111,'Regresion Q1'!$W$6:$Y$10,2,1)*$BN111+VLOOKUP($BN111,'Regresion Q1'!$W$6:$Y$10,3,1),VLOOKUP(MIN(DatosHoy[Puntos]),'Regresion Q1'!$W$6:$Y$10,2,1)*$BN111+VLOOKUP(MIN(DatosHoy[Puntos]),'Regresion Q1'!$W$6:$Y$10,3,1))</f>
        <v>6402923.114081759</v>
      </c>
      <c r="BQ111" s="94">
        <f ca="1">IFERROR(VLOOKUP($BN111,'Regresion Q1'!$Z$6:$AB$10,2,1)*$BN111+VLOOKUP($BN111,'Regresion Q1'!$Z$6:$AB$10,3,1),VLOOKUP(MIN(DatosHoy[Puntos]),'Regresion Q1'!$Z$6:$AB$10,2,1)*$BN111+VLOOKUP(MIN(DatosHoy[Puntos]),'Regresion Q1'!$Z$6:$AB$10,3,1))</f>
        <v>6707090.3179231267</v>
      </c>
      <c r="BR111" s="94">
        <f ca="1">IFERROR(VLOOKUP($BN111,'Regresion Md'!$T$6:$V$10,2,1)*$BN111+VLOOKUP($BN111,'Regresion Md'!$T$6:$V$10,3,1),VLOOKUP(MIN(DatosHoy[Puntos]),'Regresion Md'!$T$6:$V$10,2,1)*$BN111+VLOOKUP(MIN(DatosHoy[Puntos]),'Regresion Md'!$T$6:$V$10,3,1))</f>
        <v>7928059.0152256228</v>
      </c>
      <c r="BS111" s="94">
        <f ca="1">IFERROR(VLOOKUP($BN111,'Regresion Md'!$W$6:$Y$10,2,1)*$BN111+VLOOKUP($BN111,'Regresion Md'!$W$6:$Y$10,3,1),VLOOKUP(MIN(DatosHoy[Puntos]),'Regresion Md'!$W$6:$Y$10,2,1)*$BN111+VLOOKUP(MIN(DatosHoy[Puntos]),'Regresion Md'!$W$6:$Y$10,3,1))</f>
        <v>8363575.1991331708</v>
      </c>
      <c r="BT111" s="94">
        <f ca="1">IFERROR(VLOOKUP($BN111,'Regresion Md'!$Z$6:$AB$10,2,1)*$BN111+VLOOKUP($BN111,'Regresion Md'!$Z$6:$AB$10,3,1),VLOOKUP(MIN(DatosHoy[Puntos]),'Regresion Md'!$Z$6:$AB$10,2,1)*$BN111+VLOOKUP(MIN(DatosHoy[Puntos]),'Regresion Md'!$Z$6:$AB$10,3,1))</f>
        <v>8709499.975255223</v>
      </c>
      <c r="BU111" s="94">
        <f ca="1">IFERROR(VLOOKUP($BN111,'Regresion Q3'!$T$6:$V$10,2,1)*$BN111+VLOOKUP($BN111,'Regresion Q3'!$T$6:$V$10,3,1),VLOOKUP(MIN(DatosHoy[Puntos]),'Regresion Q3'!$T$6:$V$10,2,1)*$BN111+VLOOKUP(MIN(DatosHoy[Puntos]),'Regresion Q3'!$T$6:$V$10,3,1))</f>
        <v>8521803.1611934956</v>
      </c>
      <c r="BV111" s="94">
        <f ca="1">IFERROR(VLOOKUP($BN111,'Regresion Q3'!$W$6:$Y$10,2,1)*$BN111+VLOOKUP($BN111,'Regresion Q3'!$W$6:$Y$10,3,1),VLOOKUP(MIN(DatosHoy[Puntos]),'Regresion Q3'!$W$6:$Y$10,2,1)*$BN111+VLOOKUP(MIN(DatosHoy[Puntos]),'Regresion Q3'!$W$6:$Y$10,3,1))</f>
        <v>8745059.1994430907</v>
      </c>
      <c r="BW111" s="94">
        <f ca="1">IFERROR(VLOOKUP($BN111,'Regresion Q3'!$Z$6:$AB$10,2,1)*$BN111+VLOOKUP($BN111,'Regresion Q3'!$Z$6:$AB$10,3,1),VLOOKUP(MIN(DatosHoy[Puntos]),'Regresion Q3'!$Z$6:$AB$10,2,1)*$BN111+VLOOKUP(MIN(DatosHoy[Puntos]),'Regresion Q3'!$Z$6:$AB$10,3,1))</f>
        <v>8946711.216648886</v>
      </c>
      <c r="BX111" s="96">
        <f ca="1">DatosHoy[[#This Row],[CT Actual]]/DatosHoy[[#This Row],[CT ajus PM Md]]</f>
        <v>1.2918443736111604</v>
      </c>
      <c r="BY111" s="125" t="str">
        <f>VLOOKUP(DatosHoy[[#This Row],[Cargo Valorado]],Estadísticos[[Cargo]:[Nivel]],2,FALSE)</f>
        <v>Táctico</v>
      </c>
      <c r="BZ111" s="96">
        <f>(DatosHoy[[#This Row],[G+V Actual]]-DatosHoy[[#This Row],[G Actual]])/DatosHoy[[#This Row],[CT Actual]]</f>
        <v>0</v>
      </c>
      <c r="CA111" s="96">
        <f>(DatosHoy[[#This Row],[CT Actual]]-DatosHoy[[#This Row],[G+V Actual]])/DatosHoy[[#This Row],[CT Actual]]</f>
        <v>0</v>
      </c>
      <c r="CB111" s="139" t="s">
        <v>255</v>
      </c>
    </row>
    <row r="112" spans="2:80" x14ac:dyDescent="0.25">
      <c r="B112" s="73">
        <f t="shared" si="56"/>
        <v>107</v>
      </c>
      <c r="C112" s="74">
        <v>5424448.7000000002</v>
      </c>
      <c r="D112" s="74">
        <v>5424448.7000000002</v>
      </c>
      <c r="E112" s="74">
        <v>5424448.7000000002</v>
      </c>
      <c r="F112" s="94">
        <f>VLOOKUP(DatosHoy[[#This Row],[Cargo Valorado]],Estadísticos[],3,0)</f>
        <v>7257293.1421752218</v>
      </c>
      <c r="G112" s="94">
        <f>VLOOKUP(DatosHoy[[#This Row],[Cargo Valorado]],Estadísticos[],4,0)</f>
        <v>7257293.1421752218</v>
      </c>
      <c r="H112" s="94">
        <f>VLOOKUP(DatosHoy[[#This Row],[Cargo Valorado]],Estadísticos[],5,0)</f>
        <v>7658710.3318975521</v>
      </c>
      <c r="I112" s="94">
        <f>VLOOKUP(DatosHoy[[#This Row],[Cargo Valorado]],Estadísticos[],6,0)</f>
        <v>7498179.3457229109</v>
      </c>
      <c r="J112" s="94">
        <f>VLOOKUP(DatosHoy[[#This Row],[Cargo Valorado]],Estadísticos[],7,0)</f>
        <v>8441723.0736918561</v>
      </c>
      <c r="K112" s="94">
        <f>VLOOKUP(DatosHoy[[#This Row],[Cargo Valorado]],Estadísticos[],8,0)</f>
        <v>8854420.5095205195</v>
      </c>
      <c r="L112" s="94">
        <f>VLOOKUP(DatosHoy[[#This Row],[Cargo Valorado]],Estadísticos[],9,0)</f>
        <v>9127564.5410233494</v>
      </c>
      <c r="M112" s="94">
        <f>VLOOKUP(DatosHoy[[#This Row],[Cargo Valorado]],Estadísticos[],10,0)</f>
        <v>9630067.4910050165</v>
      </c>
      <c r="N112" s="94">
        <f>VLOOKUP(DatosHoy[[#This Row],[Cargo Valorado]],Estadísticos[],11,0)</f>
        <v>9630067.4910050165</v>
      </c>
      <c r="O112" s="75" t="s">
        <v>210</v>
      </c>
      <c r="P112" s="75">
        <v>420</v>
      </c>
      <c r="Q112" s="95" t="str">
        <f t="shared" si="57"/>
        <v>$P$112</v>
      </c>
      <c r="R112" s="95" t="str">
        <f t="shared" si="58"/>
        <v>$F$112</v>
      </c>
      <c r="S112" s="95" t="str">
        <f t="shared" si="59"/>
        <v>$G$112</v>
      </c>
      <c r="T112" s="95" t="str">
        <f t="shared" si="60"/>
        <v>$H$112</v>
      </c>
      <c r="U112" s="95" t="str">
        <f t="shared" si="61"/>
        <v>$I$112</v>
      </c>
      <c r="V112" s="95" t="str">
        <f t="shared" si="62"/>
        <v>$J$112</v>
      </c>
      <c r="W112" s="95" t="str">
        <f t="shared" si="63"/>
        <v>$K$112</v>
      </c>
      <c r="X112" s="95" t="str">
        <f t="shared" si="64"/>
        <v>$L$112</v>
      </c>
      <c r="Y112" s="95" t="str">
        <f t="shared" si="65"/>
        <v>$M$112</v>
      </c>
      <c r="Z112" s="95" t="str">
        <f t="shared" si="66"/>
        <v>$N$112</v>
      </c>
      <c r="AA112" s="94">
        <f ca="1">VLOOKUP($P112,'Regresion Q1'!$E$6:$I$10,4,1)*$P112+VLOOKUP($P112,'Regresion Q1'!$E$6:$I$10,5,1)</f>
        <v>5575705.3024079129</v>
      </c>
      <c r="AB112" s="94">
        <f ca="1">VLOOKUP($P112,'Regresion Q1'!$J$6:$N$10,4,1)*$P112+VLOOKUP($P112,'Regresion Q1'!$J$6:$N$10,5,1)</f>
        <v>5842837.6294394583</v>
      </c>
      <c r="AC112" s="94">
        <f ca="1">VLOOKUP($P112,'Regresion Q1'!$O$6:$S$10,4,1)*$P112+VLOOKUP($P112,'Regresion Q1'!$O$6:$S$10,5,1)</f>
        <v>6103945.9449325539</v>
      </c>
      <c r="AD112" s="94">
        <f ca="1">VLOOKUP($P112,'Regresion Md'!$E$6:$I$10,4,1)*$P112+VLOOKUP($P112,'Regresion Md'!$E$6:$I$10,5,1)</f>
        <v>7997177.0398516981</v>
      </c>
      <c r="AE112" s="94">
        <f ca="1">VLOOKUP($P112,'Regresion Md'!$J$6:$N$10,4,1)*$P112+VLOOKUP($P112,'Regresion Md'!$J$6:$N$10,5,1)</f>
        <v>8187778.2489514034</v>
      </c>
      <c r="AF112" s="94">
        <f ca="1">VLOOKUP($P112,'Regresion Md'!$O$6:$S$10,4,1)*$P112+VLOOKUP($P112,'Regresion Md'!$O$6:$S$10,5,1)</f>
        <v>8356485.2395764906</v>
      </c>
      <c r="AG112" s="94">
        <f ca="1">VLOOKUP($P112,'Regresion Q3'!$E$6:$I$10,4,1)*$P112+VLOOKUP($P112,'Regresion Q3'!$E$6:$I$10,5,1)</f>
        <v>8939117.4877266996</v>
      </c>
      <c r="AH112" s="94">
        <f ca="1">VLOOKUP($P112,'Regresion Q3'!$J$6:$N$10,4,1)*$P112+VLOOKUP($P112,'Regresion Q3'!$J$6:$N$10,5,1)</f>
        <v>9067024.5045853108</v>
      </c>
      <c r="AI112" s="94">
        <f ca="1">VLOOKUP($P112,'Regresion Q3'!$O$6:$S$10,4,1)*$P112+VLOOKUP($P112,'Regresion Q3'!$O$6:$S$10,5,1)</f>
        <v>9227489.3924727123</v>
      </c>
      <c r="AJ112" s="94">
        <f ca="1">VLOOKUP($P112,'Regresion Q1'!$T$6:$V$10,2,1)*$P112+VLOOKUP($P112,'Regresion Q1'!$T$6:$V$10,3,1)</f>
        <v>5673170.1245401856</v>
      </c>
      <c r="AK112" s="94">
        <f ca="1">VLOOKUP($P112,'Regresion Q1'!$W$6:$Y$10,2,1)*$P112+VLOOKUP($P112,'Regresion Q1'!$W$6:$Y$10,3,1)</f>
        <v>5880356.959548967</v>
      </c>
      <c r="AL112" s="94">
        <f ca="1">VLOOKUP($P112,'Regresion Q1'!$Z$6:$AB$10,2,1)*$P112+VLOOKUP($P112,'Regresion Q1'!$Z$6:$AB$10,3,1)</f>
        <v>6167726.3828516826</v>
      </c>
      <c r="AM112" s="94">
        <f ca="1">VLOOKUP($P112,'Regresion Md'!$T$6:$V$10,2,1)*$P112+VLOOKUP($P112,'Regresion Md'!$T$6:$V$10,3,1)</f>
        <v>7561057.9806639571</v>
      </c>
      <c r="AN112" s="94">
        <f ca="1">VLOOKUP($P112,'Regresion Md'!$W$6:$Y$10,2,1)*$P112+VLOOKUP($P112,'Regresion Md'!$W$6:$Y$10,3,1)</f>
        <v>7966072.3648380022</v>
      </c>
      <c r="AO112" s="94">
        <f ca="1">VLOOKUP($P112,'Regresion Md'!$Z$6:$AB$10,2,1)*$P112+VLOOKUP($P112,'Regresion Md'!$Z$6:$AB$10,3,1)</f>
        <v>8300861.3969785441</v>
      </c>
      <c r="AP112" s="94">
        <f ca="1">VLOOKUP($P112,'Regresion Q3'!$T$6:$V$10,2,1)*$P112+VLOOKUP($P112,'Regresion Q3'!$T$6:$V$10,3,1)</f>
        <v>8226437.1081686923</v>
      </c>
      <c r="AQ112" s="94">
        <f ca="1">VLOOKUP($P112,'Regresion Q3'!$W$6:$Y$10,2,1)*$P112+VLOOKUP($P112,'Regresion Q3'!$W$6:$Y$10,3,1)</f>
        <v>8442737.1117101777</v>
      </c>
      <c r="AR112" s="94">
        <f ca="1">VLOOKUP($P112,'Regresion Q3'!$Z$6:$AB$10,2,1)*$P112+VLOOKUP($P112,'Regresion Q3'!$Z$6:$AB$10,3,1)</f>
        <v>8638699.6272755582</v>
      </c>
      <c r="AS112" s="94">
        <f>IF($BN112=$BN113,-1,DatosHoy[[#This Row],[G ajus PM Q1]]-BO113)</f>
        <v>-1</v>
      </c>
      <c r="AT112" s="94">
        <f>IF($BN112=$BN113,-1,DatosHoy[[#This Row],[G+V ajus PM Q1]]-BP113)</f>
        <v>-1</v>
      </c>
      <c r="AU112" s="94">
        <f>IF($BN112=$BN113,-1,DatosHoy[[#This Row],[CT ajus PM Q1]]-BQ113)</f>
        <v>-1</v>
      </c>
      <c r="AV112" s="94">
        <f ca="1">IF(DatosHoy[[#This Row],[G ajus PM Q1]]=DatosHoy[[#This Row],[G+V ajus PM Q1]],-1,DatosHoy[[#This Row],[G ajus PM Q1]]-DatosHoy[[#This Row],[G+V ajus PM Q1]])</f>
        <v>-237337.63309791125</v>
      </c>
      <c r="AW112" s="94">
        <f ca="1">IF(DatosHoy[[#This Row],[G+V ajus PM Q1]]=DatosHoy[[#This Row],[CT ajus PM Q1]],-1,DatosHoy[[#This Row],[G+V ajus PM Q1]]-DatosHoy[[#This Row],[CT ajus PM Q1]])</f>
        <v>-304167.20384136774</v>
      </c>
      <c r="AX112" s="94">
        <f>IF($BN112=$BN113,-1,DatosHoy[[#This Row],[G ajus PMd]]-BR113)</f>
        <v>-1</v>
      </c>
      <c r="AY112" s="94">
        <f>IF($BN112=$BN113,-1,DatosHoy[[#This Row],[G+V ajus PM Md]]-BS113)</f>
        <v>-1</v>
      </c>
      <c r="AZ112" s="94">
        <f>IF($BN112=$BN113,-1,DatosHoy[[#This Row],[CT ajus PM Md]]-BT113)</f>
        <v>-1</v>
      </c>
      <c r="BA112" s="94">
        <f ca="1">IF(DatosHoy[[#This Row],[G ajus PMd]]=DatosHoy[[#This Row],[G+V ajus PM Md]],-1,DatosHoy[[#This Row],[G ajus PMd]]-DatosHoy[[#This Row],[G+V ajus PM Md]])</f>
        <v>-435516.18390754797</v>
      </c>
      <c r="BB112" s="94">
        <f ca="1">IF(DatosHoy[[#This Row],[G+V ajus PM Md]]=DatosHoy[[#This Row],[CT ajus PM Md]],-1,DatosHoy[[#This Row],[G+V ajus PM Md]]-DatosHoy[[#This Row],[CT ajus PM Md]])</f>
        <v>-345924.77612205222</v>
      </c>
      <c r="BC112" s="94">
        <f>IF($BN112=$BN113,-1,DatosHoy[[#This Row],[G ajus PM Q3]]-BU113)</f>
        <v>-1</v>
      </c>
      <c r="BD112" s="94">
        <f>IF($BN112=$BN113,-1,DatosHoy[[#This Row],[G+V ajus PM Q3]]-BV113)</f>
        <v>-1</v>
      </c>
      <c r="BE112" s="94">
        <f>IF($BN112=$BN113,-1,DatosHoy[[#This Row],[CT ajus PM Q3]]-BW113)</f>
        <v>-1</v>
      </c>
      <c r="BF112" s="94">
        <f ca="1">IF(DatosHoy[[#This Row],[G ajus PM Q3]]=DatosHoy[[#This Row],[G+V ajus PM Q3]],-1,DatosHoy[[#This Row],[G ajus PM Q3]]-DatosHoy[[#This Row],[G+V ajus PM Q3]])</f>
        <v>-223256.03824959509</v>
      </c>
      <c r="BG112" s="94">
        <f ca="1">IF(DatosHoy[[#This Row],[G+V ajus PM Q3]]=DatosHoy[[#This Row],[CT ajus PM Q3]],-1,DatosHoy[[#This Row],[G+V ajus PM Q3]]-DatosHoy[[#This Row],[CT ajus PM Q3]])</f>
        <v>-201652.01720579527</v>
      </c>
      <c r="BH112" s="94">
        <f ca="1">IF(DatosHoy[[#This Row],[G ajus PM Q1]]=DatosHoy[[#This Row],[G ajus PMd]],-1,DatosHoy[[#This Row],[G ajus PM Q1]]-DatosHoy[[#This Row],[G ajus PMd]])</f>
        <v>-1762473.5342417751</v>
      </c>
      <c r="BI112" s="94">
        <f ca="1">IF(DatosHoy[[#This Row],[G+V ajus PM Q1]]=DatosHoy[[#This Row],[G+V ajus PM Md]],-1,DatosHoy[[#This Row],[G+V ajus PM Q1]]-DatosHoy[[#This Row],[G+V ajus PM Md]])</f>
        <v>-1960652.0850514118</v>
      </c>
      <c r="BJ112" s="94">
        <f ca="1">IF(DatosHoy[[#This Row],[CT ajus PM Q1]]=DatosHoy[[#This Row],[CT ajus PM Md]],-1,DatosHoy[[#This Row],[CT ajus PM Q1]]-DatosHoy[[#This Row],[CT ajus PM Md]])</f>
        <v>-2002409.6573320962</v>
      </c>
      <c r="BK112" s="94">
        <f ca="1">IF(DatosHoy[[#This Row],[G ajus PMd]]=DatosHoy[[#This Row],[G ajus PM Q3]],-1,DatosHoy[[#This Row],[G ajus PMd]]-DatosHoy[[#This Row],[G ajus PM Q3]])</f>
        <v>-593744.14596787281</v>
      </c>
      <c r="BL112" s="94">
        <f ca="1">IF(DatosHoy[[#This Row],[G+V ajus PM Md]]=DatosHoy[[#This Row],[G+V ajus PM Q3]],-1,DatosHoy[[#This Row],[G+V ajus PM Md]]-DatosHoy[[#This Row],[G+V ajus PM Q3]])</f>
        <v>-381484.00030991994</v>
      </c>
      <c r="BM112" s="94">
        <f ca="1">IF(DatosHoy[[#This Row],[CT ajus PM Md]]=DatosHoy[[#This Row],[CT ajus PM Q3]],-1,DatosHoy[[#This Row],[CT ajus PM Md]]-DatosHoy[[#This Row],[CT ajus PM Q3]])</f>
        <v>-237211.24139366299</v>
      </c>
      <c r="BN112" s="74">
        <v>436</v>
      </c>
      <c r="BO112" s="94">
        <f ca="1">IFERROR(VLOOKUP($BN112,'Regresion Q1'!$T$6:$V$10,2,1)*$BN112+VLOOKUP($BN112,'Regresion Q1'!$T$6:$V$10,3,1),VLOOKUP(MIN(DatosHoy[Puntos]),'Regresion Q1'!$T$6:$V$10,2,1)*$BN112+VLOOKUP(MIN(DatosHoy[Puntos]),'Regresion Q1'!$T$6:$V$10,3,1))</f>
        <v>6165585.4809838478</v>
      </c>
      <c r="BP112" s="94">
        <f ca="1">IFERROR(VLOOKUP($BN112,'Regresion Q1'!$W$6:$Y$10,2,1)*$BN112+VLOOKUP($BN112,'Regresion Q1'!$W$6:$Y$10,3,1),VLOOKUP(MIN(DatosHoy[Puntos]),'Regresion Q1'!$W$6:$Y$10,2,1)*$BN112+VLOOKUP(MIN(DatosHoy[Puntos]),'Regresion Q1'!$W$6:$Y$10,3,1))</f>
        <v>6402923.114081759</v>
      </c>
      <c r="BQ112" s="94">
        <f ca="1">IFERROR(VLOOKUP($BN112,'Regresion Q1'!$Z$6:$AB$10,2,1)*$BN112+VLOOKUP($BN112,'Regresion Q1'!$Z$6:$AB$10,3,1),VLOOKUP(MIN(DatosHoy[Puntos]),'Regresion Q1'!$Z$6:$AB$10,2,1)*$BN112+VLOOKUP(MIN(DatosHoy[Puntos]),'Regresion Q1'!$Z$6:$AB$10,3,1))</f>
        <v>6707090.3179231267</v>
      </c>
      <c r="BR112" s="94">
        <f ca="1">IFERROR(VLOOKUP($BN112,'Regresion Md'!$T$6:$V$10,2,1)*$BN112+VLOOKUP($BN112,'Regresion Md'!$T$6:$V$10,3,1),VLOOKUP(MIN(DatosHoy[Puntos]),'Regresion Md'!$T$6:$V$10,2,1)*$BN112+VLOOKUP(MIN(DatosHoy[Puntos]),'Regresion Md'!$T$6:$V$10,3,1))</f>
        <v>7928059.0152256228</v>
      </c>
      <c r="BS112" s="94">
        <f ca="1">IFERROR(VLOOKUP($BN112,'Regresion Md'!$W$6:$Y$10,2,1)*$BN112+VLOOKUP($BN112,'Regresion Md'!$W$6:$Y$10,3,1),VLOOKUP(MIN(DatosHoy[Puntos]),'Regresion Md'!$W$6:$Y$10,2,1)*$BN112+VLOOKUP(MIN(DatosHoy[Puntos]),'Regresion Md'!$W$6:$Y$10,3,1))</f>
        <v>8363575.1991331708</v>
      </c>
      <c r="BT112" s="94">
        <f ca="1">IFERROR(VLOOKUP($BN112,'Regresion Md'!$Z$6:$AB$10,2,1)*$BN112+VLOOKUP($BN112,'Regresion Md'!$Z$6:$AB$10,3,1),VLOOKUP(MIN(DatosHoy[Puntos]),'Regresion Md'!$Z$6:$AB$10,2,1)*$BN112+VLOOKUP(MIN(DatosHoy[Puntos]),'Regresion Md'!$Z$6:$AB$10,3,1))</f>
        <v>8709499.975255223</v>
      </c>
      <c r="BU112" s="94">
        <f ca="1">IFERROR(VLOOKUP($BN112,'Regresion Q3'!$T$6:$V$10,2,1)*$BN112+VLOOKUP($BN112,'Regresion Q3'!$T$6:$V$10,3,1),VLOOKUP(MIN(DatosHoy[Puntos]),'Regresion Q3'!$T$6:$V$10,2,1)*$BN112+VLOOKUP(MIN(DatosHoy[Puntos]),'Regresion Q3'!$T$6:$V$10,3,1))</f>
        <v>8521803.1611934956</v>
      </c>
      <c r="BV112" s="94">
        <f ca="1">IFERROR(VLOOKUP($BN112,'Regresion Q3'!$W$6:$Y$10,2,1)*$BN112+VLOOKUP($BN112,'Regresion Q3'!$W$6:$Y$10,3,1),VLOOKUP(MIN(DatosHoy[Puntos]),'Regresion Q3'!$W$6:$Y$10,2,1)*$BN112+VLOOKUP(MIN(DatosHoy[Puntos]),'Regresion Q3'!$W$6:$Y$10,3,1))</f>
        <v>8745059.1994430907</v>
      </c>
      <c r="BW112" s="94">
        <f ca="1">IFERROR(VLOOKUP($BN112,'Regresion Q3'!$Z$6:$AB$10,2,1)*$BN112+VLOOKUP($BN112,'Regresion Q3'!$Z$6:$AB$10,3,1),VLOOKUP(MIN(DatosHoy[Puntos]),'Regresion Q3'!$Z$6:$AB$10,2,1)*$BN112+VLOOKUP(MIN(DatosHoy[Puntos]),'Regresion Q3'!$Z$6:$AB$10,3,1))</f>
        <v>8946711.216648886</v>
      </c>
      <c r="BX112" s="96">
        <f ca="1">DatosHoy[[#This Row],[CT Actual]]/DatosHoy[[#This Row],[CT ajus PM Md]]</f>
        <v>0.62281976180165755</v>
      </c>
      <c r="BY112" s="125" t="str">
        <f>VLOOKUP(DatosHoy[[#This Row],[Cargo Valorado]],Estadísticos[[Cargo]:[Nivel]],2,FALSE)</f>
        <v>Táctico</v>
      </c>
      <c r="BZ112" s="96">
        <f>(DatosHoy[[#This Row],[G+V Actual]]-DatosHoy[[#This Row],[G Actual]])/DatosHoy[[#This Row],[CT Actual]]</f>
        <v>0</v>
      </c>
      <c r="CA112" s="96">
        <f>(DatosHoy[[#This Row],[CT Actual]]-DatosHoy[[#This Row],[G+V Actual]])/DatosHoy[[#This Row],[CT Actual]]</f>
        <v>0</v>
      </c>
      <c r="CB112" s="139" t="s">
        <v>255</v>
      </c>
    </row>
    <row r="113" spans="2:80" x14ac:dyDescent="0.25">
      <c r="B113" s="73">
        <f t="shared" si="56"/>
        <v>108</v>
      </c>
      <c r="C113" s="74">
        <v>4745510.1100000003</v>
      </c>
      <c r="D113" s="74">
        <v>4745510.1100000003</v>
      </c>
      <c r="E113" s="74">
        <v>4745510.1100000003</v>
      </c>
      <c r="F113" s="94">
        <f>VLOOKUP(DatosHoy[[#This Row],[Cargo Valorado]],Estadísticos[],3,0)</f>
        <v>4693403.3534964928</v>
      </c>
      <c r="G113" s="94">
        <f>VLOOKUP(DatosHoy[[#This Row],[Cargo Valorado]],Estadísticos[],4,0)</f>
        <v>5787243.7617022572</v>
      </c>
      <c r="H113" s="94">
        <f>VLOOKUP(DatosHoy[[#This Row],[Cargo Valorado]],Estadísticos[],5,0)</f>
        <v>5787243.7617022572</v>
      </c>
      <c r="I113" s="94">
        <f>VLOOKUP(DatosHoy[[#This Row],[Cargo Valorado]],Estadísticos[],6,0)</f>
        <v>5476936.559702686</v>
      </c>
      <c r="J113" s="94">
        <f>VLOOKUP(DatosHoy[[#This Row],[Cargo Valorado]],Estadísticos[],7,0)</f>
        <v>5819445.257345072</v>
      </c>
      <c r="K113" s="94">
        <f>VLOOKUP(DatosHoy[[#This Row],[Cargo Valorado]],Estadísticos[],8,0)</f>
        <v>5819445.257345072</v>
      </c>
      <c r="L113" s="94">
        <f>VLOOKUP(DatosHoy[[#This Row],[Cargo Valorado]],Estadísticos[],9,0)</f>
        <v>7505157.3600000003</v>
      </c>
      <c r="M113" s="94">
        <f>VLOOKUP(DatosHoy[[#This Row],[Cargo Valorado]],Estadísticos[],10,0)</f>
        <v>7505157.3600000003</v>
      </c>
      <c r="N113" s="94">
        <f>VLOOKUP(DatosHoy[[#This Row],[Cargo Valorado]],Estadísticos[],11,0)</f>
        <v>7953397.0266666664</v>
      </c>
      <c r="O113" s="75" t="s">
        <v>208</v>
      </c>
      <c r="P113" s="75">
        <v>442</v>
      </c>
      <c r="Q113" s="95" t="str">
        <f t="shared" si="57"/>
        <v>$P$113</v>
      </c>
      <c r="R113" s="95" t="str">
        <f t="shared" si="58"/>
        <v>$F$113</v>
      </c>
      <c r="S113" s="95" t="str">
        <f t="shared" si="59"/>
        <v>$G$113</v>
      </c>
      <c r="T113" s="95" t="str">
        <f t="shared" si="60"/>
        <v>$H$113</v>
      </c>
      <c r="U113" s="95" t="str">
        <f t="shared" si="61"/>
        <v>$I$113</v>
      </c>
      <c r="V113" s="95" t="str">
        <f t="shared" si="62"/>
        <v>$J$113</v>
      </c>
      <c r="W113" s="95" t="str">
        <f t="shared" si="63"/>
        <v>$K$113</v>
      </c>
      <c r="X113" s="95" t="str">
        <f t="shared" si="64"/>
        <v>$L$113</v>
      </c>
      <c r="Y113" s="95" t="str">
        <f t="shared" si="65"/>
        <v>$M$113</v>
      </c>
      <c r="Z113" s="95" t="str">
        <f t="shared" si="66"/>
        <v>$N$113</v>
      </c>
      <c r="AA113" s="94">
        <f ca="1">VLOOKUP($P113,'Regresion Q1'!$E$6:$I$10,4,1)*$P113+VLOOKUP($P113,'Regresion Q1'!$E$6:$I$10,5,1)</f>
        <v>6163433.6638966985</v>
      </c>
      <c r="AB113" s="94">
        <f ca="1">VLOOKUP($P113,'Regresion Q1'!$J$6:$N$10,4,1)*$P113+VLOOKUP($P113,'Regresion Q1'!$J$6:$N$10,5,1)</f>
        <v>6526973.3726549968</v>
      </c>
      <c r="AC113" s="94">
        <f ca="1">VLOOKUP($P113,'Regresion Q1'!$O$6:$S$10,4,1)*$P113+VLOOKUP($P113,'Regresion Q1'!$O$6:$S$10,5,1)</f>
        <v>6787105.954229923</v>
      </c>
      <c r="AD113" s="94">
        <f ca="1">VLOOKUP($P113,'Regresion Md'!$E$6:$I$10,4,1)*$P113+VLOOKUP($P113,'Regresion Md'!$E$6:$I$10,5,1)</f>
        <v>8549067.5968672372</v>
      </c>
      <c r="AE113" s="94">
        <f ca="1">VLOOKUP($P113,'Regresion Md'!$J$6:$N$10,4,1)*$P113+VLOOKUP($P113,'Regresion Md'!$J$6:$N$10,5,1)</f>
        <v>8758371.884779647</v>
      </c>
      <c r="AF113" s="94">
        <f ca="1">VLOOKUP($P113,'Regresion Md'!$O$6:$S$10,4,1)*$P113+VLOOKUP($P113,'Regresion Md'!$O$6:$S$10,5,1)</f>
        <v>8924391.4843973424</v>
      </c>
      <c r="AG113" s="94">
        <f ca="1">VLOOKUP($P113,'Regresion Q3'!$E$6:$I$10,4,1)*$P113+VLOOKUP($P113,'Regresion Q3'!$E$6:$I$10,5,1)</f>
        <v>8632565.431077797</v>
      </c>
      <c r="AH113" s="94">
        <f ca="1">VLOOKUP($P113,'Regresion Q3'!$J$6:$N$10,4,1)*$P113+VLOOKUP($P113,'Regresion Q3'!$J$6:$N$10,5,1)</f>
        <v>8858429.9823429324</v>
      </c>
      <c r="AI113" s="94">
        <f ca="1">VLOOKUP($P113,'Regresion Q3'!$O$6:$S$10,4,1)*$P113+VLOOKUP($P113,'Regresion Q3'!$O$6:$S$10,5,1)</f>
        <v>9062215.5626638848</v>
      </c>
      <c r="AJ113" s="94">
        <f ca="1">VLOOKUP($P113,'Regresion Q1'!$T$6:$V$10,2,1)*$P113+VLOOKUP($P113,'Regresion Q1'!$T$6:$V$10,3,1)</f>
        <v>6350241.2396502197</v>
      </c>
      <c r="AK113" s="94">
        <f ca="1">VLOOKUP($P113,'Regresion Q1'!$W$6:$Y$10,2,1)*$P113+VLOOKUP($P113,'Regresion Q1'!$W$6:$Y$10,3,1)</f>
        <v>6598885.4220315572</v>
      </c>
      <c r="AL113" s="94">
        <f ca="1">VLOOKUP($P113,'Regresion Q1'!$Z$6:$AB$10,2,1)*$P113+VLOOKUP($P113,'Regresion Q1'!$Z$6:$AB$10,3,1)</f>
        <v>6909351.7935749181</v>
      </c>
      <c r="AM113" s="94">
        <f ca="1">VLOOKUP($P113,'Regresion Md'!$T$6:$V$10,2,1)*$P113+VLOOKUP($P113,'Regresion Md'!$T$6:$V$10,3,1)</f>
        <v>8065684.4031862468</v>
      </c>
      <c r="AN113" s="94">
        <f ca="1">VLOOKUP($P113,'Regresion Md'!$W$6:$Y$10,2,1)*$P113+VLOOKUP($P113,'Regresion Md'!$W$6:$Y$10,3,1)</f>
        <v>8512638.761993859</v>
      </c>
      <c r="AO113" s="94">
        <f ca="1">VLOOKUP($P113,'Regresion Md'!$Z$6:$AB$10,2,1)*$P113+VLOOKUP($P113,'Regresion Md'!$Z$6:$AB$10,3,1)</f>
        <v>8862739.4421089776</v>
      </c>
      <c r="AP113" s="94">
        <f ca="1">VLOOKUP($P113,'Regresion Q3'!$T$6:$V$10,2,1)*$P113+VLOOKUP($P113,'Regresion Q3'!$T$6:$V$10,3,1)</f>
        <v>8632565.4310777988</v>
      </c>
      <c r="AQ113" s="94">
        <f ca="1">VLOOKUP($P113,'Regresion Q3'!$W$6:$Y$10,2,1)*$P113+VLOOKUP($P113,'Regresion Q3'!$W$6:$Y$10,3,1)</f>
        <v>8858429.9823429342</v>
      </c>
      <c r="AR113" s="94">
        <f ca="1">VLOOKUP($P113,'Regresion Q3'!$Z$6:$AB$10,2,1)*$P113+VLOOKUP($P113,'Regresion Q3'!$Z$6:$AB$10,3,1)</f>
        <v>9062215.5626638848</v>
      </c>
      <c r="AS113" s="94">
        <f>IF($BN113=$BN114,-1,DatosHoy[[#This Row],[G ajus PM Q1]]-BO114)</f>
        <v>-1</v>
      </c>
      <c r="AT113" s="94">
        <f>IF($BN113=$BN114,-1,DatosHoy[[#This Row],[G+V ajus PM Q1]]-BP114)</f>
        <v>-1</v>
      </c>
      <c r="AU113" s="94">
        <f>IF($BN113=$BN114,-1,DatosHoy[[#This Row],[CT ajus PM Q1]]-BQ114)</f>
        <v>-1</v>
      </c>
      <c r="AV113" s="94">
        <f ca="1">IF(DatosHoy[[#This Row],[G ajus PM Q1]]=DatosHoy[[#This Row],[G+V ajus PM Q1]],-1,DatosHoy[[#This Row],[G ajus PM Q1]]-DatosHoy[[#This Row],[G+V ajus PM Q1]])</f>
        <v>-237337.63309791125</v>
      </c>
      <c r="AW113" s="94">
        <f ca="1">IF(DatosHoy[[#This Row],[G+V ajus PM Q1]]=DatosHoy[[#This Row],[CT ajus PM Q1]],-1,DatosHoy[[#This Row],[G+V ajus PM Q1]]-DatosHoy[[#This Row],[CT ajus PM Q1]])</f>
        <v>-304167.20384136774</v>
      </c>
      <c r="AX113" s="94">
        <f>IF($BN113=$BN114,-1,DatosHoy[[#This Row],[G ajus PMd]]-BR114)</f>
        <v>-1</v>
      </c>
      <c r="AY113" s="94">
        <f>IF($BN113=$BN114,-1,DatosHoy[[#This Row],[G+V ajus PM Md]]-BS114)</f>
        <v>-1</v>
      </c>
      <c r="AZ113" s="94">
        <f>IF($BN113=$BN114,-1,DatosHoy[[#This Row],[CT ajus PM Md]]-BT114)</f>
        <v>-1</v>
      </c>
      <c r="BA113" s="94">
        <f ca="1">IF(DatosHoy[[#This Row],[G ajus PMd]]=DatosHoy[[#This Row],[G+V ajus PM Md]],-1,DatosHoy[[#This Row],[G ajus PMd]]-DatosHoy[[#This Row],[G+V ajus PM Md]])</f>
        <v>-435516.18390754797</v>
      </c>
      <c r="BB113" s="94">
        <f ca="1">IF(DatosHoy[[#This Row],[G+V ajus PM Md]]=DatosHoy[[#This Row],[CT ajus PM Md]],-1,DatosHoy[[#This Row],[G+V ajus PM Md]]-DatosHoy[[#This Row],[CT ajus PM Md]])</f>
        <v>-345924.77612205222</v>
      </c>
      <c r="BC113" s="94">
        <f>IF($BN113=$BN114,-1,DatosHoy[[#This Row],[G ajus PM Q3]]-BU114)</f>
        <v>-1</v>
      </c>
      <c r="BD113" s="94">
        <f>IF($BN113=$BN114,-1,DatosHoy[[#This Row],[G+V ajus PM Q3]]-BV114)</f>
        <v>-1</v>
      </c>
      <c r="BE113" s="94">
        <f>IF($BN113=$BN114,-1,DatosHoy[[#This Row],[CT ajus PM Q3]]-BW114)</f>
        <v>-1</v>
      </c>
      <c r="BF113" s="94">
        <f ca="1">IF(DatosHoy[[#This Row],[G ajus PM Q3]]=DatosHoy[[#This Row],[G+V ajus PM Q3]],-1,DatosHoy[[#This Row],[G ajus PM Q3]]-DatosHoy[[#This Row],[G+V ajus PM Q3]])</f>
        <v>-223256.03824959509</v>
      </c>
      <c r="BG113" s="94">
        <f ca="1">IF(DatosHoy[[#This Row],[G+V ajus PM Q3]]=DatosHoy[[#This Row],[CT ajus PM Q3]],-1,DatosHoy[[#This Row],[G+V ajus PM Q3]]-DatosHoy[[#This Row],[CT ajus PM Q3]])</f>
        <v>-201652.01720579527</v>
      </c>
      <c r="BH113" s="94">
        <f ca="1">IF(DatosHoy[[#This Row],[G ajus PM Q1]]=DatosHoy[[#This Row],[G ajus PMd]],-1,DatosHoy[[#This Row],[G ajus PM Q1]]-DatosHoy[[#This Row],[G ajus PMd]])</f>
        <v>-1762473.5342417751</v>
      </c>
      <c r="BI113" s="94">
        <f ca="1">IF(DatosHoy[[#This Row],[G+V ajus PM Q1]]=DatosHoy[[#This Row],[G+V ajus PM Md]],-1,DatosHoy[[#This Row],[G+V ajus PM Q1]]-DatosHoy[[#This Row],[G+V ajus PM Md]])</f>
        <v>-1960652.0850514118</v>
      </c>
      <c r="BJ113" s="94">
        <f ca="1">IF(DatosHoy[[#This Row],[CT ajus PM Q1]]=DatosHoy[[#This Row],[CT ajus PM Md]],-1,DatosHoy[[#This Row],[CT ajus PM Q1]]-DatosHoy[[#This Row],[CT ajus PM Md]])</f>
        <v>-2002409.6573320962</v>
      </c>
      <c r="BK113" s="94">
        <f ca="1">IF(DatosHoy[[#This Row],[G ajus PMd]]=DatosHoy[[#This Row],[G ajus PM Q3]],-1,DatosHoy[[#This Row],[G ajus PMd]]-DatosHoy[[#This Row],[G ajus PM Q3]])</f>
        <v>-593744.14596787281</v>
      </c>
      <c r="BL113" s="94">
        <f ca="1">IF(DatosHoy[[#This Row],[G+V ajus PM Md]]=DatosHoy[[#This Row],[G+V ajus PM Q3]],-1,DatosHoy[[#This Row],[G+V ajus PM Md]]-DatosHoy[[#This Row],[G+V ajus PM Q3]])</f>
        <v>-381484.00030991994</v>
      </c>
      <c r="BM113" s="94">
        <f ca="1">IF(DatosHoy[[#This Row],[CT ajus PM Md]]=DatosHoy[[#This Row],[CT ajus PM Q3]],-1,DatosHoy[[#This Row],[CT ajus PM Md]]-DatosHoy[[#This Row],[CT ajus PM Q3]])</f>
        <v>-237211.24139366299</v>
      </c>
      <c r="BN113" s="74">
        <v>436</v>
      </c>
      <c r="BO113" s="94">
        <f ca="1">IFERROR(VLOOKUP($BN113,'Regresion Q1'!$T$6:$V$10,2,1)*$BN113+VLOOKUP($BN113,'Regresion Q1'!$T$6:$V$10,3,1),VLOOKUP(MIN(DatosHoy[Puntos]),'Regresion Q1'!$T$6:$V$10,2,1)*$BN113+VLOOKUP(MIN(DatosHoy[Puntos]),'Regresion Q1'!$T$6:$V$10,3,1))</f>
        <v>6165585.4809838478</v>
      </c>
      <c r="BP113" s="94">
        <f ca="1">IFERROR(VLOOKUP($BN113,'Regresion Q1'!$W$6:$Y$10,2,1)*$BN113+VLOOKUP($BN113,'Regresion Q1'!$W$6:$Y$10,3,1),VLOOKUP(MIN(DatosHoy[Puntos]),'Regresion Q1'!$W$6:$Y$10,2,1)*$BN113+VLOOKUP(MIN(DatosHoy[Puntos]),'Regresion Q1'!$W$6:$Y$10,3,1))</f>
        <v>6402923.114081759</v>
      </c>
      <c r="BQ113" s="94">
        <f ca="1">IFERROR(VLOOKUP($BN113,'Regresion Q1'!$Z$6:$AB$10,2,1)*$BN113+VLOOKUP($BN113,'Regresion Q1'!$Z$6:$AB$10,3,1),VLOOKUP(MIN(DatosHoy[Puntos]),'Regresion Q1'!$Z$6:$AB$10,2,1)*$BN113+VLOOKUP(MIN(DatosHoy[Puntos]),'Regresion Q1'!$Z$6:$AB$10,3,1))</f>
        <v>6707090.3179231267</v>
      </c>
      <c r="BR113" s="94">
        <f ca="1">IFERROR(VLOOKUP($BN113,'Regresion Md'!$T$6:$V$10,2,1)*$BN113+VLOOKUP($BN113,'Regresion Md'!$T$6:$V$10,3,1),VLOOKUP(MIN(DatosHoy[Puntos]),'Regresion Md'!$T$6:$V$10,2,1)*$BN113+VLOOKUP(MIN(DatosHoy[Puntos]),'Regresion Md'!$T$6:$V$10,3,1))</f>
        <v>7928059.0152256228</v>
      </c>
      <c r="BS113" s="94">
        <f ca="1">IFERROR(VLOOKUP($BN113,'Regresion Md'!$W$6:$Y$10,2,1)*$BN113+VLOOKUP($BN113,'Regresion Md'!$W$6:$Y$10,3,1),VLOOKUP(MIN(DatosHoy[Puntos]),'Regresion Md'!$W$6:$Y$10,2,1)*$BN113+VLOOKUP(MIN(DatosHoy[Puntos]),'Regresion Md'!$W$6:$Y$10,3,1))</f>
        <v>8363575.1991331708</v>
      </c>
      <c r="BT113" s="94">
        <f ca="1">IFERROR(VLOOKUP($BN113,'Regresion Md'!$Z$6:$AB$10,2,1)*$BN113+VLOOKUP($BN113,'Regresion Md'!$Z$6:$AB$10,3,1),VLOOKUP(MIN(DatosHoy[Puntos]),'Regresion Md'!$Z$6:$AB$10,2,1)*$BN113+VLOOKUP(MIN(DatosHoy[Puntos]),'Regresion Md'!$Z$6:$AB$10,3,1))</f>
        <v>8709499.975255223</v>
      </c>
      <c r="BU113" s="94">
        <f ca="1">IFERROR(VLOOKUP($BN113,'Regresion Q3'!$T$6:$V$10,2,1)*$BN113+VLOOKUP($BN113,'Regresion Q3'!$T$6:$V$10,3,1),VLOOKUP(MIN(DatosHoy[Puntos]),'Regresion Q3'!$T$6:$V$10,2,1)*$BN113+VLOOKUP(MIN(DatosHoy[Puntos]),'Regresion Q3'!$T$6:$V$10,3,1))</f>
        <v>8521803.1611934956</v>
      </c>
      <c r="BV113" s="94">
        <f ca="1">IFERROR(VLOOKUP($BN113,'Regresion Q3'!$W$6:$Y$10,2,1)*$BN113+VLOOKUP($BN113,'Regresion Q3'!$W$6:$Y$10,3,1),VLOOKUP(MIN(DatosHoy[Puntos]),'Regresion Q3'!$W$6:$Y$10,2,1)*$BN113+VLOOKUP(MIN(DatosHoy[Puntos]),'Regresion Q3'!$W$6:$Y$10,3,1))</f>
        <v>8745059.1994430907</v>
      </c>
      <c r="BW113" s="94">
        <f ca="1">IFERROR(VLOOKUP($BN113,'Regresion Q3'!$Z$6:$AB$10,2,1)*$BN113+VLOOKUP($BN113,'Regresion Q3'!$Z$6:$AB$10,3,1),VLOOKUP(MIN(DatosHoy[Puntos]),'Regresion Q3'!$Z$6:$AB$10,2,1)*$BN113+VLOOKUP(MIN(DatosHoy[Puntos]),'Regresion Q3'!$Z$6:$AB$10,3,1))</f>
        <v>8946711.216648886</v>
      </c>
      <c r="BX113" s="96">
        <f ca="1">DatosHoy[[#This Row],[CT Actual]]/DatosHoy[[#This Row],[CT ajus PM Md]]</f>
        <v>0.54486596515099461</v>
      </c>
      <c r="BY113" s="125" t="str">
        <f>VLOOKUP(DatosHoy[[#This Row],[Cargo Valorado]],Estadísticos[[Cargo]:[Nivel]],2,FALSE)</f>
        <v>Táctico</v>
      </c>
      <c r="BZ113" s="96">
        <f>(DatosHoy[[#This Row],[G+V Actual]]-DatosHoy[[#This Row],[G Actual]])/DatosHoy[[#This Row],[CT Actual]]</f>
        <v>0</v>
      </c>
      <c r="CA113" s="96">
        <f>(DatosHoy[[#This Row],[CT Actual]]-DatosHoy[[#This Row],[G+V Actual]])/DatosHoy[[#This Row],[CT Actual]]</f>
        <v>0</v>
      </c>
      <c r="CB113" s="139" t="s">
        <v>255</v>
      </c>
    </row>
    <row r="114" spans="2:80" x14ac:dyDescent="0.25">
      <c r="B114" s="73">
        <f t="shared" si="56"/>
        <v>109</v>
      </c>
      <c r="C114" s="74">
        <v>4745510.1100000003</v>
      </c>
      <c r="D114" s="74">
        <v>4745510.1100000003</v>
      </c>
      <c r="E114" s="74">
        <v>4745510.1100000003</v>
      </c>
      <c r="F114" s="94">
        <f>VLOOKUP(DatosHoy[[#This Row],[Cargo Valorado]],Estadísticos[],3,0)</f>
        <v>4693403.3534964928</v>
      </c>
      <c r="G114" s="94">
        <f>VLOOKUP(DatosHoy[[#This Row],[Cargo Valorado]],Estadísticos[],4,0)</f>
        <v>5787243.7617022572</v>
      </c>
      <c r="H114" s="94">
        <f>VLOOKUP(DatosHoy[[#This Row],[Cargo Valorado]],Estadísticos[],5,0)</f>
        <v>5787243.7617022572</v>
      </c>
      <c r="I114" s="94">
        <f>VLOOKUP(DatosHoy[[#This Row],[Cargo Valorado]],Estadísticos[],6,0)</f>
        <v>5476936.559702686</v>
      </c>
      <c r="J114" s="94">
        <f>VLOOKUP(DatosHoy[[#This Row],[Cargo Valorado]],Estadísticos[],7,0)</f>
        <v>5819445.257345072</v>
      </c>
      <c r="K114" s="94">
        <f>VLOOKUP(DatosHoy[[#This Row],[Cargo Valorado]],Estadísticos[],8,0)</f>
        <v>5819445.257345072</v>
      </c>
      <c r="L114" s="94">
        <f>VLOOKUP(DatosHoy[[#This Row],[Cargo Valorado]],Estadísticos[],9,0)</f>
        <v>7505157.3600000003</v>
      </c>
      <c r="M114" s="94">
        <f>VLOOKUP(DatosHoy[[#This Row],[Cargo Valorado]],Estadísticos[],10,0)</f>
        <v>7505157.3600000003</v>
      </c>
      <c r="N114" s="94">
        <f>VLOOKUP(DatosHoy[[#This Row],[Cargo Valorado]],Estadísticos[],11,0)</f>
        <v>7953397.0266666664</v>
      </c>
      <c r="O114" s="75" t="s">
        <v>208</v>
      </c>
      <c r="P114" s="75">
        <v>442</v>
      </c>
      <c r="Q114" s="95" t="str">
        <f t="shared" si="57"/>
        <v>$P$114</v>
      </c>
      <c r="R114" s="95" t="str">
        <f t="shared" si="58"/>
        <v>$F$114</v>
      </c>
      <c r="S114" s="95" t="str">
        <f t="shared" si="59"/>
        <v>$G$114</v>
      </c>
      <c r="T114" s="95" t="str">
        <f t="shared" si="60"/>
        <v>$H$114</v>
      </c>
      <c r="U114" s="95" t="str">
        <f t="shared" si="61"/>
        <v>$I$114</v>
      </c>
      <c r="V114" s="95" t="str">
        <f t="shared" si="62"/>
        <v>$J$114</v>
      </c>
      <c r="W114" s="95" t="str">
        <f t="shared" si="63"/>
        <v>$K$114</v>
      </c>
      <c r="X114" s="95" t="str">
        <f t="shared" si="64"/>
        <v>$L$114</v>
      </c>
      <c r="Y114" s="95" t="str">
        <f t="shared" si="65"/>
        <v>$M$114</v>
      </c>
      <c r="Z114" s="95" t="str">
        <f t="shared" si="66"/>
        <v>$N$114</v>
      </c>
      <c r="AA114" s="94">
        <f ca="1">VLOOKUP($P114,'Regresion Q1'!$E$6:$I$10,4,1)*$P114+VLOOKUP($P114,'Regresion Q1'!$E$6:$I$10,5,1)</f>
        <v>6163433.6638966985</v>
      </c>
      <c r="AB114" s="94">
        <f ca="1">VLOOKUP($P114,'Regresion Q1'!$J$6:$N$10,4,1)*$P114+VLOOKUP($P114,'Regresion Q1'!$J$6:$N$10,5,1)</f>
        <v>6526973.3726549968</v>
      </c>
      <c r="AC114" s="94">
        <f ca="1">VLOOKUP($P114,'Regresion Q1'!$O$6:$S$10,4,1)*$P114+VLOOKUP($P114,'Regresion Q1'!$O$6:$S$10,5,1)</f>
        <v>6787105.954229923</v>
      </c>
      <c r="AD114" s="94">
        <f ca="1">VLOOKUP($P114,'Regresion Md'!$E$6:$I$10,4,1)*$P114+VLOOKUP($P114,'Regresion Md'!$E$6:$I$10,5,1)</f>
        <v>8549067.5968672372</v>
      </c>
      <c r="AE114" s="94">
        <f ca="1">VLOOKUP($P114,'Regresion Md'!$J$6:$N$10,4,1)*$P114+VLOOKUP($P114,'Regresion Md'!$J$6:$N$10,5,1)</f>
        <v>8758371.884779647</v>
      </c>
      <c r="AF114" s="94">
        <f ca="1">VLOOKUP($P114,'Regresion Md'!$O$6:$S$10,4,1)*$P114+VLOOKUP($P114,'Regresion Md'!$O$6:$S$10,5,1)</f>
        <v>8924391.4843973424</v>
      </c>
      <c r="AG114" s="94">
        <f ca="1">VLOOKUP($P114,'Regresion Q3'!$E$6:$I$10,4,1)*$P114+VLOOKUP($P114,'Regresion Q3'!$E$6:$I$10,5,1)</f>
        <v>8632565.431077797</v>
      </c>
      <c r="AH114" s="94">
        <f ca="1">VLOOKUP($P114,'Regresion Q3'!$J$6:$N$10,4,1)*$P114+VLOOKUP($P114,'Regresion Q3'!$J$6:$N$10,5,1)</f>
        <v>8858429.9823429324</v>
      </c>
      <c r="AI114" s="94">
        <f ca="1">VLOOKUP($P114,'Regresion Q3'!$O$6:$S$10,4,1)*$P114+VLOOKUP($P114,'Regresion Q3'!$O$6:$S$10,5,1)</f>
        <v>9062215.5626638848</v>
      </c>
      <c r="AJ114" s="94">
        <f ca="1">VLOOKUP($P114,'Regresion Q1'!$T$6:$V$10,2,1)*$P114+VLOOKUP($P114,'Regresion Q1'!$T$6:$V$10,3,1)</f>
        <v>6350241.2396502197</v>
      </c>
      <c r="AK114" s="94">
        <f ca="1">VLOOKUP($P114,'Regresion Q1'!$W$6:$Y$10,2,1)*$P114+VLOOKUP($P114,'Regresion Q1'!$W$6:$Y$10,3,1)</f>
        <v>6598885.4220315572</v>
      </c>
      <c r="AL114" s="94">
        <f ca="1">VLOOKUP($P114,'Regresion Q1'!$Z$6:$AB$10,2,1)*$P114+VLOOKUP($P114,'Regresion Q1'!$Z$6:$AB$10,3,1)</f>
        <v>6909351.7935749181</v>
      </c>
      <c r="AM114" s="94">
        <f ca="1">VLOOKUP($P114,'Regresion Md'!$T$6:$V$10,2,1)*$P114+VLOOKUP($P114,'Regresion Md'!$T$6:$V$10,3,1)</f>
        <v>8065684.4031862468</v>
      </c>
      <c r="AN114" s="94">
        <f ca="1">VLOOKUP($P114,'Regresion Md'!$W$6:$Y$10,2,1)*$P114+VLOOKUP($P114,'Regresion Md'!$W$6:$Y$10,3,1)</f>
        <v>8512638.761993859</v>
      </c>
      <c r="AO114" s="94">
        <f ca="1">VLOOKUP($P114,'Regresion Md'!$Z$6:$AB$10,2,1)*$P114+VLOOKUP($P114,'Regresion Md'!$Z$6:$AB$10,3,1)</f>
        <v>8862739.4421089776</v>
      </c>
      <c r="AP114" s="94">
        <f ca="1">VLOOKUP($P114,'Regresion Q3'!$T$6:$V$10,2,1)*$P114+VLOOKUP($P114,'Regresion Q3'!$T$6:$V$10,3,1)</f>
        <v>8632565.4310777988</v>
      </c>
      <c r="AQ114" s="94">
        <f ca="1">VLOOKUP($P114,'Regresion Q3'!$W$6:$Y$10,2,1)*$P114+VLOOKUP($P114,'Regresion Q3'!$W$6:$Y$10,3,1)</f>
        <v>8858429.9823429342</v>
      </c>
      <c r="AR114" s="94">
        <f ca="1">VLOOKUP($P114,'Regresion Q3'!$Z$6:$AB$10,2,1)*$P114+VLOOKUP($P114,'Regresion Q3'!$Z$6:$AB$10,3,1)</f>
        <v>9062215.5626638848</v>
      </c>
      <c r="AS114" s="94">
        <f>IF($BN114=$BN115,-1,DatosHoy[[#This Row],[G ajus PM Q1]]-BO115)</f>
        <v>-1</v>
      </c>
      <c r="AT114" s="94">
        <f>IF($BN114=$BN115,-1,DatosHoy[[#This Row],[G+V ajus PM Q1]]-BP115)</f>
        <v>-1</v>
      </c>
      <c r="AU114" s="94">
        <f>IF($BN114=$BN115,-1,DatosHoy[[#This Row],[CT ajus PM Q1]]-BQ115)</f>
        <v>-1</v>
      </c>
      <c r="AV114" s="94">
        <f ca="1">IF(DatosHoy[[#This Row],[G ajus PM Q1]]=DatosHoy[[#This Row],[G+V ajus PM Q1]],-1,DatosHoy[[#This Row],[G ajus PM Q1]]-DatosHoy[[#This Row],[G+V ajus PM Q1]])</f>
        <v>-237337.63309791125</v>
      </c>
      <c r="AW114" s="94">
        <f ca="1">IF(DatosHoy[[#This Row],[G+V ajus PM Q1]]=DatosHoy[[#This Row],[CT ajus PM Q1]],-1,DatosHoy[[#This Row],[G+V ajus PM Q1]]-DatosHoy[[#This Row],[CT ajus PM Q1]])</f>
        <v>-304167.20384136774</v>
      </c>
      <c r="AX114" s="94">
        <f>IF($BN114=$BN115,-1,DatosHoy[[#This Row],[G ajus PMd]]-BR115)</f>
        <v>-1</v>
      </c>
      <c r="AY114" s="94">
        <f>IF($BN114=$BN115,-1,DatosHoy[[#This Row],[G+V ajus PM Md]]-BS115)</f>
        <v>-1</v>
      </c>
      <c r="AZ114" s="94">
        <f>IF($BN114=$BN115,-1,DatosHoy[[#This Row],[CT ajus PM Md]]-BT115)</f>
        <v>-1</v>
      </c>
      <c r="BA114" s="94">
        <f ca="1">IF(DatosHoy[[#This Row],[G ajus PMd]]=DatosHoy[[#This Row],[G+V ajus PM Md]],-1,DatosHoy[[#This Row],[G ajus PMd]]-DatosHoy[[#This Row],[G+V ajus PM Md]])</f>
        <v>-435516.18390754797</v>
      </c>
      <c r="BB114" s="94">
        <f ca="1">IF(DatosHoy[[#This Row],[G+V ajus PM Md]]=DatosHoy[[#This Row],[CT ajus PM Md]],-1,DatosHoy[[#This Row],[G+V ajus PM Md]]-DatosHoy[[#This Row],[CT ajus PM Md]])</f>
        <v>-345924.77612205222</v>
      </c>
      <c r="BC114" s="94">
        <f>IF($BN114=$BN115,-1,DatosHoy[[#This Row],[G ajus PM Q3]]-BU115)</f>
        <v>-1</v>
      </c>
      <c r="BD114" s="94">
        <f>IF($BN114=$BN115,-1,DatosHoy[[#This Row],[G+V ajus PM Q3]]-BV115)</f>
        <v>-1</v>
      </c>
      <c r="BE114" s="94">
        <f>IF($BN114=$BN115,-1,DatosHoy[[#This Row],[CT ajus PM Q3]]-BW115)</f>
        <v>-1</v>
      </c>
      <c r="BF114" s="94">
        <f ca="1">IF(DatosHoy[[#This Row],[G ajus PM Q3]]=DatosHoy[[#This Row],[G+V ajus PM Q3]],-1,DatosHoy[[#This Row],[G ajus PM Q3]]-DatosHoy[[#This Row],[G+V ajus PM Q3]])</f>
        <v>-223256.03824959509</v>
      </c>
      <c r="BG114" s="94">
        <f ca="1">IF(DatosHoy[[#This Row],[G+V ajus PM Q3]]=DatosHoy[[#This Row],[CT ajus PM Q3]],-1,DatosHoy[[#This Row],[G+V ajus PM Q3]]-DatosHoy[[#This Row],[CT ajus PM Q3]])</f>
        <v>-201652.01720579527</v>
      </c>
      <c r="BH114" s="94">
        <f ca="1">IF(DatosHoy[[#This Row],[G ajus PM Q1]]=DatosHoy[[#This Row],[G ajus PMd]],-1,DatosHoy[[#This Row],[G ajus PM Q1]]-DatosHoy[[#This Row],[G ajus PMd]])</f>
        <v>-1762473.5342417751</v>
      </c>
      <c r="BI114" s="94">
        <f ca="1">IF(DatosHoy[[#This Row],[G+V ajus PM Q1]]=DatosHoy[[#This Row],[G+V ajus PM Md]],-1,DatosHoy[[#This Row],[G+V ajus PM Q1]]-DatosHoy[[#This Row],[G+V ajus PM Md]])</f>
        <v>-1960652.0850514118</v>
      </c>
      <c r="BJ114" s="94">
        <f ca="1">IF(DatosHoy[[#This Row],[CT ajus PM Q1]]=DatosHoy[[#This Row],[CT ajus PM Md]],-1,DatosHoy[[#This Row],[CT ajus PM Q1]]-DatosHoy[[#This Row],[CT ajus PM Md]])</f>
        <v>-2002409.6573320962</v>
      </c>
      <c r="BK114" s="94">
        <f ca="1">IF(DatosHoy[[#This Row],[G ajus PMd]]=DatosHoy[[#This Row],[G ajus PM Q3]],-1,DatosHoy[[#This Row],[G ajus PMd]]-DatosHoy[[#This Row],[G ajus PM Q3]])</f>
        <v>-593744.14596787281</v>
      </c>
      <c r="BL114" s="94">
        <f ca="1">IF(DatosHoy[[#This Row],[G+V ajus PM Md]]=DatosHoy[[#This Row],[G+V ajus PM Q3]],-1,DatosHoy[[#This Row],[G+V ajus PM Md]]-DatosHoy[[#This Row],[G+V ajus PM Q3]])</f>
        <v>-381484.00030991994</v>
      </c>
      <c r="BM114" s="94">
        <f ca="1">IF(DatosHoy[[#This Row],[CT ajus PM Md]]=DatosHoy[[#This Row],[CT ajus PM Q3]],-1,DatosHoy[[#This Row],[CT ajus PM Md]]-DatosHoy[[#This Row],[CT ajus PM Q3]])</f>
        <v>-237211.24139366299</v>
      </c>
      <c r="BN114" s="74">
        <v>436</v>
      </c>
      <c r="BO114" s="94">
        <f ca="1">IFERROR(VLOOKUP($BN114,'Regresion Q1'!$T$6:$V$10,2,1)*$BN114+VLOOKUP($BN114,'Regresion Q1'!$T$6:$V$10,3,1),VLOOKUP(MIN(DatosHoy[Puntos]),'Regresion Q1'!$T$6:$V$10,2,1)*$BN114+VLOOKUP(MIN(DatosHoy[Puntos]),'Regresion Q1'!$T$6:$V$10,3,1))</f>
        <v>6165585.4809838478</v>
      </c>
      <c r="BP114" s="94">
        <f ca="1">IFERROR(VLOOKUP($BN114,'Regresion Q1'!$W$6:$Y$10,2,1)*$BN114+VLOOKUP($BN114,'Regresion Q1'!$W$6:$Y$10,3,1),VLOOKUP(MIN(DatosHoy[Puntos]),'Regresion Q1'!$W$6:$Y$10,2,1)*$BN114+VLOOKUP(MIN(DatosHoy[Puntos]),'Regresion Q1'!$W$6:$Y$10,3,1))</f>
        <v>6402923.114081759</v>
      </c>
      <c r="BQ114" s="94">
        <f ca="1">IFERROR(VLOOKUP($BN114,'Regresion Q1'!$Z$6:$AB$10,2,1)*$BN114+VLOOKUP($BN114,'Regresion Q1'!$Z$6:$AB$10,3,1),VLOOKUP(MIN(DatosHoy[Puntos]),'Regresion Q1'!$Z$6:$AB$10,2,1)*$BN114+VLOOKUP(MIN(DatosHoy[Puntos]),'Regresion Q1'!$Z$6:$AB$10,3,1))</f>
        <v>6707090.3179231267</v>
      </c>
      <c r="BR114" s="94">
        <f ca="1">IFERROR(VLOOKUP($BN114,'Regresion Md'!$T$6:$V$10,2,1)*$BN114+VLOOKUP($BN114,'Regresion Md'!$T$6:$V$10,3,1),VLOOKUP(MIN(DatosHoy[Puntos]),'Regresion Md'!$T$6:$V$10,2,1)*$BN114+VLOOKUP(MIN(DatosHoy[Puntos]),'Regresion Md'!$T$6:$V$10,3,1))</f>
        <v>7928059.0152256228</v>
      </c>
      <c r="BS114" s="94">
        <f ca="1">IFERROR(VLOOKUP($BN114,'Regresion Md'!$W$6:$Y$10,2,1)*$BN114+VLOOKUP($BN114,'Regresion Md'!$W$6:$Y$10,3,1),VLOOKUP(MIN(DatosHoy[Puntos]),'Regresion Md'!$W$6:$Y$10,2,1)*$BN114+VLOOKUP(MIN(DatosHoy[Puntos]),'Regresion Md'!$W$6:$Y$10,3,1))</f>
        <v>8363575.1991331708</v>
      </c>
      <c r="BT114" s="94">
        <f ca="1">IFERROR(VLOOKUP($BN114,'Regresion Md'!$Z$6:$AB$10,2,1)*$BN114+VLOOKUP($BN114,'Regresion Md'!$Z$6:$AB$10,3,1),VLOOKUP(MIN(DatosHoy[Puntos]),'Regresion Md'!$Z$6:$AB$10,2,1)*$BN114+VLOOKUP(MIN(DatosHoy[Puntos]),'Regresion Md'!$Z$6:$AB$10,3,1))</f>
        <v>8709499.975255223</v>
      </c>
      <c r="BU114" s="94">
        <f ca="1">IFERROR(VLOOKUP($BN114,'Regresion Q3'!$T$6:$V$10,2,1)*$BN114+VLOOKUP($BN114,'Regresion Q3'!$T$6:$V$10,3,1),VLOOKUP(MIN(DatosHoy[Puntos]),'Regresion Q3'!$T$6:$V$10,2,1)*$BN114+VLOOKUP(MIN(DatosHoy[Puntos]),'Regresion Q3'!$T$6:$V$10,3,1))</f>
        <v>8521803.1611934956</v>
      </c>
      <c r="BV114" s="94">
        <f ca="1">IFERROR(VLOOKUP($BN114,'Regresion Q3'!$W$6:$Y$10,2,1)*$BN114+VLOOKUP($BN114,'Regresion Q3'!$W$6:$Y$10,3,1),VLOOKUP(MIN(DatosHoy[Puntos]),'Regresion Q3'!$W$6:$Y$10,2,1)*$BN114+VLOOKUP(MIN(DatosHoy[Puntos]),'Regresion Q3'!$W$6:$Y$10,3,1))</f>
        <v>8745059.1994430907</v>
      </c>
      <c r="BW114" s="94">
        <f ca="1">IFERROR(VLOOKUP($BN114,'Regresion Q3'!$Z$6:$AB$10,2,1)*$BN114+VLOOKUP($BN114,'Regresion Q3'!$Z$6:$AB$10,3,1),VLOOKUP(MIN(DatosHoy[Puntos]),'Regresion Q3'!$Z$6:$AB$10,2,1)*$BN114+VLOOKUP(MIN(DatosHoy[Puntos]),'Regresion Q3'!$Z$6:$AB$10,3,1))</f>
        <v>8946711.216648886</v>
      </c>
      <c r="BX114" s="96">
        <f ca="1">DatosHoy[[#This Row],[CT Actual]]/DatosHoy[[#This Row],[CT ajus PM Md]]</f>
        <v>0.54486596515099461</v>
      </c>
      <c r="BY114" s="125" t="str">
        <f>VLOOKUP(DatosHoy[[#This Row],[Cargo Valorado]],Estadísticos[[Cargo]:[Nivel]],2,FALSE)</f>
        <v>Táctico</v>
      </c>
      <c r="BZ114" s="96">
        <f>(DatosHoy[[#This Row],[G+V Actual]]-DatosHoy[[#This Row],[G Actual]])/DatosHoy[[#This Row],[CT Actual]]</f>
        <v>0</v>
      </c>
      <c r="CA114" s="96">
        <f>(DatosHoy[[#This Row],[CT Actual]]-DatosHoy[[#This Row],[G+V Actual]])/DatosHoy[[#This Row],[CT Actual]]</f>
        <v>0</v>
      </c>
      <c r="CB114" s="139" t="s">
        <v>255</v>
      </c>
    </row>
    <row r="115" spans="2:80" x14ac:dyDescent="0.25">
      <c r="B115" s="73">
        <f t="shared" si="56"/>
        <v>110</v>
      </c>
      <c r="C115" s="74">
        <v>4745510.1100000003</v>
      </c>
      <c r="D115" s="74">
        <v>4745510.1100000003</v>
      </c>
      <c r="E115" s="74">
        <v>4745510.1100000003</v>
      </c>
      <c r="F115" s="94">
        <f>VLOOKUP(DatosHoy[[#This Row],[Cargo Valorado]],Estadísticos[],3,0)</f>
        <v>4693403.3534964928</v>
      </c>
      <c r="G115" s="94">
        <f>VLOOKUP(DatosHoy[[#This Row],[Cargo Valorado]],Estadísticos[],4,0)</f>
        <v>5787243.7617022572</v>
      </c>
      <c r="H115" s="94">
        <f>VLOOKUP(DatosHoy[[#This Row],[Cargo Valorado]],Estadísticos[],5,0)</f>
        <v>5787243.7617022572</v>
      </c>
      <c r="I115" s="94">
        <f>VLOOKUP(DatosHoy[[#This Row],[Cargo Valorado]],Estadísticos[],6,0)</f>
        <v>5476936.559702686</v>
      </c>
      <c r="J115" s="94">
        <f>VLOOKUP(DatosHoy[[#This Row],[Cargo Valorado]],Estadísticos[],7,0)</f>
        <v>5819445.257345072</v>
      </c>
      <c r="K115" s="94">
        <f>VLOOKUP(DatosHoy[[#This Row],[Cargo Valorado]],Estadísticos[],8,0)</f>
        <v>5819445.257345072</v>
      </c>
      <c r="L115" s="94">
        <f>VLOOKUP(DatosHoy[[#This Row],[Cargo Valorado]],Estadísticos[],9,0)</f>
        <v>7505157.3600000003</v>
      </c>
      <c r="M115" s="94">
        <f>VLOOKUP(DatosHoy[[#This Row],[Cargo Valorado]],Estadísticos[],10,0)</f>
        <v>7505157.3600000003</v>
      </c>
      <c r="N115" s="94">
        <f>VLOOKUP(DatosHoy[[#This Row],[Cargo Valorado]],Estadísticos[],11,0)</f>
        <v>7953397.0266666664</v>
      </c>
      <c r="O115" s="75" t="s">
        <v>208</v>
      </c>
      <c r="P115" s="75">
        <v>442</v>
      </c>
      <c r="Q115" s="95" t="str">
        <f t="shared" si="57"/>
        <v>$P$115</v>
      </c>
      <c r="R115" s="95" t="str">
        <f t="shared" si="58"/>
        <v>$F$115</v>
      </c>
      <c r="S115" s="95" t="str">
        <f t="shared" si="59"/>
        <v>$G$115</v>
      </c>
      <c r="T115" s="95" t="str">
        <f t="shared" si="60"/>
        <v>$H$115</v>
      </c>
      <c r="U115" s="95" t="str">
        <f t="shared" si="61"/>
        <v>$I$115</v>
      </c>
      <c r="V115" s="95" t="str">
        <f t="shared" si="62"/>
        <v>$J$115</v>
      </c>
      <c r="W115" s="95" t="str">
        <f t="shared" si="63"/>
        <v>$K$115</v>
      </c>
      <c r="X115" s="95" t="str">
        <f t="shared" si="64"/>
        <v>$L$115</v>
      </c>
      <c r="Y115" s="95" t="str">
        <f t="shared" si="65"/>
        <v>$M$115</v>
      </c>
      <c r="Z115" s="95" t="str">
        <f t="shared" si="66"/>
        <v>$N$115</v>
      </c>
      <c r="AA115" s="94">
        <f ca="1">VLOOKUP($P115,'Regresion Q1'!$E$6:$I$10,4,1)*$P115+VLOOKUP($P115,'Regresion Q1'!$E$6:$I$10,5,1)</f>
        <v>6163433.6638966985</v>
      </c>
      <c r="AB115" s="94">
        <f ca="1">VLOOKUP($P115,'Regresion Q1'!$J$6:$N$10,4,1)*$P115+VLOOKUP($P115,'Regresion Q1'!$J$6:$N$10,5,1)</f>
        <v>6526973.3726549968</v>
      </c>
      <c r="AC115" s="94">
        <f ca="1">VLOOKUP($P115,'Regresion Q1'!$O$6:$S$10,4,1)*$P115+VLOOKUP($P115,'Regresion Q1'!$O$6:$S$10,5,1)</f>
        <v>6787105.954229923</v>
      </c>
      <c r="AD115" s="94">
        <f ca="1">VLOOKUP($P115,'Regresion Md'!$E$6:$I$10,4,1)*$P115+VLOOKUP($P115,'Regresion Md'!$E$6:$I$10,5,1)</f>
        <v>8549067.5968672372</v>
      </c>
      <c r="AE115" s="94">
        <f ca="1">VLOOKUP($P115,'Regresion Md'!$J$6:$N$10,4,1)*$P115+VLOOKUP($P115,'Regresion Md'!$J$6:$N$10,5,1)</f>
        <v>8758371.884779647</v>
      </c>
      <c r="AF115" s="94">
        <f ca="1">VLOOKUP($P115,'Regresion Md'!$O$6:$S$10,4,1)*$P115+VLOOKUP($P115,'Regresion Md'!$O$6:$S$10,5,1)</f>
        <v>8924391.4843973424</v>
      </c>
      <c r="AG115" s="94">
        <f ca="1">VLOOKUP($P115,'Regresion Q3'!$E$6:$I$10,4,1)*$P115+VLOOKUP($P115,'Regresion Q3'!$E$6:$I$10,5,1)</f>
        <v>8632565.431077797</v>
      </c>
      <c r="AH115" s="94">
        <f ca="1">VLOOKUP($P115,'Regresion Q3'!$J$6:$N$10,4,1)*$P115+VLOOKUP($P115,'Regresion Q3'!$J$6:$N$10,5,1)</f>
        <v>8858429.9823429324</v>
      </c>
      <c r="AI115" s="94">
        <f ca="1">VLOOKUP($P115,'Regresion Q3'!$O$6:$S$10,4,1)*$P115+VLOOKUP($P115,'Regresion Q3'!$O$6:$S$10,5,1)</f>
        <v>9062215.5626638848</v>
      </c>
      <c r="AJ115" s="94">
        <f ca="1">VLOOKUP($P115,'Regresion Q1'!$T$6:$V$10,2,1)*$P115+VLOOKUP($P115,'Regresion Q1'!$T$6:$V$10,3,1)</f>
        <v>6350241.2396502197</v>
      </c>
      <c r="AK115" s="94">
        <f ca="1">VLOOKUP($P115,'Regresion Q1'!$W$6:$Y$10,2,1)*$P115+VLOOKUP($P115,'Regresion Q1'!$W$6:$Y$10,3,1)</f>
        <v>6598885.4220315572</v>
      </c>
      <c r="AL115" s="94">
        <f ca="1">VLOOKUP($P115,'Regresion Q1'!$Z$6:$AB$10,2,1)*$P115+VLOOKUP($P115,'Regresion Q1'!$Z$6:$AB$10,3,1)</f>
        <v>6909351.7935749181</v>
      </c>
      <c r="AM115" s="94">
        <f ca="1">VLOOKUP($P115,'Regresion Md'!$T$6:$V$10,2,1)*$P115+VLOOKUP($P115,'Regresion Md'!$T$6:$V$10,3,1)</f>
        <v>8065684.4031862468</v>
      </c>
      <c r="AN115" s="94">
        <f ca="1">VLOOKUP($P115,'Regresion Md'!$W$6:$Y$10,2,1)*$P115+VLOOKUP($P115,'Regresion Md'!$W$6:$Y$10,3,1)</f>
        <v>8512638.761993859</v>
      </c>
      <c r="AO115" s="94">
        <f ca="1">VLOOKUP($P115,'Regresion Md'!$Z$6:$AB$10,2,1)*$P115+VLOOKUP($P115,'Regresion Md'!$Z$6:$AB$10,3,1)</f>
        <v>8862739.4421089776</v>
      </c>
      <c r="AP115" s="94">
        <f ca="1">VLOOKUP($P115,'Regresion Q3'!$T$6:$V$10,2,1)*$P115+VLOOKUP($P115,'Regresion Q3'!$T$6:$V$10,3,1)</f>
        <v>8632565.4310777988</v>
      </c>
      <c r="AQ115" s="94">
        <f ca="1">VLOOKUP($P115,'Regresion Q3'!$W$6:$Y$10,2,1)*$P115+VLOOKUP($P115,'Regresion Q3'!$W$6:$Y$10,3,1)</f>
        <v>8858429.9823429342</v>
      </c>
      <c r="AR115" s="94">
        <f ca="1">VLOOKUP($P115,'Regresion Q3'!$Z$6:$AB$10,2,1)*$P115+VLOOKUP($P115,'Regresion Q3'!$Z$6:$AB$10,3,1)</f>
        <v>9062215.5626638848</v>
      </c>
      <c r="AS115" s="94">
        <f>IF($BN115=$BN116,-1,DatosHoy[[#This Row],[G ajus PM Q1]]-BO116)</f>
        <v>-1</v>
      </c>
      <c r="AT115" s="94">
        <f>IF($BN115=$BN116,-1,DatosHoy[[#This Row],[G+V ajus PM Q1]]-BP116)</f>
        <v>-1</v>
      </c>
      <c r="AU115" s="94">
        <f>IF($BN115=$BN116,-1,DatosHoy[[#This Row],[CT ajus PM Q1]]-BQ116)</f>
        <v>-1</v>
      </c>
      <c r="AV115" s="94">
        <f ca="1">IF(DatosHoy[[#This Row],[G ajus PM Q1]]=DatosHoy[[#This Row],[G+V ajus PM Q1]],-1,DatosHoy[[#This Row],[G ajus PM Q1]]-DatosHoy[[#This Row],[G+V ajus PM Q1]])</f>
        <v>-237337.63309791125</v>
      </c>
      <c r="AW115" s="94">
        <f ca="1">IF(DatosHoy[[#This Row],[G+V ajus PM Q1]]=DatosHoy[[#This Row],[CT ajus PM Q1]],-1,DatosHoy[[#This Row],[G+V ajus PM Q1]]-DatosHoy[[#This Row],[CT ajus PM Q1]])</f>
        <v>-304167.20384136774</v>
      </c>
      <c r="AX115" s="94">
        <f>IF($BN115=$BN116,-1,DatosHoy[[#This Row],[G ajus PMd]]-BR116)</f>
        <v>-1</v>
      </c>
      <c r="AY115" s="94">
        <f>IF($BN115=$BN116,-1,DatosHoy[[#This Row],[G+V ajus PM Md]]-BS116)</f>
        <v>-1</v>
      </c>
      <c r="AZ115" s="94">
        <f>IF($BN115=$BN116,-1,DatosHoy[[#This Row],[CT ajus PM Md]]-BT116)</f>
        <v>-1</v>
      </c>
      <c r="BA115" s="94">
        <f ca="1">IF(DatosHoy[[#This Row],[G ajus PMd]]=DatosHoy[[#This Row],[G+V ajus PM Md]],-1,DatosHoy[[#This Row],[G ajus PMd]]-DatosHoy[[#This Row],[G+V ajus PM Md]])</f>
        <v>-435516.18390754797</v>
      </c>
      <c r="BB115" s="94">
        <f ca="1">IF(DatosHoy[[#This Row],[G+V ajus PM Md]]=DatosHoy[[#This Row],[CT ajus PM Md]],-1,DatosHoy[[#This Row],[G+V ajus PM Md]]-DatosHoy[[#This Row],[CT ajus PM Md]])</f>
        <v>-345924.77612205222</v>
      </c>
      <c r="BC115" s="94">
        <f>IF($BN115=$BN116,-1,DatosHoy[[#This Row],[G ajus PM Q3]]-BU116)</f>
        <v>-1</v>
      </c>
      <c r="BD115" s="94">
        <f>IF($BN115=$BN116,-1,DatosHoy[[#This Row],[G+V ajus PM Q3]]-BV116)</f>
        <v>-1</v>
      </c>
      <c r="BE115" s="94">
        <f>IF($BN115=$BN116,-1,DatosHoy[[#This Row],[CT ajus PM Q3]]-BW116)</f>
        <v>-1</v>
      </c>
      <c r="BF115" s="94">
        <f ca="1">IF(DatosHoy[[#This Row],[G ajus PM Q3]]=DatosHoy[[#This Row],[G+V ajus PM Q3]],-1,DatosHoy[[#This Row],[G ajus PM Q3]]-DatosHoy[[#This Row],[G+V ajus PM Q3]])</f>
        <v>-223256.03824959509</v>
      </c>
      <c r="BG115" s="94">
        <f ca="1">IF(DatosHoy[[#This Row],[G+V ajus PM Q3]]=DatosHoy[[#This Row],[CT ajus PM Q3]],-1,DatosHoy[[#This Row],[G+V ajus PM Q3]]-DatosHoy[[#This Row],[CT ajus PM Q3]])</f>
        <v>-201652.01720579527</v>
      </c>
      <c r="BH115" s="94">
        <f ca="1">IF(DatosHoy[[#This Row],[G ajus PM Q1]]=DatosHoy[[#This Row],[G ajus PMd]],-1,DatosHoy[[#This Row],[G ajus PM Q1]]-DatosHoy[[#This Row],[G ajus PMd]])</f>
        <v>-1762473.5342417751</v>
      </c>
      <c r="BI115" s="94">
        <f ca="1">IF(DatosHoy[[#This Row],[G+V ajus PM Q1]]=DatosHoy[[#This Row],[G+V ajus PM Md]],-1,DatosHoy[[#This Row],[G+V ajus PM Q1]]-DatosHoy[[#This Row],[G+V ajus PM Md]])</f>
        <v>-1960652.0850514118</v>
      </c>
      <c r="BJ115" s="94">
        <f ca="1">IF(DatosHoy[[#This Row],[CT ajus PM Q1]]=DatosHoy[[#This Row],[CT ajus PM Md]],-1,DatosHoy[[#This Row],[CT ajus PM Q1]]-DatosHoy[[#This Row],[CT ajus PM Md]])</f>
        <v>-2002409.6573320962</v>
      </c>
      <c r="BK115" s="94">
        <f ca="1">IF(DatosHoy[[#This Row],[G ajus PMd]]=DatosHoy[[#This Row],[G ajus PM Q3]],-1,DatosHoy[[#This Row],[G ajus PMd]]-DatosHoy[[#This Row],[G ajus PM Q3]])</f>
        <v>-593744.14596787281</v>
      </c>
      <c r="BL115" s="94">
        <f ca="1">IF(DatosHoy[[#This Row],[G+V ajus PM Md]]=DatosHoy[[#This Row],[G+V ajus PM Q3]],-1,DatosHoy[[#This Row],[G+V ajus PM Md]]-DatosHoy[[#This Row],[G+V ajus PM Q3]])</f>
        <v>-381484.00030991994</v>
      </c>
      <c r="BM115" s="94">
        <f ca="1">IF(DatosHoy[[#This Row],[CT ajus PM Md]]=DatosHoy[[#This Row],[CT ajus PM Q3]],-1,DatosHoy[[#This Row],[CT ajus PM Md]]-DatosHoy[[#This Row],[CT ajus PM Q3]])</f>
        <v>-237211.24139366299</v>
      </c>
      <c r="BN115" s="74">
        <v>436</v>
      </c>
      <c r="BO115" s="94">
        <f ca="1">IFERROR(VLOOKUP($BN115,'Regresion Q1'!$T$6:$V$10,2,1)*$BN115+VLOOKUP($BN115,'Regresion Q1'!$T$6:$V$10,3,1),VLOOKUP(MIN(DatosHoy[Puntos]),'Regresion Q1'!$T$6:$V$10,2,1)*$BN115+VLOOKUP(MIN(DatosHoy[Puntos]),'Regresion Q1'!$T$6:$V$10,3,1))</f>
        <v>6165585.4809838478</v>
      </c>
      <c r="BP115" s="94">
        <f ca="1">IFERROR(VLOOKUP($BN115,'Regresion Q1'!$W$6:$Y$10,2,1)*$BN115+VLOOKUP($BN115,'Regresion Q1'!$W$6:$Y$10,3,1),VLOOKUP(MIN(DatosHoy[Puntos]),'Regresion Q1'!$W$6:$Y$10,2,1)*$BN115+VLOOKUP(MIN(DatosHoy[Puntos]),'Regresion Q1'!$W$6:$Y$10,3,1))</f>
        <v>6402923.114081759</v>
      </c>
      <c r="BQ115" s="94">
        <f ca="1">IFERROR(VLOOKUP($BN115,'Regresion Q1'!$Z$6:$AB$10,2,1)*$BN115+VLOOKUP($BN115,'Regresion Q1'!$Z$6:$AB$10,3,1),VLOOKUP(MIN(DatosHoy[Puntos]),'Regresion Q1'!$Z$6:$AB$10,2,1)*$BN115+VLOOKUP(MIN(DatosHoy[Puntos]),'Regresion Q1'!$Z$6:$AB$10,3,1))</f>
        <v>6707090.3179231267</v>
      </c>
      <c r="BR115" s="94">
        <f ca="1">IFERROR(VLOOKUP($BN115,'Regresion Md'!$T$6:$V$10,2,1)*$BN115+VLOOKUP($BN115,'Regresion Md'!$T$6:$V$10,3,1),VLOOKUP(MIN(DatosHoy[Puntos]),'Regresion Md'!$T$6:$V$10,2,1)*$BN115+VLOOKUP(MIN(DatosHoy[Puntos]),'Regresion Md'!$T$6:$V$10,3,1))</f>
        <v>7928059.0152256228</v>
      </c>
      <c r="BS115" s="94">
        <f ca="1">IFERROR(VLOOKUP($BN115,'Regresion Md'!$W$6:$Y$10,2,1)*$BN115+VLOOKUP($BN115,'Regresion Md'!$W$6:$Y$10,3,1),VLOOKUP(MIN(DatosHoy[Puntos]),'Regresion Md'!$W$6:$Y$10,2,1)*$BN115+VLOOKUP(MIN(DatosHoy[Puntos]),'Regresion Md'!$W$6:$Y$10,3,1))</f>
        <v>8363575.1991331708</v>
      </c>
      <c r="BT115" s="94">
        <f ca="1">IFERROR(VLOOKUP($BN115,'Regresion Md'!$Z$6:$AB$10,2,1)*$BN115+VLOOKUP($BN115,'Regresion Md'!$Z$6:$AB$10,3,1),VLOOKUP(MIN(DatosHoy[Puntos]),'Regresion Md'!$Z$6:$AB$10,2,1)*$BN115+VLOOKUP(MIN(DatosHoy[Puntos]),'Regresion Md'!$Z$6:$AB$10,3,1))</f>
        <v>8709499.975255223</v>
      </c>
      <c r="BU115" s="94">
        <f ca="1">IFERROR(VLOOKUP($BN115,'Regresion Q3'!$T$6:$V$10,2,1)*$BN115+VLOOKUP($BN115,'Regresion Q3'!$T$6:$V$10,3,1),VLOOKUP(MIN(DatosHoy[Puntos]),'Regresion Q3'!$T$6:$V$10,2,1)*$BN115+VLOOKUP(MIN(DatosHoy[Puntos]),'Regresion Q3'!$T$6:$V$10,3,1))</f>
        <v>8521803.1611934956</v>
      </c>
      <c r="BV115" s="94">
        <f ca="1">IFERROR(VLOOKUP($BN115,'Regresion Q3'!$W$6:$Y$10,2,1)*$BN115+VLOOKUP($BN115,'Regresion Q3'!$W$6:$Y$10,3,1),VLOOKUP(MIN(DatosHoy[Puntos]),'Regresion Q3'!$W$6:$Y$10,2,1)*$BN115+VLOOKUP(MIN(DatosHoy[Puntos]),'Regresion Q3'!$W$6:$Y$10,3,1))</f>
        <v>8745059.1994430907</v>
      </c>
      <c r="BW115" s="94">
        <f ca="1">IFERROR(VLOOKUP($BN115,'Regresion Q3'!$Z$6:$AB$10,2,1)*$BN115+VLOOKUP($BN115,'Regresion Q3'!$Z$6:$AB$10,3,1),VLOOKUP(MIN(DatosHoy[Puntos]),'Regresion Q3'!$Z$6:$AB$10,2,1)*$BN115+VLOOKUP(MIN(DatosHoy[Puntos]),'Regresion Q3'!$Z$6:$AB$10,3,1))</f>
        <v>8946711.216648886</v>
      </c>
      <c r="BX115" s="96">
        <f ca="1">DatosHoy[[#This Row],[CT Actual]]/DatosHoy[[#This Row],[CT ajus PM Md]]</f>
        <v>0.54486596515099461</v>
      </c>
      <c r="BY115" s="125" t="str">
        <f>VLOOKUP(DatosHoy[[#This Row],[Cargo Valorado]],Estadísticos[[Cargo]:[Nivel]],2,FALSE)</f>
        <v>Táctico</v>
      </c>
      <c r="BZ115" s="96">
        <f>(DatosHoy[[#This Row],[G+V Actual]]-DatosHoy[[#This Row],[G Actual]])/DatosHoy[[#This Row],[CT Actual]]</f>
        <v>0</v>
      </c>
      <c r="CA115" s="96">
        <f>(DatosHoy[[#This Row],[CT Actual]]-DatosHoy[[#This Row],[G+V Actual]])/DatosHoy[[#This Row],[CT Actual]]</f>
        <v>0</v>
      </c>
      <c r="CB115" s="139" t="s">
        <v>255</v>
      </c>
    </row>
    <row r="116" spans="2:80" x14ac:dyDescent="0.25">
      <c r="B116" s="73">
        <f t="shared" si="56"/>
        <v>111</v>
      </c>
      <c r="C116" s="74">
        <v>4745510.1100000003</v>
      </c>
      <c r="D116" s="74">
        <v>4745510.1100000003</v>
      </c>
      <c r="E116" s="74">
        <v>4745510.1100000003</v>
      </c>
      <c r="F116" s="94">
        <f>VLOOKUP(DatosHoy[[#This Row],[Cargo Valorado]],Estadísticos[],3,0)</f>
        <v>4693403.3534964928</v>
      </c>
      <c r="G116" s="94">
        <f>VLOOKUP(DatosHoy[[#This Row],[Cargo Valorado]],Estadísticos[],4,0)</f>
        <v>5787243.7617022572</v>
      </c>
      <c r="H116" s="94">
        <f>VLOOKUP(DatosHoy[[#This Row],[Cargo Valorado]],Estadísticos[],5,0)</f>
        <v>5787243.7617022572</v>
      </c>
      <c r="I116" s="94">
        <f>VLOOKUP(DatosHoy[[#This Row],[Cargo Valorado]],Estadísticos[],6,0)</f>
        <v>5476936.559702686</v>
      </c>
      <c r="J116" s="94">
        <f>VLOOKUP(DatosHoy[[#This Row],[Cargo Valorado]],Estadísticos[],7,0)</f>
        <v>5819445.257345072</v>
      </c>
      <c r="K116" s="94">
        <f>VLOOKUP(DatosHoy[[#This Row],[Cargo Valorado]],Estadísticos[],8,0)</f>
        <v>5819445.257345072</v>
      </c>
      <c r="L116" s="94">
        <f>VLOOKUP(DatosHoy[[#This Row],[Cargo Valorado]],Estadísticos[],9,0)</f>
        <v>7505157.3600000003</v>
      </c>
      <c r="M116" s="94">
        <f>VLOOKUP(DatosHoy[[#This Row],[Cargo Valorado]],Estadísticos[],10,0)</f>
        <v>7505157.3600000003</v>
      </c>
      <c r="N116" s="94">
        <f>VLOOKUP(DatosHoy[[#This Row],[Cargo Valorado]],Estadísticos[],11,0)</f>
        <v>7953397.0266666664</v>
      </c>
      <c r="O116" s="75" t="s">
        <v>208</v>
      </c>
      <c r="P116" s="75">
        <v>442</v>
      </c>
      <c r="Q116" s="95" t="str">
        <f t="shared" si="57"/>
        <v>$P$116</v>
      </c>
      <c r="R116" s="95" t="str">
        <f t="shared" si="58"/>
        <v>$F$116</v>
      </c>
      <c r="S116" s="95" t="str">
        <f t="shared" si="59"/>
        <v>$G$116</v>
      </c>
      <c r="T116" s="95" t="str">
        <f t="shared" si="60"/>
        <v>$H$116</v>
      </c>
      <c r="U116" s="95" t="str">
        <f t="shared" si="61"/>
        <v>$I$116</v>
      </c>
      <c r="V116" s="95" t="str">
        <f t="shared" si="62"/>
        <v>$J$116</v>
      </c>
      <c r="W116" s="95" t="str">
        <f t="shared" si="63"/>
        <v>$K$116</v>
      </c>
      <c r="X116" s="95" t="str">
        <f t="shared" si="64"/>
        <v>$L$116</v>
      </c>
      <c r="Y116" s="95" t="str">
        <f t="shared" si="65"/>
        <v>$M$116</v>
      </c>
      <c r="Z116" s="95" t="str">
        <f t="shared" si="66"/>
        <v>$N$116</v>
      </c>
      <c r="AA116" s="94">
        <f ca="1">VLOOKUP($P116,'Regresion Q1'!$E$6:$I$10,4,1)*$P116+VLOOKUP($P116,'Regresion Q1'!$E$6:$I$10,5,1)</f>
        <v>6163433.6638966985</v>
      </c>
      <c r="AB116" s="94">
        <f ca="1">VLOOKUP($P116,'Regresion Q1'!$J$6:$N$10,4,1)*$P116+VLOOKUP($P116,'Regresion Q1'!$J$6:$N$10,5,1)</f>
        <v>6526973.3726549968</v>
      </c>
      <c r="AC116" s="94">
        <f ca="1">VLOOKUP($P116,'Regresion Q1'!$O$6:$S$10,4,1)*$P116+VLOOKUP($P116,'Regresion Q1'!$O$6:$S$10,5,1)</f>
        <v>6787105.954229923</v>
      </c>
      <c r="AD116" s="94">
        <f ca="1">VLOOKUP($P116,'Regresion Md'!$E$6:$I$10,4,1)*$P116+VLOOKUP($P116,'Regresion Md'!$E$6:$I$10,5,1)</f>
        <v>8549067.5968672372</v>
      </c>
      <c r="AE116" s="94">
        <f ca="1">VLOOKUP($P116,'Regresion Md'!$J$6:$N$10,4,1)*$P116+VLOOKUP($P116,'Regresion Md'!$J$6:$N$10,5,1)</f>
        <v>8758371.884779647</v>
      </c>
      <c r="AF116" s="94">
        <f ca="1">VLOOKUP($P116,'Regresion Md'!$O$6:$S$10,4,1)*$P116+VLOOKUP($P116,'Regresion Md'!$O$6:$S$10,5,1)</f>
        <v>8924391.4843973424</v>
      </c>
      <c r="AG116" s="94">
        <f ca="1">VLOOKUP($P116,'Regresion Q3'!$E$6:$I$10,4,1)*$P116+VLOOKUP($P116,'Regresion Q3'!$E$6:$I$10,5,1)</f>
        <v>8632565.431077797</v>
      </c>
      <c r="AH116" s="94">
        <f ca="1">VLOOKUP($P116,'Regresion Q3'!$J$6:$N$10,4,1)*$P116+VLOOKUP($P116,'Regresion Q3'!$J$6:$N$10,5,1)</f>
        <v>8858429.9823429324</v>
      </c>
      <c r="AI116" s="94">
        <f ca="1">VLOOKUP($P116,'Regresion Q3'!$O$6:$S$10,4,1)*$P116+VLOOKUP($P116,'Regresion Q3'!$O$6:$S$10,5,1)</f>
        <v>9062215.5626638848</v>
      </c>
      <c r="AJ116" s="94">
        <f ca="1">VLOOKUP($P116,'Regresion Q1'!$T$6:$V$10,2,1)*$P116+VLOOKUP($P116,'Regresion Q1'!$T$6:$V$10,3,1)</f>
        <v>6350241.2396502197</v>
      </c>
      <c r="AK116" s="94">
        <f ca="1">VLOOKUP($P116,'Regresion Q1'!$W$6:$Y$10,2,1)*$P116+VLOOKUP($P116,'Regresion Q1'!$W$6:$Y$10,3,1)</f>
        <v>6598885.4220315572</v>
      </c>
      <c r="AL116" s="94">
        <f ca="1">VLOOKUP($P116,'Regresion Q1'!$Z$6:$AB$10,2,1)*$P116+VLOOKUP($P116,'Regresion Q1'!$Z$6:$AB$10,3,1)</f>
        <v>6909351.7935749181</v>
      </c>
      <c r="AM116" s="94">
        <f ca="1">VLOOKUP($P116,'Regresion Md'!$T$6:$V$10,2,1)*$P116+VLOOKUP($P116,'Regresion Md'!$T$6:$V$10,3,1)</f>
        <v>8065684.4031862468</v>
      </c>
      <c r="AN116" s="94">
        <f ca="1">VLOOKUP($P116,'Regresion Md'!$W$6:$Y$10,2,1)*$P116+VLOOKUP($P116,'Regresion Md'!$W$6:$Y$10,3,1)</f>
        <v>8512638.761993859</v>
      </c>
      <c r="AO116" s="94">
        <f ca="1">VLOOKUP($P116,'Regresion Md'!$Z$6:$AB$10,2,1)*$P116+VLOOKUP($P116,'Regresion Md'!$Z$6:$AB$10,3,1)</f>
        <v>8862739.4421089776</v>
      </c>
      <c r="AP116" s="94">
        <f ca="1">VLOOKUP($P116,'Regresion Q3'!$T$6:$V$10,2,1)*$P116+VLOOKUP($P116,'Regresion Q3'!$T$6:$V$10,3,1)</f>
        <v>8632565.4310777988</v>
      </c>
      <c r="AQ116" s="94">
        <f ca="1">VLOOKUP($P116,'Regresion Q3'!$W$6:$Y$10,2,1)*$P116+VLOOKUP($P116,'Regresion Q3'!$W$6:$Y$10,3,1)</f>
        <v>8858429.9823429342</v>
      </c>
      <c r="AR116" s="94">
        <f ca="1">VLOOKUP($P116,'Regresion Q3'!$Z$6:$AB$10,2,1)*$P116+VLOOKUP($P116,'Regresion Q3'!$Z$6:$AB$10,3,1)</f>
        <v>9062215.5626638848</v>
      </c>
      <c r="AS116" s="94">
        <f>IF($BN116=$BN117,-1,DatosHoy[[#This Row],[G ajus PM Q1]]-BO117)</f>
        <v>-1</v>
      </c>
      <c r="AT116" s="94">
        <f>IF($BN116=$BN117,-1,DatosHoy[[#This Row],[G+V ajus PM Q1]]-BP117)</f>
        <v>-1</v>
      </c>
      <c r="AU116" s="94">
        <f>IF($BN116=$BN117,-1,DatosHoy[[#This Row],[CT ajus PM Q1]]-BQ117)</f>
        <v>-1</v>
      </c>
      <c r="AV116" s="94">
        <f ca="1">IF(DatosHoy[[#This Row],[G ajus PM Q1]]=DatosHoy[[#This Row],[G+V ajus PM Q1]],-1,DatosHoy[[#This Row],[G ajus PM Q1]]-DatosHoy[[#This Row],[G+V ajus PM Q1]])</f>
        <v>-237337.63309791125</v>
      </c>
      <c r="AW116" s="94">
        <f ca="1">IF(DatosHoy[[#This Row],[G+V ajus PM Q1]]=DatosHoy[[#This Row],[CT ajus PM Q1]],-1,DatosHoy[[#This Row],[G+V ajus PM Q1]]-DatosHoy[[#This Row],[CT ajus PM Q1]])</f>
        <v>-304167.20384136774</v>
      </c>
      <c r="AX116" s="94">
        <f>IF($BN116=$BN117,-1,DatosHoy[[#This Row],[G ajus PMd]]-BR117)</f>
        <v>-1</v>
      </c>
      <c r="AY116" s="94">
        <f>IF($BN116=$BN117,-1,DatosHoy[[#This Row],[G+V ajus PM Md]]-BS117)</f>
        <v>-1</v>
      </c>
      <c r="AZ116" s="94">
        <f>IF($BN116=$BN117,-1,DatosHoy[[#This Row],[CT ajus PM Md]]-BT117)</f>
        <v>-1</v>
      </c>
      <c r="BA116" s="94">
        <f ca="1">IF(DatosHoy[[#This Row],[G ajus PMd]]=DatosHoy[[#This Row],[G+V ajus PM Md]],-1,DatosHoy[[#This Row],[G ajus PMd]]-DatosHoy[[#This Row],[G+V ajus PM Md]])</f>
        <v>-435516.18390754797</v>
      </c>
      <c r="BB116" s="94">
        <f ca="1">IF(DatosHoy[[#This Row],[G+V ajus PM Md]]=DatosHoy[[#This Row],[CT ajus PM Md]],-1,DatosHoy[[#This Row],[G+V ajus PM Md]]-DatosHoy[[#This Row],[CT ajus PM Md]])</f>
        <v>-345924.77612205222</v>
      </c>
      <c r="BC116" s="94">
        <f>IF($BN116=$BN117,-1,DatosHoy[[#This Row],[G ajus PM Q3]]-BU117)</f>
        <v>-1</v>
      </c>
      <c r="BD116" s="94">
        <f>IF($BN116=$BN117,-1,DatosHoy[[#This Row],[G+V ajus PM Q3]]-BV117)</f>
        <v>-1</v>
      </c>
      <c r="BE116" s="94">
        <f>IF($BN116=$BN117,-1,DatosHoy[[#This Row],[CT ajus PM Q3]]-BW117)</f>
        <v>-1</v>
      </c>
      <c r="BF116" s="94">
        <f ca="1">IF(DatosHoy[[#This Row],[G ajus PM Q3]]=DatosHoy[[#This Row],[G+V ajus PM Q3]],-1,DatosHoy[[#This Row],[G ajus PM Q3]]-DatosHoy[[#This Row],[G+V ajus PM Q3]])</f>
        <v>-223256.03824959509</v>
      </c>
      <c r="BG116" s="94">
        <f ca="1">IF(DatosHoy[[#This Row],[G+V ajus PM Q3]]=DatosHoy[[#This Row],[CT ajus PM Q3]],-1,DatosHoy[[#This Row],[G+V ajus PM Q3]]-DatosHoy[[#This Row],[CT ajus PM Q3]])</f>
        <v>-201652.01720579527</v>
      </c>
      <c r="BH116" s="94">
        <f ca="1">IF(DatosHoy[[#This Row],[G ajus PM Q1]]=DatosHoy[[#This Row],[G ajus PMd]],-1,DatosHoy[[#This Row],[G ajus PM Q1]]-DatosHoy[[#This Row],[G ajus PMd]])</f>
        <v>-1762473.5342417751</v>
      </c>
      <c r="BI116" s="94">
        <f ca="1">IF(DatosHoy[[#This Row],[G+V ajus PM Q1]]=DatosHoy[[#This Row],[G+V ajus PM Md]],-1,DatosHoy[[#This Row],[G+V ajus PM Q1]]-DatosHoy[[#This Row],[G+V ajus PM Md]])</f>
        <v>-1960652.0850514118</v>
      </c>
      <c r="BJ116" s="94">
        <f ca="1">IF(DatosHoy[[#This Row],[CT ajus PM Q1]]=DatosHoy[[#This Row],[CT ajus PM Md]],-1,DatosHoy[[#This Row],[CT ajus PM Q1]]-DatosHoy[[#This Row],[CT ajus PM Md]])</f>
        <v>-2002409.6573320962</v>
      </c>
      <c r="BK116" s="94">
        <f ca="1">IF(DatosHoy[[#This Row],[G ajus PMd]]=DatosHoy[[#This Row],[G ajus PM Q3]],-1,DatosHoy[[#This Row],[G ajus PMd]]-DatosHoy[[#This Row],[G ajus PM Q3]])</f>
        <v>-593744.14596787281</v>
      </c>
      <c r="BL116" s="94">
        <f ca="1">IF(DatosHoy[[#This Row],[G+V ajus PM Md]]=DatosHoy[[#This Row],[G+V ajus PM Q3]],-1,DatosHoy[[#This Row],[G+V ajus PM Md]]-DatosHoy[[#This Row],[G+V ajus PM Q3]])</f>
        <v>-381484.00030991994</v>
      </c>
      <c r="BM116" s="94">
        <f ca="1">IF(DatosHoy[[#This Row],[CT ajus PM Md]]=DatosHoy[[#This Row],[CT ajus PM Q3]],-1,DatosHoy[[#This Row],[CT ajus PM Md]]-DatosHoy[[#This Row],[CT ajus PM Q3]])</f>
        <v>-237211.24139366299</v>
      </c>
      <c r="BN116" s="74">
        <v>436</v>
      </c>
      <c r="BO116" s="94">
        <f ca="1">IFERROR(VLOOKUP($BN116,'Regresion Q1'!$T$6:$V$10,2,1)*$BN116+VLOOKUP($BN116,'Regresion Q1'!$T$6:$V$10,3,1),VLOOKUP(MIN(DatosHoy[Puntos]),'Regresion Q1'!$T$6:$V$10,2,1)*$BN116+VLOOKUP(MIN(DatosHoy[Puntos]),'Regresion Q1'!$T$6:$V$10,3,1))</f>
        <v>6165585.4809838478</v>
      </c>
      <c r="BP116" s="94">
        <f ca="1">IFERROR(VLOOKUP($BN116,'Regresion Q1'!$W$6:$Y$10,2,1)*$BN116+VLOOKUP($BN116,'Regresion Q1'!$W$6:$Y$10,3,1),VLOOKUP(MIN(DatosHoy[Puntos]),'Regresion Q1'!$W$6:$Y$10,2,1)*$BN116+VLOOKUP(MIN(DatosHoy[Puntos]),'Regresion Q1'!$W$6:$Y$10,3,1))</f>
        <v>6402923.114081759</v>
      </c>
      <c r="BQ116" s="94">
        <f ca="1">IFERROR(VLOOKUP($BN116,'Regresion Q1'!$Z$6:$AB$10,2,1)*$BN116+VLOOKUP($BN116,'Regresion Q1'!$Z$6:$AB$10,3,1),VLOOKUP(MIN(DatosHoy[Puntos]),'Regresion Q1'!$Z$6:$AB$10,2,1)*$BN116+VLOOKUP(MIN(DatosHoy[Puntos]),'Regresion Q1'!$Z$6:$AB$10,3,1))</f>
        <v>6707090.3179231267</v>
      </c>
      <c r="BR116" s="94">
        <f ca="1">IFERROR(VLOOKUP($BN116,'Regresion Md'!$T$6:$V$10,2,1)*$BN116+VLOOKUP($BN116,'Regresion Md'!$T$6:$V$10,3,1),VLOOKUP(MIN(DatosHoy[Puntos]),'Regresion Md'!$T$6:$V$10,2,1)*$BN116+VLOOKUP(MIN(DatosHoy[Puntos]),'Regresion Md'!$T$6:$V$10,3,1))</f>
        <v>7928059.0152256228</v>
      </c>
      <c r="BS116" s="94">
        <f ca="1">IFERROR(VLOOKUP($BN116,'Regresion Md'!$W$6:$Y$10,2,1)*$BN116+VLOOKUP($BN116,'Regresion Md'!$W$6:$Y$10,3,1),VLOOKUP(MIN(DatosHoy[Puntos]),'Regresion Md'!$W$6:$Y$10,2,1)*$BN116+VLOOKUP(MIN(DatosHoy[Puntos]),'Regresion Md'!$W$6:$Y$10,3,1))</f>
        <v>8363575.1991331708</v>
      </c>
      <c r="BT116" s="94">
        <f ca="1">IFERROR(VLOOKUP($BN116,'Regresion Md'!$Z$6:$AB$10,2,1)*$BN116+VLOOKUP($BN116,'Regresion Md'!$Z$6:$AB$10,3,1),VLOOKUP(MIN(DatosHoy[Puntos]),'Regresion Md'!$Z$6:$AB$10,2,1)*$BN116+VLOOKUP(MIN(DatosHoy[Puntos]),'Regresion Md'!$Z$6:$AB$10,3,1))</f>
        <v>8709499.975255223</v>
      </c>
      <c r="BU116" s="94">
        <f ca="1">IFERROR(VLOOKUP($BN116,'Regresion Q3'!$T$6:$V$10,2,1)*$BN116+VLOOKUP($BN116,'Regresion Q3'!$T$6:$V$10,3,1),VLOOKUP(MIN(DatosHoy[Puntos]),'Regresion Q3'!$T$6:$V$10,2,1)*$BN116+VLOOKUP(MIN(DatosHoy[Puntos]),'Regresion Q3'!$T$6:$V$10,3,1))</f>
        <v>8521803.1611934956</v>
      </c>
      <c r="BV116" s="94">
        <f ca="1">IFERROR(VLOOKUP($BN116,'Regresion Q3'!$W$6:$Y$10,2,1)*$BN116+VLOOKUP($BN116,'Regresion Q3'!$W$6:$Y$10,3,1),VLOOKUP(MIN(DatosHoy[Puntos]),'Regresion Q3'!$W$6:$Y$10,2,1)*$BN116+VLOOKUP(MIN(DatosHoy[Puntos]),'Regresion Q3'!$W$6:$Y$10,3,1))</f>
        <v>8745059.1994430907</v>
      </c>
      <c r="BW116" s="94">
        <f ca="1">IFERROR(VLOOKUP($BN116,'Regresion Q3'!$Z$6:$AB$10,2,1)*$BN116+VLOOKUP($BN116,'Regresion Q3'!$Z$6:$AB$10,3,1),VLOOKUP(MIN(DatosHoy[Puntos]),'Regresion Q3'!$Z$6:$AB$10,2,1)*$BN116+VLOOKUP(MIN(DatosHoy[Puntos]),'Regresion Q3'!$Z$6:$AB$10,3,1))</f>
        <v>8946711.216648886</v>
      </c>
      <c r="BX116" s="96">
        <f ca="1">DatosHoy[[#This Row],[CT Actual]]/DatosHoy[[#This Row],[CT ajus PM Md]]</f>
        <v>0.54486596515099461</v>
      </c>
      <c r="BY116" s="125" t="str">
        <f>VLOOKUP(DatosHoy[[#This Row],[Cargo Valorado]],Estadísticos[[Cargo]:[Nivel]],2,FALSE)</f>
        <v>Táctico</v>
      </c>
      <c r="BZ116" s="96">
        <f>(DatosHoy[[#This Row],[G+V Actual]]-DatosHoy[[#This Row],[G Actual]])/DatosHoy[[#This Row],[CT Actual]]</f>
        <v>0</v>
      </c>
      <c r="CA116" s="96">
        <f>(DatosHoy[[#This Row],[CT Actual]]-DatosHoy[[#This Row],[G+V Actual]])/DatosHoy[[#This Row],[CT Actual]]</f>
        <v>0</v>
      </c>
      <c r="CB116" s="139" t="s">
        <v>255</v>
      </c>
    </row>
    <row r="117" spans="2:80" x14ac:dyDescent="0.25">
      <c r="B117" s="73">
        <f t="shared" si="56"/>
        <v>112</v>
      </c>
      <c r="C117" s="74">
        <v>4745510.1100000003</v>
      </c>
      <c r="D117" s="74">
        <v>4745510.1100000003</v>
      </c>
      <c r="E117" s="74">
        <v>4745510.1100000003</v>
      </c>
      <c r="F117" s="94">
        <f>VLOOKUP(DatosHoy[[#This Row],[Cargo Valorado]],Estadísticos[],3,0)</f>
        <v>4693403.3534964928</v>
      </c>
      <c r="G117" s="94">
        <f>VLOOKUP(DatosHoy[[#This Row],[Cargo Valorado]],Estadísticos[],4,0)</f>
        <v>5787243.7617022572</v>
      </c>
      <c r="H117" s="94">
        <f>VLOOKUP(DatosHoy[[#This Row],[Cargo Valorado]],Estadísticos[],5,0)</f>
        <v>5787243.7617022572</v>
      </c>
      <c r="I117" s="94">
        <f>VLOOKUP(DatosHoy[[#This Row],[Cargo Valorado]],Estadísticos[],6,0)</f>
        <v>5476936.559702686</v>
      </c>
      <c r="J117" s="94">
        <f>VLOOKUP(DatosHoy[[#This Row],[Cargo Valorado]],Estadísticos[],7,0)</f>
        <v>5819445.257345072</v>
      </c>
      <c r="K117" s="94">
        <f>VLOOKUP(DatosHoy[[#This Row],[Cargo Valorado]],Estadísticos[],8,0)</f>
        <v>5819445.257345072</v>
      </c>
      <c r="L117" s="94">
        <f>VLOOKUP(DatosHoy[[#This Row],[Cargo Valorado]],Estadísticos[],9,0)</f>
        <v>7505157.3600000003</v>
      </c>
      <c r="M117" s="94">
        <f>VLOOKUP(DatosHoy[[#This Row],[Cargo Valorado]],Estadísticos[],10,0)</f>
        <v>7505157.3600000003</v>
      </c>
      <c r="N117" s="94">
        <f>VLOOKUP(DatosHoy[[#This Row],[Cargo Valorado]],Estadísticos[],11,0)</f>
        <v>7953397.0266666664</v>
      </c>
      <c r="O117" s="75" t="s">
        <v>208</v>
      </c>
      <c r="P117" s="75">
        <v>442</v>
      </c>
      <c r="Q117" s="95" t="str">
        <f t="shared" si="57"/>
        <v>$P$117</v>
      </c>
      <c r="R117" s="95" t="str">
        <f t="shared" si="58"/>
        <v>$F$117</v>
      </c>
      <c r="S117" s="95" t="str">
        <f t="shared" si="59"/>
        <v>$G$117</v>
      </c>
      <c r="T117" s="95" t="str">
        <f t="shared" si="60"/>
        <v>$H$117</v>
      </c>
      <c r="U117" s="95" t="str">
        <f t="shared" si="61"/>
        <v>$I$117</v>
      </c>
      <c r="V117" s="95" t="str">
        <f t="shared" si="62"/>
        <v>$J$117</v>
      </c>
      <c r="W117" s="95" t="str">
        <f t="shared" si="63"/>
        <v>$K$117</v>
      </c>
      <c r="X117" s="95" t="str">
        <f t="shared" si="64"/>
        <v>$L$117</v>
      </c>
      <c r="Y117" s="95" t="str">
        <f t="shared" si="65"/>
        <v>$M$117</v>
      </c>
      <c r="Z117" s="95" t="str">
        <f t="shared" si="66"/>
        <v>$N$117</v>
      </c>
      <c r="AA117" s="94">
        <f ca="1">VLOOKUP($P117,'Regresion Q1'!$E$6:$I$10,4,1)*$P117+VLOOKUP($P117,'Regresion Q1'!$E$6:$I$10,5,1)</f>
        <v>6163433.6638966985</v>
      </c>
      <c r="AB117" s="94">
        <f ca="1">VLOOKUP($P117,'Regresion Q1'!$J$6:$N$10,4,1)*$P117+VLOOKUP($P117,'Regresion Q1'!$J$6:$N$10,5,1)</f>
        <v>6526973.3726549968</v>
      </c>
      <c r="AC117" s="94">
        <f ca="1">VLOOKUP($P117,'Regresion Q1'!$O$6:$S$10,4,1)*$P117+VLOOKUP($P117,'Regresion Q1'!$O$6:$S$10,5,1)</f>
        <v>6787105.954229923</v>
      </c>
      <c r="AD117" s="94">
        <f ca="1">VLOOKUP($P117,'Regresion Md'!$E$6:$I$10,4,1)*$P117+VLOOKUP($P117,'Regresion Md'!$E$6:$I$10,5,1)</f>
        <v>8549067.5968672372</v>
      </c>
      <c r="AE117" s="94">
        <f ca="1">VLOOKUP($P117,'Regresion Md'!$J$6:$N$10,4,1)*$P117+VLOOKUP($P117,'Regresion Md'!$J$6:$N$10,5,1)</f>
        <v>8758371.884779647</v>
      </c>
      <c r="AF117" s="94">
        <f ca="1">VLOOKUP($P117,'Regresion Md'!$O$6:$S$10,4,1)*$P117+VLOOKUP($P117,'Regresion Md'!$O$6:$S$10,5,1)</f>
        <v>8924391.4843973424</v>
      </c>
      <c r="AG117" s="94">
        <f ca="1">VLOOKUP($P117,'Regresion Q3'!$E$6:$I$10,4,1)*$P117+VLOOKUP($P117,'Regresion Q3'!$E$6:$I$10,5,1)</f>
        <v>8632565.431077797</v>
      </c>
      <c r="AH117" s="94">
        <f ca="1">VLOOKUP($P117,'Regresion Q3'!$J$6:$N$10,4,1)*$P117+VLOOKUP($P117,'Regresion Q3'!$J$6:$N$10,5,1)</f>
        <v>8858429.9823429324</v>
      </c>
      <c r="AI117" s="94">
        <f ca="1">VLOOKUP($P117,'Regresion Q3'!$O$6:$S$10,4,1)*$P117+VLOOKUP($P117,'Regresion Q3'!$O$6:$S$10,5,1)</f>
        <v>9062215.5626638848</v>
      </c>
      <c r="AJ117" s="94">
        <f ca="1">VLOOKUP($P117,'Regresion Q1'!$T$6:$V$10,2,1)*$P117+VLOOKUP($P117,'Regresion Q1'!$T$6:$V$10,3,1)</f>
        <v>6350241.2396502197</v>
      </c>
      <c r="AK117" s="94">
        <f ca="1">VLOOKUP($P117,'Regresion Q1'!$W$6:$Y$10,2,1)*$P117+VLOOKUP($P117,'Regresion Q1'!$W$6:$Y$10,3,1)</f>
        <v>6598885.4220315572</v>
      </c>
      <c r="AL117" s="94">
        <f ca="1">VLOOKUP($P117,'Regresion Q1'!$Z$6:$AB$10,2,1)*$P117+VLOOKUP($P117,'Regresion Q1'!$Z$6:$AB$10,3,1)</f>
        <v>6909351.7935749181</v>
      </c>
      <c r="AM117" s="94">
        <f ca="1">VLOOKUP($P117,'Regresion Md'!$T$6:$V$10,2,1)*$P117+VLOOKUP($P117,'Regresion Md'!$T$6:$V$10,3,1)</f>
        <v>8065684.4031862468</v>
      </c>
      <c r="AN117" s="94">
        <f ca="1">VLOOKUP($P117,'Regresion Md'!$W$6:$Y$10,2,1)*$P117+VLOOKUP($P117,'Regresion Md'!$W$6:$Y$10,3,1)</f>
        <v>8512638.761993859</v>
      </c>
      <c r="AO117" s="94">
        <f ca="1">VLOOKUP($P117,'Regresion Md'!$Z$6:$AB$10,2,1)*$P117+VLOOKUP($P117,'Regresion Md'!$Z$6:$AB$10,3,1)</f>
        <v>8862739.4421089776</v>
      </c>
      <c r="AP117" s="94">
        <f ca="1">VLOOKUP($P117,'Regresion Q3'!$T$6:$V$10,2,1)*$P117+VLOOKUP($P117,'Regresion Q3'!$T$6:$V$10,3,1)</f>
        <v>8632565.4310777988</v>
      </c>
      <c r="AQ117" s="94">
        <f ca="1">VLOOKUP($P117,'Regresion Q3'!$W$6:$Y$10,2,1)*$P117+VLOOKUP($P117,'Regresion Q3'!$W$6:$Y$10,3,1)</f>
        <v>8858429.9823429342</v>
      </c>
      <c r="AR117" s="94">
        <f ca="1">VLOOKUP($P117,'Regresion Q3'!$Z$6:$AB$10,2,1)*$P117+VLOOKUP($P117,'Regresion Q3'!$Z$6:$AB$10,3,1)</f>
        <v>9062215.5626638848</v>
      </c>
      <c r="AS117" s="94">
        <f>IF($BN117=$BN118,-1,DatosHoy[[#This Row],[G ajus PM Q1]]-BO118)</f>
        <v>-1</v>
      </c>
      <c r="AT117" s="94">
        <f>IF($BN117=$BN118,-1,DatosHoy[[#This Row],[G+V ajus PM Q1]]-BP118)</f>
        <v>-1</v>
      </c>
      <c r="AU117" s="94">
        <f>IF($BN117=$BN118,-1,DatosHoy[[#This Row],[CT ajus PM Q1]]-BQ118)</f>
        <v>-1</v>
      </c>
      <c r="AV117" s="94">
        <f ca="1">IF(DatosHoy[[#This Row],[G ajus PM Q1]]=DatosHoy[[#This Row],[G+V ajus PM Q1]],-1,DatosHoy[[#This Row],[G ajus PM Q1]]-DatosHoy[[#This Row],[G+V ajus PM Q1]])</f>
        <v>-237337.63309791125</v>
      </c>
      <c r="AW117" s="94">
        <f ca="1">IF(DatosHoy[[#This Row],[G+V ajus PM Q1]]=DatosHoy[[#This Row],[CT ajus PM Q1]],-1,DatosHoy[[#This Row],[G+V ajus PM Q1]]-DatosHoy[[#This Row],[CT ajus PM Q1]])</f>
        <v>-304167.20384136774</v>
      </c>
      <c r="AX117" s="94">
        <f>IF($BN117=$BN118,-1,DatosHoy[[#This Row],[G ajus PMd]]-BR118)</f>
        <v>-1</v>
      </c>
      <c r="AY117" s="94">
        <f>IF($BN117=$BN118,-1,DatosHoy[[#This Row],[G+V ajus PM Md]]-BS118)</f>
        <v>-1</v>
      </c>
      <c r="AZ117" s="94">
        <f>IF($BN117=$BN118,-1,DatosHoy[[#This Row],[CT ajus PM Md]]-BT118)</f>
        <v>-1</v>
      </c>
      <c r="BA117" s="94">
        <f ca="1">IF(DatosHoy[[#This Row],[G ajus PMd]]=DatosHoy[[#This Row],[G+V ajus PM Md]],-1,DatosHoy[[#This Row],[G ajus PMd]]-DatosHoy[[#This Row],[G+V ajus PM Md]])</f>
        <v>-435516.18390754797</v>
      </c>
      <c r="BB117" s="94">
        <f ca="1">IF(DatosHoy[[#This Row],[G+V ajus PM Md]]=DatosHoy[[#This Row],[CT ajus PM Md]],-1,DatosHoy[[#This Row],[G+V ajus PM Md]]-DatosHoy[[#This Row],[CT ajus PM Md]])</f>
        <v>-345924.77612205222</v>
      </c>
      <c r="BC117" s="94">
        <f>IF($BN117=$BN118,-1,DatosHoy[[#This Row],[G ajus PM Q3]]-BU118)</f>
        <v>-1</v>
      </c>
      <c r="BD117" s="94">
        <f>IF($BN117=$BN118,-1,DatosHoy[[#This Row],[G+V ajus PM Q3]]-BV118)</f>
        <v>-1</v>
      </c>
      <c r="BE117" s="94">
        <f>IF($BN117=$BN118,-1,DatosHoy[[#This Row],[CT ajus PM Q3]]-BW118)</f>
        <v>-1</v>
      </c>
      <c r="BF117" s="94">
        <f ca="1">IF(DatosHoy[[#This Row],[G ajus PM Q3]]=DatosHoy[[#This Row],[G+V ajus PM Q3]],-1,DatosHoy[[#This Row],[G ajus PM Q3]]-DatosHoy[[#This Row],[G+V ajus PM Q3]])</f>
        <v>-223256.03824959509</v>
      </c>
      <c r="BG117" s="94">
        <f ca="1">IF(DatosHoy[[#This Row],[G+V ajus PM Q3]]=DatosHoy[[#This Row],[CT ajus PM Q3]],-1,DatosHoy[[#This Row],[G+V ajus PM Q3]]-DatosHoy[[#This Row],[CT ajus PM Q3]])</f>
        <v>-201652.01720579527</v>
      </c>
      <c r="BH117" s="94">
        <f ca="1">IF(DatosHoy[[#This Row],[G ajus PM Q1]]=DatosHoy[[#This Row],[G ajus PMd]],-1,DatosHoy[[#This Row],[G ajus PM Q1]]-DatosHoy[[#This Row],[G ajus PMd]])</f>
        <v>-1762473.5342417751</v>
      </c>
      <c r="BI117" s="94">
        <f ca="1">IF(DatosHoy[[#This Row],[G+V ajus PM Q1]]=DatosHoy[[#This Row],[G+V ajus PM Md]],-1,DatosHoy[[#This Row],[G+V ajus PM Q1]]-DatosHoy[[#This Row],[G+V ajus PM Md]])</f>
        <v>-1960652.0850514118</v>
      </c>
      <c r="BJ117" s="94">
        <f ca="1">IF(DatosHoy[[#This Row],[CT ajus PM Q1]]=DatosHoy[[#This Row],[CT ajus PM Md]],-1,DatosHoy[[#This Row],[CT ajus PM Q1]]-DatosHoy[[#This Row],[CT ajus PM Md]])</f>
        <v>-2002409.6573320962</v>
      </c>
      <c r="BK117" s="94">
        <f ca="1">IF(DatosHoy[[#This Row],[G ajus PMd]]=DatosHoy[[#This Row],[G ajus PM Q3]],-1,DatosHoy[[#This Row],[G ajus PMd]]-DatosHoy[[#This Row],[G ajus PM Q3]])</f>
        <v>-593744.14596787281</v>
      </c>
      <c r="BL117" s="94">
        <f ca="1">IF(DatosHoy[[#This Row],[G+V ajus PM Md]]=DatosHoy[[#This Row],[G+V ajus PM Q3]],-1,DatosHoy[[#This Row],[G+V ajus PM Md]]-DatosHoy[[#This Row],[G+V ajus PM Q3]])</f>
        <v>-381484.00030991994</v>
      </c>
      <c r="BM117" s="94">
        <f ca="1">IF(DatosHoy[[#This Row],[CT ajus PM Md]]=DatosHoy[[#This Row],[CT ajus PM Q3]],-1,DatosHoy[[#This Row],[CT ajus PM Md]]-DatosHoy[[#This Row],[CT ajus PM Q3]])</f>
        <v>-237211.24139366299</v>
      </c>
      <c r="BN117" s="74">
        <v>436</v>
      </c>
      <c r="BO117" s="94">
        <f ca="1">IFERROR(VLOOKUP($BN117,'Regresion Q1'!$T$6:$V$10,2,1)*$BN117+VLOOKUP($BN117,'Regresion Q1'!$T$6:$V$10,3,1),VLOOKUP(MIN(DatosHoy[Puntos]),'Regresion Q1'!$T$6:$V$10,2,1)*$BN117+VLOOKUP(MIN(DatosHoy[Puntos]),'Regresion Q1'!$T$6:$V$10,3,1))</f>
        <v>6165585.4809838478</v>
      </c>
      <c r="BP117" s="94">
        <f ca="1">IFERROR(VLOOKUP($BN117,'Regresion Q1'!$W$6:$Y$10,2,1)*$BN117+VLOOKUP($BN117,'Regresion Q1'!$W$6:$Y$10,3,1),VLOOKUP(MIN(DatosHoy[Puntos]),'Regresion Q1'!$W$6:$Y$10,2,1)*$BN117+VLOOKUP(MIN(DatosHoy[Puntos]),'Regresion Q1'!$W$6:$Y$10,3,1))</f>
        <v>6402923.114081759</v>
      </c>
      <c r="BQ117" s="94">
        <f ca="1">IFERROR(VLOOKUP($BN117,'Regresion Q1'!$Z$6:$AB$10,2,1)*$BN117+VLOOKUP($BN117,'Regresion Q1'!$Z$6:$AB$10,3,1),VLOOKUP(MIN(DatosHoy[Puntos]),'Regresion Q1'!$Z$6:$AB$10,2,1)*$BN117+VLOOKUP(MIN(DatosHoy[Puntos]),'Regresion Q1'!$Z$6:$AB$10,3,1))</f>
        <v>6707090.3179231267</v>
      </c>
      <c r="BR117" s="94">
        <f ca="1">IFERROR(VLOOKUP($BN117,'Regresion Md'!$T$6:$V$10,2,1)*$BN117+VLOOKUP($BN117,'Regresion Md'!$T$6:$V$10,3,1),VLOOKUP(MIN(DatosHoy[Puntos]),'Regresion Md'!$T$6:$V$10,2,1)*$BN117+VLOOKUP(MIN(DatosHoy[Puntos]),'Regresion Md'!$T$6:$V$10,3,1))</f>
        <v>7928059.0152256228</v>
      </c>
      <c r="BS117" s="94">
        <f ca="1">IFERROR(VLOOKUP($BN117,'Regresion Md'!$W$6:$Y$10,2,1)*$BN117+VLOOKUP($BN117,'Regresion Md'!$W$6:$Y$10,3,1),VLOOKUP(MIN(DatosHoy[Puntos]),'Regresion Md'!$W$6:$Y$10,2,1)*$BN117+VLOOKUP(MIN(DatosHoy[Puntos]),'Regresion Md'!$W$6:$Y$10,3,1))</f>
        <v>8363575.1991331708</v>
      </c>
      <c r="BT117" s="94">
        <f ca="1">IFERROR(VLOOKUP($BN117,'Regresion Md'!$Z$6:$AB$10,2,1)*$BN117+VLOOKUP($BN117,'Regresion Md'!$Z$6:$AB$10,3,1),VLOOKUP(MIN(DatosHoy[Puntos]),'Regresion Md'!$Z$6:$AB$10,2,1)*$BN117+VLOOKUP(MIN(DatosHoy[Puntos]),'Regresion Md'!$Z$6:$AB$10,3,1))</f>
        <v>8709499.975255223</v>
      </c>
      <c r="BU117" s="94">
        <f ca="1">IFERROR(VLOOKUP($BN117,'Regresion Q3'!$T$6:$V$10,2,1)*$BN117+VLOOKUP($BN117,'Regresion Q3'!$T$6:$V$10,3,1),VLOOKUP(MIN(DatosHoy[Puntos]),'Regresion Q3'!$T$6:$V$10,2,1)*$BN117+VLOOKUP(MIN(DatosHoy[Puntos]),'Regresion Q3'!$T$6:$V$10,3,1))</f>
        <v>8521803.1611934956</v>
      </c>
      <c r="BV117" s="94">
        <f ca="1">IFERROR(VLOOKUP($BN117,'Regresion Q3'!$W$6:$Y$10,2,1)*$BN117+VLOOKUP($BN117,'Regresion Q3'!$W$6:$Y$10,3,1),VLOOKUP(MIN(DatosHoy[Puntos]),'Regresion Q3'!$W$6:$Y$10,2,1)*$BN117+VLOOKUP(MIN(DatosHoy[Puntos]),'Regresion Q3'!$W$6:$Y$10,3,1))</f>
        <v>8745059.1994430907</v>
      </c>
      <c r="BW117" s="94">
        <f ca="1">IFERROR(VLOOKUP($BN117,'Regresion Q3'!$Z$6:$AB$10,2,1)*$BN117+VLOOKUP($BN117,'Regresion Q3'!$Z$6:$AB$10,3,1),VLOOKUP(MIN(DatosHoy[Puntos]),'Regresion Q3'!$Z$6:$AB$10,2,1)*$BN117+VLOOKUP(MIN(DatosHoy[Puntos]),'Regresion Q3'!$Z$6:$AB$10,3,1))</f>
        <v>8946711.216648886</v>
      </c>
      <c r="BX117" s="96">
        <f ca="1">DatosHoy[[#This Row],[CT Actual]]/DatosHoy[[#This Row],[CT ajus PM Md]]</f>
        <v>0.54486596515099461</v>
      </c>
      <c r="BY117" s="125" t="str">
        <f>VLOOKUP(DatosHoy[[#This Row],[Cargo Valorado]],Estadísticos[[Cargo]:[Nivel]],2,FALSE)</f>
        <v>Táctico</v>
      </c>
      <c r="BZ117" s="96">
        <f>(DatosHoy[[#This Row],[G+V Actual]]-DatosHoy[[#This Row],[G Actual]])/DatosHoy[[#This Row],[CT Actual]]</f>
        <v>0</v>
      </c>
      <c r="CA117" s="96">
        <f>(DatosHoy[[#This Row],[CT Actual]]-DatosHoy[[#This Row],[G+V Actual]])/DatosHoy[[#This Row],[CT Actual]]</f>
        <v>0</v>
      </c>
      <c r="CB117" s="139" t="s">
        <v>255</v>
      </c>
    </row>
    <row r="118" spans="2:80" x14ac:dyDescent="0.25">
      <c r="B118" s="73">
        <f t="shared" si="56"/>
        <v>113</v>
      </c>
      <c r="C118" s="74">
        <v>6023373.7300000004</v>
      </c>
      <c r="D118" s="74">
        <v>6023373.7300000004</v>
      </c>
      <c r="E118" s="74">
        <v>6023373.7300000004</v>
      </c>
      <c r="F118" s="94">
        <f>VLOOKUP(DatosHoy[[#This Row],[Cargo Valorado]],Estadísticos[],3,0)</f>
        <v>9766738.1928795483</v>
      </c>
      <c r="G118" s="94">
        <f>VLOOKUP(DatosHoy[[#This Row],[Cargo Valorado]],Estadísticos[],4,0)</f>
        <v>10340566.239685345</v>
      </c>
      <c r="H118" s="94">
        <f>VLOOKUP(DatosHoy[[#This Row],[Cargo Valorado]],Estadísticos[],5,0)</f>
        <v>10413304.162750147</v>
      </c>
      <c r="I118" s="94">
        <f>VLOOKUP(DatosHoy[[#This Row],[Cargo Valorado]],Estadísticos[],6,0)</f>
        <v>10336679.107291687</v>
      </c>
      <c r="J118" s="94">
        <f>VLOOKUP(DatosHoy[[#This Row],[Cargo Valorado]],Estadísticos[],7,0)</f>
        <v>11484335.200903285</v>
      </c>
      <c r="K118" s="94">
        <f>VLOOKUP(DatosHoy[[#This Row],[Cargo Valorado]],Estadísticos[],8,0)</f>
        <v>11532827.149613153</v>
      </c>
      <c r="L118" s="94">
        <f>VLOOKUP(DatosHoy[[#This Row],[Cargo Valorado]],Estadísticos[],9,0)</f>
        <v>10906620.021703828</v>
      </c>
      <c r="M118" s="94">
        <f>VLOOKUP(DatosHoy[[#This Row],[Cargo Valorado]],Estadísticos[],10,0)</f>
        <v>12628104.162121225</v>
      </c>
      <c r="N118" s="94">
        <f>VLOOKUP(DatosHoy[[#This Row],[Cargo Valorado]],Estadísticos[],11,0)</f>
        <v>12652350.136476159</v>
      </c>
      <c r="O118" s="75" t="s">
        <v>207</v>
      </c>
      <c r="P118" s="75">
        <v>452</v>
      </c>
      <c r="Q118" s="95" t="str">
        <f t="shared" si="57"/>
        <v>$P$118</v>
      </c>
      <c r="R118" s="95" t="str">
        <f t="shared" si="58"/>
        <v>$F$118</v>
      </c>
      <c r="S118" s="95" t="str">
        <f t="shared" si="59"/>
        <v>$G$118</v>
      </c>
      <c r="T118" s="95" t="str">
        <f t="shared" si="60"/>
        <v>$H$118</v>
      </c>
      <c r="U118" s="95" t="str">
        <f t="shared" si="61"/>
        <v>$I$118</v>
      </c>
      <c r="V118" s="95" t="str">
        <f t="shared" si="62"/>
        <v>$J$118</v>
      </c>
      <c r="W118" s="95" t="str">
        <f t="shared" si="63"/>
        <v>$K$118</v>
      </c>
      <c r="X118" s="95" t="str">
        <f t="shared" si="64"/>
        <v>$L$118</v>
      </c>
      <c r="Y118" s="95" t="str">
        <f t="shared" si="65"/>
        <v>$M$118</v>
      </c>
      <c r="Z118" s="95" t="str">
        <f t="shared" si="66"/>
        <v>$N$118</v>
      </c>
      <c r="AA118" s="94">
        <f ca="1">VLOOKUP($P118,'Regresion Q1'!$E$6:$I$10,4,1)*$P118+VLOOKUP($P118,'Regresion Q1'!$E$6:$I$10,5,1)</f>
        <v>6430582.9191188738</v>
      </c>
      <c r="AB118" s="94">
        <f ca="1">VLOOKUP($P118,'Regresion Q1'!$J$6:$N$10,4,1)*$P118+VLOOKUP($P118,'Regresion Q1'!$J$6:$N$10,5,1)</f>
        <v>6837944.1650256962</v>
      </c>
      <c r="AC118" s="94">
        <f ca="1">VLOOKUP($P118,'Regresion Q1'!$O$6:$S$10,4,1)*$P118+VLOOKUP($P118,'Regresion Q1'!$O$6:$S$10,5,1)</f>
        <v>7097633.2311832737</v>
      </c>
      <c r="AD118" s="94">
        <f ca="1">VLOOKUP($P118,'Regresion Md'!$E$6:$I$10,4,1)*$P118+VLOOKUP($P118,'Regresion Md'!$E$6:$I$10,5,1)</f>
        <v>8799926.9409652129</v>
      </c>
      <c r="AE118" s="94">
        <f ca="1">VLOOKUP($P118,'Regresion Md'!$J$6:$N$10,4,1)*$P118+VLOOKUP($P118,'Regresion Md'!$J$6:$N$10,5,1)</f>
        <v>9017732.6283379402</v>
      </c>
      <c r="AF118" s="94">
        <f ca="1">VLOOKUP($P118,'Regresion Md'!$O$6:$S$10,4,1)*$P118+VLOOKUP($P118,'Regresion Md'!$O$6:$S$10,5,1)</f>
        <v>9182530.6865886394</v>
      </c>
      <c r="AG118" s="94">
        <f ca="1">VLOOKUP($P118,'Regresion Q3'!$E$6:$I$10,4,1)*$P118+VLOOKUP($P118,'Regresion Q3'!$E$6:$I$10,5,1)</f>
        <v>9126340.3067396805</v>
      </c>
      <c r="AH118" s="94">
        <f ca="1">VLOOKUP($P118,'Regresion Q3'!$J$6:$N$10,4,1)*$P118+VLOOKUP($P118,'Regresion Q3'!$J$6:$N$10,5,1)</f>
        <v>9400523.7653008364</v>
      </c>
      <c r="AI118" s="94">
        <f ca="1">VLOOKUP($P118,'Regresion Q3'!$O$6:$S$10,4,1)*$P118+VLOOKUP($P118,'Regresion Q3'!$O$6:$S$10,5,1)</f>
        <v>9609873.8888815511</v>
      </c>
      <c r="AJ118" s="94">
        <f ca="1">VLOOKUP($P118,'Regresion Q1'!$T$6:$V$10,2,1)*$P118+VLOOKUP($P118,'Regresion Q1'!$T$6:$V$10,3,1)</f>
        <v>6658000.8374275099</v>
      </c>
      <c r="AK118" s="94">
        <f ca="1">VLOOKUP($P118,'Regresion Q1'!$W$6:$Y$10,2,1)*$P118+VLOOKUP($P118,'Regresion Q1'!$W$6:$Y$10,3,1)</f>
        <v>6925489.2686145529</v>
      </c>
      <c r="AL118" s="94">
        <f ca="1">VLOOKUP($P118,'Regresion Q1'!$Z$6:$AB$10,2,1)*$P118+VLOOKUP($P118,'Regresion Q1'!$Z$6:$AB$10,3,1)</f>
        <v>7246454.2529945709</v>
      </c>
      <c r="AM118" s="94">
        <f ca="1">VLOOKUP($P118,'Regresion Md'!$T$6:$V$10,2,1)*$P118+VLOOKUP($P118,'Regresion Md'!$T$6:$V$10,3,1)</f>
        <v>8295060.0497872867</v>
      </c>
      <c r="AN118" s="94">
        <f ca="1">VLOOKUP($P118,'Regresion Md'!$W$6:$Y$10,2,1)*$P118+VLOOKUP($P118,'Regresion Md'!$W$6:$Y$10,3,1)</f>
        <v>8761078.0334283374</v>
      </c>
      <c r="AO118" s="94">
        <f ca="1">VLOOKUP($P118,'Regresion Md'!$Z$6:$AB$10,2,1)*$P118+VLOOKUP($P118,'Regresion Md'!$Z$6:$AB$10,3,1)</f>
        <v>9118138.5535319019</v>
      </c>
      <c r="AP118" s="94">
        <f ca="1">VLOOKUP($P118,'Regresion Q3'!$T$6:$V$10,2,1)*$P118+VLOOKUP($P118,'Regresion Q3'!$T$6:$V$10,3,1)</f>
        <v>8905432.199005438</v>
      </c>
      <c r="AQ118" s="94">
        <f ca="1">VLOOKUP($P118,'Regresion Q3'!$W$6:$Y$10,2,1)*$P118+VLOOKUP($P118,'Regresion Q3'!$W$6:$Y$10,3,1)</f>
        <v>9136234.4865281321</v>
      </c>
      <c r="AR118" s="94">
        <f ca="1">VLOOKUP($P118,'Regresion Q3'!$Z$6:$AB$10,2,1)*$P118+VLOOKUP($P118,'Regresion Q3'!$Z$6:$AB$10,3,1)</f>
        <v>9327228.4731378946</v>
      </c>
      <c r="AS118" s="94">
        <f>IF($BN118=$BN119,-1,DatosHoy[[#This Row],[G ajus PM Q1]]-BO119)</f>
        <v>-1</v>
      </c>
      <c r="AT118" s="94">
        <f>IF($BN118=$BN119,-1,DatosHoy[[#This Row],[G+V ajus PM Q1]]-BP119)</f>
        <v>-1</v>
      </c>
      <c r="AU118" s="94">
        <f>IF($BN118=$BN119,-1,DatosHoy[[#This Row],[CT ajus PM Q1]]-BQ119)</f>
        <v>-1</v>
      </c>
      <c r="AV118" s="94">
        <f ca="1">IF(DatosHoy[[#This Row],[G ajus PM Q1]]=DatosHoy[[#This Row],[G+V ajus PM Q1]],-1,DatosHoy[[#This Row],[G ajus PM Q1]]-DatosHoy[[#This Row],[G+V ajus PM Q1]])</f>
        <v>-237337.63309791125</v>
      </c>
      <c r="AW118" s="94">
        <f ca="1">IF(DatosHoy[[#This Row],[G+V ajus PM Q1]]=DatosHoy[[#This Row],[CT ajus PM Q1]],-1,DatosHoy[[#This Row],[G+V ajus PM Q1]]-DatosHoy[[#This Row],[CT ajus PM Q1]])</f>
        <v>-304167.20384136774</v>
      </c>
      <c r="AX118" s="94">
        <f>IF($BN118=$BN119,-1,DatosHoy[[#This Row],[G ajus PMd]]-BR119)</f>
        <v>-1</v>
      </c>
      <c r="AY118" s="94">
        <f>IF($BN118=$BN119,-1,DatosHoy[[#This Row],[G+V ajus PM Md]]-BS119)</f>
        <v>-1</v>
      </c>
      <c r="AZ118" s="94">
        <f>IF($BN118=$BN119,-1,DatosHoy[[#This Row],[CT ajus PM Md]]-BT119)</f>
        <v>-1</v>
      </c>
      <c r="BA118" s="94">
        <f ca="1">IF(DatosHoy[[#This Row],[G ajus PMd]]=DatosHoy[[#This Row],[G+V ajus PM Md]],-1,DatosHoy[[#This Row],[G ajus PMd]]-DatosHoy[[#This Row],[G+V ajus PM Md]])</f>
        <v>-435516.18390754797</v>
      </c>
      <c r="BB118" s="94">
        <f ca="1">IF(DatosHoy[[#This Row],[G+V ajus PM Md]]=DatosHoy[[#This Row],[CT ajus PM Md]],-1,DatosHoy[[#This Row],[G+V ajus PM Md]]-DatosHoy[[#This Row],[CT ajus PM Md]])</f>
        <v>-345924.77612205222</v>
      </c>
      <c r="BC118" s="94">
        <f>IF($BN118=$BN119,-1,DatosHoy[[#This Row],[G ajus PM Q3]]-BU119)</f>
        <v>-1</v>
      </c>
      <c r="BD118" s="94">
        <f>IF($BN118=$BN119,-1,DatosHoy[[#This Row],[G+V ajus PM Q3]]-BV119)</f>
        <v>-1</v>
      </c>
      <c r="BE118" s="94">
        <f>IF($BN118=$BN119,-1,DatosHoy[[#This Row],[CT ajus PM Q3]]-BW119)</f>
        <v>-1</v>
      </c>
      <c r="BF118" s="94">
        <f ca="1">IF(DatosHoy[[#This Row],[G ajus PM Q3]]=DatosHoy[[#This Row],[G+V ajus PM Q3]],-1,DatosHoy[[#This Row],[G ajus PM Q3]]-DatosHoy[[#This Row],[G+V ajus PM Q3]])</f>
        <v>-223256.03824959509</v>
      </c>
      <c r="BG118" s="94">
        <f ca="1">IF(DatosHoy[[#This Row],[G+V ajus PM Q3]]=DatosHoy[[#This Row],[CT ajus PM Q3]],-1,DatosHoy[[#This Row],[G+V ajus PM Q3]]-DatosHoy[[#This Row],[CT ajus PM Q3]])</f>
        <v>-201652.01720579527</v>
      </c>
      <c r="BH118" s="94">
        <f ca="1">IF(DatosHoy[[#This Row],[G ajus PM Q1]]=DatosHoy[[#This Row],[G ajus PMd]],-1,DatosHoy[[#This Row],[G ajus PM Q1]]-DatosHoy[[#This Row],[G ajus PMd]])</f>
        <v>-1762473.5342417751</v>
      </c>
      <c r="BI118" s="94">
        <f ca="1">IF(DatosHoy[[#This Row],[G+V ajus PM Q1]]=DatosHoy[[#This Row],[G+V ajus PM Md]],-1,DatosHoy[[#This Row],[G+V ajus PM Q1]]-DatosHoy[[#This Row],[G+V ajus PM Md]])</f>
        <v>-1960652.0850514118</v>
      </c>
      <c r="BJ118" s="94">
        <f ca="1">IF(DatosHoy[[#This Row],[CT ajus PM Q1]]=DatosHoy[[#This Row],[CT ajus PM Md]],-1,DatosHoy[[#This Row],[CT ajus PM Q1]]-DatosHoy[[#This Row],[CT ajus PM Md]])</f>
        <v>-2002409.6573320962</v>
      </c>
      <c r="BK118" s="94">
        <f ca="1">IF(DatosHoy[[#This Row],[G ajus PMd]]=DatosHoy[[#This Row],[G ajus PM Q3]],-1,DatosHoy[[#This Row],[G ajus PMd]]-DatosHoy[[#This Row],[G ajus PM Q3]])</f>
        <v>-593744.14596787281</v>
      </c>
      <c r="BL118" s="94">
        <f ca="1">IF(DatosHoy[[#This Row],[G+V ajus PM Md]]=DatosHoy[[#This Row],[G+V ajus PM Q3]],-1,DatosHoy[[#This Row],[G+V ajus PM Md]]-DatosHoy[[#This Row],[G+V ajus PM Q3]])</f>
        <v>-381484.00030991994</v>
      </c>
      <c r="BM118" s="94">
        <f ca="1">IF(DatosHoy[[#This Row],[CT ajus PM Md]]=DatosHoy[[#This Row],[CT ajus PM Q3]],-1,DatosHoy[[#This Row],[CT ajus PM Md]]-DatosHoy[[#This Row],[CT ajus PM Q3]])</f>
        <v>-237211.24139366299</v>
      </c>
      <c r="BN118" s="74">
        <v>436</v>
      </c>
      <c r="BO118" s="94">
        <f ca="1">IFERROR(VLOOKUP($BN118,'Regresion Q1'!$T$6:$V$10,2,1)*$BN118+VLOOKUP($BN118,'Regresion Q1'!$T$6:$V$10,3,1),VLOOKUP(MIN(DatosHoy[Puntos]),'Regresion Q1'!$T$6:$V$10,2,1)*$BN118+VLOOKUP(MIN(DatosHoy[Puntos]),'Regresion Q1'!$T$6:$V$10,3,1))</f>
        <v>6165585.4809838478</v>
      </c>
      <c r="BP118" s="94">
        <f ca="1">IFERROR(VLOOKUP($BN118,'Regresion Q1'!$W$6:$Y$10,2,1)*$BN118+VLOOKUP($BN118,'Regresion Q1'!$W$6:$Y$10,3,1),VLOOKUP(MIN(DatosHoy[Puntos]),'Regresion Q1'!$W$6:$Y$10,2,1)*$BN118+VLOOKUP(MIN(DatosHoy[Puntos]),'Regresion Q1'!$W$6:$Y$10,3,1))</f>
        <v>6402923.114081759</v>
      </c>
      <c r="BQ118" s="94">
        <f ca="1">IFERROR(VLOOKUP($BN118,'Regresion Q1'!$Z$6:$AB$10,2,1)*$BN118+VLOOKUP($BN118,'Regresion Q1'!$Z$6:$AB$10,3,1),VLOOKUP(MIN(DatosHoy[Puntos]),'Regresion Q1'!$Z$6:$AB$10,2,1)*$BN118+VLOOKUP(MIN(DatosHoy[Puntos]),'Regresion Q1'!$Z$6:$AB$10,3,1))</f>
        <v>6707090.3179231267</v>
      </c>
      <c r="BR118" s="94">
        <f ca="1">IFERROR(VLOOKUP($BN118,'Regresion Md'!$T$6:$V$10,2,1)*$BN118+VLOOKUP($BN118,'Regresion Md'!$T$6:$V$10,3,1),VLOOKUP(MIN(DatosHoy[Puntos]),'Regresion Md'!$T$6:$V$10,2,1)*$BN118+VLOOKUP(MIN(DatosHoy[Puntos]),'Regresion Md'!$T$6:$V$10,3,1))</f>
        <v>7928059.0152256228</v>
      </c>
      <c r="BS118" s="94">
        <f ca="1">IFERROR(VLOOKUP($BN118,'Regresion Md'!$W$6:$Y$10,2,1)*$BN118+VLOOKUP($BN118,'Regresion Md'!$W$6:$Y$10,3,1),VLOOKUP(MIN(DatosHoy[Puntos]),'Regresion Md'!$W$6:$Y$10,2,1)*$BN118+VLOOKUP(MIN(DatosHoy[Puntos]),'Regresion Md'!$W$6:$Y$10,3,1))</f>
        <v>8363575.1991331708</v>
      </c>
      <c r="BT118" s="94">
        <f ca="1">IFERROR(VLOOKUP($BN118,'Regresion Md'!$Z$6:$AB$10,2,1)*$BN118+VLOOKUP($BN118,'Regresion Md'!$Z$6:$AB$10,3,1),VLOOKUP(MIN(DatosHoy[Puntos]),'Regresion Md'!$Z$6:$AB$10,2,1)*$BN118+VLOOKUP(MIN(DatosHoy[Puntos]),'Regresion Md'!$Z$6:$AB$10,3,1))</f>
        <v>8709499.975255223</v>
      </c>
      <c r="BU118" s="94">
        <f ca="1">IFERROR(VLOOKUP($BN118,'Regresion Q3'!$T$6:$V$10,2,1)*$BN118+VLOOKUP($BN118,'Regresion Q3'!$T$6:$V$10,3,1),VLOOKUP(MIN(DatosHoy[Puntos]),'Regresion Q3'!$T$6:$V$10,2,1)*$BN118+VLOOKUP(MIN(DatosHoy[Puntos]),'Regresion Q3'!$T$6:$V$10,3,1))</f>
        <v>8521803.1611934956</v>
      </c>
      <c r="BV118" s="94">
        <f ca="1">IFERROR(VLOOKUP($BN118,'Regresion Q3'!$W$6:$Y$10,2,1)*$BN118+VLOOKUP($BN118,'Regresion Q3'!$W$6:$Y$10,3,1),VLOOKUP(MIN(DatosHoy[Puntos]),'Regresion Q3'!$W$6:$Y$10,2,1)*$BN118+VLOOKUP(MIN(DatosHoy[Puntos]),'Regresion Q3'!$W$6:$Y$10,3,1))</f>
        <v>8745059.1994430907</v>
      </c>
      <c r="BW118" s="94">
        <f ca="1">IFERROR(VLOOKUP($BN118,'Regresion Q3'!$Z$6:$AB$10,2,1)*$BN118+VLOOKUP($BN118,'Regresion Q3'!$Z$6:$AB$10,3,1),VLOOKUP(MIN(DatosHoy[Puntos]),'Regresion Q3'!$Z$6:$AB$10,2,1)*$BN118+VLOOKUP(MIN(DatosHoy[Puntos]),'Regresion Q3'!$Z$6:$AB$10,3,1))</f>
        <v>8946711.216648886</v>
      </c>
      <c r="BX118" s="96">
        <f ca="1">DatosHoy[[#This Row],[CT Actual]]/DatosHoy[[#This Row],[CT ajus PM Md]]</f>
        <v>0.69158662921099456</v>
      </c>
      <c r="BY118" s="125" t="str">
        <f>VLOOKUP(DatosHoy[[#This Row],[Cargo Valorado]],Estadísticos[[Cargo]:[Nivel]],2,FALSE)</f>
        <v>Táctico</v>
      </c>
      <c r="BZ118" s="96">
        <f>(DatosHoy[[#This Row],[G+V Actual]]-DatosHoy[[#This Row],[G Actual]])/DatosHoy[[#This Row],[CT Actual]]</f>
        <v>0</v>
      </c>
      <c r="CA118" s="96">
        <f>(DatosHoy[[#This Row],[CT Actual]]-DatosHoy[[#This Row],[G+V Actual]])/DatosHoy[[#This Row],[CT Actual]]</f>
        <v>0</v>
      </c>
      <c r="CB118" s="139" t="s">
        <v>255</v>
      </c>
    </row>
    <row r="119" spans="2:80" x14ac:dyDescent="0.25">
      <c r="B119" s="73">
        <f t="shared" si="56"/>
        <v>114</v>
      </c>
      <c r="C119" s="74">
        <v>6189284.2000000002</v>
      </c>
      <c r="D119" s="74">
        <v>10307629.200000001</v>
      </c>
      <c r="E119" s="74">
        <v>10307629.200000001</v>
      </c>
      <c r="F119" s="94">
        <f>VLOOKUP(DatosHoy[[#This Row],[Cargo Valorado]],Estadísticos[],3,0)</f>
        <v>8844460.6453180443</v>
      </c>
      <c r="G119" s="94">
        <f>VLOOKUP(DatosHoy[[#This Row],[Cargo Valorado]],Estadísticos[],4,0)</f>
        <v>9472505.9603180438</v>
      </c>
      <c r="H119" s="94">
        <f>VLOOKUP(DatosHoy[[#This Row],[Cargo Valorado]],Estadísticos[],5,0)</f>
        <v>9643897.8003180437</v>
      </c>
      <c r="I119" s="94">
        <f>VLOOKUP(DatosHoy[[#This Row],[Cargo Valorado]],Estadísticos[],6,0)</f>
        <v>11358224.498688214</v>
      </c>
      <c r="J119" s="94">
        <f>VLOOKUP(DatosHoy[[#This Row],[Cargo Valorado]],Estadísticos[],7,0)</f>
        <v>11776921.37535488</v>
      </c>
      <c r="K119" s="94">
        <f>VLOOKUP(DatosHoy[[#This Row],[Cargo Valorado]],Estadísticos[],8,0)</f>
        <v>11948313.21535488</v>
      </c>
      <c r="L119" s="94">
        <f>VLOOKUP(DatosHoy[[#This Row],[Cargo Valorado]],Estadísticos[],9,0)</f>
        <v>13871988.352058383</v>
      </c>
      <c r="M119" s="94">
        <f>VLOOKUP(DatosHoy[[#This Row],[Cargo Valorado]],Estadísticos[],10,0)</f>
        <v>14081336.790391717</v>
      </c>
      <c r="N119" s="94">
        <f>VLOOKUP(DatosHoy[[#This Row],[Cargo Valorado]],Estadísticos[],11,0)</f>
        <v>14252728.630391717</v>
      </c>
      <c r="O119" s="75" t="s">
        <v>179</v>
      </c>
      <c r="P119" s="75">
        <v>452</v>
      </c>
      <c r="Q119" s="95" t="str">
        <f t="shared" si="57"/>
        <v>$P$119</v>
      </c>
      <c r="R119" s="95" t="str">
        <f t="shared" si="58"/>
        <v>$F$119</v>
      </c>
      <c r="S119" s="95" t="str">
        <f t="shared" si="59"/>
        <v>$G$119</v>
      </c>
      <c r="T119" s="95" t="str">
        <f t="shared" si="60"/>
        <v>$H$119</v>
      </c>
      <c r="U119" s="95" t="str">
        <f t="shared" si="61"/>
        <v>$I$119</v>
      </c>
      <c r="V119" s="95" t="str">
        <f t="shared" si="62"/>
        <v>$J$119</v>
      </c>
      <c r="W119" s="95" t="str">
        <f t="shared" si="63"/>
        <v>$K$119</v>
      </c>
      <c r="X119" s="95" t="str">
        <f t="shared" si="64"/>
        <v>$L$119</v>
      </c>
      <c r="Y119" s="95" t="str">
        <f t="shared" si="65"/>
        <v>$M$119</v>
      </c>
      <c r="Z119" s="95" t="str">
        <f t="shared" si="66"/>
        <v>$N$119</v>
      </c>
      <c r="AA119" s="94">
        <f ca="1">VLOOKUP($P119,'Regresion Q1'!$E$6:$I$10,4,1)*$P119+VLOOKUP($P119,'Regresion Q1'!$E$6:$I$10,5,1)</f>
        <v>6430582.9191188738</v>
      </c>
      <c r="AB119" s="94">
        <f ca="1">VLOOKUP($P119,'Regresion Q1'!$J$6:$N$10,4,1)*$P119+VLOOKUP($P119,'Regresion Q1'!$J$6:$N$10,5,1)</f>
        <v>6837944.1650256962</v>
      </c>
      <c r="AC119" s="94">
        <f ca="1">VLOOKUP($P119,'Regresion Q1'!$O$6:$S$10,4,1)*$P119+VLOOKUP($P119,'Regresion Q1'!$O$6:$S$10,5,1)</f>
        <v>7097633.2311832737</v>
      </c>
      <c r="AD119" s="94">
        <f ca="1">VLOOKUP($P119,'Regresion Md'!$E$6:$I$10,4,1)*$P119+VLOOKUP($P119,'Regresion Md'!$E$6:$I$10,5,1)</f>
        <v>8799926.9409652129</v>
      </c>
      <c r="AE119" s="94">
        <f ca="1">VLOOKUP($P119,'Regresion Md'!$J$6:$N$10,4,1)*$P119+VLOOKUP($P119,'Regresion Md'!$J$6:$N$10,5,1)</f>
        <v>9017732.6283379402</v>
      </c>
      <c r="AF119" s="94">
        <f ca="1">VLOOKUP($P119,'Regresion Md'!$O$6:$S$10,4,1)*$P119+VLOOKUP($P119,'Regresion Md'!$O$6:$S$10,5,1)</f>
        <v>9182530.6865886394</v>
      </c>
      <c r="AG119" s="94">
        <f ca="1">VLOOKUP($P119,'Regresion Q3'!$E$6:$I$10,4,1)*$P119+VLOOKUP($P119,'Regresion Q3'!$E$6:$I$10,5,1)</f>
        <v>9126340.3067396805</v>
      </c>
      <c r="AH119" s="94">
        <f ca="1">VLOOKUP($P119,'Regresion Q3'!$J$6:$N$10,4,1)*$P119+VLOOKUP($P119,'Regresion Q3'!$J$6:$N$10,5,1)</f>
        <v>9400523.7653008364</v>
      </c>
      <c r="AI119" s="94">
        <f ca="1">VLOOKUP($P119,'Regresion Q3'!$O$6:$S$10,4,1)*$P119+VLOOKUP($P119,'Regresion Q3'!$O$6:$S$10,5,1)</f>
        <v>9609873.8888815511</v>
      </c>
      <c r="AJ119" s="94">
        <f ca="1">VLOOKUP($P119,'Regresion Q1'!$T$6:$V$10,2,1)*$P119+VLOOKUP($P119,'Regresion Q1'!$T$6:$V$10,3,1)</f>
        <v>6658000.8374275099</v>
      </c>
      <c r="AK119" s="94">
        <f ca="1">VLOOKUP($P119,'Regresion Q1'!$W$6:$Y$10,2,1)*$P119+VLOOKUP($P119,'Regresion Q1'!$W$6:$Y$10,3,1)</f>
        <v>6925489.2686145529</v>
      </c>
      <c r="AL119" s="94">
        <f ca="1">VLOOKUP($P119,'Regresion Q1'!$Z$6:$AB$10,2,1)*$P119+VLOOKUP($P119,'Regresion Q1'!$Z$6:$AB$10,3,1)</f>
        <v>7246454.2529945709</v>
      </c>
      <c r="AM119" s="94">
        <f ca="1">VLOOKUP($P119,'Regresion Md'!$T$6:$V$10,2,1)*$P119+VLOOKUP($P119,'Regresion Md'!$T$6:$V$10,3,1)</f>
        <v>8295060.0497872867</v>
      </c>
      <c r="AN119" s="94">
        <f ca="1">VLOOKUP($P119,'Regresion Md'!$W$6:$Y$10,2,1)*$P119+VLOOKUP($P119,'Regresion Md'!$W$6:$Y$10,3,1)</f>
        <v>8761078.0334283374</v>
      </c>
      <c r="AO119" s="94">
        <f ca="1">VLOOKUP($P119,'Regresion Md'!$Z$6:$AB$10,2,1)*$P119+VLOOKUP($P119,'Regresion Md'!$Z$6:$AB$10,3,1)</f>
        <v>9118138.5535319019</v>
      </c>
      <c r="AP119" s="94">
        <f ca="1">VLOOKUP($P119,'Regresion Q3'!$T$6:$V$10,2,1)*$P119+VLOOKUP($P119,'Regresion Q3'!$T$6:$V$10,3,1)</f>
        <v>8905432.199005438</v>
      </c>
      <c r="AQ119" s="94">
        <f ca="1">VLOOKUP($P119,'Regresion Q3'!$W$6:$Y$10,2,1)*$P119+VLOOKUP($P119,'Regresion Q3'!$W$6:$Y$10,3,1)</f>
        <v>9136234.4865281321</v>
      </c>
      <c r="AR119" s="94">
        <f ca="1">VLOOKUP($P119,'Regresion Q3'!$Z$6:$AB$10,2,1)*$P119+VLOOKUP($P119,'Regresion Q3'!$Z$6:$AB$10,3,1)</f>
        <v>9327228.4731378946</v>
      </c>
      <c r="AS119" s="94">
        <f>IF($BN119=$BN120,-1,DatosHoy[[#This Row],[G ajus PM Q1]]-BO120)</f>
        <v>-1</v>
      </c>
      <c r="AT119" s="94">
        <f>IF($BN119=$BN120,-1,DatosHoy[[#This Row],[G+V ajus PM Q1]]-BP120)</f>
        <v>-1</v>
      </c>
      <c r="AU119" s="94">
        <f>IF($BN119=$BN120,-1,DatosHoy[[#This Row],[CT ajus PM Q1]]-BQ120)</f>
        <v>-1</v>
      </c>
      <c r="AV119" s="94">
        <f ca="1">IF(DatosHoy[[#This Row],[G ajus PM Q1]]=DatosHoy[[#This Row],[G+V ajus PM Q1]],-1,DatosHoy[[#This Row],[G ajus PM Q1]]-DatosHoy[[#This Row],[G+V ajus PM Q1]])</f>
        <v>-237337.63309791125</v>
      </c>
      <c r="AW119" s="94">
        <f ca="1">IF(DatosHoy[[#This Row],[G+V ajus PM Q1]]=DatosHoy[[#This Row],[CT ajus PM Q1]],-1,DatosHoy[[#This Row],[G+V ajus PM Q1]]-DatosHoy[[#This Row],[CT ajus PM Q1]])</f>
        <v>-304167.20384136774</v>
      </c>
      <c r="AX119" s="94">
        <f>IF($BN119=$BN120,-1,DatosHoy[[#This Row],[G ajus PMd]]-BR120)</f>
        <v>-1</v>
      </c>
      <c r="AY119" s="94">
        <f>IF($BN119=$BN120,-1,DatosHoy[[#This Row],[G+V ajus PM Md]]-BS120)</f>
        <v>-1</v>
      </c>
      <c r="AZ119" s="94">
        <f>IF($BN119=$BN120,-1,DatosHoy[[#This Row],[CT ajus PM Md]]-BT120)</f>
        <v>-1</v>
      </c>
      <c r="BA119" s="94">
        <f ca="1">IF(DatosHoy[[#This Row],[G ajus PMd]]=DatosHoy[[#This Row],[G+V ajus PM Md]],-1,DatosHoy[[#This Row],[G ajus PMd]]-DatosHoy[[#This Row],[G+V ajus PM Md]])</f>
        <v>-435516.18390754797</v>
      </c>
      <c r="BB119" s="94">
        <f ca="1">IF(DatosHoy[[#This Row],[G+V ajus PM Md]]=DatosHoy[[#This Row],[CT ajus PM Md]],-1,DatosHoy[[#This Row],[G+V ajus PM Md]]-DatosHoy[[#This Row],[CT ajus PM Md]])</f>
        <v>-345924.77612205222</v>
      </c>
      <c r="BC119" s="94">
        <f>IF($BN119=$BN120,-1,DatosHoy[[#This Row],[G ajus PM Q3]]-BU120)</f>
        <v>-1</v>
      </c>
      <c r="BD119" s="94">
        <f>IF($BN119=$BN120,-1,DatosHoy[[#This Row],[G+V ajus PM Q3]]-BV120)</f>
        <v>-1</v>
      </c>
      <c r="BE119" s="94">
        <f>IF($BN119=$BN120,-1,DatosHoy[[#This Row],[CT ajus PM Q3]]-BW120)</f>
        <v>-1</v>
      </c>
      <c r="BF119" s="94">
        <f ca="1">IF(DatosHoy[[#This Row],[G ajus PM Q3]]=DatosHoy[[#This Row],[G+V ajus PM Q3]],-1,DatosHoy[[#This Row],[G ajus PM Q3]]-DatosHoy[[#This Row],[G+V ajus PM Q3]])</f>
        <v>-223256.03824959509</v>
      </c>
      <c r="BG119" s="94">
        <f ca="1">IF(DatosHoy[[#This Row],[G+V ajus PM Q3]]=DatosHoy[[#This Row],[CT ajus PM Q3]],-1,DatosHoy[[#This Row],[G+V ajus PM Q3]]-DatosHoy[[#This Row],[CT ajus PM Q3]])</f>
        <v>-201652.01720579527</v>
      </c>
      <c r="BH119" s="94">
        <f ca="1">IF(DatosHoy[[#This Row],[G ajus PM Q1]]=DatosHoy[[#This Row],[G ajus PMd]],-1,DatosHoy[[#This Row],[G ajus PM Q1]]-DatosHoy[[#This Row],[G ajus PMd]])</f>
        <v>-1762473.5342417751</v>
      </c>
      <c r="BI119" s="94">
        <f ca="1">IF(DatosHoy[[#This Row],[G+V ajus PM Q1]]=DatosHoy[[#This Row],[G+V ajus PM Md]],-1,DatosHoy[[#This Row],[G+V ajus PM Q1]]-DatosHoy[[#This Row],[G+V ajus PM Md]])</f>
        <v>-1960652.0850514118</v>
      </c>
      <c r="BJ119" s="94">
        <f ca="1">IF(DatosHoy[[#This Row],[CT ajus PM Q1]]=DatosHoy[[#This Row],[CT ajus PM Md]],-1,DatosHoy[[#This Row],[CT ajus PM Q1]]-DatosHoy[[#This Row],[CT ajus PM Md]])</f>
        <v>-2002409.6573320962</v>
      </c>
      <c r="BK119" s="94">
        <f ca="1">IF(DatosHoy[[#This Row],[G ajus PMd]]=DatosHoy[[#This Row],[G ajus PM Q3]],-1,DatosHoy[[#This Row],[G ajus PMd]]-DatosHoy[[#This Row],[G ajus PM Q3]])</f>
        <v>-593744.14596787281</v>
      </c>
      <c r="BL119" s="94">
        <f ca="1">IF(DatosHoy[[#This Row],[G+V ajus PM Md]]=DatosHoy[[#This Row],[G+V ajus PM Q3]],-1,DatosHoy[[#This Row],[G+V ajus PM Md]]-DatosHoy[[#This Row],[G+V ajus PM Q3]])</f>
        <v>-381484.00030991994</v>
      </c>
      <c r="BM119" s="94">
        <f ca="1">IF(DatosHoy[[#This Row],[CT ajus PM Md]]=DatosHoy[[#This Row],[CT ajus PM Q3]],-1,DatosHoy[[#This Row],[CT ajus PM Md]]-DatosHoy[[#This Row],[CT ajus PM Q3]])</f>
        <v>-237211.24139366299</v>
      </c>
      <c r="BN119" s="74">
        <v>436</v>
      </c>
      <c r="BO119" s="94">
        <f ca="1">IFERROR(VLOOKUP($BN119,'Regresion Q1'!$T$6:$V$10,2,1)*$BN119+VLOOKUP($BN119,'Regresion Q1'!$T$6:$V$10,3,1),VLOOKUP(MIN(DatosHoy[Puntos]),'Regresion Q1'!$T$6:$V$10,2,1)*$BN119+VLOOKUP(MIN(DatosHoy[Puntos]),'Regresion Q1'!$T$6:$V$10,3,1))</f>
        <v>6165585.4809838478</v>
      </c>
      <c r="BP119" s="94">
        <f ca="1">IFERROR(VLOOKUP($BN119,'Regresion Q1'!$W$6:$Y$10,2,1)*$BN119+VLOOKUP($BN119,'Regresion Q1'!$W$6:$Y$10,3,1),VLOOKUP(MIN(DatosHoy[Puntos]),'Regresion Q1'!$W$6:$Y$10,2,1)*$BN119+VLOOKUP(MIN(DatosHoy[Puntos]),'Regresion Q1'!$W$6:$Y$10,3,1))</f>
        <v>6402923.114081759</v>
      </c>
      <c r="BQ119" s="94">
        <f ca="1">IFERROR(VLOOKUP($BN119,'Regresion Q1'!$Z$6:$AB$10,2,1)*$BN119+VLOOKUP($BN119,'Regresion Q1'!$Z$6:$AB$10,3,1),VLOOKUP(MIN(DatosHoy[Puntos]),'Regresion Q1'!$Z$6:$AB$10,2,1)*$BN119+VLOOKUP(MIN(DatosHoy[Puntos]),'Regresion Q1'!$Z$6:$AB$10,3,1))</f>
        <v>6707090.3179231267</v>
      </c>
      <c r="BR119" s="94">
        <f ca="1">IFERROR(VLOOKUP($BN119,'Regresion Md'!$T$6:$V$10,2,1)*$BN119+VLOOKUP($BN119,'Regresion Md'!$T$6:$V$10,3,1),VLOOKUP(MIN(DatosHoy[Puntos]),'Regresion Md'!$T$6:$V$10,2,1)*$BN119+VLOOKUP(MIN(DatosHoy[Puntos]),'Regresion Md'!$T$6:$V$10,3,1))</f>
        <v>7928059.0152256228</v>
      </c>
      <c r="BS119" s="94">
        <f ca="1">IFERROR(VLOOKUP($BN119,'Regresion Md'!$W$6:$Y$10,2,1)*$BN119+VLOOKUP($BN119,'Regresion Md'!$W$6:$Y$10,3,1),VLOOKUP(MIN(DatosHoy[Puntos]),'Regresion Md'!$W$6:$Y$10,2,1)*$BN119+VLOOKUP(MIN(DatosHoy[Puntos]),'Regresion Md'!$W$6:$Y$10,3,1))</f>
        <v>8363575.1991331708</v>
      </c>
      <c r="BT119" s="94">
        <f ca="1">IFERROR(VLOOKUP($BN119,'Regresion Md'!$Z$6:$AB$10,2,1)*$BN119+VLOOKUP($BN119,'Regresion Md'!$Z$6:$AB$10,3,1),VLOOKUP(MIN(DatosHoy[Puntos]),'Regresion Md'!$Z$6:$AB$10,2,1)*$BN119+VLOOKUP(MIN(DatosHoy[Puntos]),'Regresion Md'!$Z$6:$AB$10,3,1))</f>
        <v>8709499.975255223</v>
      </c>
      <c r="BU119" s="94">
        <f ca="1">IFERROR(VLOOKUP($BN119,'Regresion Q3'!$T$6:$V$10,2,1)*$BN119+VLOOKUP($BN119,'Regresion Q3'!$T$6:$V$10,3,1),VLOOKUP(MIN(DatosHoy[Puntos]),'Regresion Q3'!$T$6:$V$10,2,1)*$BN119+VLOOKUP(MIN(DatosHoy[Puntos]),'Regresion Q3'!$T$6:$V$10,3,1))</f>
        <v>8521803.1611934956</v>
      </c>
      <c r="BV119" s="94">
        <f ca="1">IFERROR(VLOOKUP($BN119,'Regresion Q3'!$W$6:$Y$10,2,1)*$BN119+VLOOKUP($BN119,'Regresion Q3'!$W$6:$Y$10,3,1),VLOOKUP(MIN(DatosHoy[Puntos]),'Regresion Q3'!$W$6:$Y$10,2,1)*$BN119+VLOOKUP(MIN(DatosHoy[Puntos]),'Regresion Q3'!$W$6:$Y$10,3,1))</f>
        <v>8745059.1994430907</v>
      </c>
      <c r="BW119" s="94">
        <f ca="1">IFERROR(VLOOKUP($BN119,'Regresion Q3'!$Z$6:$AB$10,2,1)*$BN119+VLOOKUP($BN119,'Regresion Q3'!$Z$6:$AB$10,3,1),VLOOKUP(MIN(DatosHoy[Puntos]),'Regresion Q3'!$Z$6:$AB$10,2,1)*$BN119+VLOOKUP(MIN(DatosHoy[Puntos]),'Regresion Q3'!$Z$6:$AB$10,3,1))</f>
        <v>8946711.216648886</v>
      </c>
      <c r="BX119" s="96">
        <f ca="1">DatosHoy[[#This Row],[CT Actual]]/DatosHoy[[#This Row],[CT ajus PM Md]]</f>
        <v>1.1834926493237572</v>
      </c>
      <c r="BY119" s="125" t="str">
        <f>VLOOKUP(DatosHoy[[#This Row],[Cargo Valorado]],Estadísticos[[Cargo]:[Nivel]],2,FALSE)</f>
        <v>Táctico</v>
      </c>
      <c r="BZ119" s="96">
        <f>(DatosHoy[[#This Row],[G+V Actual]]-DatosHoy[[#This Row],[G Actual]])/DatosHoy[[#This Row],[CT Actual]]</f>
        <v>0.39954337899543385</v>
      </c>
      <c r="CA119" s="96">
        <f>(DatosHoy[[#This Row],[CT Actual]]-DatosHoy[[#This Row],[G+V Actual]])/DatosHoy[[#This Row],[CT Actual]]</f>
        <v>0</v>
      </c>
      <c r="CB119" s="139" t="s">
        <v>256</v>
      </c>
    </row>
    <row r="120" spans="2:80" x14ac:dyDescent="0.25">
      <c r="B120" s="73">
        <f t="shared" si="56"/>
        <v>115</v>
      </c>
      <c r="C120" s="74">
        <v>6354018.0000000009</v>
      </c>
      <c r="D120" s="74">
        <v>6354018.0000000009</v>
      </c>
      <c r="E120" s="74">
        <v>6354018.0000000009</v>
      </c>
      <c r="F120" s="94">
        <f>VLOOKUP(DatosHoy[[#This Row],[Cargo Valorado]],Estadísticos[],3,0)</f>
        <v>4555720.0082650594</v>
      </c>
      <c r="G120" s="94">
        <f>VLOOKUP(DatosHoy[[#This Row],[Cargo Valorado]],Estadísticos[],4,0)</f>
        <v>5275565.4472220251</v>
      </c>
      <c r="H120" s="94">
        <f>VLOOKUP(DatosHoy[[#This Row],[Cargo Valorado]],Estadísticos[],5,0)</f>
        <v>5563417.1828379286</v>
      </c>
      <c r="I120" s="94">
        <f>VLOOKUP(DatosHoy[[#This Row],[Cargo Valorado]],Estadísticos[],6,0)</f>
        <v>4858025.4813414905</v>
      </c>
      <c r="J120" s="94">
        <f>VLOOKUP(DatosHoy[[#This Row],[Cargo Valorado]],Estadísticos[],7,0)</f>
        <v>5337922.4406461343</v>
      </c>
      <c r="K120" s="94">
        <f>VLOOKUP(DatosHoy[[#This Row],[Cargo Valorado]],Estadísticos[],8,0)</f>
        <v>5664197.9381815065</v>
      </c>
      <c r="L120" s="94">
        <f>VLOOKUP(DatosHoy[[#This Row],[Cargo Valorado]],Estadísticos[],9,0)</f>
        <v>5160330.9544179216</v>
      </c>
      <c r="M120" s="94">
        <f>VLOOKUP(DatosHoy[[#This Row],[Cargo Valorado]],Estadísticos[],10,0)</f>
        <v>5400279.4340702426</v>
      </c>
      <c r="N120" s="94">
        <f>VLOOKUP(DatosHoy[[#This Row],[Cargo Valorado]],Estadísticos[],11,0)</f>
        <v>5764978.6935250834</v>
      </c>
      <c r="O120" s="75" t="s">
        <v>178</v>
      </c>
      <c r="P120" s="75">
        <v>452</v>
      </c>
      <c r="Q120" s="95" t="str">
        <f t="shared" si="57"/>
        <v>$P$120</v>
      </c>
      <c r="R120" s="95" t="str">
        <f t="shared" si="58"/>
        <v>$F$120</v>
      </c>
      <c r="S120" s="95" t="str">
        <f t="shared" si="59"/>
        <v>$G$120</v>
      </c>
      <c r="T120" s="95" t="str">
        <f t="shared" si="60"/>
        <v>$H$120</v>
      </c>
      <c r="U120" s="95" t="str">
        <f t="shared" si="61"/>
        <v>$I$120</v>
      </c>
      <c r="V120" s="95" t="str">
        <f t="shared" si="62"/>
        <v>$J$120</v>
      </c>
      <c r="W120" s="95" t="str">
        <f t="shared" si="63"/>
        <v>$K$120</v>
      </c>
      <c r="X120" s="95" t="str">
        <f t="shared" si="64"/>
        <v>$L$120</v>
      </c>
      <c r="Y120" s="95" t="str">
        <f t="shared" si="65"/>
        <v>$M$120</v>
      </c>
      <c r="Z120" s="95" t="str">
        <f t="shared" si="66"/>
        <v>$N$120</v>
      </c>
      <c r="AA120" s="94">
        <f ca="1">VLOOKUP($P120,'Regresion Q1'!$E$6:$I$10,4,1)*$P120+VLOOKUP($P120,'Regresion Q1'!$E$6:$I$10,5,1)</f>
        <v>6430582.9191188738</v>
      </c>
      <c r="AB120" s="94">
        <f ca="1">VLOOKUP($P120,'Regresion Q1'!$J$6:$N$10,4,1)*$P120+VLOOKUP($P120,'Regresion Q1'!$J$6:$N$10,5,1)</f>
        <v>6837944.1650256962</v>
      </c>
      <c r="AC120" s="94">
        <f ca="1">VLOOKUP($P120,'Regresion Q1'!$O$6:$S$10,4,1)*$P120+VLOOKUP($P120,'Regresion Q1'!$O$6:$S$10,5,1)</f>
        <v>7097633.2311832737</v>
      </c>
      <c r="AD120" s="94">
        <f ca="1">VLOOKUP($P120,'Regresion Md'!$E$6:$I$10,4,1)*$P120+VLOOKUP($P120,'Regresion Md'!$E$6:$I$10,5,1)</f>
        <v>8799926.9409652129</v>
      </c>
      <c r="AE120" s="94">
        <f ca="1">VLOOKUP($P120,'Regresion Md'!$J$6:$N$10,4,1)*$P120+VLOOKUP($P120,'Regresion Md'!$J$6:$N$10,5,1)</f>
        <v>9017732.6283379402</v>
      </c>
      <c r="AF120" s="94">
        <f ca="1">VLOOKUP($P120,'Regresion Md'!$O$6:$S$10,4,1)*$P120+VLOOKUP($P120,'Regresion Md'!$O$6:$S$10,5,1)</f>
        <v>9182530.6865886394</v>
      </c>
      <c r="AG120" s="94">
        <f ca="1">VLOOKUP($P120,'Regresion Q3'!$E$6:$I$10,4,1)*$P120+VLOOKUP($P120,'Regresion Q3'!$E$6:$I$10,5,1)</f>
        <v>9126340.3067396805</v>
      </c>
      <c r="AH120" s="94">
        <f ca="1">VLOOKUP($P120,'Regresion Q3'!$J$6:$N$10,4,1)*$P120+VLOOKUP($P120,'Regresion Q3'!$J$6:$N$10,5,1)</f>
        <v>9400523.7653008364</v>
      </c>
      <c r="AI120" s="94">
        <f ca="1">VLOOKUP($P120,'Regresion Q3'!$O$6:$S$10,4,1)*$P120+VLOOKUP($P120,'Regresion Q3'!$O$6:$S$10,5,1)</f>
        <v>9609873.8888815511</v>
      </c>
      <c r="AJ120" s="94">
        <f ca="1">VLOOKUP($P120,'Regresion Q1'!$T$6:$V$10,2,1)*$P120+VLOOKUP($P120,'Regresion Q1'!$T$6:$V$10,3,1)</f>
        <v>6658000.8374275099</v>
      </c>
      <c r="AK120" s="94">
        <f ca="1">VLOOKUP($P120,'Regresion Q1'!$W$6:$Y$10,2,1)*$P120+VLOOKUP($P120,'Regresion Q1'!$W$6:$Y$10,3,1)</f>
        <v>6925489.2686145529</v>
      </c>
      <c r="AL120" s="94">
        <f ca="1">VLOOKUP($P120,'Regresion Q1'!$Z$6:$AB$10,2,1)*$P120+VLOOKUP($P120,'Regresion Q1'!$Z$6:$AB$10,3,1)</f>
        <v>7246454.2529945709</v>
      </c>
      <c r="AM120" s="94">
        <f ca="1">VLOOKUP($P120,'Regresion Md'!$T$6:$V$10,2,1)*$P120+VLOOKUP($P120,'Regresion Md'!$T$6:$V$10,3,1)</f>
        <v>8295060.0497872867</v>
      </c>
      <c r="AN120" s="94">
        <f ca="1">VLOOKUP($P120,'Regresion Md'!$W$6:$Y$10,2,1)*$P120+VLOOKUP($P120,'Regresion Md'!$W$6:$Y$10,3,1)</f>
        <v>8761078.0334283374</v>
      </c>
      <c r="AO120" s="94">
        <f ca="1">VLOOKUP($P120,'Regresion Md'!$Z$6:$AB$10,2,1)*$P120+VLOOKUP($P120,'Regresion Md'!$Z$6:$AB$10,3,1)</f>
        <v>9118138.5535319019</v>
      </c>
      <c r="AP120" s="94">
        <f ca="1">VLOOKUP($P120,'Regresion Q3'!$T$6:$V$10,2,1)*$P120+VLOOKUP($P120,'Regresion Q3'!$T$6:$V$10,3,1)</f>
        <v>8905432.199005438</v>
      </c>
      <c r="AQ120" s="94">
        <f ca="1">VLOOKUP($P120,'Regresion Q3'!$W$6:$Y$10,2,1)*$P120+VLOOKUP($P120,'Regresion Q3'!$W$6:$Y$10,3,1)</f>
        <v>9136234.4865281321</v>
      </c>
      <c r="AR120" s="94">
        <f ca="1">VLOOKUP($P120,'Regresion Q3'!$Z$6:$AB$10,2,1)*$P120+VLOOKUP($P120,'Regresion Q3'!$Z$6:$AB$10,3,1)</f>
        <v>9327228.4731378946</v>
      </c>
      <c r="AS120" s="94">
        <f>IF($BN120=$BN121,-1,DatosHoy[[#This Row],[G ajus PM Q1]]-BO121)</f>
        <v>-1</v>
      </c>
      <c r="AT120" s="94">
        <f>IF($BN120=$BN121,-1,DatosHoy[[#This Row],[G+V ajus PM Q1]]-BP121)</f>
        <v>-1</v>
      </c>
      <c r="AU120" s="94">
        <f>IF($BN120=$BN121,-1,DatosHoy[[#This Row],[CT ajus PM Q1]]-BQ121)</f>
        <v>-1</v>
      </c>
      <c r="AV120" s="94">
        <f ca="1">IF(DatosHoy[[#This Row],[G ajus PM Q1]]=DatosHoy[[#This Row],[G+V ajus PM Q1]],-1,DatosHoy[[#This Row],[G ajus PM Q1]]-DatosHoy[[#This Row],[G+V ajus PM Q1]])</f>
        <v>-237337.63309791125</v>
      </c>
      <c r="AW120" s="94">
        <f ca="1">IF(DatosHoy[[#This Row],[G+V ajus PM Q1]]=DatosHoy[[#This Row],[CT ajus PM Q1]],-1,DatosHoy[[#This Row],[G+V ajus PM Q1]]-DatosHoy[[#This Row],[CT ajus PM Q1]])</f>
        <v>-304167.20384136774</v>
      </c>
      <c r="AX120" s="94">
        <f>IF($BN120=$BN121,-1,DatosHoy[[#This Row],[G ajus PMd]]-BR121)</f>
        <v>-1</v>
      </c>
      <c r="AY120" s="94">
        <f>IF($BN120=$BN121,-1,DatosHoy[[#This Row],[G+V ajus PM Md]]-BS121)</f>
        <v>-1</v>
      </c>
      <c r="AZ120" s="94">
        <f>IF($BN120=$BN121,-1,DatosHoy[[#This Row],[CT ajus PM Md]]-BT121)</f>
        <v>-1</v>
      </c>
      <c r="BA120" s="94">
        <f ca="1">IF(DatosHoy[[#This Row],[G ajus PMd]]=DatosHoy[[#This Row],[G+V ajus PM Md]],-1,DatosHoy[[#This Row],[G ajus PMd]]-DatosHoy[[#This Row],[G+V ajus PM Md]])</f>
        <v>-435516.18390754797</v>
      </c>
      <c r="BB120" s="94">
        <f ca="1">IF(DatosHoy[[#This Row],[G+V ajus PM Md]]=DatosHoy[[#This Row],[CT ajus PM Md]],-1,DatosHoy[[#This Row],[G+V ajus PM Md]]-DatosHoy[[#This Row],[CT ajus PM Md]])</f>
        <v>-345924.77612205222</v>
      </c>
      <c r="BC120" s="94">
        <f>IF($BN120=$BN121,-1,DatosHoy[[#This Row],[G ajus PM Q3]]-BU121)</f>
        <v>-1</v>
      </c>
      <c r="BD120" s="94">
        <f>IF($BN120=$BN121,-1,DatosHoy[[#This Row],[G+V ajus PM Q3]]-BV121)</f>
        <v>-1</v>
      </c>
      <c r="BE120" s="94">
        <f>IF($BN120=$BN121,-1,DatosHoy[[#This Row],[CT ajus PM Q3]]-BW121)</f>
        <v>-1</v>
      </c>
      <c r="BF120" s="94">
        <f ca="1">IF(DatosHoy[[#This Row],[G ajus PM Q3]]=DatosHoy[[#This Row],[G+V ajus PM Q3]],-1,DatosHoy[[#This Row],[G ajus PM Q3]]-DatosHoy[[#This Row],[G+V ajus PM Q3]])</f>
        <v>-223256.03824959509</v>
      </c>
      <c r="BG120" s="94">
        <f ca="1">IF(DatosHoy[[#This Row],[G+V ajus PM Q3]]=DatosHoy[[#This Row],[CT ajus PM Q3]],-1,DatosHoy[[#This Row],[G+V ajus PM Q3]]-DatosHoy[[#This Row],[CT ajus PM Q3]])</f>
        <v>-201652.01720579527</v>
      </c>
      <c r="BH120" s="94">
        <f ca="1">IF(DatosHoy[[#This Row],[G ajus PM Q1]]=DatosHoy[[#This Row],[G ajus PMd]],-1,DatosHoy[[#This Row],[G ajus PM Q1]]-DatosHoy[[#This Row],[G ajus PMd]])</f>
        <v>-1762473.5342417751</v>
      </c>
      <c r="BI120" s="94">
        <f ca="1">IF(DatosHoy[[#This Row],[G+V ajus PM Q1]]=DatosHoy[[#This Row],[G+V ajus PM Md]],-1,DatosHoy[[#This Row],[G+V ajus PM Q1]]-DatosHoy[[#This Row],[G+V ajus PM Md]])</f>
        <v>-1960652.0850514118</v>
      </c>
      <c r="BJ120" s="94">
        <f ca="1">IF(DatosHoy[[#This Row],[CT ajus PM Q1]]=DatosHoy[[#This Row],[CT ajus PM Md]],-1,DatosHoy[[#This Row],[CT ajus PM Q1]]-DatosHoy[[#This Row],[CT ajus PM Md]])</f>
        <v>-2002409.6573320962</v>
      </c>
      <c r="BK120" s="94">
        <f ca="1">IF(DatosHoy[[#This Row],[G ajus PMd]]=DatosHoy[[#This Row],[G ajus PM Q3]],-1,DatosHoy[[#This Row],[G ajus PMd]]-DatosHoy[[#This Row],[G ajus PM Q3]])</f>
        <v>-593744.14596787281</v>
      </c>
      <c r="BL120" s="94">
        <f ca="1">IF(DatosHoy[[#This Row],[G+V ajus PM Md]]=DatosHoy[[#This Row],[G+V ajus PM Q3]],-1,DatosHoy[[#This Row],[G+V ajus PM Md]]-DatosHoy[[#This Row],[G+V ajus PM Q3]])</f>
        <v>-381484.00030991994</v>
      </c>
      <c r="BM120" s="94">
        <f ca="1">IF(DatosHoy[[#This Row],[CT ajus PM Md]]=DatosHoy[[#This Row],[CT ajus PM Q3]],-1,DatosHoy[[#This Row],[CT ajus PM Md]]-DatosHoy[[#This Row],[CT ajus PM Q3]])</f>
        <v>-237211.24139366299</v>
      </c>
      <c r="BN120" s="74">
        <v>436</v>
      </c>
      <c r="BO120" s="94">
        <f ca="1">IFERROR(VLOOKUP($BN120,'Regresion Q1'!$T$6:$V$10,2,1)*$BN120+VLOOKUP($BN120,'Regresion Q1'!$T$6:$V$10,3,1),VLOOKUP(MIN(DatosHoy[Puntos]),'Regresion Q1'!$T$6:$V$10,2,1)*$BN120+VLOOKUP(MIN(DatosHoy[Puntos]),'Regresion Q1'!$T$6:$V$10,3,1))</f>
        <v>6165585.4809838478</v>
      </c>
      <c r="BP120" s="94">
        <f ca="1">IFERROR(VLOOKUP($BN120,'Regresion Q1'!$W$6:$Y$10,2,1)*$BN120+VLOOKUP($BN120,'Regresion Q1'!$W$6:$Y$10,3,1),VLOOKUP(MIN(DatosHoy[Puntos]),'Regresion Q1'!$W$6:$Y$10,2,1)*$BN120+VLOOKUP(MIN(DatosHoy[Puntos]),'Regresion Q1'!$W$6:$Y$10,3,1))</f>
        <v>6402923.114081759</v>
      </c>
      <c r="BQ120" s="94">
        <f ca="1">IFERROR(VLOOKUP($BN120,'Regresion Q1'!$Z$6:$AB$10,2,1)*$BN120+VLOOKUP($BN120,'Regresion Q1'!$Z$6:$AB$10,3,1),VLOOKUP(MIN(DatosHoy[Puntos]),'Regresion Q1'!$Z$6:$AB$10,2,1)*$BN120+VLOOKUP(MIN(DatosHoy[Puntos]),'Regresion Q1'!$Z$6:$AB$10,3,1))</f>
        <v>6707090.3179231267</v>
      </c>
      <c r="BR120" s="94">
        <f ca="1">IFERROR(VLOOKUP($BN120,'Regresion Md'!$T$6:$V$10,2,1)*$BN120+VLOOKUP($BN120,'Regresion Md'!$T$6:$V$10,3,1),VLOOKUP(MIN(DatosHoy[Puntos]),'Regresion Md'!$T$6:$V$10,2,1)*$BN120+VLOOKUP(MIN(DatosHoy[Puntos]),'Regresion Md'!$T$6:$V$10,3,1))</f>
        <v>7928059.0152256228</v>
      </c>
      <c r="BS120" s="94">
        <f ca="1">IFERROR(VLOOKUP($BN120,'Regresion Md'!$W$6:$Y$10,2,1)*$BN120+VLOOKUP($BN120,'Regresion Md'!$W$6:$Y$10,3,1),VLOOKUP(MIN(DatosHoy[Puntos]),'Regresion Md'!$W$6:$Y$10,2,1)*$BN120+VLOOKUP(MIN(DatosHoy[Puntos]),'Regresion Md'!$W$6:$Y$10,3,1))</f>
        <v>8363575.1991331708</v>
      </c>
      <c r="BT120" s="94">
        <f ca="1">IFERROR(VLOOKUP($BN120,'Regresion Md'!$Z$6:$AB$10,2,1)*$BN120+VLOOKUP($BN120,'Regresion Md'!$Z$6:$AB$10,3,1),VLOOKUP(MIN(DatosHoy[Puntos]),'Regresion Md'!$Z$6:$AB$10,2,1)*$BN120+VLOOKUP(MIN(DatosHoy[Puntos]),'Regresion Md'!$Z$6:$AB$10,3,1))</f>
        <v>8709499.975255223</v>
      </c>
      <c r="BU120" s="94">
        <f ca="1">IFERROR(VLOOKUP($BN120,'Regresion Q3'!$T$6:$V$10,2,1)*$BN120+VLOOKUP($BN120,'Regresion Q3'!$T$6:$V$10,3,1),VLOOKUP(MIN(DatosHoy[Puntos]),'Regresion Q3'!$T$6:$V$10,2,1)*$BN120+VLOOKUP(MIN(DatosHoy[Puntos]),'Regresion Q3'!$T$6:$V$10,3,1))</f>
        <v>8521803.1611934956</v>
      </c>
      <c r="BV120" s="94">
        <f ca="1">IFERROR(VLOOKUP($BN120,'Regresion Q3'!$W$6:$Y$10,2,1)*$BN120+VLOOKUP($BN120,'Regresion Q3'!$W$6:$Y$10,3,1),VLOOKUP(MIN(DatosHoy[Puntos]),'Regresion Q3'!$W$6:$Y$10,2,1)*$BN120+VLOOKUP(MIN(DatosHoy[Puntos]),'Regresion Q3'!$W$6:$Y$10,3,1))</f>
        <v>8745059.1994430907</v>
      </c>
      <c r="BW120" s="94">
        <f ca="1">IFERROR(VLOOKUP($BN120,'Regresion Q3'!$Z$6:$AB$10,2,1)*$BN120+VLOOKUP($BN120,'Regresion Q3'!$Z$6:$AB$10,3,1),VLOOKUP(MIN(DatosHoy[Puntos]),'Regresion Q3'!$Z$6:$AB$10,2,1)*$BN120+VLOOKUP(MIN(DatosHoy[Puntos]),'Regresion Q3'!$Z$6:$AB$10,3,1))</f>
        <v>8946711.216648886</v>
      </c>
      <c r="BX120" s="96">
        <f ca="1">DatosHoy[[#This Row],[CT Actual]]/DatosHoy[[#This Row],[CT ajus PM Md]]</f>
        <v>0.72955026328176809</v>
      </c>
      <c r="BY120" s="125" t="str">
        <f>VLOOKUP(DatosHoy[[#This Row],[Cargo Valorado]],Estadísticos[[Cargo]:[Nivel]],2,FALSE)</f>
        <v>Táctico</v>
      </c>
      <c r="BZ120" s="96">
        <f>(DatosHoy[[#This Row],[G+V Actual]]-DatosHoy[[#This Row],[G Actual]])/DatosHoy[[#This Row],[CT Actual]]</f>
        <v>0</v>
      </c>
      <c r="CA120" s="96">
        <f>(DatosHoy[[#This Row],[CT Actual]]-DatosHoy[[#This Row],[G+V Actual]])/DatosHoy[[#This Row],[CT Actual]]</f>
        <v>0</v>
      </c>
      <c r="CB120" s="139" t="s">
        <v>255</v>
      </c>
    </row>
    <row r="121" spans="2:80" x14ac:dyDescent="0.25">
      <c r="B121" s="73">
        <f t="shared" si="56"/>
        <v>116</v>
      </c>
      <c r="C121" s="74">
        <v>5656252.6900000004</v>
      </c>
      <c r="D121" s="74">
        <v>5656252.6900000004</v>
      </c>
      <c r="E121" s="74">
        <v>5656252.6900000004</v>
      </c>
      <c r="F121" s="94">
        <f>VLOOKUP(DatosHoy[[#This Row],[Cargo Valorado]],Estadísticos[],3,0)</f>
        <v>6593638.837202874</v>
      </c>
      <c r="G121" s="94">
        <f>VLOOKUP(DatosHoy[[#This Row],[Cargo Valorado]],Estadísticos[],4,0)</f>
        <v>7661125.8002321031</v>
      </c>
      <c r="H121" s="94">
        <f>VLOOKUP(DatosHoy[[#This Row],[Cargo Valorado]],Estadísticos[],5,0)</f>
        <v>7791311.8021346414</v>
      </c>
      <c r="I121" s="94">
        <f>VLOOKUP(DatosHoy[[#This Row],[Cargo Valorado]],Estadísticos[],6,0)</f>
        <v>7998336.4295532797</v>
      </c>
      <c r="J121" s="94">
        <f>VLOOKUP(DatosHoy[[#This Row],[Cargo Valorado]],Estadísticos[],7,0)</f>
        <v>8352893.2749650944</v>
      </c>
      <c r="K121" s="94">
        <f>VLOOKUP(DatosHoy[[#This Row],[Cargo Valorado]],Estadísticos[],8,0)</f>
        <v>8511018.9810945094</v>
      </c>
      <c r="L121" s="94">
        <f>VLOOKUP(DatosHoy[[#This Row],[Cargo Valorado]],Estadísticos[],9,0)</f>
        <v>9831142.6420283653</v>
      </c>
      <c r="M121" s="94">
        <f>VLOOKUP(DatosHoy[[#This Row],[Cargo Valorado]],Estadísticos[],10,0)</f>
        <v>10205573.898593187</v>
      </c>
      <c r="N121" s="94">
        <f>VLOOKUP(DatosHoy[[#This Row],[Cargo Valorado]],Estadísticos[],11,0)</f>
        <v>10205573.898593187</v>
      </c>
      <c r="O121" s="75" t="s">
        <v>206</v>
      </c>
      <c r="P121" s="75">
        <v>457</v>
      </c>
      <c r="Q121" s="95" t="str">
        <f t="shared" si="57"/>
        <v>$P$121</v>
      </c>
      <c r="R121" s="95" t="str">
        <f t="shared" si="58"/>
        <v>$F$121</v>
      </c>
      <c r="S121" s="95" t="str">
        <f t="shared" si="59"/>
        <v>$G$121</v>
      </c>
      <c r="T121" s="95" t="str">
        <f t="shared" si="60"/>
        <v>$H$121</v>
      </c>
      <c r="U121" s="95" t="str">
        <f t="shared" si="61"/>
        <v>$I$121</v>
      </c>
      <c r="V121" s="95" t="str">
        <f t="shared" si="62"/>
        <v>$J$121</v>
      </c>
      <c r="W121" s="95" t="str">
        <f t="shared" si="63"/>
        <v>$K$121</v>
      </c>
      <c r="X121" s="95" t="str">
        <f t="shared" si="64"/>
        <v>$L$121</v>
      </c>
      <c r="Y121" s="95" t="str">
        <f t="shared" si="65"/>
        <v>$M$121</v>
      </c>
      <c r="Z121" s="95" t="str">
        <f t="shared" si="66"/>
        <v>$N$121</v>
      </c>
      <c r="AA121" s="94">
        <f ca="1">VLOOKUP($P121,'Regresion Q1'!$E$6:$I$10,4,1)*$P121+VLOOKUP($P121,'Regresion Q1'!$E$6:$I$10,5,1)</f>
        <v>6564157.5467299614</v>
      </c>
      <c r="AB121" s="94">
        <f ca="1">VLOOKUP($P121,'Regresion Q1'!$J$6:$N$10,4,1)*$P121+VLOOKUP($P121,'Regresion Q1'!$J$6:$N$10,5,1)</f>
        <v>6993429.5612110458</v>
      </c>
      <c r="AC121" s="94">
        <f ca="1">VLOOKUP($P121,'Regresion Q1'!$O$6:$S$10,4,1)*$P121+VLOOKUP($P121,'Regresion Q1'!$O$6:$S$10,5,1)</f>
        <v>7252896.8696599472</v>
      </c>
      <c r="AD121" s="94">
        <f ca="1">VLOOKUP($P121,'Regresion Md'!$E$6:$I$10,4,1)*$P121+VLOOKUP($P121,'Regresion Md'!$E$6:$I$10,5,1)</f>
        <v>8925356.6130141988</v>
      </c>
      <c r="AE121" s="94">
        <f ca="1">VLOOKUP($P121,'Regresion Md'!$J$6:$N$10,4,1)*$P121+VLOOKUP($P121,'Regresion Md'!$J$6:$N$10,5,1)</f>
        <v>9147413.0001170859</v>
      </c>
      <c r="AF121" s="94">
        <f ca="1">VLOOKUP($P121,'Regresion Md'!$O$6:$S$10,4,1)*$P121+VLOOKUP($P121,'Regresion Md'!$O$6:$S$10,5,1)</f>
        <v>9311600.2876842879</v>
      </c>
      <c r="AG121" s="94">
        <f ca="1">VLOOKUP($P121,'Regresion Q3'!$E$6:$I$10,4,1)*$P121+VLOOKUP($P121,'Regresion Q3'!$E$6:$I$10,5,1)</f>
        <v>9373227.7445706204</v>
      </c>
      <c r="AH121" s="94">
        <f ca="1">VLOOKUP($P121,'Regresion Q3'!$J$6:$N$10,4,1)*$P121+VLOOKUP($P121,'Regresion Q3'!$J$6:$N$10,5,1)</f>
        <v>9671570.6567797884</v>
      </c>
      <c r="AI121" s="94">
        <f ca="1">VLOOKUP($P121,'Regresion Q3'!$O$6:$S$10,4,1)*$P121+VLOOKUP($P121,'Regresion Q3'!$O$6:$S$10,5,1)</f>
        <v>9883703.0519903842</v>
      </c>
      <c r="AJ121" s="94">
        <f ca="1">VLOOKUP($P121,'Regresion Q1'!$T$6:$V$10,2,1)*$P121+VLOOKUP($P121,'Regresion Q1'!$T$6:$V$10,3,1)</f>
        <v>6811880.6363161542</v>
      </c>
      <c r="AK121" s="94">
        <f ca="1">VLOOKUP($P121,'Regresion Q1'!$W$6:$Y$10,2,1)*$P121+VLOOKUP($P121,'Regresion Q1'!$W$6:$Y$10,3,1)</f>
        <v>7088791.1919060498</v>
      </c>
      <c r="AL121" s="94">
        <f ca="1">VLOOKUP($P121,'Regresion Q1'!$Z$6:$AB$10,2,1)*$P121+VLOOKUP($P121,'Regresion Q1'!$Z$6:$AB$10,3,1)</f>
        <v>7415005.4827043973</v>
      </c>
      <c r="AM121" s="94">
        <f ca="1">VLOOKUP($P121,'Regresion Md'!$T$6:$V$10,2,1)*$P121+VLOOKUP($P121,'Regresion Md'!$T$6:$V$10,3,1)</f>
        <v>8409747.8730878066</v>
      </c>
      <c r="AN121" s="94">
        <f ca="1">VLOOKUP($P121,'Regresion Md'!$W$6:$Y$10,2,1)*$P121+VLOOKUP($P121,'Regresion Md'!$W$6:$Y$10,3,1)</f>
        <v>8885297.6691455785</v>
      </c>
      <c r="AO121" s="94">
        <f ca="1">VLOOKUP($P121,'Regresion Md'!$Z$6:$AB$10,2,1)*$P121+VLOOKUP($P121,'Regresion Md'!$Z$6:$AB$10,3,1)</f>
        <v>9245838.1092433631</v>
      </c>
      <c r="AP121" s="94">
        <f ca="1">VLOOKUP($P121,'Regresion Q3'!$T$6:$V$10,2,1)*$P121+VLOOKUP($P121,'Regresion Q3'!$T$6:$V$10,3,1)</f>
        <v>9041865.5829692576</v>
      </c>
      <c r="AQ121" s="94">
        <f ca="1">VLOOKUP($P121,'Regresion Q3'!$W$6:$Y$10,2,1)*$P121+VLOOKUP($P121,'Regresion Q3'!$W$6:$Y$10,3,1)</f>
        <v>9275136.7386207301</v>
      </c>
      <c r="AR121" s="94">
        <f ca="1">VLOOKUP($P121,'Regresion Q3'!$Z$6:$AB$10,2,1)*$P121+VLOOKUP($P121,'Regresion Q3'!$Z$6:$AB$10,3,1)</f>
        <v>9459734.9283748996</v>
      </c>
      <c r="AS121" s="94">
        <f ca="1">IF($BN121=$BN122,-1,DatosHoy[[#This Row],[G ajus PM Q1]]-BO122)</f>
        <v>-2031213.3453301042</v>
      </c>
      <c r="AT121" s="94">
        <f ca="1">IF($BN121=$BN122,-1,DatosHoy[[#This Row],[G+V ajus PM Q1]]-BP122)</f>
        <v>-2155585.3874477725</v>
      </c>
      <c r="AU121" s="94">
        <f ca="1">IF($BN121=$BN122,-1,DatosHoy[[#This Row],[CT ajus PM Q1]]-BQ122)</f>
        <v>-2224876.2321697082</v>
      </c>
      <c r="AV121" s="94">
        <f ca="1">IF(DatosHoy[[#This Row],[G ajus PM Q1]]=DatosHoy[[#This Row],[G+V ajus PM Q1]],-1,DatosHoy[[#This Row],[G ajus PM Q1]]-DatosHoy[[#This Row],[G+V ajus PM Q1]])</f>
        <v>-237337.63309791125</v>
      </c>
      <c r="AW121" s="94">
        <f ca="1">IF(DatosHoy[[#This Row],[G+V ajus PM Q1]]=DatosHoy[[#This Row],[CT ajus PM Q1]],-1,DatosHoy[[#This Row],[G+V ajus PM Q1]]-DatosHoy[[#This Row],[CT ajus PM Q1]])</f>
        <v>-304167.20384136774</v>
      </c>
      <c r="AX121" s="94">
        <f ca="1">IF($BN121=$BN122,-1,DatosHoy[[#This Row],[G ajus PMd]]-BR122)</f>
        <v>-1513879.2675668672</v>
      </c>
      <c r="AY121" s="94">
        <f ca="1">IF($BN121=$BN122,-1,DatosHoy[[#This Row],[G+V ajus PM Md]]-BS122)</f>
        <v>-1639699.1914675664</v>
      </c>
      <c r="AZ121" s="94">
        <f ca="1">IF($BN121=$BN122,-1,DatosHoy[[#This Row],[CT ajus PM Md]]-BT122)</f>
        <v>-1685634.1353913005</v>
      </c>
      <c r="BA121" s="94">
        <f ca="1">IF(DatosHoy[[#This Row],[G ajus PMd]]=DatosHoy[[#This Row],[G+V ajus PM Md]],-1,DatosHoy[[#This Row],[G ajus PMd]]-DatosHoy[[#This Row],[G+V ajus PM Md]])</f>
        <v>-435516.18390754797</v>
      </c>
      <c r="BB121" s="94">
        <f ca="1">IF(DatosHoy[[#This Row],[G+V ajus PM Md]]=DatosHoy[[#This Row],[CT ajus PM Md]],-1,DatosHoy[[#This Row],[G+V ajus PM Md]]-DatosHoy[[#This Row],[CT ajus PM Md]])</f>
        <v>-345924.77612205222</v>
      </c>
      <c r="BC121" s="94">
        <f ca="1">IF($BN121=$BN122,-1,DatosHoy[[#This Row],[G ajus PM Q3]]-BU122)</f>
        <v>-1747962.8774501421</v>
      </c>
      <c r="BD121" s="94">
        <f ca="1">IF($BN121=$BN122,-1,DatosHoy[[#This Row],[G+V ajus PM Q3]]-BV122)</f>
        <v>-1780197.8080110252</v>
      </c>
      <c r="BE121" s="94">
        <f ca="1">IF($BN121=$BN122,-1,DatosHoy[[#This Row],[CT ajus PM Q3]]-BW122)</f>
        <v>-1705581.8088590596</v>
      </c>
      <c r="BF121" s="94">
        <f ca="1">IF(DatosHoy[[#This Row],[G ajus PM Q3]]=DatosHoy[[#This Row],[G+V ajus PM Q3]],-1,DatosHoy[[#This Row],[G ajus PM Q3]]-DatosHoy[[#This Row],[G+V ajus PM Q3]])</f>
        <v>-223256.03824959509</v>
      </c>
      <c r="BG121" s="94">
        <f ca="1">IF(DatosHoy[[#This Row],[G+V ajus PM Q3]]=DatosHoy[[#This Row],[CT ajus PM Q3]],-1,DatosHoy[[#This Row],[G+V ajus PM Q3]]-DatosHoy[[#This Row],[CT ajus PM Q3]])</f>
        <v>-201652.01720579527</v>
      </c>
      <c r="BH121" s="94">
        <f ca="1">IF(DatosHoy[[#This Row],[G ajus PM Q1]]=DatosHoy[[#This Row],[G ajus PMd]],-1,DatosHoy[[#This Row],[G ajus PM Q1]]-DatosHoy[[#This Row],[G ajus PMd]])</f>
        <v>-1762473.5342417751</v>
      </c>
      <c r="BI121" s="94">
        <f ca="1">IF(DatosHoy[[#This Row],[G+V ajus PM Q1]]=DatosHoy[[#This Row],[G+V ajus PM Md]],-1,DatosHoy[[#This Row],[G+V ajus PM Q1]]-DatosHoy[[#This Row],[G+V ajus PM Md]])</f>
        <v>-1960652.0850514118</v>
      </c>
      <c r="BJ121" s="94">
        <f ca="1">IF(DatosHoy[[#This Row],[CT ajus PM Q1]]=DatosHoy[[#This Row],[CT ajus PM Md]],-1,DatosHoy[[#This Row],[CT ajus PM Q1]]-DatosHoy[[#This Row],[CT ajus PM Md]])</f>
        <v>-2002409.6573320962</v>
      </c>
      <c r="BK121" s="94">
        <f ca="1">IF(DatosHoy[[#This Row],[G ajus PMd]]=DatosHoy[[#This Row],[G ajus PM Q3]],-1,DatosHoy[[#This Row],[G ajus PMd]]-DatosHoy[[#This Row],[G ajus PM Q3]])</f>
        <v>-593744.14596787281</v>
      </c>
      <c r="BL121" s="94">
        <f ca="1">IF(DatosHoy[[#This Row],[G+V ajus PM Md]]=DatosHoy[[#This Row],[G+V ajus PM Q3]],-1,DatosHoy[[#This Row],[G+V ajus PM Md]]-DatosHoy[[#This Row],[G+V ajus PM Q3]])</f>
        <v>-381484.00030991994</v>
      </c>
      <c r="BM121" s="94">
        <f ca="1">IF(DatosHoy[[#This Row],[CT ajus PM Md]]=DatosHoy[[#This Row],[CT ajus PM Q3]],-1,DatosHoy[[#This Row],[CT ajus PM Md]]-DatosHoy[[#This Row],[CT ajus PM Q3]])</f>
        <v>-237211.24139366299</v>
      </c>
      <c r="BN121" s="74">
        <v>436</v>
      </c>
      <c r="BO121" s="94">
        <f ca="1">IFERROR(VLOOKUP($BN121,'Regresion Q1'!$T$6:$V$10,2,1)*$BN121+VLOOKUP($BN121,'Regresion Q1'!$T$6:$V$10,3,1),VLOOKUP(MIN(DatosHoy[Puntos]),'Regresion Q1'!$T$6:$V$10,2,1)*$BN121+VLOOKUP(MIN(DatosHoy[Puntos]),'Regresion Q1'!$T$6:$V$10,3,1))</f>
        <v>6165585.4809838478</v>
      </c>
      <c r="BP121" s="94">
        <f ca="1">IFERROR(VLOOKUP($BN121,'Regresion Q1'!$W$6:$Y$10,2,1)*$BN121+VLOOKUP($BN121,'Regresion Q1'!$W$6:$Y$10,3,1),VLOOKUP(MIN(DatosHoy[Puntos]),'Regresion Q1'!$W$6:$Y$10,2,1)*$BN121+VLOOKUP(MIN(DatosHoy[Puntos]),'Regresion Q1'!$W$6:$Y$10,3,1))</f>
        <v>6402923.114081759</v>
      </c>
      <c r="BQ121" s="94">
        <f ca="1">IFERROR(VLOOKUP($BN121,'Regresion Q1'!$Z$6:$AB$10,2,1)*$BN121+VLOOKUP($BN121,'Regresion Q1'!$Z$6:$AB$10,3,1),VLOOKUP(MIN(DatosHoy[Puntos]),'Regresion Q1'!$Z$6:$AB$10,2,1)*$BN121+VLOOKUP(MIN(DatosHoy[Puntos]),'Regresion Q1'!$Z$6:$AB$10,3,1))</f>
        <v>6707090.3179231267</v>
      </c>
      <c r="BR121" s="94">
        <f ca="1">IFERROR(VLOOKUP($BN121,'Regresion Md'!$T$6:$V$10,2,1)*$BN121+VLOOKUP($BN121,'Regresion Md'!$T$6:$V$10,3,1),VLOOKUP(MIN(DatosHoy[Puntos]),'Regresion Md'!$T$6:$V$10,2,1)*$BN121+VLOOKUP(MIN(DatosHoy[Puntos]),'Regresion Md'!$T$6:$V$10,3,1))</f>
        <v>7928059.0152256228</v>
      </c>
      <c r="BS121" s="94">
        <f ca="1">IFERROR(VLOOKUP($BN121,'Regresion Md'!$W$6:$Y$10,2,1)*$BN121+VLOOKUP($BN121,'Regresion Md'!$W$6:$Y$10,3,1),VLOOKUP(MIN(DatosHoy[Puntos]),'Regresion Md'!$W$6:$Y$10,2,1)*$BN121+VLOOKUP(MIN(DatosHoy[Puntos]),'Regresion Md'!$W$6:$Y$10,3,1))</f>
        <v>8363575.1991331708</v>
      </c>
      <c r="BT121" s="94">
        <f ca="1">IFERROR(VLOOKUP($BN121,'Regresion Md'!$Z$6:$AB$10,2,1)*$BN121+VLOOKUP($BN121,'Regresion Md'!$Z$6:$AB$10,3,1),VLOOKUP(MIN(DatosHoy[Puntos]),'Regresion Md'!$Z$6:$AB$10,2,1)*$BN121+VLOOKUP(MIN(DatosHoy[Puntos]),'Regresion Md'!$Z$6:$AB$10,3,1))</f>
        <v>8709499.975255223</v>
      </c>
      <c r="BU121" s="94">
        <f ca="1">IFERROR(VLOOKUP($BN121,'Regresion Q3'!$T$6:$V$10,2,1)*$BN121+VLOOKUP($BN121,'Regresion Q3'!$T$6:$V$10,3,1),VLOOKUP(MIN(DatosHoy[Puntos]),'Regresion Q3'!$T$6:$V$10,2,1)*$BN121+VLOOKUP(MIN(DatosHoy[Puntos]),'Regresion Q3'!$T$6:$V$10,3,1))</f>
        <v>8521803.1611934956</v>
      </c>
      <c r="BV121" s="94">
        <f ca="1">IFERROR(VLOOKUP($BN121,'Regresion Q3'!$W$6:$Y$10,2,1)*$BN121+VLOOKUP($BN121,'Regresion Q3'!$W$6:$Y$10,3,1),VLOOKUP(MIN(DatosHoy[Puntos]),'Regresion Q3'!$W$6:$Y$10,2,1)*$BN121+VLOOKUP(MIN(DatosHoy[Puntos]),'Regresion Q3'!$W$6:$Y$10,3,1))</f>
        <v>8745059.1994430907</v>
      </c>
      <c r="BW121" s="94">
        <f ca="1">IFERROR(VLOOKUP($BN121,'Regresion Q3'!$Z$6:$AB$10,2,1)*$BN121+VLOOKUP($BN121,'Regresion Q3'!$Z$6:$AB$10,3,1),VLOOKUP(MIN(DatosHoy[Puntos]),'Regresion Q3'!$Z$6:$AB$10,2,1)*$BN121+VLOOKUP(MIN(DatosHoy[Puntos]),'Regresion Q3'!$Z$6:$AB$10,3,1))</f>
        <v>8946711.216648886</v>
      </c>
      <c r="BX121" s="96">
        <f ca="1">DatosHoy[[#This Row],[CT Actual]]/DatosHoy[[#This Row],[CT ajus PM Md]]</f>
        <v>0.64943483622138132</v>
      </c>
      <c r="BY121" s="125" t="str">
        <f>VLOOKUP(DatosHoy[[#This Row],[Cargo Valorado]],Estadísticos[[Cargo]:[Nivel]],2,FALSE)</f>
        <v>Táctico</v>
      </c>
      <c r="BZ121" s="96">
        <f>(DatosHoy[[#This Row],[G+V Actual]]-DatosHoy[[#This Row],[G Actual]])/DatosHoy[[#This Row],[CT Actual]]</f>
        <v>0</v>
      </c>
      <c r="CA121" s="96">
        <f>(DatosHoy[[#This Row],[CT Actual]]-DatosHoy[[#This Row],[G+V Actual]])/DatosHoy[[#This Row],[CT Actual]]</f>
        <v>0</v>
      </c>
      <c r="CB121" s="139" t="s">
        <v>255</v>
      </c>
    </row>
    <row r="122" spans="2:80" x14ac:dyDescent="0.25">
      <c r="B122" s="73">
        <f t="shared" si="56"/>
        <v>117</v>
      </c>
      <c r="C122" s="74">
        <v>6808212.620000001</v>
      </c>
      <c r="D122" s="74">
        <v>6808212.620000001</v>
      </c>
      <c r="E122" s="74">
        <v>6808212.620000001</v>
      </c>
      <c r="F122" s="94">
        <f>VLOOKUP(DatosHoy[[#This Row],[Cargo Valorado]],Estadísticos[],3,0)</f>
        <v>5117463.8017358016</v>
      </c>
      <c r="G122" s="94">
        <f>VLOOKUP(DatosHoy[[#This Row],[Cargo Valorado]],Estadísticos[],4,0)</f>
        <v>5210458.4625664577</v>
      </c>
      <c r="H122" s="94">
        <f>VLOOKUP(DatosHoy[[#This Row],[Cargo Valorado]],Estadísticos[],5,0)</f>
        <v>5307992.6984704584</v>
      </c>
      <c r="I122" s="94">
        <f>VLOOKUP(DatosHoy[[#This Row],[Cargo Valorado]],Estadísticos[],6,0)</f>
        <v>6028214.6390756508</v>
      </c>
      <c r="J122" s="94">
        <f>VLOOKUP(DatosHoy[[#This Row],[Cargo Valorado]],Estadísticos[],7,0)</f>
        <v>6028214.6390756508</v>
      </c>
      <c r="K122" s="94">
        <f>VLOOKUP(DatosHoy[[#This Row],[Cargo Valorado]],Estadísticos[],8,0)</f>
        <v>6093237.4630116513</v>
      </c>
      <c r="L122" s="94">
        <f>VLOOKUP(DatosHoy[[#This Row],[Cargo Valorado]],Estadísticos[],9,0)</f>
        <v>8549973.796363337</v>
      </c>
      <c r="M122" s="94">
        <f>VLOOKUP(DatosHoy[[#This Row],[Cargo Valorado]],Estadísticos[],10,0)</f>
        <v>8549973.796363337</v>
      </c>
      <c r="N122" s="94">
        <f>VLOOKUP(DatosHoy[[#This Row],[Cargo Valorado]],Estadísticos[],11,0)</f>
        <v>8603710.6136107929</v>
      </c>
      <c r="O122" s="75" t="s">
        <v>205</v>
      </c>
      <c r="P122" s="75">
        <v>468</v>
      </c>
      <c r="Q122" s="95" t="str">
        <f t="shared" si="57"/>
        <v>$P$122</v>
      </c>
      <c r="R122" s="95" t="str">
        <f t="shared" si="58"/>
        <v>$F$122</v>
      </c>
      <c r="S122" s="95" t="str">
        <f t="shared" si="59"/>
        <v>$G$122</v>
      </c>
      <c r="T122" s="95" t="str">
        <f t="shared" si="60"/>
        <v>$H$122</v>
      </c>
      <c r="U122" s="95" t="str">
        <f t="shared" si="61"/>
        <v>$I$122</v>
      </c>
      <c r="V122" s="95" t="str">
        <f t="shared" si="62"/>
        <v>$J$122</v>
      </c>
      <c r="W122" s="95" t="str">
        <f t="shared" si="63"/>
        <v>$K$122</v>
      </c>
      <c r="X122" s="95" t="str">
        <f t="shared" si="64"/>
        <v>$L$122</v>
      </c>
      <c r="Y122" s="95" t="str">
        <f t="shared" si="65"/>
        <v>$M$122</v>
      </c>
      <c r="Z122" s="95" t="str">
        <f t="shared" si="66"/>
        <v>$N$122</v>
      </c>
      <c r="AA122" s="94">
        <f ca="1">VLOOKUP($P122,'Regresion Q1'!$E$6:$I$10,4,1)*$P122+VLOOKUP($P122,'Regresion Q1'!$E$6:$I$10,5,1)</f>
        <v>6858021.7274743542</v>
      </c>
      <c r="AB122" s="94">
        <f ca="1">VLOOKUP($P122,'Regresion Q1'!$J$6:$N$10,4,1)*$P122+VLOOKUP($P122,'Regresion Q1'!$J$6:$N$10,5,1)</f>
        <v>7335497.4328188132</v>
      </c>
      <c r="AC122" s="94">
        <f ca="1">VLOOKUP($P122,'Regresion Q1'!$O$6:$S$10,4,1)*$P122+VLOOKUP($P122,'Regresion Q1'!$O$6:$S$10,5,1)</f>
        <v>7594476.8743086327</v>
      </c>
      <c r="AD122" s="94">
        <f ca="1">VLOOKUP($P122,'Regresion Md'!$E$6:$I$10,4,1)*$P122+VLOOKUP($P122,'Regresion Md'!$E$6:$I$10,5,1)</f>
        <v>9201301.8915219679</v>
      </c>
      <c r="AE122" s="94">
        <f ca="1">VLOOKUP($P122,'Regresion Md'!$J$6:$N$10,4,1)*$P122+VLOOKUP($P122,'Regresion Md'!$J$6:$N$10,5,1)</f>
        <v>9432709.8180312086</v>
      </c>
      <c r="AF122" s="94">
        <f ca="1">VLOOKUP($P122,'Regresion Md'!$O$6:$S$10,4,1)*$P122+VLOOKUP($P122,'Regresion Md'!$O$6:$S$10,5,1)</f>
        <v>9595553.4100947119</v>
      </c>
      <c r="AG122" s="94">
        <f ca="1">VLOOKUP($P122,'Regresion Q3'!$E$6:$I$10,4,1)*$P122+VLOOKUP($P122,'Regresion Q3'!$E$6:$I$10,5,1)</f>
        <v>9916380.1077986918</v>
      </c>
      <c r="AH122" s="94">
        <f ca="1">VLOOKUP($P122,'Regresion Q3'!$J$6:$N$10,4,1)*$P122+VLOOKUP($P122,'Regresion Q3'!$J$6:$N$10,5,1)</f>
        <v>10267873.818033483</v>
      </c>
      <c r="AI122" s="94">
        <f ca="1">VLOOKUP($P122,'Regresion Q3'!$O$6:$S$10,4,1)*$P122+VLOOKUP($P122,'Regresion Q3'!$O$6:$S$10,5,1)</f>
        <v>10486127.210829819</v>
      </c>
      <c r="AJ122" s="94">
        <f ca="1">VLOOKUP($P122,'Regresion Q1'!$T$6:$V$10,2,1)*$P122+VLOOKUP($P122,'Regresion Q1'!$T$6:$V$10,3,1)</f>
        <v>7150416.1938711703</v>
      </c>
      <c r="AK122" s="94">
        <f ca="1">VLOOKUP($P122,'Regresion Q1'!$W$6:$Y$10,2,1)*$P122+VLOOKUP($P122,'Regresion Q1'!$W$6:$Y$10,3,1)</f>
        <v>7448055.4231473468</v>
      </c>
      <c r="AL122" s="94">
        <f ca="1">VLOOKUP($P122,'Regresion Q1'!$Z$6:$AB$10,2,1)*$P122+VLOOKUP($P122,'Regresion Q1'!$Z$6:$AB$10,3,1)</f>
        <v>7785818.188066015</v>
      </c>
      <c r="AM122" s="94">
        <f ca="1">VLOOKUP($P122,'Regresion Md'!$T$6:$V$10,2,1)*$P122+VLOOKUP($P122,'Regresion Md'!$T$6:$V$10,3,1)</f>
        <v>8662061.0843489524</v>
      </c>
      <c r="AN122" s="94">
        <f ca="1">VLOOKUP($P122,'Regresion Md'!$W$6:$Y$10,2,1)*$P122+VLOOKUP($P122,'Regresion Md'!$W$6:$Y$10,3,1)</f>
        <v>9158580.8677235059</v>
      </c>
      <c r="AO122" s="94">
        <f ca="1">VLOOKUP($P122,'Regresion Md'!$Z$6:$AB$10,2,1)*$P122+VLOOKUP($P122,'Regresion Md'!$Z$6:$AB$10,3,1)</f>
        <v>9526777.1318085808</v>
      </c>
      <c r="AP122" s="94">
        <f ca="1">VLOOKUP($P122,'Regresion Q3'!$T$6:$V$10,2,1)*$P122+VLOOKUP($P122,'Regresion Q3'!$T$6:$V$10,3,1)</f>
        <v>9342019.0276896618</v>
      </c>
      <c r="AQ122" s="94">
        <f ca="1">VLOOKUP($P122,'Regresion Q3'!$W$6:$Y$10,2,1)*$P122+VLOOKUP($P122,'Regresion Q3'!$W$6:$Y$10,3,1)</f>
        <v>9580721.6932244468</v>
      </c>
      <c r="AR122" s="94">
        <f ca="1">VLOOKUP($P122,'Regresion Q3'!$Z$6:$AB$10,2,1)*$P122+VLOOKUP($P122,'Regresion Q3'!$Z$6:$AB$10,3,1)</f>
        <v>9751249.1298963111</v>
      </c>
      <c r="AS122" s="94">
        <f>IF($BN122=$BN123,-1,DatosHoy[[#This Row],[G ajus PM Q1]]-BO123)</f>
        <v>-1</v>
      </c>
      <c r="AT122" s="94">
        <f>IF($BN122=$BN123,-1,DatosHoy[[#This Row],[G+V ajus PM Q1]]-BP123)</f>
        <v>-1</v>
      </c>
      <c r="AU122" s="94">
        <f>IF($BN122=$BN123,-1,DatosHoy[[#This Row],[CT ajus PM Q1]]-BQ123)</f>
        <v>-1</v>
      </c>
      <c r="AV122" s="94">
        <f ca="1">IF(DatosHoy[[#This Row],[G ajus PM Q1]]=DatosHoy[[#This Row],[G+V ajus PM Q1]],-1,DatosHoy[[#This Row],[G ajus PM Q1]]-DatosHoy[[#This Row],[G+V ajus PM Q1]])</f>
        <v>-361709.67521557957</v>
      </c>
      <c r="AW122" s="94">
        <f ca="1">IF(DatosHoy[[#This Row],[G+V ajus PM Q1]]=DatosHoy[[#This Row],[CT ajus PM Q1]],-1,DatosHoy[[#This Row],[G+V ajus PM Q1]]-DatosHoy[[#This Row],[CT ajus PM Q1]])</f>
        <v>-373458.04856330343</v>
      </c>
      <c r="AX122" s="94">
        <f>IF($BN122=$BN123,-1,DatosHoy[[#This Row],[G ajus PMd]]-BR123)</f>
        <v>-1</v>
      </c>
      <c r="AY122" s="94">
        <f>IF($BN122=$BN123,-1,DatosHoy[[#This Row],[G+V ajus PM Md]]-BS123)</f>
        <v>-1</v>
      </c>
      <c r="AZ122" s="94">
        <f>IF($BN122=$BN123,-1,DatosHoy[[#This Row],[CT ajus PM Md]]-BT123)</f>
        <v>-1</v>
      </c>
      <c r="BA122" s="94">
        <f ca="1">IF(DatosHoy[[#This Row],[G ajus PMd]]=DatosHoy[[#This Row],[G+V ajus PM Md]],-1,DatosHoy[[#This Row],[G ajus PMd]]-DatosHoy[[#This Row],[G+V ajus PM Md]])</f>
        <v>-561336.10780824721</v>
      </c>
      <c r="BB122" s="94">
        <f ca="1">IF(DatosHoy[[#This Row],[G+V ajus PM Md]]=DatosHoy[[#This Row],[CT ajus PM Md]],-1,DatosHoy[[#This Row],[G+V ajus PM Md]]-DatosHoy[[#This Row],[CT ajus PM Md]])</f>
        <v>-391859.72004578635</v>
      </c>
      <c r="BC122" s="94">
        <f>IF($BN122=$BN123,-1,DatosHoy[[#This Row],[G ajus PM Q3]]-BU123)</f>
        <v>-1</v>
      </c>
      <c r="BD122" s="94">
        <f>IF($BN122=$BN123,-1,DatosHoy[[#This Row],[G+V ajus PM Q3]]-BV123)</f>
        <v>-1</v>
      </c>
      <c r="BE122" s="94">
        <f>IF($BN122=$BN123,-1,DatosHoy[[#This Row],[CT ajus PM Q3]]-BW123)</f>
        <v>-1</v>
      </c>
      <c r="BF122" s="94">
        <f ca="1">IF(DatosHoy[[#This Row],[G ajus PM Q3]]=DatosHoy[[#This Row],[G+V ajus PM Q3]],-1,DatosHoy[[#This Row],[G ajus PM Q3]]-DatosHoy[[#This Row],[G+V ajus PM Q3]])</f>
        <v>-255490.96881047823</v>
      </c>
      <c r="BG122" s="94">
        <f ca="1">IF(DatosHoy[[#This Row],[G+V ajus PM Q3]]=DatosHoy[[#This Row],[CT ajus PM Q3]],-1,DatosHoy[[#This Row],[G+V ajus PM Q3]]-DatosHoy[[#This Row],[CT ajus PM Q3]])</f>
        <v>-127036.01805382967</v>
      </c>
      <c r="BH122" s="94">
        <f ca="1">IF(DatosHoy[[#This Row],[G ajus PM Q1]]=DatosHoy[[#This Row],[G ajus PMd]],-1,DatosHoy[[#This Row],[G ajus PM Q1]]-DatosHoy[[#This Row],[G ajus PMd]])</f>
        <v>-1245139.456478538</v>
      </c>
      <c r="BI122" s="94">
        <f ca="1">IF(DatosHoy[[#This Row],[G+V ajus PM Q1]]=DatosHoy[[#This Row],[G+V ajus PM Md]],-1,DatosHoy[[#This Row],[G+V ajus PM Q1]]-DatosHoy[[#This Row],[G+V ajus PM Md]])</f>
        <v>-1444765.8890712056</v>
      </c>
      <c r="BJ122" s="94">
        <f ca="1">IF(DatosHoy[[#This Row],[CT ajus PM Q1]]=DatosHoy[[#This Row],[CT ajus PM Md]],-1,DatosHoy[[#This Row],[CT ajus PM Q1]]-DatosHoy[[#This Row],[CT ajus PM Md]])</f>
        <v>-1463167.5605536886</v>
      </c>
      <c r="BK122" s="94">
        <f ca="1">IF(DatosHoy[[#This Row],[G ajus PMd]]=DatosHoy[[#This Row],[G ajus PM Q3]],-1,DatosHoy[[#This Row],[G ajus PMd]]-DatosHoy[[#This Row],[G ajus PM Q3]])</f>
        <v>-827827.7558511477</v>
      </c>
      <c r="BL122" s="94">
        <f ca="1">IF(DatosHoy[[#This Row],[G+V ajus PM Md]]=DatosHoy[[#This Row],[G+V ajus PM Q3]],-1,DatosHoy[[#This Row],[G+V ajus PM Md]]-DatosHoy[[#This Row],[G+V ajus PM Q3]])</f>
        <v>-521982.61685337871</v>
      </c>
      <c r="BM122" s="94">
        <f ca="1">IF(DatosHoy[[#This Row],[CT ajus PM Md]]=DatosHoy[[#This Row],[CT ajus PM Q3]],-1,DatosHoy[[#This Row],[CT ajus PM Md]]-DatosHoy[[#This Row],[CT ajus PM Q3]])</f>
        <v>-257158.91486142203</v>
      </c>
      <c r="BN122" s="74">
        <v>502</v>
      </c>
      <c r="BO122" s="94">
        <f ca="1">IFERROR(VLOOKUP($BN122,'Regresion Q1'!$T$6:$V$10,2,1)*$BN122+VLOOKUP($BN122,'Regresion Q1'!$T$6:$V$10,3,1),VLOOKUP(MIN(DatosHoy[Puntos]),'Regresion Q1'!$T$6:$V$10,2,1)*$BN122+VLOOKUP(MIN(DatosHoy[Puntos]),'Regresion Q1'!$T$6:$V$10,3,1))</f>
        <v>8196798.826313952</v>
      </c>
      <c r="BP122" s="94">
        <f ca="1">IFERROR(VLOOKUP($BN122,'Regresion Q1'!$W$6:$Y$10,2,1)*$BN122+VLOOKUP($BN122,'Regresion Q1'!$W$6:$Y$10,3,1),VLOOKUP(MIN(DatosHoy[Puntos]),'Regresion Q1'!$W$6:$Y$10,2,1)*$BN122+VLOOKUP(MIN(DatosHoy[Puntos]),'Regresion Q1'!$W$6:$Y$10,3,1))</f>
        <v>8558508.5015295316</v>
      </c>
      <c r="BQ122" s="94">
        <f ca="1">IFERROR(VLOOKUP($BN122,'Regresion Q1'!$Z$6:$AB$10,2,1)*$BN122+VLOOKUP($BN122,'Regresion Q1'!$Z$6:$AB$10,3,1),VLOOKUP(MIN(DatosHoy[Puntos]),'Regresion Q1'!$Z$6:$AB$10,2,1)*$BN122+VLOOKUP(MIN(DatosHoy[Puntos]),'Regresion Q1'!$Z$6:$AB$10,3,1))</f>
        <v>8931966.550092835</v>
      </c>
      <c r="BR122" s="94">
        <f ca="1">IFERROR(VLOOKUP($BN122,'Regresion Md'!$T$6:$V$10,2,1)*$BN122+VLOOKUP($BN122,'Regresion Md'!$T$6:$V$10,3,1),VLOOKUP(MIN(DatosHoy[Puntos]),'Regresion Md'!$T$6:$V$10,2,1)*$BN122+VLOOKUP(MIN(DatosHoy[Puntos]),'Regresion Md'!$T$6:$V$10,3,1))</f>
        <v>9441938.28279249</v>
      </c>
      <c r="BS122" s="94">
        <f ca="1">IFERROR(VLOOKUP($BN122,'Regresion Md'!$W$6:$Y$10,2,1)*$BN122+VLOOKUP($BN122,'Regresion Md'!$W$6:$Y$10,3,1),VLOOKUP(MIN(DatosHoy[Puntos]),'Regresion Md'!$W$6:$Y$10,2,1)*$BN122+VLOOKUP(MIN(DatosHoy[Puntos]),'Regresion Md'!$W$6:$Y$10,3,1))</f>
        <v>10003274.390600737</v>
      </c>
      <c r="BT122" s="94">
        <f ca="1">IFERROR(VLOOKUP($BN122,'Regresion Md'!$Z$6:$AB$10,2,1)*$BN122+VLOOKUP($BN122,'Regresion Md'!$Z$6:$AB$10,3,1),VLOOKUP(MIN(DatosHoy[Puntos]),'Regresion Md'!$Z$6:$AB$10,2,1)*$BN122+VLOOKUP(MIN(DatosHoy[Puntos]),'Regresion Md'!$Z$6:$AB$10,3,1))</f>
        <v>10395134.110646524</v>
      </c>
      <c r="BU122" s="94">
        <f ca="1">IFERROR(VLOOKUP($BN122,'Regresion Q3'!$T$6:$V$10,2,1)*$BN122+VLOOKUP($BN122,'Regresion Q3'!$T$6:$V$10,3,1),VLOOKUP(MIN(DatosHoy[Puntos]),'Regresion Q3'!$T$6:$V$10,2,1)*$BN122+VLOOKUP(MIN(DatosHoy[Puntos]),'Regresion Q3'!$T$6:$V$10,3,1))</f>
        <v>10269766.038643638</v>
      </c>
      <c r="BV122" s="94">
        <f ca="1">IFERROR(VLOOKUP($BN122,'Regresion Q3'!$W$6:$Y$10,2,1)*$BN122+VLOOKUP($BN122,'Regresion Q3'!$W$6:$Y$10,3,1),VLOOKUP(MIN(DatosHoy[Puntos]),'Regresion Q3'!$W$6:$Y$10,2,1)*$BN122+VLOOKUP(MIN(DatosHoy[Puntos]),'Regresion Q3'!$W$6:$Y$10,3,1))</f>
        <v>10525257.007454116</v>
      </c>
      <c r="BW122" s="94">
        <f ca="1">IFERROR(VLOOKUP($BN122,'Regresion Q3'!$Z$6:$AB$10,2,1)*$BN122+VLOOKUP($BN122,'Regresion Q3'!$Z$6:$AB$10,3,1),VLOOKUP(MIN(DatosHoy[Puntos]),'Regresion Q3'!$Z$6:$AB$10,2,1)*$BN122+VLOOKUP(MIN(DatosHoy[Puntos]),'Regresion Q3'!$Z$6:$AB$10,3,1))</f>
        <v>10652293.025507946</v>
      </c>
      <c r="BX122" s="96">
        <f ca="1">DatosHoy[[#This Row],[CT Actual]]/DatosHoy[[#This Row],[CT ajus PM Md]]</f>
        <v>0.65494225928524985</v>
      </c>
      <c r="BY122" s="125" t="str">
        <f>VLOOKUP(DatosHoy[[#This Row],[Cargo Valorado]],Estadísticos[[Cargo]:[Nivel]],2,FALSE)</f>
        <v>Gerencia media</v>
      </c>
      <c r="BZ122" s="96">
        <f>(DatosHoy[[#This Row],[G+V Actual]]-DatosHoy[[#This Row],[G Actual]])/DatosHoy[[#This Row],[CT Actual]]</f>
        <v>0</v>
      </c>
      <c r="CA122" s="96">
        <f>(DatosHoy[[#This Row],[CT Actual]]-DatosHoy[[#This Row],[G+V Actual]])/DatosHoy[[#This Row],[CT Actual]]</f>
        <v>0</v>
      </c>
      <c r="CB122" s="139" t="s">
        <v>255</v>
      </c>
    </row>
    <row r="123" spans="2:80" x14ac:dyDescent="0.25">
      <c r="B123" s="73">
        <f t="shared" si="56"/>
        <v>118</v>
      </c>
      <c r="C123" s="74">
        <v>6023373.7300000004</v>
      </c>
      <c r="D123" s="74">
        <v>6023373.7300000004</v>
      </c>
      <c r="E123" s="74">
        <v>6023373.7300000004</v>
      </c>
      <c r="F123" s="94">
        <f>VLOOKUP(DatosHoy[[#This Row],[Cargo Valorado]],Estadísticos[],3,0)</f>
        <v>6707642.0343261445</v>
      </c>
      <c r="G123" s="94">
        <f>VLOOKUP(DatosHoy[[#This Row],[Cargo Valorado]],Estadísticos[],4,0)</f>
        <v>6999907.0963261444</v>
      </c>
      <c r="H123" s="94">
        <f>VLOOKUP(DatosHoy[[#This Row],[Cargo Valorado]],Estadísticos[],5,0)</f>
        <v>7128450.9763261443</v>
      </c>
      <c r="I123" s="94">
        <f>VLOOKUP(DatosHoy[[#This Row],[Cargo Valorado]],Estadísticos[],6,0)</f>
        <v>9790097.8582304716</v>
      </c>
      <c r="J123" s="94">
        <f>VLOOKUP(DatosHoy[[#This Row],[Cargo Valorado]],Estadísticos[],7,0)</f>
        <v>9790097.8582304716</v>
      </c>
      <c r="K123" s="94">
        <f>VLOOKUP(DatosHoy[[#This Row],[Cargo Valorado]],Estadísticos[],8,0)</f>
        <v>9790097.8582304716</v>
      </c>
      <c r="L123" s="94">
        <f>VLOOKUP(DatosHoy[[#This Row],[Cargo Valorado]],Estadísticos[],9,0)</f>
        <v>10897293.18106135</v>
      </c>
      <c r="M123" s="94">
        <f>VLOOKUP(DatosHoy[[#This Row],[Cargo Valorado]],Estadísticos[],10,0)</f>
        <v>10897293.18106135</v>
      </c>
      <c r="N123" s="94">
        <f>VLOOKUP(DatosHoy[[#This Row],[Cargo Valorado]],Estadísticos[],11,0)</f>
        <v>11025837.061061349</v>
      </c>
      <c r="O123" s="75" t="s">
        <v>204</v>
      </c>
      <c r="P123" s="75">
        <v>474</v>
      </c>
      <c r="Q123" s="95" t="str">
        <f t="shared" si="57"/>
        <v>$P$123</v>
      </c>
      <c r="R123" s="95" t="str">
        <f t="shared" si="58"/>
        <v>$F$123</v>
      </c>
      <c r="S123" s="95" t="str">
        <f t="shared" si="59"/>
        <v>$G$123</v>
      </c>
      <c r="T123" s="95" t="str">
        <f t="shared" si="60"/>
        <v>$H$123</v>
      </c>
      <c r="U123" s="95" t="str">
        <f t="shared" si="61"/>
        <v>$I$123</v>
      </c>
      <c r="V123" s="95" t="str">
        <f t="shared" si="62"/>
        <v>$J$123</v>
      </c>
      <c r="W123" s="95" t="str">
        <f t="shared" si="63"/>
        <v>$K$123</v>
      </c>
      <c r="X123" s="95" t="str">
        <f t="shared" si="64"/>
        <v>$L$123</v>
      </c>
      <c r="Y123" s="95" t="str">
        <f t="shared" si="65"/>
        <v>$M$123</v>
      </c>
      <c r="Z123" s="95" t="str">
        <f t="shared" si="66"/>
        <v>$N$123</v>
      </c>
      <c r="AA123" s="94">
        <f ca="1">VLOOKUP($P123,'Regresion Q1'!$E$6:$I$10,4,1)*$P123+VLOOKUP($P123,'Regresion Q1'!$E$6:$I$10,5,1)</f>
        <v>7018311.2806076594</v>
      </c>
      <c r="AB123" s="94">
        <f ca="1">VLOOKUP($P123,'Regresion Q1'!$J$6:$N$10,4,1)*$P123+VLOOKUP($P123,'Regresion Q1'!$J$6:$N$10,5,1)</f>
        <v>7522079.9082412329</v>
      </c>
      <c r="AC123" s="94">
        <f ca="1">VLOOKUP($P123,'Regresion Q1'!$O$6:$S$10,4,1)*$P123+VLOOKUP($P123,'Regresion Q1'!$O$6:$S$10,5,1)</f>
        <v>7780793.2404806428</v>
      </c>
      <c r="AD123" s="94">
        <f ca="1">VLOOKUP($P123,'Regresion Md'!$E$6:$I$10,4,1)*$P123+VLOOKUP($P123,'Regresion Md'!$E$6:$I$10,5,1)</f>
        <v>9351817.4979807548</v>
      </c>
      <c r="AE123" s="94">
        <f ca="1">VLOOKUP($P123,'Regresion Md'!$J$6:$N$10,4,1)*$P123+VLOOKUP($P123,'Regresion Md'!$J$6:$N$10,5,1)</f>
        <v>9588326.2641661838</v>
      </c>
      <c r="AF123" s="94">
        <f ca="1">VLOOKUP($P123,'Regresion Md'!$O$6:$S$10,4,1)*$P123+VLOOKUP($P123,'Regresion Md'!$O$6:$S$10,5,1)</f>
        <v>9750436.9314094912</v>
      </c>
      <c r="AG123" s="94">
        <f ca="1">VLOOKUP($P123,'Regresion Q3'!$E$6:$I$10,4,1)*$P123+VLOOKUP($P123,'Regresion Q3'!$E$6:$I$10,5,1)</f>
        <v>10212645.03319582</v>
      </c>
      <c r="AH123" s="94">
        <f ca="1">VLOOKUP($P123,'Regresion Q3'!$J$6:$N$10,4,1)*$P123+VLOOKUP($P123,'Regresion Q3'!$J$6:$N$10,5,1)</f>
        <v>10593130.087808225</v>
      </c>
      <c r="AI123" s="94">
        <f ca="1">VLOOKUP($P123,'Regresion Q3'!$O$6:$S$10,4,1)*$P123+VLOOKUP($P123,'Regresion Q3'!$O$6:$S$10,5,1)</f>
        <v>10814722.20656042</v>
      </c>
      <c r="AJ123" s="94">
        <f ca="1">VLOOKUP($P123,'Regresion Q1'!$T$6:$V$10,2,1)*$P123+VLOOKUP($P123,'Regresion Q1'!$T$6:$V$10,3,1)</f>
        <v>7335071.9525375441</v>
      </c>
      <c r="AK123" s="94">
        <f ca="1">VLOOKUP($P123,'Regresion Q1'!$W$6:$Y$10,2,1)*$P123+VLOOKUP($P123,'Regresion Q1'!$W$6:$Y$10,3,1)</f>
        <v>7644017.7310971431</v>
      </c>
      <c r="AL123" s="94">
        <f ca="1">VLOOKUP($P123,'Regresion Q1'!$Z$6:$AB$10,2,1)*$P123+VLOOKUP($P123,'Regresion Q1'!$Z$6:$AB$10,3,1)</f>
        <v>7988079.6637178082</v>
      </c>
      <c r="AM123" s="94">
        <f ca="1">VLOOKUP($P123,'Regresion Md'!$T$6:$V$10,2,1)*$P123+VLOOKUP($P123,'Regresion Md'!$T$6:$V$10,3,1)</f>
        <v>8799686.4723095763</v>
      </c>
      <c r="AN123" s="94">
        <f ca="1">VLOOKUP($P123,'Regresion Md'!$W$6:$Y$10,2,1)*$P123+VLOOKUP($P123,'Regresion Md'!$W$6:$Y$10,3,1)</f>
        <v>9307644.4305841941</v>
      </c>
      <c r="AO123" s="94">
        <f ca="1">VLOOKUP($P123,'Regresion Md'!$Z$6:$AB$10,2,1)*$P123+VLOOKUP($P123,'Regresion Md'!$Z$6:$AB$10,3,1)</f>
        <v>9680016.5986623354</v>
      </c>
      <c r="AP123" s="94">
        <f ca="1">VLOOKUP($P123,'Regresion Q3'!$T$6:$V$10,2,1)*$P123+VLOOKUP($P123,'Regresion Q3'!$T$6:$V$10,3,1)</f>
        <v>9505739.0884462465</v>
      </c>
      <c r="AQ123" s="94">
        <f ca="1">VLOOKUP($P123,'Regresion Q3'!$W$6:$Y$10,2,1)*$P123+VLOOKUP($P123,'Regresion Q3'!$W$6:$Y$10,3,1)</f>
        <v>9747404.3957355637</v>
      </c>
      <c r="AR123" s="94">
        <f ca="1">VLOOKUP($P123,'Regresion Q3'!$Z$6:$AB$10,2,1)*$P123+VLOOKUP($P123,'Regresion Q3'!$Z$6:$AB$10,3,1)</f>
        <v>9910256.8761807177</v>
      </c>
      <c r="AS123" s="94">
        <f ca="1">IF($BN123=$BN145,-1,DatosHoy[[#This Row],[G ajus PM Q1]]-BO145)</f>
        <v>-714732651.52383411</v>
      </c>
      <c r="AT123" s="94">
        <f ca="1">IF($BN123=$BN145,-1,DatosHoy[[#This Row],[G+V ajus PM Q1]]-BP145)</f>
        <v>-743799883.54386997</v>
      </c>
      <c r="AU123" s="94">
        <f ca="1">IF($BN123=$BN145,-1,DatosHoy[[#This Row],[CT ajus PM Q1]]-BQ145)</f>
        <v>-774949514.08883274</v>
      </c>
      <c r="AV123" s="94">
        <f ca="1">IF(DatosHoy[[#This Row],[G ajus PM Q1]]=DatosHoy[[#This Row],[G+V ajus PM Q1]],-1,DatosHoy[[#This Row],[G ajus PM Q1]]-DatosHoy[[#This Row],[G+V ajus PM Q1]])</f>
        <v>-361709.67521557957</v>
      </c>
      <c r="AW123" s="94">
        <f ca="1">IF(DatosHoy[[#This Row],[G+V ajus PM Q1]]=DatosHoy[[#This Row],[CT ajus PM Q1]],-1,DatosHoy[[#This Row],[G+V ajus PM Q1]]-DatosHoy[[#This Row],[CT ajus PM Q1]])</f>
        <v>-373458.04856330343</v>
      </c>
      <c r="AX123" s="94">
        <f ca="1">IF($BN123=$BN145,-1,DatosHoy[[#This Row],[G ajus PMd]]-BR145)</f>
        <v>-868040178.08917284</v>
      </c>
      <c r="AY123" s="94">
        <f ca="1">IF($BN123=$BN145,-1,DatosHoy[[#This Row],[G+V ajus PM Md]]-BS145)</f>
        <v>-906953737.90018463</v>
      </c>
      <c r="AZ123" s="94">
        <f ca="1">IF($BN123=$BN145,-1,DatosHoy[[#This Row],[CT ajus PM Md]]-BT145)</f>
        <v>-946577142.74613214</v>
      </c>
      <c r="BA123" s="94">
        <f ca="1">IF(DatosHoy[[#This Row],[G ajus PMd]]=DatosHoy[[#This Row],[G+V ajus PM Md]],-1,DatosHoy[[#This Row],[G ajus PMd]]-DatosHoy[[#This Row],[G+V ajus PM Md]])</f>
        <v>-561336.10780824721</v>
      </c>
      <c r="BB123" s="94">
        <f ca="1">IF(DatosHoy[[#This Row],[G+V ajus PM Md]]=DatosHoy[[#This Row],[CT ajus PM Md]],-1,DatosHoy[[#This Row],[G+V ajus PM Md]]-DatosHoy[[#This Row],[CT ajus PM Md]])</f>
        <v>-391859.72004578635</v>
      </c>
      <c r="BC123" s="94">
        <f ca="1">IF($BN123=$BN145,-1,DatosHoy[[#This Row],[G ajus PM Q3]]-BU145)</f>
        <v>-1043965065.2459773</v>
      </c>
      <c r="BD123" s="94">
        <f ca="1">IF($BN123=$BN145,-1,DatosHoy[[#This Row],[G+V ajus PM Q3]]-BV145)</f>
        <v>-1076983062.0280514</v>
      </c>
      <c r="BE123" s="94">
        <f ca="1">IF($BN123=$BN145,-1,DatosHoy[[#This Row],[CT ajus PM Q3]]-BW145)</f>
        <v>-1109015236.34552</v>
      </c>
      <c r="BF123" s="94">
        <f ca="1">IF(DatosHoy[[#This Row],[G ajus PM Q3]]=DatosHoy[[#This Row],[G+V ajus PM Q3]],-1,DatosHoy[[#This Row],[G ajus PM Q3]]-DatosHoy[[#This Row],[G+V ajus PM Q3]])</f>
        <v>-255490.96881047823</v>
      </c>
      <c r="BG123" s="94">
        <f ca="1">IF(DatosHoy[[#This Row],[G+V ajus PM Q3]]=DatosHoy[[#This Row],[CT ajus PM Q3]],-1,DatosHoy[[#This Row],[G+V ajus PM Q3]]-DatosHoy[[#This Row],[CT ajus PM Q3]])</f>
        <v>-127036.01805382967</v>
      </c>
      <c r="BH123" s="94">
        <f ca="1">IF(DatosHoy[[#This Row],[G ajus PM Q1]]=DatosHoy[[#This Row],[G ajus PMd]],-1,DatosHoy[[#This Row],[G ajus PM Q1]]-DatosHoy[[#This Row],[G ajus PMd]])</f>
        <v>-1245139.456478538</v>
      </c>
      <c r="BI123" s="94">
        <f ca="1">IF(DatosHoy[[#This Row],[G+V ajus PM Q1]]=DatosHoy[[#This Row],[G+V ajus PM Md]],-1,DatosHoy[[#This Row],[G+V ajus PM Q1]]-DatosHoy[[#This Row],[G+V ajus PM Md]])</f>
        <v>-1444765.8890712056</v>
      </c>
      <c r="BJ123" s="94">
        <f ca="1">IF(DatosHoy[[#This Row],[CT ajus PM Q1]]=DatosHoy[[#This Row],[CT ajus PM Md]],-1,DatosHoy[[#This Row],[CT ajus PM Q1]]-DatosHoy[[#This Row],[CT ajus PM Md]])</f>
        <v>-1463167.5605536886</v>
      </c>
      <c r="BK123" s="94">
        <f ca="1">IF(DatosHoy[[#This Row],[G ajus PMd]]=DatosHoy[[#This Row],[G ajus PM Q3]],-1,DatosHoy[[#This Row],[G ajus PMd]]-DatosHoy[[#This Row],[G ajus PM Q3]])</f>
        <v>-827827.7558511477</v>
      </c>
      <c r="BL123" s="94">
        <f ca="1">IF(DatosHoy[[#This Row],[G+V ajus PM Md]]=DatosHoy[[#This Row],[G+V ajus PM Q3]],-1,DatosHoy[[#This Row],[G+V ajus PM Md]]-DatosHoy[[#This Row],[G+V ajus PM Q3]])</f>
        <v>-521982.61685337871</v>
      </c>
      <c r="BM123" s="94">
        <f ca="1">IF(DatosHoy[[#This Row],[CT ajus PM Md]]=DatosHoy[[#This Row],[CT ajus PM Q3]],-1,DatosHoy[[#This Row],[CT ajus PM Md]]-DatosHoy[[#This Row],[CT ajus PM Q3]])</f>
        <v>-257158.91486142203</v>
      </c>
      <c r="BN123" s="74">
        <v>502</v>
      </c>
      <c r="BO123" s="94">
        <f ca="1">IFERROR(VLOOKUP($BN123,'Regresion Q1'!$T$6:$V$10,2,1)*$BN123+VLOOKUP($BN123,'Regresion Q1'!$T$6:$V$10,3,1),VLOOKUP(MIN(DatosHoy[Puntos]),'Regresion Q1'!$T$6:$V$10,2,1)*$BN123+VLOOKUP(MIN(DatosHoy[Puntos]),'Regresion Q1'!$T$6:$V$10,3,1))</f>
        <v>8196798.826313952</v>
      </c>
      <c r="BP123" s="94">
        <f ca="1">IFERROR(VLOOKUP($BN123,'Regresion Q1'!$W$6:$Y$10,2,1)*$BN123+VLOOKUP($BN123,'Regresion Q1'!$W$6:$Y$10,3,1),VLOOKUP(MIN(DatosHoy[Puntos]),'Regresion Q1'!$W$6:$Y$10,2,1)*$BN123+VLOOKUP(MIN(DatosHoy[Puntos]),'Regresion Q1'!$W$6:$Y$10,3,1))</f>
        <v>8558508.5015295316</v>
      </c>
      <c r="BQ123" s="94">
        <f ca="1">IFERROR(VLOOKUP($BN123,'Regresion Q1'!$Z$6:$AB$10,2,1)*$BN123+VLOOKUP($BN123,'Regresion Q1'!$Z$6:$AB$10,3,1),VLOOKUP(MIN(DatosHoy[Puntos]),'Regresion Q1'!$Z$6:$AB$10,2,1)*$BN123+VLOOKUP(MIN(DatosHoy[Puntos]),'Regresion Q1'!$Z$6:$AB$10,3,1))</f>
        <v>8931966.550092835</v>
      </c>
      <c r="BR123" s="94">
        <f ca="1">IFERROR(VLOOKUP($BN123,'Regresion Md'!$T$6:$V$10,2,1)*$BN123+VLOOKUP($BN123,'Regresion Md'!$T$6:$V$10,3,1),VLOOKUP(MIN(DatosHoy[Puntos]),'Regresion Md'!$T$6:$V$10,2,1)*$BN123+VLOOKUP(MIN(DatosHoy[Puntos]),'Regresion Md'!$T$6:$V$10,3,1))</f>
        <v>9441938.28279249</v>
      </c>
      <c r="BS123" s="94">
        <f ca="1">IFERROR(VLOOKUP($BN123,'Regresion Md'!$W$6:$Y$10,2,1)*$BN123+VLOOKUP($BN123,'Regresion Md'!$W$6:$Y$10,3,1),VLOOKUP(MIN(DatosHoy[Puntos]),'Regresion Md'!$W$6:$Y$10,2,1)*$BN123+VLOOKUP(MIN(DatosHoy[Puntos]),'Regresion Md'!$W$6:$Y$10,3,1))</f>
        <v>10003274.390600737</v>
      </c>
      <c r="BT123" s="94">
        <f ca="1">IFERROR(VLOOKUP($BN123,'Regresion Md'!$Z$6:$AB$10,2,1)*$BN123+VLOOKUP($BN123,'Regresion Md'!$Z$6:$AB$10,3,1),VLOOKUP(MIN(DatosHoy[Puntos]),'Regresion Md'!$Z$6:$AB$10,2,1)*$BN123+VLOOKUP(MIN(DatosHoy[Puntos]),'Regresion Md'!$Z$6:$AB$10,3,1))</f>
        <v>10395134.110646524</v>
      </c>
      <c r="BU123" s="94">
        <f ca="1">IFERROR(VLOOKUP($BN123,'Regresion Q3'!$T$6:$V$10,2,1)*$BN123+VLOOKUP($BN123,'Regresion Q3'!$T$6:$V$10,3,1),VLOOKUP(MIN(DatosHoy[Puntos]),'Regresion Q3'!$T$6:$V$10,2,1)*$BN123+VLOOKUP(MIN(DatosHoy[Puntos]),'Regresion Q3'!$T$6:$V$10,3,1))</f>
        <v>10269766.038643638</v>
      </c>
      <c r="BV123" s="94">
        <f ca="1">IFERROR(VLOOKUP($BN123,'Regresion Q3'!$W$6:$Y$10,2,1)*$BN123+VLOOKUP($BN123,'Regresion Q3'!$W$6:$Y$10,3,1),VLOOKUP(MIN(DatosHoy[Puntos]),'Regresion Q3'!$W$6:$Y$10,2,1)*$BN123+VLOOKUP(MIN(DatosHoy[Puntos]),'Regresion Q3'!$W$6:$Y$10,3,1))</f>
        <v>10525257.007454116</v>
      </c>
      <c r="BW123" s="94">
        <f ca="1">IFERROR(VLOOKUP($BN123,'Regresion Q3'!$Z$6:$AB$10,2,1)*$BN123+VLOOKUP($BN123,'Regresion Q3'!$Z$6:$AB$10,3,1),VLOOKUP(MIN(DatosHoy[Puntos]),'Regresion Q3'!$Z$6:$AB$10,2,1)*$BN123+VLOOKUP(MIN(DatosHoy[Puntos]),'Regresion Q3'!$Z$6:$AB$10,3,1))</f>
        <v>10652293.025507946</v>
      </c>
      <c r="BX123" s="96">
        <f ca="1">DatosHoy[[#This Row],[CT Actual]]/DatosHoy[[#This Row],[CT ajus PM Md]]</f>
        <v>0.57944165663345903</v>
      </c>
      <c r="BY123" s="125" t="str">
        <f>VLOOKUP(DatosHoy[[#This Row],[Cargo Valorado]],Estadísticos[[Cargo]:[Nivel]],2,FALSE)</f>
        <v>Gerencia media</v>
      </c>
      <c r="BZ123" s="128">
        <f>(DatosHoy[[#This Row],[G+V Actual]]-DatosHoy[[#This Row],[G Actual]])/DatosHoy[[#This Row],[CT Actual]]</f>
        <v>0</v>
      </c>
      <c r="CA123" s="128">
        <f>(DatosHoy[[#This Row],[CT Actual]]-DatosHoy[[#This Row],[G+V Actual]])/DatosHoy[[#This Row],[CT Actual]]</f>
        <v>0</v>
      </c>
      <c r="CB123" s="139" t="s">
        <v>255</v>
      </c>
    </row>
    <row r="124" spans="2:80" x14ac:dyDescent="0.25">
      <c r="B124" s="73">
        <f t="shared" ref="B124:B144" si="67">+ROW()-5</f>
        <v>119</v>
      </c>
      <c r="C124" s="74">
        <v>7441261.080000001</v>
      </c>
      <c r="D124" s="74">
        <v>7441261.080000001</v>
      </c>
      <c r="E124" s="74">
        <v>7441261.080000001</v>
      </c>
      <c r="F124" s="94">
        <f>VLOOKUP(DatosHoy[[#This Row],[Cargo Valorado]],Estadísticos[],3,0)</f>
        <v>7327691.6599250007</v>
      </c>
      <c r="G124" s="94">
        <f>VLOOKUP(DatosHoy[[#This Row],[Cargo Valorado]],Estadísticos[],4,0)</f>
        <v>7327691.6599250007</v>
      </c>
      <c r="H124" s="94">
        <f>VLOOKUP(DatosHoy[[#This Row],[Cargo Valorado]],Estadísticos[],5,0)</f>
        <v>7775931.3265916668</v>
      </c>
      <c r="I124" s="94">
        <f>VLOOKUP(DatosHoy[[#This Row],[Cargo Valorado]],Estadísticos[],6,0)</f>
        <v>7891360.2491500005</v>
      </c>
      <c r="J124" s="94">
        <f>VLOOKUP(DatosHoy[[#This Row],[Cargo Valorado]],Estadísticos[],7,0)</f>
        <v>7891360.2491500005</v>
      </c>
      <c r="K124" s="94">
        <f>VLOOKUP(DatosHoy[[#This Row],[Cargo Valorado]],Estadísticos[],8,0)</f>
        <v>8339599.9158166666</v>
      </c>
      <c r="L124" s="94">
        <f>VLOOKUP(DatosHoy[[#This Row],[Cargo Valorado]],Estadísticos[],9,0)</f>
        <v>7922240.1350950003</v>
      </c>
      <c r="M124" s="94">
        <f>VLOOKUP(DatosHoy[[#This Row],[Cargo Valorado]],Estadísticos[],10,0)</f>
        <v>8185240.1350950003</v>
      </c>
      <c r="N124" s="94">
        <f>VLOOKUP(DatosHoy[[#This Row],[Cargo Valorado]],Estadísticos[],11,0)</f>
        <v>8495055.8884283341</v>
      </c>
      <c r="O124" s="75" t="s">
        <v>177</v>
      </c>
      <c r="P124" s="75">
        <v>478</v>
      </c>
      <c r="Q124" s="95" t="str">
        <f t="shared" ref="Q124:Q144" si="68">"$"&amp;"P"&amp;"$"&amp;ROW()</f>
        <v>$P$124</v>
      </c>
      <c r="R124" s="95" t="str">
        <f t="shared" ref="R124:R144" si="69">"$"&amp;"F"&amp;"$"&amp;ROW()</f>
        <v>$F$124</v>
      </c>
      <c r="S124" s="95" t="str">
        <f t="shared" ref="S124:S144" si="70">"$"&amp;"G"&amp;"$"&amp;ROW()</f>
        <v>$G$124</v>
      </c>
      <c r="T124" s="95" t="str">
        <f t="shared" ref="T124:T144" si="71">"$"&amp;"H"&amp;"$"&amp;ROW()</f>
        <v>$H$124</v>
      </c>
      <c r="U124" s="95" t="str">
        <f t="shared" ref="U124:U144" si="72">"$"&amp;"I"&amp;"$"&amp;ROW()</f>
        <v>$I$124</v>
      </c>
      <c r="V124" s="95" t="str">
        <f t="shared" ref="V124:V144" si="73">"$"&amp;"J"&amp;"$"&amp;ROW()</f>
        <v>$J$124</v>
      </c>
      <c r="W124" s="95" t="str">
        <f t="shared" ref="W124:W144" si="74">"$"&amp;"K"&amp;"$"&amp;ROW()</f>
        <v>$K$124</v>
      </c>
      <c r="X124" s="95" t="str">
        <f t="shared" ref="X124:X144" si="75">"$"&amp;"L"&amp;"$"&amp;ROW()</f>
        <v>$L$124</v>
      </c>
      <c r="Y124" s="95" t="str">
        <f t="shared" ref="Y124:Y144" si="76">"$"&amp;"M"&amp;"$"&amp;ROW()</f>
        <v>$M$124</v>
      </c>
      <c r="Z124" s="95" t="str">
        <f t="shared" ref="Z124:Z144" si="77">"$"&amp;"N"&amp;"$"&amp;ROW()</f>
        <v>$N$124</v>
      </c>
      <c r="AA124" s="94">
        <f ca="1">VLOOKUP($P124,'Regresion Q1'!$E$6:$I$10,4,1)*$P124+VLOOKUP($P124,'Regresion Q1'!$E$6:$I$10,5,1)</f>
        <v>7125170.9826965295</v>
      </c>
      <c r="AB124" s="94">
        <f ca="1">VLOOKUP($P124,'Regresion Q1'!$J$6:$N$10,4,1)*$P124+VLOOKUP($P124,'Regresion Q1'!$J$6:$N$10,5,1)</f>
        <v>7646468.2251895126</v>
      </c>
      <c r="AC124" s="94">
        <f ca="1">VLOOKUP($P124,'Regresion Q1'!$O$6:$S$10,4,1)*$P124+VLOOKUP($P124,'Regresion Q1'!$O$6:$S$10,5,1)</f>
        <v>7905004.1512619816</v>
      </c>
      <c r="AD124" s="94">
        <f ca="1">VLOOKUP($P124,'Regresion Md'!$E$6:$I$10,4,1)*$P124+VLOOKUP($P124,'Regresion Md'!$E$6:$I$10,5,1)</f>
        <v>9452161.2356199436</v>
      </c>
      <c r="AE124" s="94">
        <f ca="1">VLOOKUP($P124,'Regresion Md'!$J$6:$N$10,4,1)*$P124+VLOOKUP($P124,'Regresion Md'!$J$6:$N$10,5,1)</f>
        <v>9692070.5615894999</v>
      </c>
      <c r="AF124" s="94">
        <f ca="1">VLOOKUP($P124,'Regresion Md'!$O$6:$S$10,4,1)*$P124+VLOOKUP($P124,'Regresion Md'!$O$6:$S$10,5,1)</f>
        <v>9853692.6122860089</v>
      </c>
      <c r="AG124" s="94">
        <f ca="1">VLOOKUP($P124,'Regresion Q3'!$E$6:$I$10,4,1)*$P124+VLOOKUP($P124,'Regresion Q3'!$E$6:$I$10,5,1)</f>
        <v>10410154.983460572</v>
      </c>
      <c r="AH124" s="94">
        <f ca="1">VLOOKUP($P124,'Regresion Q3'!$J$6:$N$10,4,1)*$P124+VLOOKUP($P124,'Regresion Q3'!$J$6:$N$10,5,1)</f>
        <v>10809967.600991387</v>
      </c>
      <c r="AI124" s="94">
        <f ca="1">VLOOKUP($P124,'Regresion Q3'!$O$6:$S$10,4,1)*$P124+VLOOKUP($P124,'Regresion Q3'!$O$6:$S$10,5,1)</f>
        <v>11033785.537047485</v>
      </c>
      <c r="AJ124" s="94">
        <f ca="1">VLOOKUP($P124,'Regresion Q1'!$T$6:$V$10,2,1)*$P124+VLOOKUP($P124,'Regresion Q1'!$T$6:$V$10,3,1)</f>
        <v>7458175.7916484587</v>
      </c>
      <c r="AK124" s="94">
        <f ca="1">VLOOKUP($P124,'Regresion Q1'!$W$6:$Y$10,2,1)*$P124+VLOOKUP($P124,'Regresion Q1'!$W$6:$Y$10,3,1)</f>
        <v>7774659.2697303426</v>
      </c>
      <c r="AL124" s="94">
        <f ca="1">VLOOKUP($P124,'Regresion Q1'!$Z$6:$AB$10,2,1)*$P124+VLOOKUP($P124,'Regresion Q1'!$Z$6:$AB$10,3,1)</f>
        <v>8122920.6474856678</v>
      </c>
      <c r="AM124" s="94">
        <f ca="1">VLOOKUP($P124,'Regresion Md'!$T$6:$V$10,2,1)*$P124+VLOOKUP($P124,'Regresion Md'!$T$6:$V$10,3,1)</f>
        <v>8891436.7309499923</v>
      </c>
      <c r="AN124" s="94">
        <f ca="1">VLOOKUP($P124,'Regresion Md'!$W$6:$Y$10,2,1)*$P124+VLOOKUP($P124,'Regresion Md'!$W$6:$Y$10,3,1)</f>
        <v>9407020.1391579863</v>
      </c>
      <c r="AO124" s="94">
        <f ca="1">VLOOKUP($P124,'Regresion Md'!$Z$6:$AB$10,2,1)*$P124+VLOOKUP($P124,'Regresion Md'!$Z$6:$AB$10,3,1)</f>
        <v>9782176.2432315052</v>
      </c>
      <c r="AP124" s="94">
        <f ca="1">VLOOKUP($P124,'Regresion Q3'!$T$6:$V$10,2,1)*$P124+VLOOKUP($P124,'Regresion Q3'!$T$6:$V$10,3,1)</f>
        <v>9614885.795617301</v>
      </c>
      <c r="AQ124" s="94">
        <f ca="1">VLOOKUP($P124,'Regresion Q3'!$W$6:$Y$10,2,1)*$P124+VLOOKUP($P124,'Regresion Q3'!$W$6:$Y$10,3,1)</f>
        <v>9858526.1974096429</v>
      </c>
      <c r="AR124" s="94">
        <f ca="1">VLOOKUP($P124,'Regresion Q3'!$Z$6:$AB$10,2,1)*$P124+VLOOKUP($P124,'Regresion Q3'!$Z$6:$AB$10,3,1)</f>
        <v>10016262.040370321</v>
      </c>
      <c r="AS124" s="94">
        <f>IF($BN124=$BN125,-1,DatosHoy[[#This Row],[G ajus PM Q1]]-BO125)</f>
        <v>-1</v>
      </c>
      <c r="AT124" s="94">
        <f>IF($BN124=$BN125,-1,DatosHoy[[#This Row],[G+V ajus PM Q1]]-BP125)</f>
        <v>-1</v>
      </c>
      <c r="AU124" s="94">
        <f>IF($BN124=$BN125,-1,DatosHoy[[#This Row],[CT ajus PM Q1]]-BQ125)</f>
        <v>-1</v>
      </c>
      <c r="AV124" s="94">
        <f ca="1">IF(DatosHoy[[#This Row],[G ajus PM Q1]]=DatosHoy[[#This Row],[G+V ajus PM Q1]],-1,DatosHoy[[#This Row],[G ajus PM Q1]]-DatosHoy[[#This Row],[G+V ajus PM Q1]])</f>
        <v>-361709.67521557957</v>
      </c>
      <c r="AW124" s="94">
        <f ca="1">IF(DatosHoy[[#This Row],[G+V ajus PM Q1]]=DatosHoy[[#This Row],[CT ajus PM Q1]],-1,DatosHoy[[#This Row],[G+V ajus PM Q1]]-DatosHoy[[#This Row],[CT ajus PM Q1]])</f>
        <v>-373458.04856330343</v>
      </c>
      <c r="AX124" s="94">
        <f>IF($BN124=$BN125,-1,DatosHoy[[#This Row],[G ajus PMd]]-BR125)</f>
        <v>-1</v>
      </c>
      <c r="AY124" s="94">
        <f>IF($BN124=$BN125,-1,DatosHoy[[#This Row],[G+V ajus PM Md]]-BS125)</f>
        <v>-1</v>
      </c>
      <c r="AZ124" s="94">
        <f>IF($BN124=$BN125,-1,DatosHoy[[#This Row],[CT ajus PM Md]]-BT125)</f>
        <v>-1</v>
      </c>
      <c r="BA124" s="94">
        <f ca="1">IF(DatosHoy[[#This Row],[G ajus PMd]]=DatosHoy[[#This Row],[G+V ajus PM Md]],-1,DatosHoy[[#This Row],[G ajus PMd]]-DatosHoy[[#This Row],[G+V ajus PM Md]])</f>
        <v>-561336.10780824721</v>
      </c>
      <c r="BB124" s="94">
        <f ca="1">IF(DatosHoy[[#This Row],[G+V ajus PM Md]]=DatosHoy[[#This Row],[CT ajus PM Md]],-1,DatosHoy[[#This Row],[G+V ajus PM Md]]-DatosHoy[[#This Row],[CT ajus PM Md]])</f>
        <v>-391859.72004578635</v>
      </c>
      <c r="BC124" s="94">
        <f>IF($BN124=$BN125,-1,DatosHoy[[#This Row],[G ajus PM Q3]]-BU125)</f>
        <v>-1</v>
      </c>
      <c r="BD124" s="94">
        <f>IF($BN124=$BN125,-1,DatosHoy[[#This Row],[G+V ajus PM Q3]]-BV125)</f>
        <v>-1</v>
      </c>
      <c r="BE124" s="94">
        <f>IF($BN124=$BN125,-1,DatosHoy[[#This Row],[CT ajus PM Q3]]-BW125)</f>
        <v>-1</v>
      </c>
      <c r="BF124" s="94">
        <f ca="1">IF(DatosHoy[[#This Row],[G ajus PM Q3]]=DatosHoy[[#This Row],[G+V ajus PM Q3]],-1,DatosHoy[[#This Row],[G ajus PM Q3]]-DatosHoy[[#This Row],[G+V ajus PM Q3]])</f>
        <v>-255490.96881047823</v>
      </c>
      <c r="BG124" s="94">
        <f ca="1">IF(DatosHoy[[#This Row],[G+V ajus PM Q3]]=DatosHoy[[#This Row],[CT ajus PM Q3]],-1,DatosHoy[[#This Row],[G+V ajus PM Q3]]-DatosHoy[[#This Row],[CT ajus PM Q3]])</f>
        <v>-127036.01805382967</v>
      </c>
      <c r="BH124" s="94">
        <f ca="1">IF(DatosHoy[[#This Row],[G ajus PM Q1]]=DatosHoy[[#This Row],[G ajus PMd]],-1,DatosHoy[[#This Row],[G ajus PM Q1]]-DatosHoy[[#This Row],[G ajus PMd]])</f>
        <v>-1245139.456478538</v>
      </c>
      <c r="BI124" s="94">
        <f ca="1">IF(DatosHoy[[#This Row],[G+V ajus PM Q1]]=DatosHoy[[#This Row],[G+V ajus PM Md]],-1,DatosHoy[[#This Row],[G+V ajus PM Q1]]-DatosHoy[[#This Row],[G+V ajus PM Md]])</f>
        <v>-1444765.8890712056</v>
      </c>
      <c r="BJ124" s="94">
        <f ca="1">IF(DatosHoy[[#This Row],[CT ajus PM Q1]]=DatosHoy[[#This Row],[CT ajus PM Md]],-1,DatosHoy[[#This Row],[CT ajus PM Q1]]-DatosHoy[[#This Row],[CT ajus PM Md]])</f>
        <v>-1463167.5605536886</v>
      </c>
      <c r="BK124" s="94">
        <f ca="1">IF(DatosHoy[[#This Row],[G ajus PMd]]=DatosHoy[[#This Row],[G ajus PM Q3]],-1,DatosHoy[[#This Row],[G ajus PMd]]-DatosHoy[[#This Row],[G ajus PM Q3]])</f>
        <v>-827827.7558511477</v>
      </c>
      <c r="BL124" s="94">
        <f ca="1">IF(DatosHoy[[#This Row],[G+V ajus PM Md]]=DatosHoy[[#This Row],[G+V ajus PM Q3]],-1,DatosHoy[[#This Row],[G+V ajus PM Md]]-DatosHoy[[#This Row],[G+V ajus PM Q3]])</f>
        <v>-521982.61685337871</v>
      </c>
      <c r="BM124" s="94">
        <f ca="1">IF(DatosHoy[[#This Row],[CT ajus PM Md]]=DatosHoy[[#This Row],[CT ajus PM Q3]],-1,DatosHoy[[#This Row],[CT ajus PM Md]]-DatosHoy[[#This Row],[CT ajus PM Q3]])</f>
        <v>-257158.91486142203</v>
      </c>
      <c r="BN124" s="74">
        <v>502</v>
      </c>
      <c r="BO124" s="94">
        <f ca="1">IFERROR(VLOOKUP($BN124,'Regresion Q1'!$T$6:$V$10,2,1)*$BN124+VLOOKUP($BN124,'Regresion Q1'!$T$6:$V$10,3,1),VLOOKUP(MIN(DatosHoy[Puntos]),'Regresion Q1'!$T$6:$V$10,2,1)*$BN124+VLOOKUP(MIN(DatosHoy[Puntos]),'Regresion Q1'!$T$6:$V$10,3,1))</f>
        <v>8196798.826313952</v>
      </c>
      <c r="BP124" s="94">
        <f ca="1">IFERROR(VLOOKUP($BN124,'Regresion Q1'!$W$6:$Y$10,2,1)*$BN124+VLOOKUP($BN124,'Regresion Q1'!$W$6:$Y$10,3,1),VLOOKUP(MIN(DatosHoy[Puntos]),'Regresion Q1'!$W$6:$Y$10,2,1)*$BN124+VLOOKUP(MIN(DatosHoy[Puntos]),'Regresion Q1'!$W$6:$Y$10,3,1))</f>
        <v>8558508.5015295316</v>
      </c>
      <c r="BQ124" s="94">
        <f ca="1">IFERROR(VLOOKUP($BN124,'Regresion Q1'!$Z$6:$AB$10,2,1)*$BN124+VLOOKUP($BN124,'Regresion Q1'!$Z$6:$AB$10,3,1),VLOOKUP(MIN(DatosHoy[Puntos]),'Regresion Q1'!$Z$6:$AB$10,2,1)*$BN124+VLOOKUP(MIN(DatosHoy[Puntos]),'Regresion Q1'!$Z$6:$AB$10,3,1))</f>
        <v>8931966.550092835</v>
      </c>
      <c r="BR124" s="94">
        <f ca="1">IFERROR(VLOOKUP($BN124,'Regresion Md'!$T$6:$V$10,2,1)*$BN124+VLOOKUP($BN124,'Regresion Md'!$T$6:$V$10,3,1),VLOOKUP(MIN(DatosHoy[Puntos]),'Regresion Md'!$T$6:$V$10,2,1)*$BN124+VLOOKUP(MIN(DatosHoy[Puntos]),'Regresion Md'!$T$6:$V$10,3,1))</f>
        <v>9441938.28279249</v>
      </c>
      <c r="BS124" s="94">
        <f ca="1">IFERROR(VLOOKUP($BN124,'Regresion Md'!$W$6:$Y$10,2,1)*$BN124+VLOOKUP($BN124,'Regresion Md'!$W$6:$Y$10,3,1),VLOOKUP(MIN(DatosHoy[Puntos]),'Regresion Md'!$W$6:$Y$10,2,1)*$BN124+VLOOKUP(MIN(DatosHoy[Puntos]),'Regresion Md'!$W$6:$Y$10,3,1))</f>
        <v>10003274.390600737</v>
      </c>
      <c r="BT124" s="94">
        <f ca="1">IFERROR(VLOOKUP($BN124,'Regresion Md'!$Z$6:$AB$10,2,1)*$BN124+VLOOKUP($BN124,'Regresion Md'!$Z$6:$AB$10,3,1),VLOOKUP(MIN(DatosHoy[Puntos]),'Regresion Md'!$Z$6:$AB$10,2,1)*$BN124+VLOOKUP(MIN(DatosHoy[Puntos]),'Regresion Md'!$Z$6:$AB$10,3,1))</f>
        <v>10395134.110646524</v>
      </c>
      <c r="BU124" s="94">
        <f ca="1">IFERROR(VLOOKUP($BN124,'Regresion Q3'!$T$6:$V$10,2,1)*$BN124+VLOOKUP($BN124,'Regresion Q3'!$T$6:$V$10,3,1),VLOOKUP(MIN(DatosHoy[Puntos]),'Regresion Q3'!$T$6:$V$10,2,1)*$BN124+VLOOKUP(MIN(DatosHoy[Puntos]),'Regresion Q3'!$T$6:$V$10,3,1))</f>
        <v>10269766.038643638</v>
      </c>
      <c r="BV124" s="94">
        <f ca="1">IFERROR(VLOOKUP($BN124,'Regresion Q3'!$W$6:$Y$10,2,1)*$BN124+VLOOKUP($BN124,'Regresion Q3'!$W$6:$Y$10,3,1),VLOOKUP(MIN(DatosHoy[Puntos]),'Regresion Q3'!$W$6:$Y$10,2,1)*$BN124+VLOOKUP(MIN(DatosHoy[Puntos]),'Regresion Q3'!$W$6:$Y$10,3,1))</f>
        <v>10525257.007454116</v>
      </c>
      <c r="BW124" s="94">
        <f ca="1">IFERROR(VLOOKUP($BN124,'Regresion Q3'!$Z$6:$AB$10,2,1)*$BN124+VLOOKUP($BN124,'Regresion Q3'!$Z$6:$AB$10,3,1),VLOOKUP(MIN(DatosHoy[Puntos]),'Regresion Q3'!$Z$6:$AB$10,2,1)*$BN124+VLOOKUP(MIN(DatosHoy[Puntos]),'Regresion Q3'!$Z$6:$AB$10,3,1))</f>
        <v>10652293.025507946</v>
      </c>
      <c r="BX124" s="96">
        <f ca="1">DatosHoy[[#This Row],[CT Actual]]/DatosHoy[[#This Row],[CT ajus PM Md]]</f>
        <v>0.71584079635670939</v>
      </c>
      <c r="BY124" s="136" t="str">
        <f>VLOOKUP(DatosHoy[[#This Row],[Cargo Valorado]],Estadísticos[[Cargo]:[Nivel]],2,FALSE)</f>
        <v>Gerencia media</v>
      </c>
      <c r="BZ124" s="96">
        <f>(DatosHoy[[#This Row],[G+V Actual]]-DatosHoy[[#This Row],[G Actual]])/DatosHoy[[#This Row],[CT Actual]]</f>
        <v>0</v>
      </c>
      <c r="CA124" s="96">
        <f>(DatosHoy[[#This Row],[CT Actual]]-DatosHoy[[#This Row],[G+V Actual]])/DatosHoy[[#This Row],[CT Actual]]</f>
        <v>0</v>
      </c>
      <c r="CB124" s="139" t="s">
        <v>255</v>
      </c>
    </row>
    <row r="125" spans="2:80" x14ac:dyDescent="0.25">
      <c r="B125" s="73">
        <f t="shared" si="67"/>
        <v>120</v>
      </c>
      <c r="C125" s="74">
        <v>9295693</v>
      </c>
      <c r="D125" s="74">
        <v>9295693</v>
      </c>
      <c r="E125" s="74">
        <v>9295693</v>
      </c>
      <c r="F125" s="94">
        <f>VLOOKUP(DatosHoy[[#This Row],[Cargo Valorado]],Estadísticos[],3,0)</f>
        <v>6669086.6326892562</v>
      </c>
      <c r="G125" s="94">
        <f>VLOOKUP(DatosHoy[[#This Row],[Cargo Valorado]],Estadísticos[],4,0)</f>
        <v>9539194.3620580547</v>
      </c>
      <c r="H125" s="94">
        <f>VLOOKUP(DatosHoy[[#This Row],[Cargo Valorado]],Estadísticos[],5,0)</f>
        <v>9539194.3620580547</v>
      </c>
      <c r="I125" s="94">
        <f>VLOOKUP(DatosHoy[[#This Row],[Cargo Valorado]],Estadísticos[],6,0)</f>
        <v>9366504.6545416918</v>
      </c>
      <c r="J125" s="94">
        <f>VLOOKUP(DatosHoy[[#This Row],[Cargo Valorado]],Estadísticos[],7,0)</f>
        <v>9711884.0695744175</v>
      </c>
      <c r="K125" s="94">
        <f>VLOOKUP(DatosHoy[[#This Row],[Cargo Valorado]],Estadísticos[],8,0)</f>
        <v>9711884.0695744175</v>
      </c>
      <c r="L125" s="94">
        <f>VLOOKUP(DatosHoy[[#This Row],[Cargo Valorado]],Estadísticos[],9,0)</f>
        <v>13885389.910557877</v>
      </c>
      <c r="M125" s="94">
        <f>VLOOKUP(DatosHoy[[#This Row],[Cargo Valorado]],Estadísticos[],10,0)</f>
        <v>14058079.618074238</v>
      </c>
      <c r="N125" s="94">
        <f>VLOOKUP(DatosHoy[[#This Row],[Cargo Valorado]],Estadísticos[],11,0)</f>
        <v>14058079.618074238</v>
      </c>
      <c r="O125" s="75" t="s">
        <v>176</v>
      </c>
      <c r="P125" s="75">
        <v>527</v>
      </c>
      <c r="Q125" s="95" t="str">
        <f t="shared" si="68"/>
        <v>$P$125</v>
      </c>
      <c r="R125" s="95" t="str">
        <f t="shared" si="69"/>
        <v>$F$125</v>
      </c>
      <c r="S125" s="95" t="str">
        <f t="shared" si="70"/>
        <v>$G$125</v>
      </c>
      <c r="T125" s="95" t="str">
        <f t="shared" si="71"/>
        <v>$H$125</v>
      </c>
      <c r="U125" s="95" t="str">
        <f t="shared" si="72"/>
        <v>$I$125</v>
      </c>
      <c r="V125" s="95" t="str">
        <f t="shared" si="73"/>
        <v>$J$125</v>
      </c>
      <c r="W125" s="95" t="str">
        <f t="shared" si="74"/>
        <v>$K$125</v>
      </c>
      <c r="X125" s="95" t="str">
        <f t="shared" si="75"/>
        <v>$L$125</v>
      </c>
      <c r="Y125" s="95" t="str">
        <f t="shared" si="76"/>
        <v>$M$125</v>
      </c>
      <c r="Z125" s="95" t="str">
        <f t="shared" si="77"/>
        <v>$N$125</v>
      </c>
      <c r="AA125" s="94">
        <f ca="1">VLOOKUP($P125,'Regresion Q1'!$E$6:$I$10,4,1)*$P125+VLOOKUP($P125,'Regresion Q1'!$E$6:$I$10,5,1)</f>
        <v>8434202.3332851883</v>
      </c>
      <c r="AB125" s="94">
        <f ca="1">VLOOKUP($P125,'Regresion Q1'!$J$6:$N$10,4,1)*$P125+VLOOKUP($P125,'Regresion Q1'!$J$6:$N$10,5,1)</f>
        <v>9170225.1078059394</v>
      </c>
      <c r="AC125" s="94">
        <f ca="1">VLOOKUP($P125,'Regresion Q1'!$O$6:$S$10,4,1)*$P125+VLOOKUP($P125,'Regresion Q1'!$O$6:$S$10,5,1)</f>
        <v>9426587.808333395</v>
      </c>
      <c r="AD125" s="94">
        <f ca="1">VLOOKUP($P125,'Regresion Md'!$E$6:$I$10,4,1)*$P125+VLOOKUP($P125,'Regresion Md'!$E$6:$I$10,5,1)</f>
        <v>10681372.021700013</v>
      </c>
      <c r="AE125" s="94">
        <f ca="1">VLOOKUP($P125,'Regresion Md'!$J$6:$N$10,4,1)*$P125+VLOOKUP($P125,'Regresion Md'!$J$6:$N$10,5,1)</f>
        <v>10962938.205025135</v>
      </c>
      <c r="AF125" s="94">
        <f ca="1">VLOOKUP($P125,'Regresion Md'!$O$6:$S$10,4,1)*$P125+VLOOKUP($P125,'Regresion Md'!$O$6:$S$10,5,1)</f>
        <v>11118574.703023359</v>
      </c>
      <c r="AG125" s="94">
        <f ca="1">VLOOKUP($P125,'Regresion Q3'!$E$6:$I$10,4,1)*$P125+VLOOKUP($P125,'Regresion Q3'!$E$6:$I$10,5,1)</f>
        <v>12829651.874203794</v>
      </c>
      <c r="AH125" s="94">
        <f ca="1">VLOOKUP($P125,'Regresion Q3'!$J$6:$N$10,4,1)*$P125+VLOOKUP($P125,'Regresion Q3'!$J$6:$N$10,5,1)</f>
        <v>13466227.137485117</v>
      </c>
      <c r="AI125" s="94">
        <f ca="1">VLOOKUP($P125,'Regresion Q3'!$O$6:$S$10,4,1)*$P125+VLOOKUP($P125,'Regresion Q3'!$O$6:$S$10,5,1)</f>
        <v>13717311.335514052</v>
      </c>
      <c r="AJ125" s="94">
        <f ca="1">VLOOKUP($P125,'Regresion Q1'!$T$6:$V$10,2,1)*$P125+VLOOKUP($P125,'Regresion Q1'!$T$6:$V$10,3,1)</f>
        <v>8966197.820757173</v>
      </c>
      <c r="AK125" s="94">
        <f ca="1">VLOOKUP($P125,'Regresion Q1'!$W$6:$Y$10,2,1)*$P125+VLOOKUP($P125,'Regresion Q1'!$W$6:$Y$10,3,1)</f>
        <v>9375018.1179870218</v>
      </c>
      <c r="AL125" s="94">
        <f ca="1">VLOOKUP($P125,'Regresion Q1'!$Z$6:$AB$10,2,1)*$P125+VLOOKUP($P125,'Regresion Q1'!$Z$6:$AB$10,3,1)</f>
        <v>9774722.698641967</v>
      </c>
      <c r="AM125" s="94">
        <f ca="1">VLOOKUP($P125,'Regresion Md'!$T$6:$V$10,2,1)*$P125+VLOOKUP($P125,'Regresion Md'!$T$6:$V$10,3,1)</f>
        <v>10015377.39929509</v>
      </c>
      <c r="AN125" s="94">
        <f ca="1">VLOOKUP($P125,'Regresion Md'!$W$6:$Y$10,2,1)*$P125+VLOOKUP($P125,'Regresion Md'!$W$6:$Y$10,3,1)</f>
        <v>10624372.569186937</v>
      </c>
      <c r="AO125" s="94">
        <f ca="1">VLOOKUP($P125,'Regresion Md'!$Z$6:$AB$10,2,1)*$P125+VLOOKUP($P125,'Regresion Md'!$Z$6:$AB$10,3,1)</f>
        <v>11033631.889203835</v>
      </c>
      <c r="AP125" s="94">
        <f ca="1">VLOOKUP($P125,'Regresion Q3'!$T$6:$V$10,2,1)*$P125+VLOOKUP($P125,'Regresion Q3'!$T$6:$V$10,3,1)</f>
        <v>10951932.958462736</v>
      </c>
      <c r="AQ125" s="94">
        <f ca="1">VLOOKUP($P125,'Regresion Q3'!$W$6:$Y$10,2,1)*$P125+VLOOKUP($P125,'Regresion Q3'!$W$6:$Y$10,3,1)</f>
        <v>11219768.267917108</v>
      </c>
      <c r="AR125" s="94">
        <f ca="1">VLOOKUP($P125,'Regresion Q3'!$Z$6:$AB$10,2,1)*$P125+VLOOKUP($P125,'Regresion Q3'!$Z$6:$AB$10,3,1)</f>
        <v>11314825.30169297</v>
      </c>
      <c r="AS125" s="94">
        <f ca="1">IF($BN125=$BN126,-1,DatosHoy[[#This Row],[G ajus PM Q1]]-BO126)</f>
        <v>-2308196.9833296631</v>
      </c>
      <c r="AT125" s="94">
        <f ca="1">IF($BN125=$BN126,-1,DatosHoy[[#This Row],[G+V ajus PM Q1]]-BP126)</f>
        <v>-2449528.849372467</v>
      </c>
      <c r="AU125" s="94">
        <f ca="1">IF($BN125=$BN126,-1,DatosHoy[[#This Row],[CT ajus PM Q1]]-BQ126)</f>
        <v>-2528268.4456473961</v>
      </c>
      <c r="AV125" s="94">
        <f ca="1">IF(DatosHoy[[#This Row],[G ajus PM Q1]]=DatosHoy[[#This Row],[G+V ajus PM Q1]],-1,DatosHoy[[#This Row],[G ajus PM Q1]]-DatosHoy[[#This Row],[G+V ajus PM Q1]])</f>
        <v>-361709.67521557957</v>
      </c>
      <c r="AW125" s="94">
        <f ca="1">IF(DatosHoy[[#This Row],[G+V ajus PM Q1]]=DatosHoy[[#This Row],[CT ajus PM Q1]],-1,DatosHoy[[#This Row],[G+V ajus PM Q1]]-DatosHoy[[#This Row],[CT ajus PM Q1]])</f>
        <v>-373458.04856330343</v>
      </c>
      <c r="AX125" s="94">
        <f ca="1">IF($BN125=$BN126,-1,DatosHoy[[#This Row],[G ajus PMd]]-BR126)</f>
        <v>-1720317.3495078031</v>
      </c>
      <c r="AY125" s="94">
        <f ca="1">IF($BN125=$BN126,-1,DatosHoy[[#This Row],[G+V ajus PM Md]]-BS126)</f>
        <v>-1863294.5357585996</v>
      </c>
      <c r="AZ125" s="94">
        <f ca="1">IF($BN125=$BN126,-1,DatosHoy[[#This Row],[CT ajus PM Md]]-BT126)</f>
        <v>-1915493.3356719334</v>
      </c>
      <c r="BA125" s="94">
        <f ca="1">IF(DatosHoy[[#This Row],[G ajus PMd]]=DatosHoy[[#This Row],[G+V ajus PM Md]],-1,DatosHoy[[#This Row],[G ajus PMd]]-DatosHoy[[#This Row],[G+V ajus PM Md]])</f>
        <v>-561336.10780824721</v>
      </c>
      <c r="BB125" s="94">
        <f ca="1">IF(DatosHoy[[#This Row],[G+V ajus PM Md]]=DatosHoy[[#This Row],[CT ajus PM Md]],-1,DatosHoy[[#This Row],[G+V ajus PM Md]]-DatosHoy[[#This Row],[CT ajus PM Md]])</f>
        <v>-391859.72004578635</v>
      </c>
      <c r="BC125" s="94">
        <f ca="1">IF($BN125=$BN126,-1,DatosHoy[[#This Row],[G ajus PM Q3]]-BU126)</f>
        <v>-2046500.7594572976</v>
      </c>
      <c r="BD125" s="94">
        <f ca="1">IF($BN125=$BN126,-1,DatosHoy[[#This Row],[G+V ajus PM Q3]]-BV126)</f>
        <v>-2083533.7813889757</v>
      </c>
      <c r="BE125" s="94">
        <f ca="1">IF($BN125=$BN126,-1,DatosHoy[[#This Row],[CT ajus PM Q3]]-BW126)</f>
        <v>-1987596.8285550755</v>
      </c>
      <c r="BF125" s="94">
        <f ca="1">IF(DatosHoy[[#This Row],[G ajus PM Q3]]=DatosHoy[[#This Row],[G+V ajus PM Q3]],-1,DatosHoy[[#This Row],[G ajus PM Q3]]-DatosHoy[[#This Row],[G+V ajus PM Q3]])</f>
        <v>-255490.96881047823</v>
      </c>
      <c r="BG125" s="94">
        <f ca="1">IF(DatosHoy[[#This Row],[G+V ajus PM Q3]]=DatosHoy[[#This Row],[CT ajus PM Q3]],-1,DatosHoy[[#This Row],[G+V ajus PM Q3]]-DatosHoy[[#This Row],[CT ajus PM Q3]])</f>
        <v>-127036.01805382967</v>
      </c>
      <c r="BH125" s="94">
        <f ca="1">IF(DatosHoy[[#This Row],[G ajus PM Q1]]=DatosHoy[[#This Row],[G ajus PMd]],-1,DatosHoy[[#This Row],[G ajus PM Q1]]-DatosHoy[[#This Row],[G ajus PMd]])</f>
        <v>-1245139.456478538</v>
      </c>
      <c r="BI125" s="94">
        <f ca="1">IF(DatosHoy[[#This Row],[G+V ajus PM Q1]]=DatosHoy[[#This Row],[G+V ajus PM Md]],-1,DatosHoy[[#This Row],[G+V ajus PM Q1]]-DatosHoy[[#This Row],[G+V ajus PM Md]])</f>
        <v>-1444765.8890712056</v>
      </c>
      <c r="BJ125" s="94">
        <f ca="1">IF(DatosHoy[[#This Row],[CT ajus PM Q1]]=DatosHoy[[#This Row],[CT ajus PM Md]],-1,DatosHoy[[#This Row],[CT ajus PM Q1]]-DatosHoy[[#This Row],[CT ajus PM Md]])</f>
        <v>-1463167.5605536886</v>
      </c>
      <c r="BK125" s="94">
        <f ca="1">IF(DatosHoy[[#This Row],[G ajus PMd]]=DatosHoy[[#This Row],[G ajus PM Q3]],-1,DatosHoy[[#This Row],[G ajus PMd]]-DatosHoy[[#This Row],[G ajus PM Q3]])</f>
        <v>-827827.7558511477</v>
      </c>
      <c r="BL125" s="94">
        <f ca="1">IF(DatosHoy[[#This Row],[G+V ajus PM Md]]=DatosHoy[[#This Row],[G+V ajus PM Q3]],-1,DatosHoy[[#This Row],[G+V ajus PM Md]]-DatosHoy[[#This Row],[G+V ajus PM Q3]])</f>
        <v>-521982.61685337871</v>
      </c>
      <c r="BM125" s="94">
        <f ca="1">IF(DatosHoy[[#This Row],[CT ajus PM Md]]=DatosHoy[[#This Row],[CT ajus PM Q3]],-1,DatosHoy[[#This Row],[CT ajus PM Md]]-DatosHoy[[#This Row],[CT ajus PM Q3]])</f>
        <v>-257158.91486142203</v>
      </c>
      <c r="BN125" s="74">
        <v>502</v>
      </c>
      <c r="BO125" s="94">
        <f ca="1">IFERROR(VLOOKUP($BN125,'Regresion Q1'!$T$6:$V$10,2,1)*$BN125+VLOOKUP($BN125,'Regresion Q1'!$T$6:$V$10,3,1),VLOOKUP(MIN(DatosHoy[Puntos]),'Regresion Q1'!$T$6:$V$10,2,1)*$BN125+VLOOKUP(MIN(DatosHoy[Puntos]),'Regresion Q1'!$T$6:$V$10,3,1))</f>
        <v>8196798.826313952</v>
      </c>
      <c r="BP125" s="94">
        <f ca="1">IFERROR(VLOOKUP($BN125,'Regresion Q1'!$W$6:$Y$10,2,1)*$BN125+VLOOKUP($BN125,'Regresion Q1'!$W$6:$Y$10,3,1),VLOOKUP(MIN(DatosHoy[Puntos]),'Regresion Q1'!$W$6:$Y$10,2,1)*$BN125+VLOOKUP(MIN(DatosHoy[Puntos]),'Regresion Q1'!$W$6:$Y$10,3,1))</f>
        <v>8558508.5015295316</v>
      </c>
      <c r="BQ125" s="94">
        <f ca="1">IFERROR(VLOOKUP($BN125,'Regresion Q1'!$Z$6:$AB$10,2,1)*$BN125+VLOOKUP($BN125,'Regresion Q1'!$Z$6:$AB$10,3,1),VLOOKUP(MIN(DatosHoy[Puntos]),'Regresion Q1'!$Z$6:$AB$10,2,1)*$BN125+VLOOKUP(MIN(DatosHoy[Puntos]),'Regresion Q1'!$Z$6:$AB$10,3,1))</f>
        <v>8931966.550092835</v>
      </c>
      <c r="BR125" s="94">
        <f ca="1">IFERROR(VLOOKUP($BN125,'Regresion Md'!$T$6:$V$10,2,1)*$BN125+VLOOKUP($BN125,'Regresion Md'!$T$6:$V$10,3,1),VLOOKUP(MIN(DatosHoy[Puntos]),'Regresion Md'!$T$6:$V$10,2,1)*$BN125+VLOOKUP(MIN(DatosHoy[Puntos]),'Regresion Md'!$T$6:$V$10,3,1))</f>
        <v>9441938.28279249</v>
      </c>
      <c r="BS125" s="94">
        <f ca="1">IFERROR(VLOOKUP($BN125,'Regresion Md'!$W$6:$Y$10,2,1)*$BN125+VLOOKUP($BN125,'Regresion Md'!$W$6:$Y$10,3,1),VLOOKUP(MIN(DatosHoy[Puntos]),'Regresion Md'!$W$6:$Y$10,2,1)*$BN125+VLOOKUP(MIN(DatosHoy[Puntos]),'Regresion Md'!$W$6:$Y$10,3,1))</f>
        <v>10003274.390600737</v>
      </c>
      <c r="BT125" s="94">
        <f ca="1">IFERROR(VLOOKUP($BN125,'Regresion Md'!$Z$6:$AB$10,2,1)*$BN125+VLOOKUP($BN125,'Regresion Md'!$Z$6:$AB$10,3,1),VLOOKUP(MIN(DatosHoy[Puntos]),'Regresion Md'!$Z$6:$AB$10,2,1)*$BN125+VLOOKUP(MIN(DatosHoy[Puntos]),'Regresion Md'!$Z$6:$AB$10,3,1))</f>
        <v>10395134.110646524</v>
      </c>
      <c r="BU125" s="94">
        <f ca="1">IFERROR(VLOOKUP($BN125,'Regresion Q3'!$T$6:$V$10,2,1)*$BN125+VLOOKUP($BN125,'Regresion Q3'!$T$6:$V$10,3,1),VLOOKUP(MIN(DatosHoy[Puntos]),'Regresion Q3'!$T$6:$V$10,2,1)*$BN125+VLOOKUP(MIN(DatosHoy[Puntos]),'Regresion Q3'!$T$6:$V$10,3,1))</f>
        <v>10269766.038643638</v>
      </c>
      <c r="BV125" s="94">
        <f ca="1">IFERROR(VLOOKUP($BN125,'Regresion Q3'!$W$6:$Y$10,2,1)*$BN125+VLOOKUP($BN125,'Regresion Q3'!$W$6:$Y$10,3,1),VLOOKUP(MIN(DatosHoy[Puntos]),'Regresion Q3'!$W$6:$Y$10,2,1)*$BN125+VLOOKUP(MIN(DatosHoy[Puntos]),'Regresion Q3'!$W$6:$Y$10,3,1))</f>
        <v>10525257.007454116</v>
      </c>
      <c r="BW125" s="94">
        <f ca="1">IFERROR(VLOOKUP($BN125,'Regresion Q3'!$Z$6:$AB$10,2,1)*$BN125+VLOOKUP($BN125,'Regresion Q3'!$Z$6:$AB$10,3,1),VLOOKUP(MIN(DatosHoy[Puntos]),'Regresion Q3'!$Z$6:$AB$10,2,1)*$BN125+VLOOKUP(MIN(DatosHoy[Puntos]),'Regresion Q3'!$Z$6:$AB$10,3,1))</f>
        <v>10652293.025507946</v>
      </c>
      <c r="BX125" s="96">
        <f ca="1">DatosHoy[[#This Row],[CT Actual]]/DatosHoy[[#This Row],[CT ajus PM Md]]</f>
        <v>0.89423502391176524</v>
      </c>
      <c r="BY125" s="136" t="str">
        <f>VLOOKUP(DatosHoy[[#This Row],[Cargo Valorado]],Estadísticos[[Cargo]:[Nivel]],2,FALSE)</f>
        <v>Gerencia media</v>
      </c>
      <c r="BZ125" s="96">
        <f>(DatosHoy[[#This Row],[G+V Actual]]-DatosHoy[[#This Row],[G Actual]])/DatosHoy[[#This Row],[CT Actual]]</f>
        <v>0</v>
      </c>
      <c r="CA125" s="96">
        <f>(DatosHoy[[#This Row],[CT Actual]]-DatosHoy[[#This Row],[G+V Actual]])/DatosHoy[[#This Row],[CT Actual]]</f>
        <v>0</v>
      </c>
      <c r="CB125" s="139" t="s">
        <v>255</v>
      </c>
    </row>
    <row r="126" spans="2:80" x14ac:dyDescent="0.25">
      <c r="B126" s="73">
        <f t="shared" si="67"/>
        <v>121</v>
      </c>
      <c r="C126" s="74">
        <v>9295693</v>
      </c>
      <c r="D126" s="74">
        <v>9295693</v>
      </c>
      <c r="E126" s="74">
        <v>9295693</v>
      </c>
      <c r="F126" s="94">
        <f>VLOOKUP(DatosHoy[[#This Row],[Cargo Valorado]],Estadísticos[],3,0)</f>
        <v>11445439.07559894</v>
      </c>
      <c r="G126" s="94">
        <f>VLOOKUP(DatosHoy[[#This Row],[Cargo Valorado]],Estadísticos[],4,0)</f>
        <v>12202412.557432273</v>
      </c>
      <c r="H126" s="94">
        <f>VLOOKUP(DatosHoy[[#This Row],[Cargo Valorado]],Estadísticos[],5,0)</f>
        <v>12373804.397432273</v>
      </c>
      <c r="I126" s="94">
        <f>VLOOKUP(DatosHoy[[#This Row],[Cargo Valorado]],Estadísticos[],6,0)</f>
        <v>13962648.121607447</v>
      </c>
      <c r="J126" s="94">
        <f>VLOOKUP(DatosHoy[[#This Row],[Cargo Valorado]],Estadísticos[],7,0)</f>
        <v>15094833.840940781</v>
      </c>
      <c r="K126" s="94">
        <f>VLOOKUP(DatosHoy[[#This Row],[Cargo Valorado]],Estadísticos[],8,0)</f>
        <v>15266225.680940781</v>
      </c>
      <c r="L126" s="94">
        <f>VLOOKUP(DatosHoy[[#This Row],[Cargo Valorado]],Estadísticos[],9,0)</f>
        <v>18232392.566129252</v>
      </c>
      <c r="M126" s="94">
        <f>VLOOKUP(DatosHoy[[#This Row],[Cargo Valorado]],Estadísticos[],10,0)</f>
        <v>19370769.485522427</v>
      </c>
      <c r="N126" s="94">
        <f>VLOOKUP(DatosHoy[[#This Row],[Cargo Valorado]],Estadísticos[],11,0)</f>
        <v>19708073.268205587</v>
      </c>
      <c r="O126" s="75" t="s">
        <v>175</v>
      </c>
      <c r="P126" s="75">
        <v>536</v>
      </c>
      <c r="Q126" s="95" t="str">
        <f t="shared" si="68"/>
        <v>$P$126</v>
      </c>
      <c r="R126" s="95" t="str">
        <f t="shared" si="69"/>
        <v>$F$126</v>
      </c>
      <c r="S126" s="95" t="str">
        <f t="shared" si="70"/>
        <v>$G$126</v>
      </c>
      <c r="T126" s="95" t="str">
        <f t="shared" si="71"/>
        <v>$H$126</v>
      </c>
      <c r="U126" s="95" t="str">
        <f t="shared" si="72"/>
        <v>$I$126</v>
      </c>
      <c r="V126" s="95" t="str">
        <f t="shared" si="73"/>
        <v>$J$126</v>
      </c>
      <c r="W126" s="95" t="str">
        <f t="shared" si="74"/>
        <v>$K$126</v>
      </c>
      <c r="X126" s="95" t="str">
        <f t="shared" si="75"/>
        <v>$L$126</v>
      </c>
      <c r="Y126" s="95" t="str">
        <f t="shared" si="76"/>
        <v>$M$126</v>
      </c>
      <c r="Z126" s="95" t="str">
        <f t="shared" si="77"/>
        <v>$N$126</v>
      </c>
      <c r="AA126" s="94">
        <f ca="1">VLOOKUP($P126,'Regresion Q1'!$E$6:$I$10,4,1)*$P126+VLOOKUP($P126,'Regresion Q1'!$E$6:$I$10,5,1)</f>
        <v>8674636.662985146</v>
      </c>
      <c r="AB126" s="94">
        <f ca="1">VLOOKUP($P126,'Regresion Q1'!$J$6:$N$10,4,1)*$P126+VLOOKUP($P126,'Regresion Q1'!$J$6:$N$10,5,1)</f>
        <v>9450098.8209395688</v>
      </c>
      <c r="AC126" s="94">
        <f ca="1">VLOOKUP($P126,'Regresion Q1'!$O$6:$S$10,4,1)*$P126+VLOOKUP($P126,'Regresion Q1'!$O$6:$S$10,5,1)</f>
        <v>9706062.3575914092</v>
      </c>
      <c r="AD126" s="94">
        <f ca="1">VLOOKUP($P126,'Regresion Md'!$E$6:$I$10,4,1)*$P126+VLOOKUP($P126,'Regresion Md'!$E$6:$I$10,5,1)</f>
        <v>10907145.431388188</v>
      </c>
      <c r="AE126" s="94">
        <f ca="1">VLOOKUP($P126,'Regresion Md'!$J$6:$N$10,4,1)*$P126+VLOOKUP($P126,'Regresion Md'!$J$6:$N$10,5,1)</f>
        <v>11196362.874227598</v>
      </c>
      <c r="AF126" s="94">
        <f ca="1">VLOOKUP($P126,'Regresion Md'!$O$6:$S$10,4,1)*$P126+VLOOKUP($P126,'Regresion Md'!$O$6:$S$10,5,1)</f>
        <v>11350899.984995525</v>
      </c>
      <c r="AG126" s="94">
        <f ca="1">VLOOKUP($P126,'Regresion Q3'!$E$6:$I$10,4,1)*$P126+VLOOKUP($P126,'Regresion Q3'!$E$6:$I$10,5,1)</f>
        <v>13274049.262299486</v>
      </c>
      <c r="AH126" s="94">
        <f ca="1">VLOOKUP($P126,'Regresion Q3'!$J$6:$N$10,4,1)*$P126+VLOOKUP($P126,'Regresion Q3'!$J$6:$N$10,5,1)</f>
        <v>13954111.54214723</v>
      </c>
      <c r="AI126" s="94">
        <f ca="1">VLOOKUP($P126,'Regresion Q3'!$O$6:$S$10,4,1)*$P126+VLOOKUP($P126,'Regresion Q3'!$O$6:$S$10,5,1)</f>
        <v>14210203.829109954</v>
      </c>
      <c r="AJ126" s="94">
        <f ca="1">VLOOKUP($P126,'Regresion Q1'!$T$6:$V$10,2,1)*$P126+VLOOKUP($P126,'Regresion Q1'!$T$6:$V$10,3,1)</f>
        <v>9243181.4587567337</v>
      </c>
      <c r="AK126" s="94">
        <f ca="1">VLOOKUP($P126,'Regresion Q1'!$W$6:$Y$10,2,1)*$P126+VLOOKUP($P126,'Regresion Q1'!$W$6:$Y$10,3,1)</f>
        <v>9668961.5799117163</v>
      </c>
      <c r="AL126" s="94">
        <f ca="1">VLOOKUP($P126,'Regresion Q1'!$Z$6:$AB$10,2,1)*$P126+VLOOKUP($P126,'Regresion Q1'!$Z$6:$AB$10,3,1)</f>
        <v>10078114.912119653</v>
      </c>
      <c r="AM126" s="94">
        <f ca="1">VLOOKUP($P126,'Regresion Md'!$T$6:$V$10,2,1)*$P126+VLOOKUP($P126,'Regresion Md'!$T$6:$V$10,3,1)</f>
        <v>10221815.481236028</v>
      </c>
      <c r="AN126" s="94">
        <f ca="1">VLOOKUP($P126,'Regresion Md'!$W$6:$Y$10,2,1)*$P126+VLOOKUP($P126,'Regresion Md'!$W$6:$Y$10,3,1)</f>
        <v>10847967.913477968</v>
      </c>
      <c r="AO126" s="94">
        <f ca="1">VLOOKUP($P126,'Regresion Md'!$Z$6:$AB$10,2,1)*$P126+VLOOKUP($P126,'Regresion Md'!$Z$6:$AB$10,3,1)</f>
        <v>11263491.089484466</v>
      </c>
      <c r="AP126" s="94">
        <f ca="1">VLOOKUP($P126,'Regresion Q3'!$T$6:$V$10,2,1)*$P126+VLOOKUP($P126,'Regresion Q3'!$T$6:$V$10,3,1)</f>
        <v>11197513.049597612</v>
      </c>
      <c r="AQ126" s="94">
        <f ca="1">VLOOKUP($P126,'Regresion Q3'!$W$6:$Y$10,2,1)*$P126+VLOOKUP($P126,'Regresion Q3'!$W$6:$Y$10,3,1)</f>
        <v>11469792.321683785</v>
      </c>
      <c r="AR126" s="94">
        <f ca="1">VLOOKUP($P126,'Regresion Q3'!$Z$6:$AB$10,2,1)*$P126+VLOOKUP($P126,'Regresion Q3'!$Z$6:$AB$10,3,1)</f>
        <v>11553336.92111958</v>
      </c>
      <c r="AS126" s="94">
        <f>IF($BN126=$BN127,-1,DatosHoy[[#This Row],[G ajus PM Q1]]-BO127)</f>
        <v>-1</v>
      </c>
      <c r="AT126" s="94">
        <f>IF($BN126=$BN127,-1,DatosHoy[[#This Row],[G+V ajus PM Q1]]-BP127)</f>
        <v>-1</v>
      </c>
      <c r="AU126" s="94">
        <f>IF($BN126=$BN127,-1,DatosHoy[[#This Row],[CT ajus PM Q1]]-BQ127)</f>
        <v>-1</v>
      </c>
      <c r="AV126" s="94">
        <f ca="1">IF(DatosHoy[[#This Row],[G ajus PM Q1]]=DatosHoy[[#This Row],[G+V ajus PM Q1]],-1,DatosHoy[[#This Row],[G ajus PM Q1]]-DatosHoy[[#This Row],[G+V ajus PM Q1]])</f>
        <v>-503041.54125838354</v>
      </c>
      <c r="AW126" s="94">
        <f ca="1">IF(DatosHoy[[#This Row],[G+V ajus PM Q1]]=DatosHoy[[#This Row],[CT ajus PM Q1]],-1,DatosHoy[[#This Row],[G+V ajus PM Q1]]-DatosHoy[[#This Row],[CT ajus PM Q1]])</f>
        <v>-452197.64483823255</v>
      </c>
      <c r="AX126" s="94">
        <f>IF($BN126=$BN127,-1,DatosHoy[[#This Row],[G ajus PMd]]-BR127)</f>
        <v>-1</v>
      </c>
      <c r="AY126" s="94">
        <f>IF($BN126=$BN127,-1,DatosHoy[[#This Row],[G+V ajus PM Md]]-BS127)</f>
        <v>-1</v>
      </c>
      <c r="AZ126" s="94">
        <f>IF($BN126=$BN127,-1,DatosHoy[[#This Row],[CT ajus PM Md]]-BT127)</f>
        <v>-1</v>
      </c>
      <c r="BA126" s="94">
        <f ca="1">IF(DatosHoy[[#This Row],[G ajus PMd]]=DatosHoy[[#This Row],[G+V ajus PM Md]],-1,DatosHoy[[#This Row],[G ajus PMd]]-DatosHoy[[#This Row],[G+V ajus PM Md]])</f>
        <v>-704313.29405904375</v>
      </c>
      <c r="BB126" s="94">
        <f ca="1">IF(DatosHoy[[#This Row],[G+V ajus PM Md]]=DatosHoy[[#This Row],[CT ajus PM Md]],-1,DatosHoy[[#This Row],[G+V ajus PM Md]]-DatosHoy[[#This Row],[CT ajus PM Md]])</f>
        <v>-444058.51995912008</v>
      </c>
      <c r="BC126" s="94">
        <f>IF($BN126=$BN127,-1,DatosHoy[[#This Row],[G ajus PM Q3]]-BU127)</f>
        <v>-1</v>
      </c>
      <c r="BD126" s="94">
        <f>IF($BN126=$BN127,-1,DatosHoy[[#This Row],[G+V ajus PM Q3]]-BV127)</f>
        <v>-1</v>
      </c>
      <c r="BE126" s="94">
        <f>IF($BN126=$BN127,-1,DatosHoy[[#This Row],[CT ajus PM Q3]]-BW127)</f>
        <v>-1</v>
      </c>
      <c r="BF126" s="94">
        <f ca="1">IF(DatosHoy[[#This Row],[G ajus PM Q3]]=DatosHoy[[#This Row],[G+V ajus PM Q3]],-1,DatosHoy[[#This Row],[G ajus PM Q3]]-DatosHoy[[#This Row],[G+V ajus PM Q3]])</f>
        <v>-292523.99074215628</v>
      </c>
      <c r="BG126" s="94">
        <f ca="1">IF(DatosHoy[[#This Row],[G+V ajus PM Q3]]=DatosHoy[[#This Row],[CT ajus PM Q3]],-1,DatosHoy[[#This Row],[G+V ajus PM Q3]]-DatosHoy[[#This Row],[CT ajus PM Q3]])</f>
        <v>-31099.065219929442</v>
      </c>
      <c r="BH126" s="94">
        <f ca="1">IF(DatosHoy[[#This Row],[G ajus PM Q1]]=DatosHoy[[#This Row],[G ajus PMd]],-1,DatosHoy[[#This Row],[G ajus PM Q1]]-DatosHoy[[#This Row],[G ajus PMd]])</f>
        <v>-657259.82265667804</v>
      </c>
      <c r="BI126" s="94">
        <f ca="1">IF(DatosHoy[[#This Row],[G+V ajus PM Q1]]=DatosHoy[[#This Row],[G+V ajus PM Md]],-1,DatosHoy[[#This Row],[G+V ajus PM Q1]]-DatosHoy[[#This Row],[G+V ajus PM Md]])</f>
        <v>-858531.57545733824</v>
      </c>
      <c r="BJ126" s="94">
        <f ca="1">IF(DatosHoy[[#This Row],[CT ajus PM Q1]]=DatosHoy[[#This Row],[CT ajus PM Md]],-1,DatosHoy[[#This Row],[CT ajus PM Q1]]-DatosHoy[[#This Row],[CT ajus PM Md]])</f>
        <v>-850392.45057822578</v>
      </c>
      <c r="BK126" s="94">
        <f ca="1">IF(DatosHoy[[#This Row],[G ajus PMd]]=DatosHoy[[#This Row],[G ajus PM Q3]],-1,DatosHoy[[#This Row],[G ajus PMd]]-DatosHoy[[#This Row],[G ajus PM Q3]])</f>
        <v>-1154011.1658006422</v>
      </c>
      <c r="BL126" s="94">
        <f ca="1">IF(DatosHoy[[#This Row],[G+V ajus PM Md]]=DatosHoy[[#This Row],[G+V ajus PM Q3]],-1,DatosHoy[[#This Row],[G+V ajus PM Md]]-DatosHoy[[#This Row],[G+V ajus PM Q3]])</f>
        <v>-742221.86248375475</v>
      </c>
      <c r="BM126" s="94">
        <f ca="1">IF(DatosHoy[[#This Row],[CT ajus PM Md]]=DatosHoy[[#This Row],[CT ajus PM Q3]],-1,DatosHoy[[#This Row],[CT ajus PM Md]]-DatosHoy[[#This Row],[CT ajus PM Q3]])</f>
        <v>-329262.40774456412</v>
      </c>
      <c r="BN126" s="74">
        <v>577</v>
      </c>
      <c r="BO126" s="94">
        <f ca="1">IFERROR(VLOOKUP($BN126,'Regresion Q1'!$T$6:$V$10,2,1)*$BN126+VLOOKUP($BN126,'Regresion Q1'!$T$6:$V$10,3,1),VLOOKUP(MIN(DatosHoy[Puntos]),'Regresion Q1'!$T$6:$V$10,2,1)*$BN126+VLOOKUP(MIN(DatosHoy[Puntos]),'Regresion Q1'!$T$6:$V$10,3,1))</f>
        <v>10504995.809643615</v>
      </c>
      <c r="BP126" s="94">
        <f ca="1">IFERROR(VLOOKUP($BN126,'Regresion Q1'!$W$6:$Y$10,2,1)*$BN126+VLOOKUP($BN126,'Regresion Q1'!$W$6:$Y$10,3,1),VLOOKUP(MIN(DatosHoy[Puntos]),'Regresion Q1'!$W$6:$Y$10,2,1)*$BN126+VLOOKUP(MIN(DatosHoy[Puntos]),'Regresion Q1'!$W$6:$Y$10,3,1))</f>
        <v>11008037.350901999</v>
      </c>
      <c r="BQ126" s="94">
        <f ca="1">IFERROR(VLOOKUP($BN126,'Regresion Q1'!$Z$6:$AB$10,2,1)*$BN126+VLOOKUP($BN126,'Regresion Q1'!$Z$6:$AB$10,3,1),VLOOKUP(MIN(DatosHoy[Puntos]),'Regresion Q1'!$Z$6:$AB$10,2,1)*$BN126+VLOOKUP(MIN(DatosHoy[Puntos]),'Regresion Q1'!$Z$6:$AB$10,3,1))</f>
        <v>11460234.995740231</v>
      </c>
      <c r="BR126" s="94">
        <f ca="1">IFERROR(VLOOKUP($BN126,'Regresion Md'!$T$6:$V$10,2,1)*$BN126+VLOOKUP($BN126,'Regresion Md'!$T$6:$V$10,3,1),VLOOKUP(MIN(DatosHoy[Puntos]),'Regresion Md'!$T$6:$V$10,2,1)*$BN126+VLOOKUP(MIN(DatosHoy[Puntos]),'Regresion Md'!$T$6:$V$10,3,1))</f>
        <v>11162255.632300293</v>
      </c>
      <c r="BS126" s="94">
        <f ca="1">IFERROR(VLOOKUP($BN126,'Regresion Md'!$W$6:$Y$10,2,1)*$BN126+VLOOKUP($BN126,'Regresion Md'!$W$6:$Y$10,3,1),VLOOKUP(MIN(DatosHoy[Puntos]),'Regresion Md'!$W$6:$Y$10,2,1)*$BN126+VLOOKUP(MIN(DatosHoy[Puntos]),'Regresion Md'!$W$6:$Y$10,3,1))</f>
        <v>11866568.926359337</v>
      </c>
      <c r="BT126" s="94">
        <f ca="1">IFERROR(VLOOKUP($BN126,'Regresion Md'!$Z$6:$AB$10,2,1)*$BN126+VLOOKUP($BN126,'Regresion Md'!$Z$6:$AB$10,3,1),VLOOKUP(MIN(DatosHoy[Puntos]),'Regresion Md'!$Z$6:$AB$10,2,1)*$BN126+VLOOKUP(MIN(DatosHoy[Puntos]),'Regresion Md'!$Z$6:$AB$10,3,1))</f>
        <v>12310627.446318457</v>
      </c>
      <c r="BU126" s="94">
        <f ca="1">IFERROR(VLOOKUP($BN126,'Regresion Q3'!$T$6:$V$10,2,1)*$BN126+VLOOKUP($BN126,'Regresion Q3'!$T$6:$V$10,3,1),VLOOKUP(MIN(DatosHoy[Puntos]),'Regresion Q3'!$T$6:$V$10,2,1)*$BN126+VLOOKUP(MIN(DatosHoy[Puntos]),'Regresion Q3'!$T$6:$V$10,3,1))</f>
        <v>12316266.798100935</v>
      </c>
      <c r="BV126" s="94">
        <f ca="1">IFERROR(VLOOKUP($BN126,'Regresion Q3'!$W$6:$Y$10,2,1)*$BN126+VLOOKUP($BN126,'Regresion Q3'!$W$6:$Y$10,3,1),VLOOKUP(MIN(DatosHoy[Puntos]),'Regresion Q3'!$W$6:$Y$10,2,1)*$BN126+VLOOKUP(MIN(DatosHoy[Puntos]),'Regresion Q3'!$W$6:$Y$10,3,1))</f>
        <v>12608790.788843092</v>
      </c>
      <c r="BW126" s="94">
        <f ca="1">IFERROR(VLOOKUP($BN126,'Regresion Q3'!$Z$6:$AB$10,2,1)*$BN126+VLOOKUP($BN126,'Regresion Q3'!$Z$6:$AB$10,3,1),VLOOKUP(MIN(DatosHoy[Puntos]),'Regresion Q3'!$Z$6:$AB$10,2,1)*$BN126+VLOOKUP(MIN(DatosHoy[Puntos]),'Regresion Q3'!$Z$6:$AB$10,3,1))</f>
        <v>12639889.854063021</v>
      </c>
      <c r="BX126" s="96">
        <f ca="1">DatosHoy[[#This Row],[CT Actual]]/DatosHoy[[#This Row],[CT ajus PM Md]]</f>
        <v>0.75509498118878704</v>
      </c>
      <c r="BY126" s="136" t="str">
        <f>VLOOKUP(DatosHoy[[#This Row],[Cargo Valorado]],Estadísticos[[Cargo]:[Nivel]],2,FALSE)</f>
        <v>Gerencia media</v>
      </c>
      <c r="BZ126" s="96">
        <f>(DatosHoy[[#This Row],[G+V Actual]]-DatosHoy[[#This Row],[G Actual]])/DatosHoy[[#This Row],[CT Actual]]</f>
        <v>0</v>
      </c>
      <c r="CA126" s="96">
        <f>(DatosHoy[[#This Row],[CT Actual]]-DatosHoy[[#This Row],[G+V Actual]])/DatosHoy[[#This Row],[CT Actual]]</f>
        <v>0</v>
      </c>
      <c r="CB126" s="139" t="s">
        <v>255</v>
      </c>
    </row>
    <row r="127" spans="2:80" x14ac:dyDescent="0.25">
      <c r="B127" s="73">
        <f t="shared" si="67"/>
        <v>122</v>
      </c>
      <c r="C127" s="74">
        <v>9295693</v>
      </c>
      <c r="D127" s="74">
        <v>9295693</v>
      </c>
      <c r="E127" s="74">
        <v>9295693</v>
      </c>
      <c r="F127" s="94">
        <f>VLOOKUP(DatosHoy[[#This Row],[Cargo Valorado]],Estadísticos[],3,0)</f>
        <v>7817306.5755178053</v>
      </c>
      <c r="G127" s="94">
        <f>VLOOKUP(DatosHoy[[#This Row],[Cargo Valorado]],Estadísticos[],4,0)</f>
        <v>9090663.8788953517</v>
      </c>
      <c r="H127" s="94">
        <f>VLOOKUP(DatosHoy[[#This Row],[Cargo Valorado]],Estadísticos[],5,0)</f>
        <v>9090663.8788953517</v>
      </c>
      <c r="I127" s="94">
        <f>VLOOKUP(DatosHoy[[#This Row],[Cargo Valorado]],Estadísticos[],6,0)</f>
        <v>9255301.5050651543</v>
      </c>
      <c r="J127" s="94">
        <f>VLOOKUP(DatosHoy[[#This Row],[Cargo Valorado]],Estadísticos[],7,0)</f>
        <v>9255301.5050651543</v>
      </c>
      <c r="K127" s="94">
        <f>VLOOKUP(DatosHoy[[#This Row],[Cargo Valorado]],Estadísticos[],8,0)</f>
        <v>9255301.5050651543</v>
      </c>
      <c r="L127" s="94">
        <f>VLOOKUP(DatosHoy[[#This Row],[Cargo Valorado]],Estadísticos[],9,0)</f>
        <v>15874219.091816194</v>
      </c>
      <c r="M127" s="94">
        <f>VLOOKUP(DatosHoy[[#This Row],[Cargo Valorado]],Estadísticos[],10,0)</f>
        <v>15874219.091816194</v>
      </c>
      <c r="N127" s="94">
        <f>VLOOKUP(DatosHoy[[#This Row],[Cargo Valorado]],Estadísticos[],11,0)</f>
        <v>16413851.941469857</v>
      </c>
      <c r="O127" s="75" t="s">
        <v>203</v>
      </c>
      <c r="P127" s="75">
        <v>540</v>
      </c>
      <c r="Q127" s="95" t="str">
        <f t="shared" si="68"/>
        <v>$P$127</v>
      </c>
      <c r="R127" s="95" t="str">
        <f t="shared" si="69"/>
        <v>$F$127</v>
      </c>
      <c r="S127" s="95" t="str">
        <f t="shared" si="70"/>
        <v>$G$127</v>
      </c>
      <c r="T127" s="95" t="str">
        <f t="shared" si="71"/>
        <v>$H$127</v>
      </c>
      <c r="U127" s="95" t="str">
        <f t="shared" si="72"/>
        <v>$I$127</v>
      </c>
      <c r="V127" s="95" t="str">
        <f t="shared" si="73"/>
        <v>$J$127</v>
      </c>
      <c r="W127" s="95" t="str">
        <f t="shared" si="74"/>
        <v>$K$127</v>
      </c>
      <c r="X127" s="95" t="str">
        <f t="shared" si="75"/>
        <v>$L$127</v>
      </c>
      <c r="Y127" s="95" t="str">
        <f t="shared" si="76"/>
        <v>$M$127</v>
      </c>
      <c r="Z127" s="95" t="str">
        <f t="shared" si="77"/>
        <v>$N$127</v>
      </c>
      <c r="AA127" s="94">
        <f ca="1">VLOOKUP($P127,'Regresion Q1'!$E$6:$I$10,4,1)*$P127+VLOOKUP($P127,'Regresion Q1'!$E$6:$I$10,5,1)</f>
        <v>8781496.3650740162</v>
      </c>
      <c r="AB127" s="94">
        <f ca="1">VLOOKUP($P127,'Regresion Q1'!$J$6:$N$10,4,1)*$P127+VLOOKUP($P127,'Regresion Q1'!$J$6:$N$10,5,1)</f>
        <v>9574487.1378878467</v>
      </c>
      <c r="AC127" s="94">
        <f ca="1">VLOOKUP($P127,'Regresion Q1'!$O$6:$S$10,4,1)*$P127+VLOOKUP($P127,'Regresion Q1'!$O$6:$S$10,5,1)</f>
        <v>9830273.2683727499</v>
      </c>
      <c r="AD127" s="94">
        <f ca="1">VLOOKUP($P127,'Regresion Md'!$E$6:$I$10,4,1)*$P127+VLOOKUP($P127,'Regresion Md'!$E$6:$I$10,5,1)</f>
        <v>11007489.169027377</v>
      </c>
      <c r="AE127" s="94">
        <f ca="1">VLOOKUP($P127,'Regresion Md'!$J$6:$N$10,4,1)*$P127+VLOOKUP($P127,'Regresion Md'!$J$6:$N$10,5,1)</f>
        <v>11300107.171650914</v>
      </c>
      <c r="AF127" s="94">
        <f ca="1">VLOOKUP($P127,'Regresion Md'!$O$6:$S$10,4,1)*$P127+VLOOKUP($P127,'Regresion Md'!$O$6:$S$10,5,1)</f>
        <v>11454155.665872045</v>
      </c>
      <c r="AG127" s="94">
        <f ca="1">VLOOKUP($P127,'Regresion Q3'!$E$6:$I$10,4,1)*$P127+VLOOKUP($P127,'Regresion Q3'!$E$6:$I$10,5,1)</f>
        <v>13471559.212564241</v>
      </c>
      <c r="AH127" s="94">
        <f ca="1">VLOOKUP($P127,'Regresion Q3'!$J$6:$N$10,4,1)*$P127+VLOOKUP($P127,'Regresion Q3'!$J$6:$N$10,5,1)</f>
        <v>14170949.055330392</v>
      </c>
      <c r="AI127" s="94">
        <f ca="1">VLOOKUP($P127,'Regresion Q3'!$O$6:$S$10,4,1)*$P127+VLOOKUP($P127,'Regresion Q3'!$O$6:$S$10,5,1)</f>
        <v>14429267.159597019</v>
      </c>
      <c r="AJ127" s="94">
        <f ca="1">VLOOKUP($P127,'Regresion Q1'!$T$6:$V$10,2,1)*$P127+VLOOKUP($P127,'Regresion Q1'!$T$6:$V$10,3,1)</f>
        <v>9366285.2978676483</v>
      </c>
      <c r="AK127" s="94">
        <f ca="1">VLOOKUP($P127,'Regresion Q1'!$W$6:$Y$10,2,1)*$P127+VLOOKUP($P127,'Regresion Q1'!$W$6:$Y$10,3,1)</f>
        <v>9799603.1185449138</v>
      </c>
      <c r="AL127" s="94">
        <f ca="1">VLOOKUP($P127,'Regresion Q1'!$Z$6:$AB$10,2,1)*$P127+VLOOKUP($P127,'Regresion Q1'!$Z$6:$AB$10,3,1)</f>
        <v>10212955.895887516</v>
      </c>
      <c r="AM127" s="94">
        <f ca="1">VLOOKUP($P127,'Regresion Md'!$T$6:$V$10,2,1)*$P127+VLOOKUP($P127,'Regresion Md'!$T$6:$V$10,3,1)</f>
        <v>10313565.739876444</v>
      </c>
      <c r="AN127" s="94">
        <f ca="1">VLOOKUP($P127,'Regresion Md'!$W$6:$Y$10,2,1)*$P127+VLOOKUP($P127,'Regresion Md'!$W$6:$Y$10,3,1)</f>
        <v>10947343.622051761</v>
      </c>
      <c r="AO127" s="94">
        <f ca="1">VLOOKUP($P127,'Regresion Md'!$Z$6:$AB$10,2,1)*$P127+VLOOKUP($P127,'Regresion Md'!$Z$6:$AB$10,3,1)</f>
        <v>11365650.734053636</v>
      </c>
      <c r="AP127" s="94">
        <f ca="1">VLOOKUP($P127,'Regresion Q3'!$T$6:$V$10,2,1)*$P127+VLOOKUP($P127,'Regresion Q3'!$T$6:$V$10,3,1)</f>
        <v>11306659.756768668</v>
      </c>
      <c r="AQ127" s="94">
        <f ca="1">VLOOKUP($P127,'Regresion Q3'!$W$6:$Y$10,2,1)*$P127+VLOOKUP($P127,'Regresion Q3'!$W$6:$Y$10,3,1)</f>
        <v>11580914.123357862</v>
      </c>
      <c r="AR127" s="94">
        <f ca="1">VLOOKUP($P127,'Regresion Q3'!$Z$6:$AB$10,2,1)*$P127+VLOOKUP($P127,'Regresion Q3'!$Z$6:$AB$10,3,1)</f>
        <v>11659342.085309183</v>
      </c>
      <c r="AS127" s="94">
        <f>IF($BN127=$BN128,-1,DatosHoy[[#This Row],[G ajus PM Q1]]-BO128)</f>
        <v>-1</v>
      </c>
      <c r="AT127" s="94">
        <f>IF($BN127=$BN128,-1,DatosHoy[[#This Row],[G+V ajus PM Q1]]-BP128)</f>
        <v>-1</v>
      </c>
      <c r="AU127" s="94">
        <f>IF($BN127=$BN128,-1,DatosHoy[[#This Row],[CT ajus PM Q1]]-BQ128)</f>
        <v>-1</v>
      </c>
      <c r="AV127" s="94">
        <f ca="1">IF(DatosHoy[[#This Row],[G ajus PM Q1]]=DatosHoy[[#This Row],[G+V ajus PM Q1]],-1,DatosHoy[[#This Row],[G ajus PM Q1]]-DatosHoy[[#This Row],[G+V ajus PM Q1]])</f>
        <v>-503041.54125838354</v>
      </c>
      <c r="AW127" s="94">
        <f ca="1">IF(DatosHoy[[#This Row],[G+V ajus PM Q1]]=DatosHoy[[#This Row],[CT ajus PM Q1]],-1,DatosHoy[[#This Row],[G+V ajus PM Q1]]-DatosHoy[[#This Row],[CT ajus PM Q1]])</f>
        <v>-452197.64483823255</v>
      </c>
      <c r="AX127" s="94">
        <f>IF($BN127=$BN128,-1,DatosHoy[[#This Row],[G ajus PMd]]-BR128)</f>
        <v>-1</v>
      </c>
      <c r="AY127" s="94">
        <f>IF($BN127=$BN128,-1,DatosHoy[[#This Row],[G+V ajus PM Md]]-BS128)</f>
        <v>-1</v>
      </c>
      <c r="AZ127" s="94">
        <f>IF($BN127=$BN128,-1,DatosHoy[[#This Row],[CT ajus PM Md]]-BT128)</f>
        <v>-1</v>
      </c>
      <c r="BA127" s="94">
        <f ca="1">IF(DatosHoy[[#This Row],[G ajus PMd]]=DatosHoy[[#This Row],[G+V ajus PM Md]],-1,DatosHoy[[#This Row],[G ajus PMd]]-DatosHoy[[#This Row],[G+V ajus PM Md]])</f>
        <v>-704313.29405904375</v>
      </c>
      <c r="BB127" s="94">
        <f ca="1">IF(DatosHoy[[#This Row],[G+V ajus PM Md]]=DatosHoy[[#This Row],[CT ajus PM Md]],-1,DatosHoy[[#This Row],[G+V ajus PM Md]]-DatosHoy[[#This Row],[CT ajus PM Md]])</f>
        <v>-444058.51995912008</v>
      </c>
      <c r="BC127" s="94">
        <f>IF($BN127=$BN128,-1,DatosHoy[[#This Row],[G ajus PM Q3]]-BU128)</f>
        <v>-1</v>
      </c>
      <c r="BD127" s="94">
        <f>IF($BN127=$BN128,-1,DatosHoy[[#This Row],[G+V ajus PM Q3]]-BV128)</f>
        <v>-1</v>
      </c>
      <c r="BE127" s="94">
        <f>IF($BN127=$BN128,-1,DatosHoy[[#This Row],[CT ajus PM Q3]]-BW128)</f>
        <v>-1</v>
      </c>
      <c r="BF127" s="94">
        <f ca="1">IF(DatosHoy[[#This Row],[G ajus PM Q3]]=DatosHoy[[#This Row],[G+V ajus PM Q3]],-1,DatosHoy[[#This Row],[G ajus PM Q3]]-DatosHoy[[#This Row],[G+V ajus PM Q3]])</f>
        <v>-292523.99074215628</v>
      </c>
      <c r="BG127" s="94">
        <f ca="1">IF(DatosHoy[[#This Row],[G+V ajus PM Q3]]=DatosHoy[[#This Row],[CT ajus PM Q3]],-1,DatosHoy[[#This Row],[G+V ajus PM Q3]]-DatosHoy[[#This Row],[CT ajus PM Q3]])</f>
        <v>-31099.065219929442</v>
      </c>
      <c r="BH127" s="94">
        <f ca="1">IF(DatosHoy[[#This Row],[G ajus PM Q1]]=DatosHoy[[#This Row],[G ajus PMd]],-1,DatosHoy[[#This Row],[G ajus PM Q1]]-DatosHoy[[#This Row],[G ajus PMd]])</f>
        <v>-657259.82265667804</v>
      </c>
      <c r="BI127" s="94">
        <f ca="1">IF(DatosHoy[[#This Row],[G+V ajus PM Q1]]=DatosHoy[[#This Row],[G+V ajus PM Md]],-1,DatosHoy[[#This Row],[G+V ajus PM Q1]]-DatosHoy[[#This Row],[G+V ajus PM Md]])</f>
        <v>-858531.57545733824</v>
      </c>
      <c r="BJ127" s="94">
        <f ca="1">IF(DatosHoy[[#This Row],[CT ajus PM Q1]]=DatosHoy[[#This Row],[CT ajus PM Md]],-1,DatosHoy[[#This Row],[CT ajus PM Q1]]-DatosHoy[[#This Row],[CT ajus PM Md]])</f>
        <v>-850392.45057822578</v>
      </c>
      <c r="BK127" s="94">
        <f ca="1">IF(DatosHoy[[#This Row],[G ajus PMd]]=DatosHoy[[#This Row],[G ajus PM Q3]],-1,DatosHoy[[#This Row],[G ajus PMd]]-DatosHoy[[#This Row],[G ajus PM Q3]])</f>
        <v>-1154011.1658006422</v>
      </c>
      <c r="BL127" s="94">
        <f ca="1">IF(DatosHoy[[#This Row],[G+V ajus PM Md]]=DatosHoy[[#This Row],[G+V ajus PM Q3]],-1,DatosHoy[[#This Row],[G+V ajus PM Md]]-DatosHoy[[#This Row],[G+V ajus PM Q3]])</f>
        <v>-742221.86248375475</v>
      </c>
      <c r="BM127" s="94">
        <f ca="1">IF(DatosHoy[[#This Row],[CT ajus PM Md]]=DatosHoy[[#This Row],[CT ajus PM Q3]],-1,DatosHoy[[#This Row],[CT ajus PM Md]]-DatosHoy[[#This Row],[CT ajus PM Q3]])</f>
        <v>-329262.40774456412</v>
      </c>
      <c r="BN127" s="74">
        <v>577</v>
      </c>
      <c r="BO127" s="94">
        <f ca="1">IFERROR(VLOOKUP($BN127,'Regresion Q1'!$T$6:$V$10,2,1)*$BN127+VLOOKUP($BN127,'Regresion Q1'!$T$6:$V$10,3,1),VLOOKUP(MIN(DatosHoy[Puntos]),'Regresion Q1'!$T$6:$V$10,2,1)*$BN127+VLOOKUP(MIN(DatosHoy[Puntos]),'Regresion Q1'!$T$6:$V$10,3,1))</f>
        <v>10504995.809643615</v>
      </c>
      <c r="BP127" s="94">
        <f ca="1">IFERROR(VLOOKUP($BN127,'Regresion Q1'!$W$6:$Y$10,2,1)*$BN127+VLOOKUP($BN127,'Regresion Q1'!$W$6:$Y$10,3,1),VLOOKUP(MIN(DatosHoy[Puntos]),'Regresion Q1'!$W$6:$Y$10,2,1)*$BN127+VLOOKUP(MIN(DatosHoy[Puntos]),'Regresion Q1'!$W$6:$Y$10,3,1))</f>
        <v>11008037.350901999</v>
      </c>
      <c r="BQ127" s="94">
        <f ca="1">IFERROR(VLOOKUP($BN127,'Regresion Q1'!$Z$6:$AB$10,2,1)*$BN127+VLOOKUP($BN127,'Regresion Q1'!$Z$6:$AB$10,3,1),VLOOKUP(MIN(DatosHoy[Puntos]),'Regresion Q1'!$Z$6:$AB$10,2,1)*$BN127+VLOOKUP(MIN(DatosHoy[Puntos]),'Regresion Q1'!$Z$6:$AB$10,3,1))</f>
        <v>11460234.995740231</v>
      </c>
      <c r="BR127" s="94">
        <f ca="1">IFERROR(VLOOKUP($BN127,'Regresion Md'!$T$6:$V$10,2,1)*$BN127+VLOOKUP($BN127,'Regresion Md'!$T$6:$V$10,3,1),VLOOKUP(MIN(DatosHoy[Puntos]),'Regresion Md'!$T$6:$V$10,2,1)*$BN127+VLOOKUP(MIN(DatosHoy[Puntos]),'Regresion Md'!$T$6:$V$10,3,1))</f>
        <v>11162255.632300293</v>
      </c>
      <c r="BS127" s="94">
        <f ca="1">IFERROR(VLOOKUP($BN127,'Regresion Md'!$W$6:$Y$10,2,1)*$BN127+VLOOKUP($BN127,'Regresion Md'!$W$6:$Y$10,3,1),VLOOKUP(MIN(DatosHoy[Puntos]),'Regresion Md'!$W$6:$Y$10,2,1)*$BN127+VLOOKUP(MIN(DatosHoy[Puntos]),'Regresion Md'!$W$6:$Y$10,3,1))</f>
        <v>11866568.926359337</v>
      </c>
      <c r="BT127" s="94">
        <f ca="1">IFERROR(VLOOKUP($BN127,'Regresion Md'!$Z$6:$AB$10,2,1)*$BN127+VLOOKUP($BN127,'Regresion Md'!$Z$6:$AB$10,3,1),VLOOKUP(MIN(DatosHoy[Puntos]),'Regresion Md'!$Z$6:$AB$10,2,1)*$BN127+VLOOKUP(MIN(DatosHoy[Puntos]),'Regresion Md'!$Z$6:$AB$10,3,1))</f>
        <v>12310627.446318457</v>
      </c>
      <c r="BU127" s="94">
        <f ca="1">IFERROR(VLOOKUP($BN127,'Regresion Q3'!$T$6:$V$10,2,1)*$BN127+VLOOKUP($BN127,'Regresion Q3'!$T$6:$V$10,3,1),VLOOKUP(MIN(DatosHoy[Puntos]),'Regresion Q3'!$T$6:$V$10,2,1)*$BN127+VLOOKUP(MIN(DatosHoy[Puntos]),'Regresion Q3'!$T$6:$V$10,3,1))</f>
        <v>12316266.798100935</v>
      </c>
      <c r="BV127" s="94">
        <f ca="1">IFERROR(VLOOKUP($BN127,'Regresion Q3'!$W$6:$Y$10,2,1)*$BN127+VLOOKUP($BN127,'Regresion Q3'!$W$6:$Y$10,3,1),VLOOKUP(MIN(DatosHoy[Puntos]),'Regresion Q3'!$W$6:$Y$10,2,1)*$BN127+VLOOKUP(MIN(DatosHoy[Puntos]),'Regresion Q3'!$W$6:$Y$10,3,1))</f>
        <v>12608790.788843092</v>
      </c>
      <c r="BW127" s="94">
        <f ca="1">IFERROR(VLOOKUP($BN127,'Regresion Q3'!$Z$6:$AB$10,2,1)*$BN127+VLOOKUP($BN127,'Regresion Q3'!$Z$6:$AB$10,3,1),VLOOKUP(MIN(DatosHoy[Puntos]),'Regresion Q3'!$Z$6:$AB$10,2,1)*$BN127+VLOOKUP(MIN(DatosHoy[Puntos]),'Regresion Q3'!$Z$6:$AB$10,3,1))</f>
        <v>12639889.854063021</v>
      </c>
      <c r="BX127" s="96">
        <f ca="1">DatosHoy[[#This Row],[CT Actual]]/DatosHoy[[#This Row],[CT ajus PM Md]]</f>
        <v>0.75509498118878704</v>
      </c>
      <c r="BY127" s="136" t="str">
        <f>VLOOKUP(DatosHoy[[#This Row],[Cargo Valorado]],Estadísticos[[Cargo]:[Nivel]],2,FALSE)</f>
        <v>Gerencia media</v>
      </c>
      <c r="BZ127" s="96">
        <f>(DatosHoy[[#This Row],[G+V Actual]]-DatosHoy[[#This Row],[G Actual]])/DatosHoy[[#This Row],[CT Actual]]</f>
        <v>0</v>
      </c>
      <c r="CA127" s="96">
        <f>(DatosHoy[[#This Row],[CT Actual]]-DatosHoy[[#This Row],[G+V Actual]])/DatosHoy[[#This Row],[CT Actual]]</f>
        <v>0</v>
      </c>
      <c r="CB127" s="139" t="s">
        <v>255</v>
      </c>
    </row>
    <row r="128" spans="2:80" x14ac:dyDescent="0.25">
      <c r="B128" s="73">
        <f t="shared" si="67"/>
        <v>123</v>
      </c>
      <c r="C128" s="74">
        <v>9295693</v>
      </c>
      <c r="D128" s="74">
        <v>9295693</v>
      </c>
      <c r="E128" s="74">
        <v>9295693</v>
      </c>
      <c r="F128" s="94">
        <f>VLOOKUP(DatosHoy[[#This Row],[Cargo Valorado]],Estadísticos[],3,0)</f>
        <v>5848630.997348831</v>
      </c>
      <c r="G128" s="94">
        <f>VLOOKUP(DatosHoy[[#This Row],[Cargo Valorado]],Estadísticos[],4,0)</f>
        <v>5848630.997348831</v>
      </c>
      <c r="H128" s="94">
        <f>VLOOKUP(DatosHoy[[#This Row],[Cargo Valorado]],Estadísticos[],5,0)</f>
        <v>6761390.5552907893</v>
      </c>
      <c r="I128" s="94">
        <f>VLOOKUP(DatosHoy[[#This Row],[Cargo Valorado]],Estadísticos[],6,0)</f>
        <v>10862727.516268702</v>
      </c>
      <c r="J128" s="94">
        <f>VLOOKUP(DatosHoy[[#This Row],[Cargo Valorado]],Estadísticos[],7,0)</f>
        <v>10862727.516268702</v>
      </c>
      <c r="K128" s="94">
        <f>VLOOKUP(DatosHoy[[#This Row],[Cargo Valorado]],Estadísticos[],8,0)</f>
        <v>10862727.516268702</v>
      </c>
      <c r="L128" s="94">
        <f>VLOOKUP(DatosHoy[[#This Row],[Cargo Valorado]],Estadísticos[],9,0)</f>
        <v>10862727.516268702</v>
      </c>
      <c r="M128" s="94">
        <f>VLOOKUP(DatosHoy[[#This Row],[Cargo Valorado]],Estadísticos[],10,0)</f>
        <v>11163953.311192865</v>
      </c>
      <c r="N128" s="94">
        <f>VLOOKUP(DatosHoy[[#This Row],[Cargo Valorado]],Estadísticos[],11,0)</f>
        <v>11163953.311192865</v>
      </c>
      <c r="O128" s="75" t="s">
        <v>202</v>
      </c>
      <c r="P128" s="75">
        <v>556</v>
      </c>
      <c r="Q128" s="95" t="str">
        <f t="shared" si="68"/>
        <v>$P$128</v>
      </c>
      <c r="R128" s="95" t="str">
        <f t="shared" si="69"/>
        <v>$F$128</v>
      </c>
      <c r="S128" s="95" t="str">
        <f t="shared" si="70"/>
        <v>$G$128</v>
      </c>
      <c r="T128" s="95" t="str">
        <f t="shared" si="71"/>
        <v>$H$128</v>
      </c>
      <c r="U128" s="95" t="str">
        <f t="shared" si="72"/>
        <v>$I$128</v>
      </c>
      <c r="V128" s="95" t="str">
        <f t="shared" si="73"/>
        <v>$J$128</v>
      </c>
      <c r="W128" s="95" t="str">
        <f t="shared" si="74"/>
        <v>$K$128</v>
      </c>
      <c r="X128" s="95" t="str">
        <f t="shared" si="75"/>
        <v>$L$128</v>
      </c>
      <c r="Y128" s="95" t="str">
        <f t="shared" si="76"/>
        <v>$M$128</v>
      </c>
      <c r="Z128" s="95" t="str">
        <f t="shared" si="77"/>
        <v>$N$128</v>
      </c>
      <c r="AA128" s="94">
        <f ca="1">VLOOKUP($P128,'Regresion Q1'!$E$6:$I$10,4,1)*$P128+VLOOKUP($P128,'Regresion Q1'!$E$6:$I$10,5,1)</f>
        <v>9208935.1734294966</v>
      </c>
      <c r="AB128" s="94">
        <f ca="1">VLOOKUP($P128,'Regresion Q1'!$J$6:$N$10,4,1)*$P128+VLOOKUP($P128,'Regresion Q1'!$J$6:$N$10,5,1)</f>
        <v>10072040.405680966</v>
      </c>
      <c r="AC128" s="94">
        <f ca="1">VLOOKUP($P128,'Regresion Q1'!$O$6:$S$10,4,1)*$P128+VLOOKUP($P128,'Regresion Q1'!$O$6:$S$10,5,1)</f>
        <v>10327116.911498109</v>
      </c>
      <c r="AD128" s="94">
        <f ca="1">VLOOKUP($P128,'Regresion Md'!$E$6:$I$10,4,1)*$P128+VLOOKUP($P128,'Regresion Md'!$E$6:$I$10,5,1)</f>
        <v>11408864.119584136</v>
      </c>
      <c r="AE128" s="94">
        <f ca="1">VLOOKUP($P128,'Regresion Md'!$J$6:$N$10,4,1)*$P128+VLOOKUP($P128,'Regresion Md'!$J$6:$N$10,5,1)</f>
        <v>11715084.361344183</v>
      </c>
      <c r="AF128" s="94">
        <f ca="1">VLOOKUP($P128,'Regresion Md'!$O$6:$S$10,4,1)*$P128+VLOOKUP($P128,'Regresion Md'!$O$6:$S$10,5,1)</f>
        <v>11867178.389378119</v>
      </c>
      <c r="AG128" s="94">
        <f ca="1">VLOOKUP($P128,'Regresion Q3'!$E$6:$I$10,4,1)*$P128+VLOOKUP($P128,'Regresion Q3'!$E$6:$I$10,5,1)</f>
        <v>14261599.013623249</v>
      </c>
      <c r="AH128" s="94">
        <f ca="1">VLOOKUP($P128,'Regresion Q3'!$J$6:$N$10,4,1)*$P128+VLOOKUP($P128,'Regresion Q3'!$J$6:$N$10,5,1)</f>
        <v>15038299.108063038</v>
      </c>
      <c r="AI128" s="94">
        <f ca="1">VLOOKUP($P128,'Regresion Q3'!$O$6:$S$10,4,1)*$P128+VLOOKUP($P128,'Regresion Q3'!$O$6:$S$10,5,1)</f>
        <v>15305520.481545286</v>
      </c>
      <c r="AJ128" s="94">
        <f ca="1">VLOOKUP($P128,'Regresion Q1'!$T$6:$V$10,2,1)*$P128+VLOOKUP($P128,'Regresion Q1'!$T$6:$V$10,3,1)</f>
        <v>9858700.6543113105</v>
      </c>
      <c r="AK128" s="94">
        <f ca="1">VLOOKUP($P128,'Regresion Q1'!$W$6:$Y$10,2,1)*$P128+VLOOKUP($P128,'Regresion Q1'!$W$6:$Y$10,3,1)</f>
        <v>10322169.273077708</v>
      </c>
      <c r="AL128" s="94">
        <f ca="1">VLOOKUP($P128,'Regresion Q1'!$Z$6:$AB$10,2,1)*$P128+VLOOKUP($P128,'Regresion Q1'!$Z$6:$AB$10,3,1)</f>
        <v>10752319.830958959</v>
      </c>
      <c r="AM128" s="94">
        <f ca="1">VLOOKUP($P128,'Regresion Md'!$T$6:$V$10,2,1)*$P128+VLOOKUP($P128,'Regresion Md'!$T$6:$V$10,3,1)</f>
        <v>10680566.774438107</v>
      </c>
      <c r="AN128" s="94">
        <f ca="1">VLOOKUP($P128,'Regresion Md'!$W$6:$Y$10,2,1)*$P128+VLOOKUP($P128,'Regresion Md'!$W$6:$Y$10,3,1)</f>
        <v>11344846.456346929</v>
      </c>
      <c r="AO128" s="94">
        <f ca="1">VLOOKUP($P128,'Regresion Md'!$Z$6:$AB$10,2,1)*$P128+VLOOKUP($P128,'Regresion Md'!$Z$6:$AB$10,3,1)</f>
        <v>11774289.312330315</v>
      </c>
      <c r="AP128" s="94">
        <f ca="1">VLOOKUP($P128,'Regresion Q3'!$T$6:$V$10,2,1)*$P128+VLOOKUP($P128,'Regresion Q3'!$T$6:$V$10,3,1)</f>
        <v>11743246.585452892</v>
      </c>
      <c r="AQ128" s="94">
        <f ca="1">VLOOKUP($P128,'Regresion Q3'!$W$6:$Y$10,2,1)*$P128+VLOOKUP($P128,'Regresion Q3'!$W$6:$Y$10,3,1)</f>
        <v>12025401.330054177</v>
      </c>
      <c r="AR128" s="94">
        <f ca="1">VLOOKUP($P128,'Regresion Q3'!$Z$6:$AB$10,2,1)*$P128+VLOOKUP($P128,'Regresion Q3'!$Z$6:$AB$10,3,1)</f>
        <v>12083362.7420676</v>
      </c>
      <c r="AS128" s="94">
        <f>IF($BN128=$BN129,-1,DatosHoy[[#This Row],[G ajus PM Q1]]-BO129)</f>
        <v>-1</v>
      </c>
      <c r="AT128" s="94">
        <f>IF($BN128=$BN129,-1,DatosHoy[[#This Row],[G+V ajus PM Q1]]-BP129)</f>
        <v>-1</v>
      </c>
      <c r="AU128" s="94">
        <f>IF($BN128=$BN129,-1,DatosHoy[[#This Row],[CT ajus PM Q1]]-BQ129)</f>
        <v>-1</v>
      </c>
      <c r="AV128" s="94">
        <f ca="1">IF(DatosHoy[[#This Row],[G ajus PM Q1]]=DatosHoy[[#This Row],[G+V ajus PM Q1]],-1,DatosHoy[[#This Row],[G ajus PM Q1]]-DatosHoy[[#This Row],[G+V ajus PM Q1]])</f>
        <v>-503041.54125838354</v>
      </c>
      <c r="AW128" s="94">
        <f ca="1">IF(DatosHoy[[#This Row],[G+V ajus PM Q1]]=DatosHoy[[#This Row],[CT ajus PM Q1]],-1,DatosHoy[[#This Row],[G+V ajus PM Q1]]-DatosHoy[[#This Row],[CT ajus PM Q1]])</f>
        <v>-452197.64483823255</v>
      </c>
      <c r="AX128" s="94">
        <f>IF($BN128=$BN129,-1,DatosHoy[[#This Row],[G ajus PMd]]-BR129)</f>
        <v>-1</v>
      </c>
      <c r="AY128" s="94">
        <f>IF($BN128=$BN129,-1,DatosHoy[[#This Row],[G+V ajus PM Md]]-BS129)</f>
        <v>-1</v>
      </c>
      <c r="AZ128" s="94">
        <f>IF($BN128=$BN129,-1,DatosHoy[[#This Row],[CT ajus PM Md]]-BT129)</f>
        <v>-1</v>
      </c>
      <c r="BA128" s="94">
        <f ca="1">IF(DatosHoy[[#This Row],[G ajus PMd]]=DatosHoy[[#This Row],[G+V ajus PM Md]],-1,DatosHoy[[#This Row],[G ajus PMd]]-DatosHoy[[#This Row],[G+V ajus PM Md]])</f>
        <v>-704313.29405904375</v>
      </c>
      <c r="BB128" s="94">
        <f ca="1">IF(DatosHoy[[#This Row],[G+V ajus PM Md]]=DatosHoy[[#This Row],[CT ajus PM Md]],-1,DatosHoy[[#This Row],[G+V ajus PM Md]]-DatosHoy[[#This Row],[CT ajus PM Md]])</f>
        <v>-444058.51995912008</v>
      </c>
      <c r="BC128" s="94">
        <f>IF($BN128=$BN129,-1,DatosHoy[[#This Row],[G ajus PM Q3]]-BU129)</f>
        <v>-1</v>
      </c>
      <c r="BD128" s="94">
        <f>IF($BN128=$BN129,-1,DatosHoy[[#This Row],[G+V ajus PM Q3]]-BV129)</f>
        <v>-1</v>
      </c>
      <c r="BE128" s="94">
        <f>IF($BN128=$BN129,-1,DatosHoy[[#This Row],[CT ajus PM Q3]]-BW129)</f>
        <v>-1</v>
      </c>
      <c r="BF128" s="94">
        <f ca="1">IF(DatosHoy[[#This Row],[G ajus PM Q3]]=DatosHoy[[#This Row],[G+V ajus PM Q3]],-1,DatosHoy[[#This Row],[G ajus PM Q3]]-DatosHoy[[#This Row],[G+V ajus PM Q3]])</f>
        <v>-292523.99074215628</v>
      </c>
      <c r="BG128" s="94">
        <f ca="1">IF(DatosHoy[[#This Row],[G+V ajus PM Q3]]=DatosHoy[[#This Row],[CT ajus PM Q3]],-1,DatosHoy[[#This Row],[G+V ajus PM Q3]]-DatosHoy[[#This Row],[CT ajus PM Q3]])</f>
        <v>-31099.065219929442</v>
      </c>
      <c r="BH128" s="94">
        <f ca="1">IF(DatosHoy[[#This Row],[G ajus PM Q1]]=DatosHoy[[#This Row],[G ajus PMd]],-1,DatosHoy[[#This Row],[G ajus PM Q1]]-DatosHoy[[#This Row],[G ajus PMd]])</f>
        <v>-657259.82265667804</v>
      </c>
      <c r="BI128" s="94">
        <f ca="1">IF(DatosHoy[[#This Row],[G+V ajus PM Q1]]=DatosHoy[[#This Row],[G+V ajus PM Md]],-1,DatosHoy[[#This Row],[G+V ajus PM Q1]]-DatosHoy[[#This Row],[G+V ajus PM Md]])</f>
        <v>-858531.57545733824</v>
      </c>
      <c r="BJ128" s="94">
        <f ca="1">IF(DatosHoy[[#This Row],[CT ajus PM Q1]]=DatosHoy[[#This Row],[CT ajus PM Md]],-1,DatosHoy[[#This Row],[CT ajus PM Q1]]-DatosHoy[[#This Row],[CT ajus PM Md]])</f>
        <v>-850392.45057822578</v>
      </c>
      <c r="BK128" s="94">
        <f ca="1">IF(DatosHoy[[#This Row],[G ajus PMd]]=DatosHoy[[#This Row],[G ajus PM Q3]],-1,DatosHoy[[#This Row],[G ajus PMd]]-DatosHoy[[#This Row],[G ajus PM Q3]])</f>
        <v>-1154011.1658006422</v>
      </c>
      <c r="BL128" s="94">
        <f ca="1">IF(DatosHoy[[#This Row],[G+V ajus PM Md]]=DatosHoy[[#This Row],[G+V ajus PM Q3]],-1,DatosHoy[[#This Row],[G+V ajus PM Md]]-DatosHoy[[#This Row],[G+V ajus PM Q3]])</f>
        <v>-742221.86248375475</v>
      </c>
      <c r="BM128" s="94">
        <f ca="1">IF(DatosHoy[[#This Row],[CT ajus PM Md]]=DatosHoy[[#This Row],[CT ajus PM Q3]],-1,DatosHoy[[#This Row],[CT ajus PM Md]]-DatosHoy[[#This Row],[CT ajus PM Q3]])</f>
        <v>-329262.40774456412</v>
      </c>
      <c r="BN128" s="74">
        <v>577</v>
      </c>
      <c r="BO128" s="94">
        <f ca="1">IFERROR(VLOOKUP($BN128,'Regresion Q1'!$T$6:$V$10,2,1)*$BN128+VLOOKUP($BN128,'Regresion Q1'!$T$6:$V$10,3,1),VLOOKUP(MIN(DatosHoy[Puntos]),'Regresion Q1'!$T$6:$V$10,2,1)*$BN128+VLOOKUP(MIN(DatosHoy[Puntos]),'Regresion Q1'!$T$6:$V$10,3,1))</f>
        <v>10504995.809643615</v>
      </c>
      <c r="BP128" s="94">
        <f ca="1">IFERROR(VLOOKUP($BN128,'Regresion Q1'!$W$6:$Y$10,2,1)*$BN128+VLOOKUP($BN128,'Regresion Q1'!$W$6:$Y$10,3,1),VLOOKUP(MIN(DatosHoy[Puntos]),'Regresion Q1'!$W$6:$Y$10,2,1)*$BN128+VLOOKUP(MIN(DatosHoy[Puntos]),'Regresion Q1'!$W$6:$Y$10,3,1))</f>
        <v>11008037.350901999</v>
      </c>
      <c r="BQ128" s="94">
        <f ca="1">IFERROR(VLOOKUP($BN128,'Regresion Q1'!$Z$6:$AB$10,2,1)*$BN128+VLOOKUP($BN128,'Regresion Q1'!$Z$6:$AB$10,3,1),VLOOKUP(MIN(DatosHoy[Puntos]),'Regresion Q1'!$Z$6:$AB$10,2,1)*$BN128+VLOOKUP(MIN(DatosHoy[Puntos]),'Regresion Q1'!$Z$6:$AB$10,3,1))</f>
        <v>11460234.995740231</v>
      </c>
      <c r="BR128" s="94">
        <f ca="1">IFERROR(VLOOKUP($BN128,'Regresion Md'!$T$6:$V$10,2,1)*$BN128+VLOOKUP($BN128,'Regresion Md'!$T$6:$V$10,3,1),VLOOKUP(MIN(DatosHoy[Puntos]),'Regresion Md'!$T$6:$V$10,2,1)*$BN128+VLOOKUP(MIN(DatosHoy[Puntos]),'Regresion Md'!$T$6:$V$10,3,1))</f>
        <v>11162255.632300293</v>
      </c>
      <c r="BS128" s="94">
        <f ca="1">IFERROR(VLOOKUP($BN128,'Regresion Md'!$W$6:$Y$10,2,1)*$BN128+VLOOKUP($BN128,'Regresion Md'!$W$6:$Y$10,3,1),VLOOKUP(MIN(DatosHoy[Puntos]),'Regresion Md'!$W$6:$Y$10,2,1)*$BN128+VLOOKUP(MIN(DatosHoy[Puntos]),'Regresion Md'!$W$6:$Y$10,3,1))</f>
        <v>11866568.926359337</v>
      </c>
      <c r="BT128" s="94">
        <f ca="1">IFERROR(VLOOKUP($BN128,'Regresion Md'!$Z$6:$AB$10,2,1)*$BN128+VLOOKUP($BN128,'Regresion Md'!$Z$6:$AB$10,3,1),VLOOKUP(MIN(DatosHoy[Puntos]),'Regresion Md'!$Z$6:$AB$10,2,1)*$BN128+VLOOKUP(MIN(DatosHoy[Puntos]),'Regresion Md'!$Z$6:$AB$10,3,1))</f>
        <v>12310627.446318457</v>
      </c>
      <c r="BU128" s="94">
        <f ca="1">IFERROR(VLOOKUP($BN128,'Regresion Q3'!$T$6:$V$10,2,1)*$BN128+VLOOKUP($BN128,'Regresion Q3'!$T$6:$V$10,3,1),VLOOKUP(MIN(DatosHoy[Puntos]),'Regresion Q3'!$T$6:$V$10,2,1)*$BN128+VLOOKUP(MIN(DatosHoy[Puntos]),'Regresion Q3'!$T$6:$V$10,3,1))</f>
        <v>12316266.798100935</v>
      </c>
      <c r="BV128" s="94">
        <f ca="1">IFERROR(VLOOKUP($BN128,'Regresion Q3'!$W$6:$Y$10,2,1)*$BN128+VLOOKUP($BN128,'Regresion Q3'!$W$6:$Y$10,3,1),VLOOKUP(MIN(DatosHoy[Puntos]),'Regresion Q3'!$W$6:$Y$10,2,1)*$BN128+VLOOKUP(MIN(DatosHoy[Puntos]),'Regresion Q3'!$W$6:$Y$10,3,1))</f>
        <v>12608790.788843092</v>
      </c>
      <c r="BW128" s="94">
        <f ca="1">IFERROR(VLOOKUP($BN128,'Regresion Q3'!$Z$6:$AB$10,2,1)*$BN128+VLOOKUP($BN128,'Regresion Q3'!$Z$6:$AB$10,3,1),VLOOKUP(MIN(DatosHoy[Puntos]),'Regresion Q3'!$Z$6:$AB$10,2,1)*$BN128+VLOOKUP(MIN(DatosHoy[Puntos]),'Regresion Q3'!$Z$6:$AB$10,3,1))</f>
        <v>12639889.854063021</v>
      </c>
      <c r="BX128" s="96">
        <f ca="1">DatosHoy[[#This Row],[CT Actual]]/DatosHoy[[#This Row],[CT ajus PM Md]]</f>
        <v>0.75509498118878704</v>
      </c>
      <c r="BY128" s="136" t="str">
        <f>VLOOKUP(DatosHoy[[#This Row],[Cargo Valorado]],Estadísticos[[Cargo]:[Nivel]],2,FALSE)</f>
        <v>Gerencia media</v>
      </c>
      <c r="BZ128" s="96">
        <f>(DatosHoy[[#This Row],[G+V Actual]]-DatosHoy[[#This Row],[G Actual]])/DatosHoy[[#This Row],[CT Actual]]</f>
        <v>0</v>
      </c>
      <c r="CA128" s="96">
        <f>(DatosHoy[[#This Row],[CT Actual]]-DatosHoy[[#This Row],[G+V Actual]])/DatosHoy[[#This Row],[CT Actual]]</f>
        <v>0</v>
      </c>
      <c r="CB128" s="139" t="s">
        <v>255</v>
      </c>
    </row>
    <row r="129" spans="2:80" x14ac:dyDescent="0.25">
      <c r="B129" s="73">
        <f t="shared" si="67"/>
        <v>124</v>
      </c>
      <c r="C129" s="74">
        <v>9295693</v>
      </c>
      <c r="D129" s="74">
        <v>9295693</v>
      </c>
      <c r="E129" s="74">
        <v>9295693</v>
      </c>
      <c r="F129" s="94">
        <f>VLOOKUP(DatosHoy[[#This Row],[Cargo Valorado]],Estadísticos[],3,0)</f>
        <v>8818300.3196819462</v>
      </c>
      <c r="G129" s="94">
        <f>VLOOKUP(DatosHoy[[#This Row],[Cargo Valorado]],Estadísticos[],4,0)</f>
        <v>8818300.3196819462</v>
      </c>
      <c r="H129" s="94">
        <f>VLOOKUP(DatosHoy[[#This Row],[Cargo Valorado]],Estadísticos[],5,0)</f>
        <v>8930360.2363486122</v>
      </c>
      <c r="I129" s="94">
        <f>VLOOKUP(DatosHoy[[#This Row],[Cargo Valorado]],Estadísticos[],6,0)</f>
        <v>10001206.488248259</v>
      </c>
      <c r="J129" s="94">
        <f>VLOOKUP(DatosHoy[[#This Row],[Cargo Valorado]],Estadísticos[],7,0)</f>
        <v>10257182.070085574</v>
      </c>
      <c r="K129" s="94">
        <f>VLOOKUP(DatosHoy[[#This Row],[Cargo Valorado]],Estadísticos[],8,0)</f>
        <v>10257182.070085574</v>
      </c>
      <c r="L129" s="94">
        <f>VLOOKUP(DatosHoy[[#This Row],[Cargo Valorado]],Estadísticos[],9,0)</f>
        <v>10393093.531889772</v>
      </c>
      <c r="M129" s="94">
        <f>VLOOKUP(DatosHoy[[#This Row],[Cargo Valorado]],Estadísticos[],10,0)</f>
        <v>11085599.58270457</v>
      </c>
      <c r="N129" s="94">
        <f>VLOOKUP(DatosHoy[[#This Row],[Cargo Valorado]],Estadísticos[],11,0)</f>
        <v>11185060.695003442</v>
      </c>
      <c r="O129" s="75" t="s">
        <v>174</v>
      </c>
      <c r="P129" s="75">
        <v>559</v>
      </c>
      <c r="Q129" s="95" t="str">
        <f t="shared" si="68"/>
        <v>$P$129</v>
      </c>
      <c r="R129" s="95" t="str">
        <f t="shared" si="69"/>
        <v>$F$129</v>
      </c>
      <c r="S129" s="95" t="str">
        <f t="shared" si="70"/>
        <v>$G$129</v>
      </c>
      <c r="T129" s="95" t="str">
        <f t="shared" si="71"/>
        <v>$H$129</v>
      </c>
      <c r="U129" s="95" t="str">
        <f t="shared" si="72"/>
        <v>$I$129</v>
      </c>
      <c r="V129" s="95" t="str">
        <f t="shared" si="73"/>
        <v>$J$129</v>
      </c>
      <c r="W129" s="95" t="str">
        <f t="shared" si="74"/>
        <v>$K$129</v>
      </c>
      <c r="X129" s="95" t="str">
        <f t="shared" si="75"/>
        <v>$L$129</v>
      </c>
      <c r="Y129" s="95" t="str">
        <f t="shared" si="76"/>
        <v>$M$129</v>
      </c>
      <c r="Z129" s="95" t="str">
        <f t="shared" si="77"/>
        <v>$N$129</v>
      </c>
      <c r="AA129" s="94">
        <f ca="1">VLOOKUP($P129,'Regresion Q1'!$E$6:$I$10,4,1)*$P129+VLOOKUP($P129,'Regresion Q1'!$E$6:$I$10,5,1)</f>
        <v>9289079.9499961492</v>
      </c>
      <c r="AB129" s="94">
        <f ca="1">VLOOKUP($P129,'Regresion Q1'!$J$6:$N$10,4,1)*$P129+VLOOKUP($P129,'Regresion Q1'!$J$6:$N$10,5,1)</f>
        <v>10165331.643392175</v>
      </c>
      <c r="AC129" s="94">
        <f ca="1">VLOOKUP($P129,'Regresion Q1'!$O$6:$S$10,4,1)*$P129+VLOOKUP($P129,'Regresion Q1'!$O$6:$S$10,5,1)</f>
        <v>10420275.094584113</v>
      </c>
      <c r="AD129" s="94">
        <f ca="1">VLOOKUP($P129,'Regresion Md'!$E$6:$I$10,4,1)*$P129+VLOOKUP($P129,'Regresion Md'!$E$6:$I$10,5,1)</f>
        <v>11484121.922813527</v>
      </c>
      <c r="AE129" s="94">
        <f ca="1">VLOOKUP($P129,'Regresion Md'!$J$6:$N$10,4,1)*$P129+VLOOKUP($P129,'Regresion Md'!$J$6:$N$10,5,1)</f>
        <v>11792892.584411671</v>
      </c>
      <c r="AF129" s="94">
        <f ca="1">VLOOKUP($P129,'Regresion Md'!$O$6:$S$10,4,1)*$P129+VLOOKUP($P129,'Regresion Md'!$O$6:$S$10,5,1)</f>
        <v>11944620.150035508</v>
      </c>
      <c r="AG129" s="94">
        <f ca="1">VLOOKUP($P129,'Regresion Q3'!$E$6:$I$10,4,1)*$P129+VLOOKUP($P129,'Regresion Q3'!$E$6:$I$10,5,1)</f>
        <v>14409731.476321816</v>
      </c>
      <c r="AH129" s="94">
        <f ca="1">VLOOKUP($P129,'Regresion Q3'!$J$6:$N$10,4,1)*$P129+VLOOKUP($P129,'Regresion Q3'!$J$6:$N$10,5,1)</f>
        <v>15200927.24295041</v>
      </c>
      <c r="AI129" s="94">
        <f ca="1">VLOOKUP($P129,'Regresion Q3'!$O$6:$S$10,4,1)*$P129+VLOOKUP($P129,'Regresion Q3'!$O$6:$S$10,5,1)</f>
        <v>15469817.979410587</v>
      </c>
      <c r="AJ129" s="94">
        <f ca="1">VLOOKUP($P129,'Regresion Q1'!$T$6:$V$10,2,1)*$P129+VLOOKUP($P129,'Regresion Q1'!$T$6:$V$10,3,1)</f>
        <v>9951028.5336444974</v>
      </c>
      <c r="AK129" s="94">
        <f ca="1">VLOOKUP($P129,'Regresion Q1'!$W$6:$Y$10,2,1)*$P129+VLOOKUP($P129,'Regresion Q1'!$W$6:$Y$10,3,1)</f>
        <v>10420150.427052606</v>
      </c>
      <c r="AL129" s="94">
        <f ca="1">VLOOKUP($P129,'Regresion Q1'!$Z$6:$AB$10,2,1)*$P129+VLOOKUP($P129,'Regresion Q1'!$Z$6:$AB$10,3,1)</f>
        <v>10853450.568784855</v>
      </c>
      <c r="AM129" s="94">
        <f ca="1">VLOOKUP($P129,'Regresion Md'!$T$6:$V$10,2,1)*$P129+VLOOKUP($P129,'Regresion Md'!$T$6:$V$10,3,1)</f>
        <v>10749379.468418419</v>
      </c>
      <c r="AN129" s="94">
        <f ca="1">VLOOKUP($P129,'Regresion Md'!$W$6:$Y$10,2,1)*$P129+VLOOKUP($P129,'Regresion Md'!$W$6:$Y$10,3,1)</f>
        <v>11419378.237777272</v>
      </c>
      <c r="AO129" s="94">
        <f ca="1">VLOOKUP($P129,'Regresion Md'!$Z$6:$AB$10,2,1)*$P129+VLOOKUP($P129,'Regresion Md'!$Z$6:$AB$10,3,1)</f>
        <v>11850909.045757193</v>
      </c>
      <c r="AP129" s="94">
        <f ca="1">VLOOKUP($P129,'Regresion Q3'!$T$6:$V$10,2,1)*$P129+VLOOKUP($P129,'Regresion Q3'!$T$6:$V$10,3,1)</f>
        <v>11825106.615831183</v>
      </c>
      <c r="AQ129" s="94">
        <f ca="1">VLOOKUP($P129,'Regresion Q3'!$W$6:$Y$10,2,1)*$P129+VLOOKUP($P129,'Regresion Q3'!$W$6:$Y$10,3,1)</f>
        <v>12108742.681309737</v>
      </c>
      <c r="AR129" s="94">
        <f ca="1">VLOOKUP($P129,'Regresion Q3'!$Z$6:$AB$10,2,1)*$P129+VLOOKUP($P129,'Regresion Q3'!$Z$6:$AB$10,3,1)</f>
        <v>12162866.615209803</v>
      </c>
      <c r="AS129" s="94">
        <f>IF($BN129=$BN130,-1,DatosHoy[[#This Row],[G ajus PM Q1]]-BO130)</f>
        <v>-1</v>
      </c>
      <c r="AT129" s="94">
        <f>IF($BN129=$BN130,-1,DatosHoy[[#This Row],[G+V ajus PM Q1]]-BP130)</f>
        <v>-1</v>
      </c>
      <c r="AU129" s="94">
        <f>IF($BN129=$BN130,-1,DatosHoy[[#This Row],[CT ajus PM Q1]]-BQ130)</f>
        <v>-1</v>
      </c>
      <c r="AV129" s="94">
        <f ca="1">IF(DatosHoy[[#This Row],[G ajus PM Q1]]=DatosHoy[[#This Row],[G+V ajus PM Q1]],-1,DatosHoy[[#This Row],[G ajus PM Q1]]-DatosHoy[[#This Row],[G+V ajus PM Q1]])</f>
        <v>-503041.54125838354</v>
      </c>
      <c r="AW129" s="94">
        <f ca="1">IF(DatosHoy[[#This Row],[G+V ajus PM Q1]]=DatosHoy[[#This Row],[CT ajus PM Q1]],-1,DatosHoy[[#This Row],[G+V ajus PM Q1]]-DatosHoy[[#This Row],[CT ajus PM Q1]])</f>
        <v>-452197.64483823255</v>
      </c>
      <c r="AX129" s="94">
        <f>IF($BN129=$BN130,-1,DatosHoy[[#This Row],[G ajus PMd]]-BR130)</f>
        <v>-1</v>
      </c>
      <c r="AY129" s="94">
        <f>IF($BN129=$BN130,-1,DatosHoy[[#This Row],[G+V ajus PM Md]]-BS130)</f>
        <v>-1</v>
      </c>
      <c r="AZ129" s="94">
        <f>IF($BN129=$BN130,-1,DatosHoy[[#This Row],[CT ajus PM Md]]-BT130)</f>
        <v>-1</v>
      </c>
      <c r="BA129" s="94">
        <f ca="1">IF(DatosHoy[[#This Row],[G ajus PMd]]=DatosHoy[[#This Row],[G+V ajus PM Md]],-1,DatosHoy[[#This Row],[G ajus PMd]]-DatosHoy[[#This Row],[G+V ajus PM Md]])</f>
        <v>-704313.29405904375</v>
      </c>
      <c r="BB129" s="94">
        <f ca="1">IF(DatosHoy[[#This Row],[G+V ajus PM Md]]=DatosHoy[[#This Row],[CT ajus PM Md]],-1,DatosHoy[[#This Row],[G+V ajus PM Md]]-DatosHoy[[#This Row],[CT ajus PM Md]])</f>
        <v>-444058.51995912008</v>
      </c>
      <c r="BC129" s="94">
        <f>IF($BN129=$BN130,-1,DatosHoy[[#This Row],[G ajus PM Q3]]-BU130)</f>
        <v>-1</v>
      </c>
      <c r="BD129" s="94">
        <f>IF($BN129=$BN130,-1,DatosHoy[[#This Row],[G+V ajus PM Q3]]-BV130)</f>
        <v>-1</v>
      </c>
      <c r="BE129" s="94">
        <f>IF($BN129=$BN130,-1,DatosHoy[[#This Row],[CT ajus PM Q3]]-BW130)</f>
        <v>-1</v>
      </c>
      <c r="BF129" s="94">
        <f ca="1">IF(DatosHoy[[#This Row],[G ajus PM Q3]]=DatosHoy[[#This Row],[G+V ajus PM Q3]],-1,DatosHoy[[#This Row],[G ajus PM Q3]]-DatosHoy[[#This Row],[G+V ajus PM Q3]])</f>
        <v>-292523.99074215628</v>
      </c>
      <c r="BG129" s="94">
        <f ca="1">IF(DatosHoy[[#This Row],[G+V ajus PM Q3]]=DatosHoy[[#This Row],[CT ajus PM Q3]],-1,DatosHoy[[#This Row],[G+V ajus PM Q3]]-DatosHoy[[#This Row],[CT ajus PM Q3]])</f>
        <v>-31099.065219929442</v>
      </c>
      <c r="BH129" s="94">
        <f ca="1">IF(DatosHoy[[#This Row],[G ajus PM Q1]]=DatosHoy[[#This Row],[G ajus PMd]],-1,DatosHoy[[#This Row],[G ajus PM Q1]]-DatosHoy[[#This Row],[G ajus PMd]])</f>
        <v>-657259.82265667804</v>
      </c>
      <c r="BI129" s="94">
        <f ca="1">IF(DatosHoy[[#This Row],[G+V ajus PM Q1]]=DatosHoy[[#This Row],[G+V ajus PM Md]],-1,DatosHoy[[#This Row],[G+V ajus PM Q1]]-DatosHoy[[#This Row],[G+V ajus PM Md]])</f>
        <v>-858531.57545733824</v>
      </c>
      <c r="BJ129" s="94">
        <f ca="1">IF(DatosHoy[[#This Row],[CT ajus PM Q1]]=DatosHoy[[#This Row],[CT ajus PM Md]],-1,DatosHoy[[#This Row],[CT ajus PM Q1]]-DatosHoy[[#This Row],[CT ajus PM Md]])</f>
        <v>-850392.45057822578</v>
      </c>
      <c r="BK129" s="94">
        <f ca="1">IF(DatosHoy[[#This Row],[G ajus PMd]]=DatosHoy[[#This Row],[G ajus PM Q3]],-1,DatosHoy[[#This Row],[G ajus PMd]]-DatosHoy[[#This Row],[G ajus PM Q3]])</f>
        <v>-1154011.1658006422</v>
      </c>
      <c r="BL129" s="94">
        <f ca="1">IF(DatosHoy[[#This Row],[G+V ajus PM Md]]=DatosHoy[[#This Row],[G+V ajus PM Q3]],-1,DatosHoy[[#This Row],[G+V ajus PM Md]]-DatosHoy[[#This Row],[G+V ajus PM Q3]])</f>
        <v>-742221.86248375475</v>
      </c>
      <c r="BM129" s="94">
        <f ca="1">IF(DatosHoy[[#This Row],[CT ajus PM Md]]=DatosHoy[[#This Row],[CT ajus PM Q3]],-1,DatosHoy[[#This Row],[CT ajus PM Md]]-DatosHoy[[#This Row],[CT ajus PM Q3]])</f>
        <v>-329262.40774456412</v>
      </c>
      <c r="BN129" s="74">
        <v>577</v>
      </c>
      <c r="BO129" s="94">
        <f ca="1">IFERROR(VLOOKUP($BN129,'Regresion Q1'!$T$6:$V$10,2,1)*$BN129+VLOOKUP($BN129,'Regresion Q1'!$T$6:$V$10,3,1),VLOOKUP(MIN(DatosHoy[Puntos]),'Regresion Q1'!$T$6:$V$10,2,1)*$BN129+VLOOKUP(MIN(DatosHoy[Puntos]),'Regresion Q1'!$T$6:$V$10,3,1))</f>
        <v>10504995.809643615</v>
      </c>
      <c r="BP129" s="94">
        <f ca="1">IFERROR(VLOOKUP($BN129,'Regresion Q1'!$W$6:$Y$10,2,1)*$BN129+VLOOKUP($BN129,'Regresion Q1'!$W$6:$Y$10,3,1),VLOOKUP(MIN(DatosHoy[Puntos]),'Regresion Q1'!$W$6:$Y$10,2,1)*$BN129+VLOOKUP(MIN(DatosHoy[Puntos]),'Regresion Q1'!$W$6:$Y$10,3,1))</f>
        <v>11008037.350901999</v>
      </c>
      <c r="BQ129" s="94">
        <f ca="1">IFERROR(VLOOKUP($BN129,'Regresion Q1'!$Z$6:$AB$10,2,1)*$BN129+VLOOKUP($BN129,'Regresion Q1'!$Z$6:$AB$10,3,1),VLOOKUP(MIN(DatosHoy[Puntos]),'Regresion Q1'!$Z$6:$AB$10,2,1)*$BN129+VLOOKUP(MIN(DatosHoy[Puntos]),'Regresion Q1'!$Z$6:$AB$10,3,1))</f>
        <v>11460234.995740231</v>
      </c>
      <c r="BR129" s="94">
        <f ca="1">IFERROR(VLOOKUP($BN129,'Regresion Md'!$T$6:$V$10,2,1)*$BN129+VLOOKUP($BN129,'Regresion Md'!$T$6:$V$10,3,1),VLOOKUP(MIN(DatosHoy[Puntos]),'Regresion Md'!$T$6:$V$10,2,1)*$BN129+VLOOKUP(MIN(DatosHoy[Puntos]),'Regresion Md'!$T$6:$V$10,3,1))</f>
        <v>11162255.632300293</v>
      </c>
      <c r="BS129" s="94">
        <f ca="1">IFERROR(VLOOKUP($BN129,'Regresion Md'!$W$6:$Y$10,2,1)*$BN129+VLOOKUP($BN129,'Regresion Md'!$W$6:$Y$10,3,1),VLOOKUP(MIN(DatosHoy[Puntos]),'Regresion Md'!$W$6:$Y$10,2,1)*$BN129+VLOOKUP(MIN(DatosHoy[Puntos]),'Regresion Md'!$W$6:$Y$10,3,1))</f>
        <v>11866568.926359337</v>
      </c>
      <c r="BT129" s="94">
        <f ca="1">IFERROR(VLOOKUP($BN129,'Regresion Md'!$Z$6:$AB$10,2,1)*$BN129+VLOOKUP($BN129,'Regresion Md'!$Z$6:$AB$10,3,1),VLOOKUP(MIN(DatosHoy[Puntos]),'Regresion Md'!$Z$6:$AB$10,2,1)*$BN129+VLOOKUP(MIN(DatosHoy[Puntos]),'Regresion Md'!$Z$6:$AB$10,3,1))</f>
        <v>12310627.446318457</v>
      </c>
      <c r="BU129" s="94">
        <f ca="1">IFERROR(VLOOKUP($BN129,'Regresion Q3'!$T$6:$V$10,2,1)*$BN129+VLOOKUP($BN129,'Regresion Q3'!$T$6:$V$10,3,1),VLOOKUP(MIN(DatosHoy[Puntos]),'Regresion Q3'!$T$6:$V$10,2,1)*$BN129+VLOOKUP(MIN(DatosHoy[Puntos]),'Regresion Q3'!$T$6:$V$10,3,1))</f>
        <v>12316266.798100935</v>
      </c>
      <c r="BV129" s="94">
        <f ca="1">IFERROR(VLOOKUP($BN129,'Regresion Q3'!$W$6:$Y$10,2,1)*$BN129+VLOOKUP($BN129,'Regresion Q3'!$W$6:$Y$10,3,1),VLOOKUP(MIN(DatosHoy[Puntos]),'Regresion Q3'!$W$6:$Y$10,2,1)*$BN129+VLOOKUP(MIN(DatosHoy[Puntos]),'Regresion Q3'!$W$6:$Y$10,3,1))</f>
        <v>12608790.788843092</v>
      </c>
      <c r="BW129" s="94">
        <f ca="1">IFERROR(VLOOKUP($BN129,'Regresion Q3'!$Z$6:$AB$10,2,1)*$BN129+VLOOKUP($BN129,'Regresion Q3'!$Z$6:$AB$10,3,1),VLOOKUP(MIN(DatosHoy[Puntos]),'Regresion Q3'!$Z$6:$AB$10,2,1)*$BN129+VLOOKUP(MIN(DatosHoy[Puntos]),'Regresion Q3'!$Z$6:$AB$10,3,1))</f>
        <v>12639889.854063021</v>
      </c>
      <c r="BX129" s="96">
        <f ca="1">DatosHoy[[#This Row],[CT Actual]]/DatosHoy[[#This Row],[CT ajus PM Md]]</f>
        <v>0.75509498118878704</v>
      </c>
      <c r="BY129" s="136" t="str">
        <f>VLOOKUP(DatosHoy[[#This Row],[Cargo Valorado]],Estadísticos[[Cargo]:[Nivel]],2,FALSE)</f>
        <v>Gerencia media</v>
      </c>
      <c r="BZ129" s="96">
        <f>(DatosHoy[[#This Row],[G+V Actual]]-DatosHoy[[#This Row],[G Actual]])/DatosHoy[[#This Row],[CT Actual]]</f>
        <v>0</v>
      </c>
      <c r="CA129" s="96">
        <f>(DatosHoy[[#This Row],[CT Actual]]-DatosHoy[[#This Row],[G+V Actual]])/DatosHoy[[#This Row],[CT Actual]]</f>
        <v>0</v>
      </c>
      <c r="CB129" s="139" t="s">
        <v>255</v>
      </c>
    </row>
    <row r="130" spans="2:80" x14ac:dyDescent="0.25">
      <c r="B130" s="73">
        <f t="shared" si="67"/>
        <v>125</v>
      </c>
      <c r="C130" s="74">
        <v>12175004.49</v>
      </c>
      <c r="D130" s="74">
        <v>12175004.49</v>
      </c>
      <c r="E130" s="74">
        <v>12175004.49</v>
      </c>
      <c r="F130" s="94">
        <f>VLOOKUP(DatosHoy[[#This Row],[Cargo Valorado]],Estadísticos[],3,0)</f>
        <v>17011523.869877264</v>
      </c>
      <c r="G130" s="94">
        <f>VLOOKUP(DatosHoy[[#This Row],[Cargo Valorado]],Estadísticos[],4,0)</f>
        <v>17011523.869877264</v>
      </c>
      <c r="H130" s="94">
        <f>VLOOKUP(DatosHoy[[#This Row],[Cargo Valorado]],Estadísticos[],5,0)</f>
        <v>17343117.337705508</v>
      </c>
      <c r="I130" s="94">
        <f>VLOOKUP(DatosHoy[[#This Row],[Cargo Valorado]],Estadísticos[],6,0)</f>
        <v>17778800</v>
      </c>
      <c r="J130" s="94">
        <f>VLOOKUP(DatosHoy[[#This Row],[Cargo Valorado]],Estadísticos[],7,0)</f>
        <v>17778800</v>
      </c>
      <c r="K130" s="94">
        <f>VLOOKUP(DatosHoy[[#This Row],[Cargo Valorado]],Estadísticos[],8,0)</f>
        <v>18227039.666666668</v>
      </c>
      <c r="L130" s="94">
        <f>VLOOKUP(DatosHoy[[#This Row],[Cargo Valorado]],Estadísticos[],9,0)</f>
        <v>17778800</v>
      </c>
      <c r="M130" s="94">
        <f>VLOOKUP(DatosHoy[[#This Row],[Cargo Valorado]],Estadísticos[],10,0)</f>
        <v>20413052.109956708</v>
      </c>
      <c r="N130" s="94">
        <f>VLOOKUP(DatosHoy[[#This Row],[Cargo Valorado]],Estadísticos[],11,0)</f>
        <v>21523927.551620603</v>
      </c>
      <c r="O130" s="75" t="s">
        <v>201</v>
      </c>
      <c r="P130" s="75">
        <v>559</v>
      </c>
      <c r="Q130" s="95" t="str">
        <f t="shared" si="68"/>
        <v>$P$130</v>
      </c>
      <c r="R130" s="95" t="str">
        <f t="shared" si="69"/>
        <v>$F$130</v>
      </c>
      <c r="S130" s="95" t="str">
        <f t="shared" si="70"/>
        <v>$G$130</v>
      </c>
      <c r="T130" s="95" t="str">
        <f t="shared" si="71"/>
        <v>$H$130</v>
      </c>
      <c r="U130" s="95" t="str">
        <f t="shared" si="72"/>
        <v>$I$130</v>
      </c>
      <c r="V130" s="95" t="str">
        <f t="shared" si="73"/>
        <v>$J$130</v>
      </c>
      <c r="W130" s="95" t="str">
        <f t="shared" si="74"/>
        <v>$K$130</v>
      </c>
      <c r="X130" s="95" t="str">
        <f t="shared" si="75"/>
        <v>$L$130</v>
      </c>
      <c r="Y130" s="95" t="str">
        <f t="shared" si="76"/>
        <v>$M$130</v>
      </c>
      <c r="Z130" s="95" t="str">
        <f t="shared" si="77"/>
        <v>$N$130</v>
      </c>
      <c r="AA130" s="94">
        <f ca="1">VLOOKUP($P130,'Regresion Q1'!$E$6:$I$10,4,1)*$P130+VLOOKUP($P130,'Regresion Q1'!$E$6:$I$10,5,1)</f>
        <v>9289079.9499961492</v>
      </c>
      <c r="AB130" s="94">
        <f ca="1">VLOOKUP($P130,'Regresion Q1'!$J$6:$N$10,4,1)*$P130+VLOOKUP($P130,'Regresion Q1'!$J$6:$N$10,5,1)</f>
        <v>10165331.643392175</v>
      </c>
      <c r="AC130" s="94">
        <f ca="1">VLOOKUP($P130,'Regresion Q1'!$O$6:$S$10,4,1)*$P130+VLOOKUP($P130,'Regresion Q1'!$O$6:$S$10,5,1)</f>
        <v>10420275.094584113</v>
      </c>
      <c r="AD130" s="94">
        <f ca="1">VLOOKUP($P130,'Regresion Md'!$E$6:$I$10,4,1)*$P130+VLOOKUP($P130,'Regresion Md'!$E$6:$I$10,5,1)</f>
        <v>11484121.922813527</v>
      </c>
      <c r="AE130" s="94">
        <f ca="1">VLOOKUP($P130,'Regresion Md'!$J$6:$N$10,4,1)*$P130+VLOOKUP($P130,'Regresion Md'!$J$6:$N$10,5,1)</f>
        <v>11792892.584411671</v>
      </c>
      <c r="AF130" s="94">
        <f ca="1">VLOOKUP($P130,'Regresion Md'!$O$6:$S$10,4,1)*$P130+VLOOKUP($P130,'Regresion Md'!$O$6:$S$10,5,1)</f>
        <v>11944620.150035508</v>
      </c>
      <c r="AG130" s="94">
        <f ca="1">VLOOKUP($P130,'Regresion Q3'!$E$6:$I$10,4,1)*$P130+VLOOKUP($P130,'Regresion Q3'!$E$6:$I$10,5,1)</f>
        <v>14409731.476321816</v>
      </c>
      <c r="AH130" s="94">
        <f ca="1">VLOOKUP($P130,'Regresion Q3'!$J$6:$N$10,4,1)*$P130+VLOOKUP($P130,'Regresion Q3'!$J$6:$N$10,5,1)</f>
        <v>15200927.24295041</v>
      </c>
      <c r="AI130" s="94">
        <f ca="1">VLOOKUP($P130,'Regresion Q3'!$O$6:$S$10,4,1)*$P130+VLOOKUP($P130,'Regresion Q3'!$O$6:$S$10,5,1)</f>
        <v>15469817.979410587</v>
      </c>
      <c r="AJ130" s="94">
        <f ca="1">VLOOKUP($P130,'Regresion Q1'!$T$6:$V$10,2,1)*$P130+VLOOKUP($P130,'Regresion Q1'!$T$6:$V$10,3,1)</f>
        <v>9951028.5336444974</v>
      </c>
      <c r="AK130" s="94">
        <f ca="1">VLOOKUP($P130,'Regresion Q1'!$W$6:$Y$10,2,1)*$P130+VLOOKUP($P130,'Regresion Q1'!$W$6:$Y$10,3,1)</f>
        <v>10420150.427052606</v>
      </c>
      <c r="AL130" s="94">
        <f ca="1">VLOOKUP($P130,'Regresion Q1'!$Z$6:$AB$10,2,1)*$P130+VLOOKUP($P130,'Regresion Q1'!$Z$6:$AB$10,3,1)</f>
        <v>10853450.568784855</v>
      </c>
      <c r="AM130" s="94">
        <f ca="1">VLOOKUP($P130,'Regresion Md'!$T$6:$V$10,2,1)*$P130+VLOOKUP($P130,'Regresion Md'!$T$6:$V$10,3,1)</f>
        <v>10749379.468418419</v>
      </c>
      <c r="AN130" s="94">
        <f ca="1">VLOOKUP($P130,'Regresion Md'!$W$6:$Y$10,2,1)*$P130+VLOOKUP($P130,'Regresion Md'!$W$6:$Y$10,3,1)</f>
        <v>11419378.237777272</v>
      </c>
      <c r="AO130" s="94">
        <f ca="1">VLOOKUP($P130,'Regresion Md'!$Z$6:$AB$10,2,1)*$P130+VLOOKUP($P130,'Regresion Md'!$Z$6:$AB$10,3,1)</f>
        <v>11850909.045757193</v>
      </c>
      <c r="AP130" s="94">
        <f ca="1">VLOOKUP($P130,'Regresion Q3'!$T$6:$V$10,2,1)*$P130+VLOOKUP($P130,'Regresion Q3'!$T$6:$V$10,3,1)</f>
        <v>11825106.615831183</v>
      </c>
      <c r="AQ130" s="94">
        <f ca="1">VLOOKUP($P130,'Regresion Q3'!$W$6:$Y$10,2,1)*$P130+VLOOKUP($P130,'Regresion Q3'!$W$6:$Y$10,3,1)</f>
        <v>12108742.681309737</v>
      </c>
      <c r="AR130" s="94">
        <f ca="1">VLOOKUP($P130,'Regresion Q3'!$Z$6:$AB$10,2,1)*$P130+VLOOKUP($P130,'Regresion Q3'!$Z$6:$AB$10,3,1)</f>
        <v>12162866.615209803</v>
      </c>
      <c r="AS130" s="94">
        <f>IF($BN130=$BN131,-1,DatosHoy[[#This Row],[G ajus PM Q1]]-BO131)</f>
        <v>-1</v>
      </c>
      <c r="AT130" s="94">
        <f>IF($BN130=$BN131,-1,DatosHoy[[#This Row],[G+V ajus PM Q1]]-BP131)</f>
        <v>-1</v>
      </c>
      <c r="AU130" s="94">
        <f>IF($BN130=$BN131,-1,DatosHoy[[#This Row],[CT ajus PM Q1]]-BQ131)</f>
        <v>-1</v>
      </c>
      <c r="AV130" s="94">
        <f ca="1">IF(DatosHoy[[#This Row],[G ajus PM Q1]]=DatosHoy[[#This Row],[G+V ajus PM Q1]],-1,DatosHoy[[#This Row],[G ajus PM Q1]]-DatosHoy[[#This Row],[G+V ajus PM Q1]])</f>
        <v>-503041.54125838354</v>
      </c>
      <c r="AW130" s="94">
        <f ca="1">IF(DatosHoy[[#This Row],[G+V ajus PM Q1]]=DatosHoy[[#This Row],[CT ajus PM Q1]],-1,DatosHoy[[#This Row],[G+V ajus PM Q1]]-DatosHoy[[#This Row],[CT ajus PM Q1]])</f>
        <v>-452197.64483823255</v>
      </c>
      <c r="AX130" s="94">
        <f>IF($BN130=$BN131,-1,DatosHoy[[#This Row],[G ajus PMd]]-BR131)</f>
        <v>-1</v>
      </c>
      <c r="AY130" s="94">
        <f>IF($BN130=$BN131,-1,DatosHoy[[#This Row],[G+V ajus PM Md]]-BS131)</f>
        <v>-1</v>
      </c>
      <c r="AZ130" s="94">
        <f>IF($BN130=$BN131,-1,DatosHoy[[#This Row],[CT ajus PM Md]]-BT131)</f>
        <v>-1</v>
      </c>
      <c r="BA130" s="94">
        <f ca="1">IF(DatosHoy[[#This Row],[G ajus PMd]]=DatosHoy[[#This Row],[G+V ajus PM Md]],-1,DatosHoy[[#This Row],[G ajus PMd]]-DatosHoy[[#This Row],[G+V ajus PM Md]])</f>
        <v>-704313.29405904375</v>
      </c>
      <c r="BB130" s="94">
        <f ca="1">IF(DatosHoy[[#This Row],[G+V ajus PM Md]]=DatosHoy[[#This Row],[CT ajus PM Md]],-1,DatosHoy[[#This Row],[G+V ajus PM Md]]-DatosHoy[[#This Row],[CT ajus PM Md]])</f>
        <v>-444058.51995912008</v>
      </c>
      <c r="BC130" s="94">
        <f>IF($BN130=$BN131,-1,DatosHoy[[#This Row],[G ajus PM Q3]]-BU131)</f>
        <v>-1</v>
      </c>
      <c r="BD130" s="94">
        <f>IF($BN130=$BN131,-1,DatosHoy[[#This Row],[G+V ajus PM Q3]]-BV131)</f>
        <v>-1</v>
      </c>
      <c r="BE130" s="94">
        <f>IF($BN130=$BN131,-1,DatosHoy[[#This Row],[CT ajus PM Q3]]-BW131)</f>
        <v>-1</v>
      </c>
      <c r="BF130" s="94">
        <f ca="1">IF(DatosHoy[[#This Row],[G ajus PM Q3]]=DatosHoy[[#This Row],[G+V ajus PM Q3]],-1,DatosHoy[[#This Row],[G ajus PM Q3]]-DatosHoy[[#This Row],[G+V ajus PM Q3]])</f>
        <v>-292523.99074215628</v>
      </c>
      <c r="BG130" s="94">
        <f ca="1">IF(DatosHoy[[#This Row],[G+V ajus PM Q3]]=DatosHoy[[#This Row],[CT ajus PM Q3]],-1,DatosHoy[[#This Row],[G+V ajus PM Q3]]-DatosHoy[[#This Row],[CT ajus PM Q3]])</f>
        <v>-31099.065219929442</v>
      </c>
      <c r="BH130" s="94">
        <f ca="1">IF(DatosHoy[[#This Row],[G ajus PM Q1]]=DatosHoy[[#This Row],[G ajus PMd]],-1,DatosHoy[[#This Row],[G ajus PM Q1]]-DatosHoy[[#This Row],[G ajus PMd]])</f>
        <v>-657259.82265667804</v>
      </c>
      <c r="BI130" s="94">
        <f ca="1">IF(DatosHoy[[#This Row],[G+V ajus PM Q1]]=DatosHoy[[#This Row],[G+V ajus PM Md]],-1,DatosHoy[[#This Row],[G+V ajus PM Q1]]-DatosHoy[[#This Row],[G+V ajus PM Md]])</f>
        <v>-858531.57545733824</v>
      </c>
      <c r="BJ130" s="94">
        <f ca="1">IF(DatosHoy[[#This Row],[CT ajus PM Q1]]=DatosHoy[[#This Row],[CT ajus PM Md]],-1,DatosHoy[[#This Row],[CT ajus PM Q1]]-DatosHoy[[#This Row],[CT ajus PM Md]])</f>
        <v>-850392.45057822578</v>
      </c>
      <c r="BK130" s="94">
        <f ca="1">IF(DatosHoy[[#This Row],[G ajus PMd]]=DatosHoy[[#This Row],[G ajus PM Q3]],-1,DatosHoy[[#This Row],[G ajus PMd]]-DatosHoy[[#This Row],[G ajus PM Q3]])</f>
        <v>-1154011.1658006422</v>
      </c>
      <c r="BL130" s="94">
        <f ca="1">IF(DatosHoy[[#This Row],[G+V ajus PM Md]]=DatosHoy[[#This Row],[G+V ajus PM Q3]],-1,DatosHoy[[#This Row],[G+V ajus PM Md]]-DatosHoy[[#This Row],[G+V ajus PM Q3]])</f>
        <v>-742221.86248375475</v>
      </c>
      <c r="BM130" s="94">
        <f ca="1">IF(DatosHoy[[#This Row],[CT ajus PM Md]]=DatosHoy[[#This Row],[CT ajus PM Q3]],-1,DatosHoy[[#This Row],[CT ajus PM Md]]-DatosHoy[[#This Row],[CT ajus PM Q3]])</f>
        <v>-329262.40774456412</v>
      </c>
      <c r="BN130" s="74">
        <v>577</v>
      </c>
      <c r="BO130" s="94">
        <f ca="1">IFERROR(VLOOKUP($BN130,'Regresion Q1'!$T$6:$V$10,2,1)*$BN130+VLOOKUP($BN130,'Regresion Q1'!$T$6:$V$10,3,1),VLOOKUP(MIN(DatosHoy[Puntos]),'Regresion Q1'!$T$6:$V$10,2,1)*$BN130+VLOOKUP(MIN(DatosHoy[Puntos]),'Regresion Q1'!$T$6:$V$10,3,1))</f>
        <v>10504995.809643615</v>
      </c>
      <c r="BP130" s="94">
        <f ca="1">IFERROR(VLOOKUP($BN130,'Regresion Q1'!$W$6:$Y$10,2,1)*$BN130+VLOOKUP($BN130,'Regresion Q1'!$W$6:$Y$10,3,1),VLOOKUP(MIN(DatosHoy[Puntos]),'Regresion Q1'!$W$6:$Y$10,2,1)*$BN130+VLOOKUP(MIN(DatosHoy[Puntos]),'Regresion Q1'!$W$6:$Y$10,3,1))</f>
        <v>11008037.350901999</v>
      </c>
      <c r="BQ130" s="94">
        <f ca="1">IFERROR(VLOOKUP($BN130,'Regresion Q1'!$Z$6:$AB$10,2,1)*$BN130+VLOOKUP($BN130,'Regresion Q1'!$Z$6:$AB$10,3,1),VLOOKUP(MIN(DatosHoy[Puntos]),'Regresion Q1'!$Z$6:$AB$10,2,1)*$BN130+VLOOKUP(MIN(DatosHoy[Puntos]),'Regresion Q1'!$Z$6:$AB$10,3,1))</f>
        <v>11460234.995740231</v>
      </c>
      <c r="BR130" s="94">
        <f ca="1">IFERROR(VLOOKUP($BN130,'Regresion Md'!$T$6:$V$10,2,1)*$BN130+VLOOKUP($BN130,'Regresion Md'!$T$6:$V$10,3,1),VLOOKUP(MIN(DatosHoy[Puntos]),'Regresion Md'!$T$6:$V$10,2,1)*$BN130+VLOOKUP(MIN(DatosHoy[Puntos]),'Regresion Md'!$T$6:$V$10,3,1))</f>
        <v>11162255.632300293</v>
      </c>
      <c r="BS130" s="94">
        <f ca="1">IFERROR(VLOOKUP($BN130,'Regresion Md'!$W$6:$Y$10,2,1)*$BN130+VLOOKUP($BN130,'Regresion Md'!$W$6:$Y$10,3,1),VLOOKUP(MIN(DatosHoy[Puntos]),'Regresion Md'!$W$6:$Y$10,2,1)*$BN130+VLOOKUP(MIN(DatosHoy[Puntos]),'Regresion Md'!$W$6:$Y$10,3,1))</f>
        <v>11866568.926359337</v>
      </c>
      <c r="BT130" s="94">
        <f ca="1">IFERROR(VLOOKUP($BN130,'Regresion Md'!$Z$6:$AB$10,2,1)*$BN130+VLOOKUP($BN130,'Regresion Md'!$Z$6:$AB$10,3,1),VLOOKUP(MIN(DatosHoy[Puntos]),'Regresion Md'!$Z$6:$AB$10,2,1)*$BN130+VLOOKUP(MIN(DatosHoy[Puntos]),'Regresion Md'!$Z$6:$AB$10,3,1))</f>
        <v>12310627.446318457</v>
      </c>
      <c r="BU130" s="94">
        <f ca="1">IFERROR(VLOOKUP($BN130,'Regresion Q3'!$T$6:$V$10,2,1)*$BN130+VLOOKUP($BN130,'Regresion Q3'!$T$6:$V$10,3,1),VLOOKUP(MIN(DatosHoy[Puntos]),'Regresion Q3'!$T$6:$V$10,2,1)*$BN130+VLOOKUP(MIN(DatosHoy[Puntos]),'Regresion Q3'!$T$6:$V$10,3,1))</f>
        <v>12316266.798100935</v>
      </c>
      <c r="BV130" s="94">
        <f ca="1">IFERROR(VLOOKUP($BN130,'Regresion Q3'!$W$6:$Y$10,2,1)*$BN130+VLOOKUP($BN130,'Regresion Q3'!$W$6:$Y$10,3,1),VLOOKUP(MIN(DatosHoy[Puntos]),'Regresion Q3'!$W$6:$Y$10,2,1)*$BN130+VLOOKUP(MIN(DatosHoy[Puntos]),'Regresion Q3'!$W$6:$Y$10,3,1))</f>
        <v>12608790.788843092</v>
      </c>
      <c r="BW130" s="94">
        <f ca="1">IFERROR(VLOOKUP($BN130,'Regresion Q3'!$Z$6:$AB$10,2,1)*$BN130+VLOOKUP($BN130,'Regresion Q3'!$Z$6:$AB$10,3,1),VLOOKUP(MIN(DatosHoy[Puntos]),'Regresion Q3'!$Z$6:$AB$10,2,1)*$BN130+VLOOKUP(MIN(DatosHoy[Puntos]),'Regresion Q3'!$Z$6:$AB$10,3,1))</f>
        <v>12639889.854063021</v>
      </c>
      <c r="BX130" s="96">
        <f ca="1">DatosHoy[[#This Row],[CT Actual]]/DatosHoy[[#This Row],[CT ajus PM Md]]</f>
        <v>0.98898326207093401</v>
      </c>
      <c r="BY130" s="136" t="str">
        <f>VLOOKUP(DatosHoy[[#This Row],[Cargo Valorado]],Estadísticos[[Cargo]:[Nivel]],2,FALSE)</f>
        <v>Gerencia media</v>
      </c>
      <c r="BZ130" s="96">
        <f>(DatosHoy[[#This Row],[G+V Actual]]-DatosHoy[[#This Row],[G Actual]])/DatosHoy[[#This Row],[CT Actual]]</f>
        <v>0</v>
      </c>
      <c r="CA130" s="96">
        <f>(DatosHoy[[#This Row],[CT Actual]]-DatosHoy[[#This Row],[G+V Actual]])/DatosHoy[[#This Row],[CT Actual]]</f>
        <v>0</v>
      </c>
      <c r="CB130" s="139" t="s">
        <v>255</v>
      </c>
    </row>
    <row r="131" spans="2:80" x14ac:dyDescent="0.25">
      <c r="B131" s="73">
        <f t="shared" si="67"/>
        <v>126</v>
      </c>
      <c r="C131" s="74">
        <v>6023373.7300000004</v>
      </c>
      <c r="D131" s="74">
        <v>6023373.7300000004</v>
      </c>
      <c r="E131" s="74">
        <v>6023373.7300000004</v>
      </c>
      <c r="F131" s="94">
        <f>VLOOKUP(DatosHoy[[#This Row],[Cargo Valorado]],Estadísticos[],3,0)</f>
        <v>8135767.6471057618</v>
      </c>
      <c r="G131" s="94">
        <f>VLOOKUP(DatosHoy[[#This Row],[Cargo Valorado]],Estadísticos[],4,0)</f>
        <v>8135767.6471057618</v>
      </c>
      <c r="H131" s="94">
        <f>VLOOKUP(DatosHoy[[#This Row],[Cargo Valorado]],Estadísticos[],5,0)</f>
        <v>8135767.6471057618</v>
      </c>
      <c r="I131" s="94">
        <f>VLOOKUP(DatosHoy[[#This Row],[Cargo Valorado]],Estadísticos[],6,0)</f>
        <v>10615685.105411233</v>
      </c>
      <c r="J131" s="94">
        <f>VLOOKUP(DatosHoy[[#This Row],[Cargo Valorado]],Estadísticos[],7,0)</f>
        <v>10967892.0683979</v>
      </c>
      <c r="K131" s="94">
        <f>VLOOKUP(DatosHoy[[#This Row],[Cargo Valorado]],Estadísticos[],8,0)</f>
        <v>11053587.9883979</v>
      </c>
      <c r="L131" s="94">
        <f>VLOOKUP(DatosHoy[[#This Row],[Cargo Valorado]],Estadísticos[],9,0)</f>
        <v>11295437.80088737</v>
      </c>
      <c r="M131" s="94">
        <f>VLOOKUP(DatosHoy[[#This Row],[Cargo Valorado]],Estadísticos[],10,0)</f>
        <v>11471541.282380704</v>
      </c>
      <c r="N131" s="94">
        <f>VLOOKUP(DatosHoy[[#This Row],[Cargo Valorado]],Estadísticos[],11,0)</f>
        <v>11850568.992380705</v>
      </c>
      <c r="O131" s="75" t="s">
        <v>200</v>
      </c>
      <c r="P131" s="75">
        <v>559</v>
      </c>
      <c r="Q131" s="95" t="str">
        <f t="shared" si="68"/>
        <v>$P$131</v>
      </c>
      <c r="R131" s="95" t="str">
        <f t="shared" si="69"/>
        <v>$F$131</v>
      </c>
      <c r="S131" s="95" t="str">
        <f t="shared" si="70"/>
        <v>$G$131</v>
      </c>
      <c r="T131" s="95" t="str">
        <f t="shared" si="71"/>
        <v>$H$131</v>
      </c>
      <c r="U131" s="95" t="str">
        <f t="shared" si="72"/>
        <v>$I$131</v>
      </c>
      <c r="V131" s="95" t="str">
        <f t="shared" si="73"/>
        <v>$J$131</v>
      </c>
      <c r="W131" s="95" t="str">
        <f t="shared" si="74"/>
        <v>$K$131</v>
      </c>
      <c r="X131" s="95" t="str">
        <f t="shared" si="75"/>
        <v>$L$131</v>
      </c>
      <c r="Y131" s="95" t="str">
        <f t="shared" si="76"/>
        <v>$M$131</v>
      </c>
      <c r="Z131" s="95" t="str">
        <f t="shared" si="77"/>
        <v>$N$131</v>
      </c>
      <c r="AA131" s="94">
        <f ca="1">VLOOKUP($P131,'Regresion Q1'!$E$6:$I$10,4,1)*$P131+VLOOKUP($P131,'Regresion Q1'!$E$6:$I$10,5,1)</f>
        <v>9289079.9499961492</v>
      </c>
      <c r="AB131" s="94">
        <f ca="1">VLOOKUP($P131,'Regresion Q1'!$J$6:$N$10,4,1)*$P131+VLOOKUP($P131,'Regresion Q1'!$J$6:$N$10,5,1)</f>
        <v>10165331.643392175</v>
      </c>
      <c r="AC131" s="94">
        <f ca="1">VLOOKUP($P131,'Regresion Q1'!$O$6:$S$10,4,1)*$P131+VLOOKUP($P131,'Regresion Q1'!$O$6:$S$10,5,1)</f>
        <v>10420275.094584113</v>
      </c>
      <c r="AD131" s="94">
        <f ca="1">VLOOKUP($P131,'Regresion Md'!$E$6:$I$10,4,1)*$P131+VLOOKUP($P131,'Regresion Md'!$E$6:$I$10,5,1)</f>
        <v>11484121.922813527</v>
      </c>
      <c r="AE131" s="94">
        <f ca="1">VLOOKUP($P131,'Regresion Md'!$J$6:$N$10,4,1)*$P131+VLOOKUP($P131,'Regresion Md'!$J$6:$N$10,5,1)</f>
        <v>11792892.584411671</v>
      </c>
      <c r="AF131" s="94">
        <f ca="1">VLOOKUP($P131,'Regresion Md'!$O$6:$S$10,4,1)*$P131+VLOOKUP($P131,'Regresion Md'!$O$6:$S$10,5,1)</f>
        <v>11944620.150035508</v>
      </c>
      <c r="AG131" s="94">
        <f ca="1">VLOOKUP($P131,'Regresion Q3'!$E$6:$I$10,4,1)*$P131+VLOOKUP($P131,'Regresion Q3'!$E$6:$I$10,5,1)</f>
        <v>14409731.476321816</v>
      </c>
      <c r="AH131" s="94">
        <f ca="1">VLOOKUP($P131,'Regresion Q3'!$J$6:$N$10,4,1)*$P131+VLOOKUP($P131,'Regresion Q3'!$J$6:$N$10,5,1)</f>
        <v>15200927.24295041</v>
      </c>
      <c r="AI131" s="94">
        <f ca="1">VLOOKUP($P131,'Regresion Q3'!$O$6:$S$10,4,1)*$P131+VLOOKUP($P131,'Regresion Q3'!$O$6:$S$10,5,1)</f>
        <v>15469817.979410587</v>
      </c>
      <c r="AJ131" s="94">
        <f ca="1">VLOOKUP($P131,'Regresion Q1'!$T$6:$V$10,2,1)*$P131+VLOOKUP($P131,'Regresion Q1'!$T$6:$V$10,3,1)</f>
        <v>9951028.5336444974</v>
      </c>
      <c r="AK131" s="94">
        <f ca="1">VLOOKUP($P131,'Regresion Q1'!$W$6:$Y$10,2,1)*$P131+VLOOKUP($P131,'Regresion Q1'!$W$6:$Y$10,3,1)</f>
        <v>10420150.427052606</v>
      </c>
      <c r="AL131" s="94">
        <f ca="1">VLOOKUP($P131,'Regresion Q1'!$Z$6:$AB$10,2,1)*$P131+VLOOKUP($P131,'Regresion Q1'!$Z$6:$AB$10,3,1)</f>
        <v>10853450.568784855</v>
      </c>
      <c r="AM131" s="94">
        <f ca="1">VLOOKUP($P131,'Regresion Md'!$T$6:$V$10,2,1)*$P131+VLOOKUP($P131,'Regresion Md'!$T$6:$V$10,3,1)</f>
        <v>10749379.468418419</v>
      </c>
      <c r="AN131" s="94">
        <f ca="1">VLOOKUP($P131,'Regresion Md'!$W$6:$Y$10,2,1)*$P131+VLOOKUP($P131,'Regresion Md'!$W$6:$Y$10,3,1)</f>
        <v>11419378.237777272</v>
      </c>
      <c r="AO131" s="94">
        <f ca="1">VLOOKUP($P131,'Regresion Md'!$Z$6:$AB$10,2,1)*$P131+VLOOKUP($P131,'Regresion Md'!$Z$6:$AB$10,3,1)</f>
        <v>11850909.045757193</v>
      </c>
      <c r="AP131" s="94">
        <f ca="1">VLOOKUP($P131,'Regresion Q3'!$T$6:$V$10,2,1)*$P131+VLOOKUP($P131,'Regresion Q3'!$T$6:$V$10,3,1)</f>
        <v>11825106.615831183</v>
      </c>
      <c r="AQ131" s="94">
        <f ca="1">VLOOKUP($P131,'Regresion Q3'!$W$6:$Y$10,2,1)*$P131+VLOOKUP($P131,'Regresion Q3'!$W$6:$Y$10,3,1)</f>
        <v>12108742.681309737</v>
      </c>
      <c r="AR131" s="94">
        <f ca="1">VLOOKUP($P131,'Regresion Q3'!$Z$6:$AB$10,2,1)*$P131+VLOOKUP($P131,'Regresion Q3'!$Z$6:$AB$10,3,1)</f>
        <v>12162866.615209803</v>
      </c>
      <c r="AS131" s="94">
        <f>IF($BN131=$BN132,-1,DatosHoy[[#This Row],[G ajus PM Q1]]-BO132)</f>
        <v>-1</v>
      </c>
      <c r="AT131" s="94">
        <f>IF($BN131=$BN132,-1,DatosHoy[[#This Row],[G+V ajus PM Q1]]-BP132)</f>
        <v>-1</v>
      </c>
      <c r="AU131" s="94">
        <f>IF($BN131=$BN132,-1,DatosHoy[[#This Row],[CT ajus PM Q1]]-BQ132)</f>
        <v>-1</v>
      </c>
      <c r="AV131" s="94">
        <f ca="1">IF(DatosHoy[[#This Row],[G ajus PM Q1]]=DatosHoy[[#This Row],[G+V ajus PM Q1]],-1,DatosHoy[[#This Row],[G ajus PM Q1]]-DatosHoy[[#This Row],[G+V ajus PM Q1]])</f>
        <v>-503041.54125838354</v>
      </c>
      <c r="AW131" s="94">
        <f ca="1">IF(DatosHoy[[#This Row],[G+V ajus PM Q1]]=DatosHoy[[#This Row],[CT ajus PM Q1]],-1,DatosHoy[[#This Row],[G+V ajus PM Q1]]-DatosHoy[[#This Row],[CT ajus PM Q1]])</f>
        <v>-452197.64483823255</v>
      </c>
      <c r="AX131" s="94">
        <f>IF($BN131=$BN132,-1,DatosHoy[[#This Row],[G ajus PMd]]-BR132)</f>
        <v>-1</v>
      </c>
      <c r="AY131" s="94">
        <f>IF($BN131=$BN132,-1,DatosHoy[[#This Row],[G+V ajus PM Md]]-BS132)</f>
        <v>-1</v>
      </c>
      <c r="AZ131" s="94">
        <f>IF($BN131=$BN132,-1,DatosHoy[[#This Row],[CT ajus PM Md]]-BT132)</f>
        <v>-1</v>
      </c>
      <c r="BA131" s="94">
        <f ca="1">IF(DatosHoy[[#This Row],[G ajus PMd]]=DatosHoy[[#This Row],[G+V ajus PM Md]],-1,DatosHoy[[#This Row],[G ajus PMd]]-DatosHoy[[#This Row],[G+V ajus PM Md]])</f>
        <v>-704313.29405904375</v>
      </c>
      <c r="BB131" s="94">
        <f ca="1">IF(DatosHoy[[#This Row],[G+V ajus PM Md]]=DatosHoy[[#This Row],[CT ajus PM Md]],-1,DatosHoy[[#This Row],[G+V ajus PM Md]]-DatosHoy[[#This Row],[CT ajus PM Md]])</f>
        <v>-444058.51995912008</v>
      </c>
      <c r="BC131" s="94">
        <f>IF($BN131=$BN132,-1,DatosHoy[[#This Row],[G ajus PM Q3]]-BU132)</f>
        <v>-1</v>
      </c>
      <c r="BD131" s="94">
        <f>IF($BN131=$BN132,-1,DatosHoy[[#This Row],[G+V ajus PM Q3]]-BV132)</f>
        <v>-1</v>
      </c>
      <c r="BE131" s="94">
        <f>IF($BN131=$BN132,-1,DatosHoy[[#This Row],[CT ajus PM Q3]]-BW132)</f>
        <v>-1</v>
      </c>
      <c r="BF131" s="94">
        <f ca="1">IF(DatosHoy[[#This Row],[G ajus PM Q3]]=DatosHoy[[#This Row],[G+V ajus PM Q3]],-1,DatosHoy[[#This Row],[G ajus PM Q3]]-DatosHoy[[#This Row],[G+V ajus PM Q3]])</f>
        <v>-292523.99074215628</v>
      </c>
      <c r="BG131" s="94">
        <f ca="1">IF(DatosHoy[[#This Row],[G+V ajus PM Q3]]=DatosHoy[[#This Row],[CT ajus PM Q3]],-1,DatosHoy[[#This Row],[G+V ajus PM Q3]]-DatosHoy[[#This Row],[CT ajus PM Q3]])</f>
        <v>-31099.065219929442</v>
      </c>
      <c r="BH131" s="94">
        <f ca="1">IF(DatosHoy[[#This Row],[G ajus PM Q1]]=DatosHoy[[#This Row],[G ajus PMd]],-1,DatosHoy[[#This Row],[G ajus PM Q1]]-DatosHoy[[#This Row],[G ajus PMd]])</f>
        <v>-657259.82265667804</v>
      </c>
      <c r="BI131" s="94">
        <f ca="1">IF(DatosHoy[[#This Row],[G+V ajus PM Q1]]=DatosHoy[[#This Row],[G+V ajus PM Md]],-1,DatosHoy[[#This Row],[G+V ajus PM Q1]]-DatosHoy[[#This Row],[G+V ajus PM Md]])</f>
        <v>-858531.57545733824</v>
      </c>
      <c r="BJ131" s="94">
        <f ca="1">IF(DatosHoy[[#This Row],[CT ajus PM Q1]]=DatosHoy[[#This Row],[CT ajus PM Md]],-1,DatosHoy[[#This Row],[CT ajus PM Q1]]-DatosHoy[[#This Row],[CT ajus PM Md]])</f>
        <v>-850392.45057822578</v>
      </c>
      <c r="BK131" s="94">
        <f ca="1">IF(DatosHoy[[#This Row],[G ajus PMd]]=DatosHoy[[#This Row],[G ajus PM Q3]],-1,DatosHoy[[#This Row],[G ajus PMd]]-DatosHoy[[#This Row],[G ajus PM Q3]])</f>
        <v>-1154011.1658006422</v>
      </c>
      <c r="BL131" s="94">
        <f ca="1">IF(DatosHoy[[#This Row],[G+V ajus PM Md]]=DatosHoy[[#This Row],[G+V ajus PM Q3]],-1,DatosHoy[[#This Row],[G+V ajus PM Md]]-DatosHoy[[#This Row],[G+V ajus PM Q3]])</f>
        <v>-742221.86248375475</v>
      </c>
      <c r="BM131" s="94">
        <f ca="1">IF(DatosHoy[[#This Row],[CT ajus PM Md]]=DatosHoy[[#This Row],[CT ajus PM Q3]],-1,DatosHoy[[#This Row],[CT ajus PM Md]]-DatosHoy[[#This Row],[CT ajus PM Q3]])</f>
        <v>-329262.40774456412</v>
      </c>
      <c r="BN131" s="74">
        <v>577</v>
      </c>
      <c r="BO131" s="94">
        <f ca="1">IFERROR(VLOOKUP($BN131,'Regresion Q1'!$T$6:$V$10,2,1)*$BN131+VLOOKUP($BN131,'Regresion Q1'!$T$6:$V$10,3,1),VLOOKUP(MIN(DatosHoy[Puntos]),'Regresion Q1'!$T$6:$V$10,2,1)*$BN131+VLOOKUP(MIN(DatosHoy[Puntos]),'Regresion Q1'!$T$6:$V$10,3,1))</f>
        <v>10504995.809643615</v>
      </c>
      <c r="BP131" s="94">
        <f ca="1">IFERROR(VLOOKUP($BN131,'Regresion Q1'!$W$6:$Y$10,2,1)*$BN131+VLOOKUP($BN131,'Regresion Q1'!$W$6:$Y$10,3,1),VLOOKUP(MIN(DatosHoy[Puntos]),'Regresion Q1'!$W$6:$Y$10,2,1)*$BN131+VLOOKUP(MIN(DatosHoy[Puntos]),'Regresion Q1'!$W$6:$Y$10,3,1))</f>
        <v>11008037.350901999</v>
      </c>
      <c r="BQ131" s="94">
        <f ca="1">IFERROR(VLOOKUP($BN131,'Regresion Q1'!$Z$6:$AB$10,2,1)*$BN131+VLOOKUP($BN131,'Regresion Q1'!$Z$6:$AB$10,3,1),VLOOKUP(MIN(DatosHoy[Puntos]),'Regresion Q1'!$Z$6:$AB$10,2,1)*$BN131+VLOOKUP(MIN(DatosHoy[Puntos]),'Regresion Q1'!$Z$6:$AB$10,3,1))</f>
        <v>11460234.995740231</v>
      </c>
      <c r="BR131" s="94">
        <f ca="1">IFERROR(VLOOKUP($BN131,'Regresion Md'!$T$6:$V$10,2,1)*$BN131+VLOOKUP($BN131,'Regresion Md'!$T$6:$V$10,3,1),VLOOKUP(MIN(DatosHoy[Puntos]),'Regresion Md'!$T$6:$V$10,2,1)*$BN131+VLOOKUP(MIN(DatosHoy[Puntos]),'Regresion Md'!$T$6:$V$10,3,1))</f>
        <v>11162255.632300293</v>
      </c>
      <c r="BS131" s="94">
        <f ca="1">IFERROR(VLOOKUP($BN131,'Regresion Md'!$W$6:$Y$10,2,1)*$BN131+VLOOKUP($BN131,'Regresion Md'!$W$6:$Y$10,3,1),VLOOKUP(MIN(DatosHoy[Puntos]),'Regresion Md'!$W$6:$Y$10,2,1)*$BN131+VLOOKUP(MIN(DatosHoy[Puntos]),'Regresion Md'!$W$6:$Y$10,3,1))</f>
        <v>11866568.926359337</v>
      </c>
      <c r="BT131" s="94">
        <f ca="1">IFERROR(VLOOKUP($BN131,'Regresion Md'!$Z$6:$AB$10,2,1)*$BN131+VLOOKUP($BN131,'Regresion Md'!$Z$6:$AB$10,3,1),VLOOKUP(MIN(DatosHoy[Puntos]),'Regresion Md'!$Z$6:$AB$10,2,1)*$BN131+VLOOKUP(MIN(DatosHoy[Puntos]),'Regresion Md'!$Z$6:$AB$10,3,1))</f>
        <v>12310627.446318457</v>
      </c>
      <c r="BU131" s="94">
        <f ca="1">IFERROR(VLOOKUP($BN131,'Regresion Q3'!$T$6:$V$10,2,1)*$BN131+VLOOKUP($BN131,'Regresion Q3'!$T$6:$V$10,3,1),VLOOKUP(MIN(DatosHoy[Puntos]),'Regresion Q3'!$T$6:$V$10,2,1)*$BN131+VLOOKUP(MIN(DatosHoy[Puntos]),'Regresion Q3'!$T$6:$V$10,3,1))</f>
        <v>12316266.798100935</v>
      </c>
      <c r="BV131" s="94">
        <f ca="1">IFERROR(VLOOKUP($BN131,'Regresion Q3'!$W$6:$Y$10,2,1)*$BN131+VLOOKUP($BN131,'Regresion Q3'!$W$6:$Y$10,3,1),VLOOKUP(MIN(DatosHoy[Puntos]),'Regresion Q3'!$W$6:$Y$10,2,1)*$BN131+VLOOKUP(MIN(DatosHoy[Puntos]),'Regresion Q3'!$W$6:$Y$10,3,1))</f>
        <v>12608790.788843092</v>
      </c>
      <c r="BW131" s="94">
        <f ca="1">IFERROR(VLOOKUP($BN131,'Regresion Q3'!$Z$6:$AB$10,2,1)*$BN131+VLOOKUP($BN131,'Regresion Q3'!$Z$6:$AB$10,3,1),VLOOKUP(MIN(DatosHoy[Puntos]),'Regresion Q3'!$Z$6:$AB$10,2,1)*$BN131+VLOOKUP(MIN(DatosHoy[Puntos]),'Regresion Q3'!$Z$6:$AB$10,3,1))</f>
        <v>12639889.854063021</v>
      </c>
      <c r="BX131" s="96">
        <f ca="1">DatosHoy[[#This Row],[CT Actual]]/DatosHoy[[#This Row],[CT ajus PM Md]]</f>
        <v>0.48928243148169631</v>
      </c>
      <c r="BY131" s="136" t="str">
        <f>VLOOKUP(DatosHoy[[#This Row],[Cargo Valorado]],Estadísticos[[Cargo]:[Nivel]],2,FALSE)</f>
        <v>Gerencia media</v>
      </c>
      <c r="BZ131" s="96">
        <f>(DatosHoy[[#This Row],[G+V Actual]]-DatosHoy[[#This Row],[G Actual]])/DatosHoy[[#This Row],[CT Actual]]</f>
        <v>0</v>
      </c>
      <c r="CA131" s="96">
        <f>(DatosHoy[[#This Row],[CT Actual]]-DatosHoy[[#This Row],[G+V Actual]])/DatosHoy[[#This Row],[CT Actual]]</f>
        <v>0</v>
      </c>
      <c r="CB131" s="139" t="s">
        <v>255</v>
      </c>
    </row>
    <row r="132" spans="2:80" x14ac:dyDescent="0.25">
      <c r="B132" s="73">
        <f t="shared" si="67"/>
        <v>127</v>
      </c>
      <c r="C132" s="74">
        <v>11477239.180000002</v>
      </c>
      <c r="D132" s="74">
        <v>11477239.180000002</v>
      </c>
      <c r="E132" s="74">
        <v>11477239.180000002</v>
      </c>
      <c r="F132" s="94">
        <f>VLOOKUP(DatosHoy[[#This Row],[Cargo Valorado]],Estadísticos[],3,0)</f>
        <v>13541502.625078993</v>
      </c>
      <c r="G132" s="94">
        <f>VLOOKUP(DatosHoy[[#This Row],[Cargo Valorado]],Estadísticos[],4,0)</f>
        <v>14437104.648177864</v>
      </c>
      <c r="H132" s="94">
        <f>VLOOKUP(DatosHoy[[#This Row],[Cargo Valorado]],Estadísticos[],5,0)</f>
        <v>14608496.488177864</v>
      </c>
      <c r="I132" s="94">
        <f>VLOOKUP(DatosHoy[[#This Row],[Cargo Valorado]],Estadísticos[],6,0)</f>
        <v>16003189.103999831</v>
      </c>
      <c r="J132" s="94">
        <f>VLOOKUP(DatosHoy[[#This Row],[Cargo Valorado]],Estadísticos[],7,0)</f>
        <v>16003189.103999831</v>
      </c>
      <c r="K132" s="94">
        <f>VLOOKUP(DatosHoy[[#This Row],[Cargo Valorado]],Estadísticos[],8,0)</f>
        <v>16100173.001419567</v>
      </c>
      <c r="L132" s="94">
        <f>VLOOKUP(DatosHoy[[#This Row],[Cargo Valorado]],Estadísticos[],9,0)</f>
        <v>17575322.843019895</v>
      </c>
      <c r="M132" s="94">
        <f>VLOOKUP(DatosHoy[[#This Row],[Cargo Valorado]],Estadísticos[],10,0)</f>
        <v>17575322.843019895</v>
      </c>
      <c r="N132" s="94">
        <f>VLOOKUP(DatosHoy[[#This Row],[Cargo Valorado]],Estadísticos[],11,0)</f>
        <v>17575322.843019895</v>
      </c>
      <c r="O132" s="75" t="s">
        <v>173</v>
      </c>
      <c r="P132" s="75">
        <v>599</v>
      </c>
      <c r="Q132" s="95" t="str">
        <f t="shared" si="68"/>
        <v>$P$132</v>
      </c>
      <c r="R132" s="95" t="str">
        <f t="shared" si="69"/>
        <v>$F$132</v>
      </c>
      <c r="S132" s="95" t="str">
        <f t="shared" si="70"/>
        <v>$G$132</v>
      </c>
      <c r="T132" s="95" t="str">
        <f t="shared" si="71"/>
        <v>$H$132</v>
      </c>
      <c r="U132" s="95" t="str">
        <f t="shared" si="72"/>
        <v>$I$132</v>
      </c>
      <c r="V132" s="95" t="str">
        <f t="shared" si="73"/>
        <v>$J$132</v>
      </c>
      <c r="W132" s="95" t="str">
        <f t="shared" si="74"/>
        <v>$K$132</v>
      </c>
      <c r="X132" s="95" t="str">
        <f t="shared" si="75"/>
        <v>$L$132</v>
      </c>
      <c r="Y132" s="95" t="str">
        <f t="shared" si="76"/>
        <v>$M$132</v>
      </c>
      <c r="Z132" s="95" t="str">
        <f t="shared" si="77"/>
        <v>$N$132</v>
      </c>
      <c r="AA132" s="94">
        <f ca="1">VLOOKUP($P132,'Regresion Q1'!$E$6:$I$10,4,1)*$P132+VLOOKUP($P132,'Regresion Q1'!$E$6:$I$10,5,1)</f>
        <v>10357676.97088485</v>
      </c>
      <c r="AB132" s="94">
        <f ca="1">VLOOKUP($P132,'Regresion Q1'!$J$6:$N$10,4,1)*$P132+VLOOKUP($P132,'Regresion Q1'!$J$6:$N$10,5,1)</f>
        <v>11409214.812874973</v>
      </c>
      <c r="AC132" s="94">
        <f ca="1">VLOOKUP($P132,'Regresion Q1'!$O$6:$S$10,4,1)*$P132+VLOOKUP($P132,'Regresion Q1'!$O$6:$S$10,5,1)</f>
        <v>11662384.202397512</v>
      </c>
      <c r="AD132" s="94">
        <f ca="1">VLOOKUP($P132,'Regresion Md'!$E$6:$I$10,4,1)*$P132+VLOOKUP($P132,'Regresion Md'!$E$6:$I$10,5,1)</f>
        <v>11666882.054822583</v>
      </c>
      <c r="AE132" s="94">
        <f ca="1">VLOOKUP($P132,'Regresion Md'!$J$6:$N$10,4,1)*$P132+VLOOKUP($P132,'Regresion Md'!$J$6:$N$10,5,1)</f>
        <v>12413135.323515192</v>
      </c>
      <c r="AF132" s="94">
        <f ca="1">VLOOKUP($P132,'Regresion Md'!$O$6:$S$10,4,1)*$P132+VLOOKUP($P132,'Regresion Md'!$O$6:$S$10,5,1)</f>
        <v>12872505.49144889</v>
      </c>
      <c r="AG132" s="94">
        <f ca="1">VLOOKUP($P132,'Regresion Q3'!$E$6:$I$10,4,1)*$P132+VLOOKUP($P132,'Regresion Q3'!$E$6:$I$10,5,1)</f>
        <v>16384830.978969343</v>
      </c>
      <c r="AH132" s="94">
        <f ca="1">VLOOKUP($P132,'Regresion Q3'!$J$6:$N$10,4,1)*$P132+VLOOKUP($P132,'Regresion Q3'!$J$6:$N$10,5,1)</f>
        <v>17369302.374782026</v>
      </c>
      <c r="AI132" s="94">
        <f ca="1">VLOOKUP($P132,'Regresion Q3'!$O$6:$S$10,4,1)*$P132+VLOOKUP($P132,'Regresion Q3'!$O$6:$S$10,5,1)</f>
        <v>17660451.284281254</v>
      </c>
      <c r="AJ132" s="94">
        <f ca="1">VLOOKUP($P132,'Regresion Q1'!$T$6:$V$10,2,1)*$P132+VLOOKUP($P132,'Regresion Q1'!$T$6:$V$10,3,1)</f>
        <v>11182066.924753651</v>
      </c>
      <c r="AK132" s="94">
        <f ca="1">VLOOKUP($P132,'Regresion Q1'!$W$6:$Y$10,2,1)*$P132+VLOOKUP($P132,'Regresion Q1'!$W$6:$Y$10,3,1)</f>
        <v>11726565.813384589</v>
      </c>
      <c r="AL132" s="94">
        <f ca="1">VLOOKUP($P132,'Regresion Q1'!$Z$6:$AB$10,2,1)*$P132+VLOOKUP($P132,'Regresion Q1'!$Z$6:$AB$10,3,1)</f>
        <v>12201860.406463467</v>
      </c>
      <c r="AM132" s="94">
        <f ca="1">VLOOKUP($P132,'Regresion Md'!$T$6:$V$10,2,1)*$P132+VLOOKUP($P132,'Regresion Md'!$T$6:$V$10,3,1)</f>
        <v>11666882.054822579</v>
      </c>
      <c r="AN132" s="94">
        <f ca="1">VLOOKUP($P132,'Regresion Md'!$W$6:$Y$10,2,1)*$P132+VLOOKUP($P132,'Regresion Md'!$W$6:$Y$10,3,1)</f>
        <v>12413135.323515192</v>
      </c>
      <c r="AO132" s="94">
        <f ca="1">VLOOKUP($P132,'Regresion Md'!$Z$6:$AB$10,2,1)*$P132+VLOOKUP($P132,'Regresion Md'!$Z$6:$AB$10,3,1)</f>
        <v>12872505.49144889</v>
      </c>
      <c r="AP132" s="94">
        <f ca="1">VLOOKUP($P132,'Regresion Q3'!$T$6:$V$10,2,1)*$P132+VLOOKUP($P132,'Regresion Q3'!$T$6:$V$10,3,1)</f>
        <v>12916573.687541744</v>
      </c>
      <c r="AQ132" s="94">
        <f ca="1">VLOOKUP($P132,'Regresion Q3'!$W$6:$Y$10,2,1)*$P132+VLOOKUP($P132,'Regresion Q3'!$W$6:$Y$10,3,1)</f>
        <v>13219960.698050523</v>
      </c>
      <c r="AR132" s="94">
        <f ca="1">VLOOKUP($P132,'Regresion Q3'!$Z$6:$AB$10,2,1)*$P132+VLOOKUP($P132,'Regresion Q3'!$Z$6:$AB$10,3,1)</f>
        <v>13222918.257105844</v>
      </c>
      <c r="AS132" s="94">
        <f>IF($BN132=$BN133,-1,DatosHoy[[#This Row],[G ajus PM Q1]]-BO133)</f>
        <v>-1</v>
      </c>
      <c r="AT132" s="94">
        <f>IF($BN132=$BN133,-1,DatosHoy[[#This Row],[G+V ajus PM Q1]]-BP133)</f>
        <v>-1</v>
      </c>
      <c r="AU132" s="94">
        <f>IF($BN132=$BN133,-1,DatosHoy[[#This Row],[CT ajus PM Q1]]-BQ133)</f>
        <v>-1</v>
      </c>
      <c r="AV132" s="94">
        <f ca="1">IF(DatosHoy[[#This Row],[G ajus PM Q1]]=DatosHoy[[#This Row],[G+V ajus PM Q1]],-1,DatosHoy[[#This Row],[G ajus PM Q1]]-DatosHoy[[#This Row],[G+V ajus PM Q1]])</f>
        <v>-503041.54125838354</v>
      </c>
      <c r="AW132" s="94">
        <f ca="1">IF(DatosHoy[[#This Row],[G+V ajus PM Q1]]=DatosHoy[[#This Row],[CT ajus PM Q1]],-1,DatosHoy[[#This Row],[G+V ajus PM Q1]]-DatosHoy[[#This Row],[CT ajus PM Q1]])</f>
        <v>-452197.64483823255</v>
      </c>
      <c r="AX132" s="94">
        <f>IF($BN132=$BN133,-1,DatosHoy[[#This Row],[G ajus PMd]]-BR133)</f>
        <v>-1</v>
      </c>
      <c r="AY132" s="94">
        <f>IF($BN132=$BN133,-1,DatosHoy[[#This Row],[G+V ajus PM Md]]-BS133)</f>
        <v>-1</v>
      </c>
      <c r="AZ132" s="94">
        <f>IF($BN132=$BN133,-1,DatosHoy[[#This Row],[CT ajus PM Md]]-BT133)</f>
        <v>-1</v>
      </c>
      <c r="BA132" s="94">
        <f ca="1">IF(DatosHoy[[#This Row],[G ajus PMd]]=DatosHoy[[#This Row],[G+V ajus PM Md]],-1,DatosHoy[[#This Row],[G ajus PMd]]-DatosHoy[[#This Row],[G+V ajus PM Md]])</f>
        <v>-704313.29405904375</v>
      </c>
      <c r="BB132" s="94">
        <f ca="1">IF(DatosHoy[[#This Row],[G+V ajus PM Md]]=DatosHoy[[#This Row],[CT ajus PM Md]],-1,DatosHoy[[#This Row],[G+V ajus PM Md]]-DatosHoy[[#This Row],[CT ajus PM Md]])</f>
        <v>-444058.51995912008</v>
      </c>
      <c r="BC132" s="94">
        <f>IF($BN132=$BN133,-1,DatosHoy[[#This Row],[G ajus PM Q3]]-BU133)</f>
        <v>-1</v>
      </c>
      <c r="BD132" s="94">
        <f>IF($BN132=$BN133,-1,DatosHoy[[#This Row],[G+V ajus PM Q3]]-BV133)</f>
        <v>-1</v>
      </c>
      <c r="BE132" s="94">
        <f>IF($BN132=$BN133,-1,DatosHoy[[#This Row],[CT ajus PM Q3]]-BW133)</f>
        <v>-1</v>
      </c>
      <c r="BF132" s="94">
        <f ca="1">IF(DatosHoy[[#This Row],[G ajus PM Q3]]=DatosHoy[[#This Row],[G+V ajus PM Q3]],-1,DatosHoy[[#This Row],[G ajus PM Q3]]-DatosHoy[[#This Row],[G+V ajus PM Q3]])</f>
        <v>-292523.99074215628</v>
      </c>
      <c r="BG132" s="94">
        <f ca="1">IF(DatosHoy[[#This Row],[G+V ajus PM Q3]]=DatosHoy[[#This Row],[CT ajus PM Q3]],-1,DatosHoy[[#This Row],[G+V ajus PM Q3]]-DatosHoy[[#This Row],[CT ajus PM Q3]])</f>
        <v>-31099.065219929442</v>
      </c>
      <c r="BH132" s="94">
        <f ca="1">IF(DatosHoy[[#This Row],[G ajus PM Q1]]=DatosHoy[[#This Row],[G ajus PMd]],-1,DatosHoy[[#This Row],[G ajus PM Q1]]-DatosHoy[[#This Row],[G ajus PMd]])</f>
        <v>-657259.82265667804</v>
      </c>
      <c r="BI132" s="94">
        <f ca="1">IF(DatosHoy[[#This Row],[G+V ajus PM Q1]]=DatosHoy[[#This Row],[G+V ajus PM Md]],-1,DatosHoy[[#This Row],[G+V ajus PM Q1]]-DatosHoy[[#This Row],[G+V ajus PM Md]])</f>
        <v>-858531.57545733824</v>
      </c>
      <c r="BJ132" s="94">
        <f ca="1">IF(DatosHoy[[#This Row],[CT ajus PM Q1]]=DatosHoy[[#This Row],[CT ajus PM Md]],-1,DatosHoy[[#This Row],[CT ajus PM Q1]]-DatosHoy[[#This Row],[CT ajus PM Md]])</f>
        <v>-850392.45057822578</v>
      </c>
      <c r="BK132" s="94">
        <f ca="1">IF(DatosHoy[[#This Row],[G ajus PMd]]=DatosHoy[[#This Row],[G ajus PM Q3]],-1,DatosHoy[[#This Row],[G ajus PMd]]-DatosHoy[[#This Row],[G ajus PM Q3]])</f>
        <v>-1154011.1658006422</v>
      </c>
      <c r="BL132" s="94">
        <f ca="1">IF(DatosHoy[[#This Row],[G+V ajus PM Md]]=DatosHoy[[#This Row],[G+V ajus PM Q3]],-1,DatosHoy[[#This Row],[G+V ajus PM Md]]-DatosHoy[[#This Row],[G+V ajus PM Q3]])</f>
        <v>-742221.86248375475</v>
      </c>
      <c r="BM132" s="94">
        <f ca="1">IF(DatosHoy[[#This Row],[CT ajus PM Md]]=DatosHoy[[#This Row],[CT ajus PM Q3]],-1,DatosHoy[[#This Row],[CT ajus PM Md]]-DatosHoy[[#This Row],[CT ajus PM Q3]])</f>
        <v>-329262.40774456412</v>
      </c>
      <c r="BN132" s="74">
        <v>577</v>
      </c>
      <c r="BO132" s="94">
        <f ca="1">IFERROR(VLOOKUP($BN132,'Regresion Q1'!$T$6:$V$10,2,1)*$BN132+VLOOKUP($BN132,'Regresion Q1'!$T$6:$V$10,3,1),VLOOKUP(MIN(DatosHoy[Puntos]),'Regresion Q1'!$T$6:$V$10,2,1)*$BN132+VLOOKUP(MIN(DatosHoy[Puntos]),'Regresion Q1'!$T$6:$V$10,3,1))</f>
        <v>10504995.809643615</v>
      </c>
      <c r="BP132" s="94">
        <f ca="1">IFERROR(VLOOKUP($BN132,'Regresion Q1'!$W$6:$Y$10,2,1)*$BN132+VLOOKUP($BN132,'Regresion Q1'!$W$6:$Y$10,3,1),VLOOKUP(MIN(DatosHoy[Puntos]),'Regresion Q1'!$W$6:$Y$10,2,1)*$BN132+VLOOKUP(MIN(DatosHoy[Puntos]),'Regresion Q1'!$W$6:$Y$10,3,1))</f>
        <v>11008037.350901999</v>
      </c>
      <c r="BQ132" s="94">
        <f ca="1">IFERROR(VLOOKUP($BN132,'Regresion Q1'!$Z$6:$AB$10,2,1)*$BN132+VLOOKUP($BN132,'Regresion Q1'!$Z$6:$AB$10,3,1),VLOOKUP(MIN(DatosHoy[Puntos]),'Regresion Q1'!$Z$6:$AB$10,2,1)*$BN132+VLOOKUP(MIN(DatosHoy[Puntos]),'Regresion Q1'!$Z$6:$AB$10,3,1))</f>
        <v>11460234.995740231</v>
      </c>
      <c r="BR132" s="94">
        <f ca="1">IFERROR(VLOOKUP($BN132,'Regresion Md'!$T$6:$V$10,2,1)*$BN132+VLOOKUP($BN132,'Regresion Md'!$T$6:$V$10,3,1),VLOOKUP(MIN(DatosHoy[Puntos]),'Regresion Md'!$T$6:$V$10,2,1)*$BN132+VLOOKUP(MIN(DatosHoy[Puntos]),'Regresion Md'!$T$6:$V$10,3,1))</f>
        <v>11162255.632300293</v>
      </c>
      <c r="BS132" s="94">
        <f ca="1">IFERROR(VLOOKUP($BN132,'Regresion Md'!$W$6:$Y$10,2,1)*$BN132+VLOOKUP($BN132,'Regresion Md'!$W$6:$Y$10,3,1),VLOOKUP(MIN(DatosHoy[Puntos]),'Regresion Md'!$W$6:$Y$10,2,1)*$BN132+VLOOKUP(MIN(DatosHoy[Puntos]),'Regresion Md'!$W$6:$Y$10,3,1))</f>
        <v>11866568.926359337</v>
      </c>
      <c r="BT132" s="94">
        <f ca="1">IFERROR(VLOOKUP($BN132,'Regresion Md'!$Z$6:$AB$10,2,1)*$BN132+VLOOKUP($BN132,'Regresion Md'!$Z$6:$AB$10,3,1),VLOOKUP(MIN(DatosHoy[Puntos]),'Regresion Md'!$Z$6:$AB$10,2,1)*$BN132+VLOOKUP(MIN(DatosHoy[Puntos]),'Regresion Md'!$Z$6:$AB$10,3,1))</f>
        <v>12310627.446318457</v>
      </c>
      <c r="BU132" s="94">
        <f ca="1">IFERROR(VLOOKUP($BN132,'Regresion Q3'!$T$6:$V$10,2,1)*$BN132+VLOOKUP($BN132,'Regresion Q3'!$T$6:$V$10,3,1),VLOOKUP(MIN(DatosHoy[Puntos]),'Regresion Q3'!$T$6:$V$10,2,1)*$BN132+VLOOKUP(MIN(DatosHoy[Puntos]),'Regresion Q3'!$T$6:$V$10,3,1))</f>
        <v>12316266.798100935</v>
      </c>
      <c r="BV132" s="94">
        <f ca="1">IFERROR(VLOOKUP($BN132,'Regresion Q3'!$W$6:$Y$10,2,1)*$BN132+VLOOKUP($BN132,'Regresion Q3'!$W$6:$Y$10,3,1),VLOOKUP(MIN(DatosHoy[Puntos]),'Regresion Q3'!$W$6:$Y$10,2,1)*$BN132+VLOOKUP(MIN(DatosHoy[Puntos]),'Regresion Q3'!$W$6:$Y$10,3,1))</f>
        <v>12608790.788843092</v>
      </c>
      <c r="BW132" s="94">
        <f ca="1">IFERROR(VLOOKUP($BN132,'Regresion Q3'!$Z$6:$AB$10,2,1)*$BN132+VLOOKUP($BN132,'Regresion Q3'!$Z$6:$AB$10,3,1),VLOOKUP(MIN(DatosHoy[Puntos]),'Regresion Q3'!$Z$6:$AB$10,2,1)*$BN132+VLOOKUP(MIN(DatosHoy[Puntos]),'Regresion Q3'!$Z$6:$AB$10,3,1))</f>
        <v>12639889.854063021</v>
      </c>
      <c r="BX132" s="96">
        <f ca="1">DatosHoy[[#This Row],[CT Actual]]/DatosHoy[[#This Row],[CT ajus PM Md]]</f>
        <v>0.93230334766018097</v>
      </c>
      <c r="BY132" s="136" t="str">
        <f>VLOOKUP(DatosHoy[[#This Row],[Cargo Valorado]],Estadísticos[[Cargo]:[Nivel]],2,FALSE)</f>
        <v>Gerencia media</v>
      </c>
      <c r="BZ132" s="96">
        <f>(DatosHoy[[#This Row],[G+V Actual]]-DatosHoy[[#This Row],[G Actual]])/DatosHoy[[#This Row],[CT Actual]]</f>
        <v>0</v>
      </c>
      <c r="CA132" s="96">
        <f>(DatosHoy[[#This Row],[CT Actual]]-DatosHoy[[#This Row],[G+V Actual]])/DatosHoy[[#This Row],[CT Actual]]</f>
        <v>0</v>
      </c>
      <c r="CB132" s="139" t="s">
        <v>255</v>
      </c>
    </row>
    <row r="133" spans="2:80" x14ac:dyDescent="0.25">
      <c r="B133" s="73">
        <f t="shared" si="67"/>
        <v>128</v>
      </c>
      <c r="C133" s="74">
        <v>9295693</v>
      </c>
      <c r="D133" s="74">
        <v>9295693</v>
      </c>
      <c r="E133" s="74">
        <v>9295693</v>
      </c>
      <c r="F133" s="94">
        <f>VLOOKUP(DatosHoy[[#This Row],[Cargo Valorado]],Estadísticos[],3,0)</f>
        <v>7638879.0130332895</v>
      </c>
      <c r="G133" s="94">
        <f>VLOOKUP(DatosHoy[[#This Row],[Cargo Valorado]],Estadísticos[],4,0)</f>
        <v>7638879.0130332895</v>
      </c>
      <c r="H133" s="94">
        <f>VLOOKUP(DatosHoy[[#This Row],[Cargo Valorado]],Estadísticos[],5,0)</f>
        <v>8275696.282195285</v>
      </c>
      <c r="I133" s="94">
        <f>VLOOKUP(DatosHoy[[#This Row],[Cargo Valorado]],Estadísticos[],6,0)</f>
        <v>8995213.3732673731</v>
      </c>
      <c r="J133" s="94">
        <f>VLOOKUP(DatosHoy[[#This Row],[Cargo Valorado]],Estadísticos[],7,0)</f>
        <v>8995213.3732673731</v>
      </c>
      <c r="K133" s="94">
        <f>VLOOKUP(DatosHoy[[#This Row],[Cargo Valorado]],Estadísticos[],8,0)</f>
        <v>9443453.039934041</v>
      </c>
      <c r="L133" s="94">
        <f>VLOOKUP(DatosHoy[[#This Row],[Cargo Valorado]],Estadísticos[],9,0)</f>
        <v>11438976.36727182</v>
      </c>
      <c r="M133" s="94">
        <f>VLOOKUP(DatosHoy[[#This Row],[Cargo Valorado]],Estadísticos[],10,0)</f>
        <v>11438976.36727182</v>
      </c>
      <c r="N133" s="94">
        <f>VLOOKUP(DatosHoy[[#This Row],[Cargo Valorado]],Estadísticos[],11,0)</f>
        <v>11663096.200605154</v>
      </c>
      <c r="O133" s="75" t="s">
        <v>172</v>
      </c>
      <c r="P133" s="75">
        <v>610</v>
      </c>
      <c r="Q133" s="95" t="str">
        <f t="shared" si="68"/>
        <v>$P$133</v>
      </c>
      <c r="R133" s="95" t="str">
        <f t="shared" si="69"/>
        <v>$F$133</v>
      </c>
      <c r="S133" s="95" t="str">
        <f t="shared" si="70"/>
        <v>$G$133</v>
      </c>
      <c r="T133" s="95" t="str">
        <f t="shared" si="71"/>
        <v>$H$133</v>
      </c>
      <c r="U133" s="95" t="str">
        <f t="shared" si="72"/>
        <v>$I$133</v>
      </c>
      <c r="V133" s="95" t="str">
        <f t="shared" si="73"/>
        <v>$J$133</v>
      </c>
      <c r="W133" s="95" t="str">
        <f t="shared" si="74"/>
        <v>$K$133</v>
      </c>
      <c r="X133" s="95" t="str">
        <f t="shared" si="75"/>
        <v>$L$133</v>
      </c>
      <c r="Y133" s="95" t="str">
        <f t="shared" si="76"/>
        <v>$M$133</v>
      </c>
      <c r="Z133" s="95" t="str">
        <f t="shared" si="77"/>
        <v>$N$133</v>
      </c>
      <c r="AA133" s="94">
        <f ca="1">VLOOKUP($P133,'Regresion Q1'!$E$6:$I$10,4,1)*$P133+VLOOKUP($P133,'Regresion Q1'!$E$6:$I$10,5,1)</f>
        <v>10651541.151629243</v>
      </c>
      <c r="AB133" s="94">
        <f ca="1">VLOOKUP($P133,'Regresion Q1'!$J$6:$N$10,4,1)*$P133+VLOOKUP($P133,'Regresion Q1'!$J$6:$N$10,5,1)</f>
        <v>11751282.684482742</v>
      </c>
      <c r="AC133" s="94">
        <f ca="1">VLOOKUP($P133,'Regresion Q1'!$O$6:$S$10,4,1)*$P133+VLOOKUP($P133,'Regresion Q1'!$O$6:$S$10,5,1)</f>
        <v>12003964.207046198</v>
      </c>
      <c r="AD133" s="94">
        <f ca="1">VLOOKUP($P133,'Regresion Md'!$E$6:$I$10,4,1)*$P133+VLOOKUP($P133,'Regresion Md'!$E$6:$I$10,5,1)</f>
        <v>12067359.278464939</v>
      </c>
      <c r="AE133" s="94">
        <f ca="1">VLOOKUP($P133,'Regresion Md'!$J$6:$N$10,4,1)*$P133+VLOOKUP($P133,'Regresion Md'!$J$6:$N$10,5,1)</f>
        <v>12910369.472267672</v>
      </c>
      <c r="AF133" s="94">
        <f ca="1">VLOOKUP($P133,'Regresion Md'!$O$6:$S$10,4,1)*$P133+VLOOKUP($P133,'Regresion Md'!$O$6:$S$10,5,1)</f>
        <v>13363316.494910054</v>
      </c>
      <c r="AG133" s="94">
        <f ca="1">VLOOKUP($P133,'Regresion Q3'!$E$6:$I$10,4,1)*$P133+VLOOKUP($P133,'Regresion Q3'!$E$6:$I$10,5,1)</f>
        <v>16927983.342197411</v>
      </c>
      <c r="AH133" s="94">
        <f ca="1">VLOOKUP($P133,'Regresion Q3'!$J$6:$N$10,4,1)*$P133+VLOOKUP($P133,'Regresion Q3'!$J$6:$N$10,5,1)</f>
        <v>17965605.53603572</v>
      </c>
      <c r="AI133" s="94">
        <f ca="1">VLOOKUP($P133,'Regresion Q3'!$O$6:$S$10,4,1)*$P133+VLOOKUP($P133,'Regresion Q3'!$O$6:$S$10,5,1)</f>
        <v>18262875.443120688</v>
      </c>
      <c r="AJ133" s="94">
        <f ca="1">VLOOKUP($P133,'Regresion Q1'!$T$6:$V$10,2,1)*$P133+VLOOKUP($P133,'Regresion Q1'!$T$6:$V$10,3,1)</f>
        <v>11520602.482308667</v>
      </c>
      <c r="AK133" s="94">
        <f ca="1">VLOOKUP($P133,'Regresion Q1'!$W$6:$Y$10,2,1)*$P133+VLOOKUP($P133,'Regresion Q1'!$W$6:$Y$10,3,1)</f>
        <v>12085830.044625886</v>
      </c>
      <c r="AL133" s="94">
        <f ca="1">VLOOKUP($P133,'Regresion Q1'!$Z$6:$AB$10,2,1)*$P133+VLOOKUP($P133,'Regresion Q1'!$Z$6:$AB$10,3,1)</f>
        <v>12572673.111825086</v>
      </c>
      <c r="AM133" s="94">
        <f ca="1">VLOOKUP($P133,'Regresion Md'!$T$6:$V$10,2,1)*$P133+VLOOKUP($P133,'Regresion Md'!$T$6:$V$10,3,1)</f>
        <v>12194191.444626361</v>
      </c>
      <c r="AN133" s="94">
        <f ca="1">VLOOKUP($P133,'Regresion Md'!$W$6:$Y$10,2,1)*$P133+VLOOKUP($P133,'Regresion Md'!$W$6:$Y$10,3,1)</f>
        <v>12957610.489877682</v>
      </c>
      <c r="AO133" s="94">
        <f ca="1">VLOOKUP($P133,'Regresion Md'!$Z$6:$AB$10,2,1)*$P133+VLOOKUP($P133,'Regresion Md'!$Z$6:$AB$10,3,1)</f>
        <v>13429791.250679716</v>
      </c>
      <c r="AP133" s="94">
        <f ca="1">VLOOKUP($P133,'Regresion Q3'!$T$6:$V$10,2,1)*$P133+VLOOKUP($P133,'Regresion Q3'!$T$6:$V$10,3,1)</f>
        <v>13216727.132262146</v>
      </c>
      <c r="AQ133" s="94">
        <f ca="1">VLOOKUP($P133,'Regresion Q3'!$W$6:$Y$10,2,1)*$P133+VLOOKUP($P133,'Regresion Q3'!$W$6:$Y$10,3,1)</f>
        <v>13525545.652654242</v>
      </c>
      <c r="AR133" s="94">
        <f ca="1">VLOOKUP($P133,'Regresion Q3'!$Z$6:$AB$10,2,1)*$P133+VLOOKUP($P133,'Regresion Q3'!$Z$6:$AB$10,3,1)</f>
        <v>13514432.458627254</v>
      </c>
      <c r="AS133" s="94">
        <f ca="1">IF($BN133=$BN134,-1,DatosHoy[[#This Row],[G ajus PM Q1]]-BO134)</f>
        <v>-2646732.540884681</v>
      </c>
      <c r="AT133" s="94">
        <f ca="1">IF($BN133=$BN134,-1,DatosHoy[[#This Row],[G+V ajus PM Q1]]-BP134)</f>
        <v>-2808793.0806137659</v>
      </c>
      <c r="AU133" s="94">
        <f ca="1">IF($BN133=$BN134,-1,DatosHoy[[#This Row],[CT ajus PM Q1]]-BQ134)</f>
        <v>-2899081.151009012</v>
      </c>
      <c r="AV133" s="94">
        <f ca="1">IF(DatosHoy[[#This Row],[G ajus PM Q1]]=DatosHoy[[#This Row],[G+V ajus PM Q1]],-1,DatosHoy[[#This Row],[G ajus PM Q1]]-DatosHoy[[#This Row],[G+V ajus PM Q1]])</f>
        <v>-503041.54125838354</v>
      </c>
      <c r="AW133" s="94">
        <f ca="1">IF(DatosHoy[[#This Row],[G+V ajus PM Q1]]=DatosHoy[[#This Row],[CT ajus PM Q1]],-1,DatosHoy[[#This Row],[G+V ajus PM Q1]]-DatosHoy[[#This Row],[CT ajus PM Q1]])</f>
        <v>-452197.64483823255</v>
      </c>
      <c r="AX133" s="94">
        <f ca="1">IF($BN133=$BN134,-1,DatosHoy[[#This Row],[G ajus PMd]]-BR134)</f>
        <v>-3572608.3268351909</v>
      </c>
      <c r="AY133" s="94">
        <f ca="1">IF($BN133=$BN134,-1,DatosHoy[[#This Row],[G+V ajus PM Md]]-BS134)</f>
        <v>-3714421.910537608</v>
      </c>
      <c r="AZ133" s="94">
        <f ca="1">IF($BN133=$BN134,-1,DatosHoy[[#This Row],[CT ajus PM Md]]-BT134)</f>
        <v>-3804267.9170188736</v>
      </c>
      <c r="BA133" s="94">
        <f ca="1">IF(DatosHoy[[#This Row],[G ajus PMd]]=DatosHoy[[#This Row],[G+V ajus PM Md]],-1,DatosHoy[[#This Row],[G ajus PMd]]-DatosHoy[[#This Row],[G+V ajus PM Md]])</f>
        <v>-704313.29405904375</v>
      </c>
      <c r="BB133" s="94">
        <f ca="1">IF(DatosHoy[[#This Row],[G+V ajus PM Md]]=DatosHoy[[#This Row],[CT ajus PM Md]],-1,DatosHoy[[#This Row],[G+V ajus PM Md]]-DatosHoy[[#This Row],[CT ajus PM Md]])</f>
        <v>-444058.51995912008</v>
      </c>
      <c r="BC133" s="94">
        <f ca="1">IF($BN133=$BN134,-1,DatosHoy[[#This Row],[G ajus PM Q3]]-BU134)</f>
        <v>-3728707.0594501626</v>
      </c>
      <c r="BD133" s="94">
        <f ca="1">IF($BN133=$BN134,-1,DatosHoy[[#This Row],[G+V ajus PM Q3]]-BV134)</f>
        <v>-3968197.9447565414</v>
      </c>
      <c r="BE133" s="94">
        <f ca="1">IF($BN133=$BN134,-1,DatosHoy[[#This Row],[CT ajus PM Q3]]-BW134)</f>
        <v>-4292359.1942874696</v>
      </c>
      <c r="BF133" s="94">
        <f ca="1">IF(DatosHoy[[#This Row],[G ajus PM Q3]]=DatosHoy[[#This Row],[G+V ajus PM Q3]],-1,DatosHoy[[#This Row],[G ajus PM Q3]]-DatosHoy[[#This Row],[G+V ajus PM Q3]])</f>
        <v>-292523.99074215628</v>
      </c>
      <c r="BG133" s="94">
        <f ca="1">IF(DatosHoy[[#This Row],[G+V ajus PM Q3]]=DatosHoy[[#This Row],[CT ajus PM Q3]],-1,DatosHoy[[#This Row],[G+V ajus PM Q3]]-DatosHoy[[#This Row],[CT ajus PM Q3]])</f>
        <v>-31099.065219929442</v>
      </c>
      <c r="BH133" s="94">
        <f ca="1">IF(DatosHoy[[#This Row],[G ajus PM Q1]]=DatosHoy[[#This Row],[G ajus PMd]],-1,DatosHoy[[#This Row],[G ajus PM Q1]]-DatosHoy[[#This Row],[G ajus PMd]])</f>
        <v>-657259.82265667804</v>
      </c>
      <c r="BI133" s="94">
        <f ca="1">IF(DatosHoy[[#This Row],[G+V ajus PM Q1]]=DatosHoy[[#This Row],[G+V ajus PM Md]],-1,DatosHoy[[#This Row],[G+V ajus PM Q1]]-DatosHoy[[#This Row],[G+V ajus PM Md]])</f>
        <v>-858531.57545733824</v>
      </c>
      <c r="BJ133" s="94">
        <f ca="1">IF(DatosHoy[[#This Row],[CT ajus PM Q1]]=DatosHoy[[#This Row],[CT ajus PM Md]],-1,DatosHoy[[#This Row],[CT ajus PM Q1]]-DatosHoy[[#This Row],[CT ajus PM Md]])</f>
        <v>-850392.45057822578</v>
      </c>
      <c r="BK133" s="94">
        <f ca="1">IF(DatosHoy[[#This Row],[G ajus PMd]]=DatosHoy[[#This Row],[G ajus PM Q3]],-1,DatosHoy[[#This Row],[G ajus PMd]]-DatosHoy[[#This Row],[G ajus PM Q3]])</f>
        <v>-1154011.1658006422</v>
      </c>
      <c r="BL133" s="94">
        <f ca="1">IF(DatosHoy[[#This Row],[G+V ajus PM Md]]=DatosHoy[[#This Row],[G+V ajus PM Q3]],-1,DatosHoy[[#This Row],[G+V ajus PM Md]]-DatosHoy[[#This Row],[G+V ajus PM Q3]])</f>
        <v>-742221.86248375475</v>
      </c>
      <c r="BM133" s="94">
        <f ca="1">IF(DatosHoy[[#This Row],[CT ajus PM Md]]=DatosHoy[[#This Row],[CT ajus PM Q3]],-1,DatosHoy[[#This Row],[CT ajus PM Md]]-DatosHoy[[#This Row],[CT ajus PM Q3]])</f>
        <v>-329262.40774456412</v>
      </c>
      <c r="BN133" s="74">
        <v>577</v>
      </c>
      <c r="BO133" s="94">
        <f ca="1">IFERROR(VLOOKUP($BN133,'Regresion Q1'!$T$6:$V$10,2,1)*$BN133+VLOOKUP($BN133,'Regresion Q1'!$T$6:$V$10,3,1),VLOOKUP(MIN(DatosHoy[Puntos]),'Regresion Q1'!$T$6:$V$10,2,1)*$BN133+VLOOKUP(MIN(DatosHoy[Puntos]),'Regresion Q1'!$T$6:$V$10,3,1))</f>
        <v>10504995.809643615</v>
      </c>
      <c r="BP133" s="94">
        <f ca="1">IFERROR(VLOOKUP($BN133,'Regresion Q1'!$W$6:$Y$10,2,1)*$BN133+VLOOKUP($BN133,'Regresion Q1'!$W$6:$Y$10,3,1),VLOOKUP(MIN(DatosHoy[Puntos]),'Regresion Q1'!$W$6:$Y$10,2,1)*$BN133+VLOOKUP(MIN(DatosHoy[Puntos]),'Regresion Q1'!$W$6:$Y$10,3,1))</f>
        <v>11008037.350901999</v>
      </c>
      <c r="BQ133" s="94">
        <f ca="1">IFERROR(VLOOKUP($BN133,'Regresion Q1'!$Z$6:$AB$10,2,1)*$BN133+VLOOKUP($BN133,'Regresion Q1'!$Z$6:$AB$10,3,1),VLOOKUP(MIN(DatosHoy[Puntos]),'Regresion Q1'!$Z$6:$AB$10,2,1)*$BN133+VLOOKUP(MIN(DatosHoy[Puntos]),'Regresion Q1'!$Z$6:$AB$10,3,1))</f>
        <v>11460234.995740231</v>
      </c>
      <c r="BR133" s="94">
        <f ca="1">IFERROR(VLOOKUP($BN133,'Regresion Md'!$T$6:$V$10,2,1)*$BN133+VLOOKUP($BN133,'Regresion Md'!$T$6:$V$10,3,1),VLOOKUP(MIN(DatosHoy[Puntos]),'Regresion Md'!$T$6:$V$10,2,1)*$BN133+VLOOKUP(MIN(DatosHoy[Puntos]),'Regresion Md'!$T$6:$V$10,3,1))</f>
        <v>11162255.632300293</v>
      </c>
      <c r="BS133" s="94">
        <f ca="1">IFERROR(VLOOKUP($BN133,'Regresion Md'!$W$6:$Y$10,2,1)*$BN133+VLOOKUP($BN133,'Regresion Md'!$W$6:$Y$10,3,1),VLOOKUP(MIN(DatosHoy[Puntos]),'Regresion Md'!$W$6:$Y$10,2,1)*$BN133+VLOOKUP(MIN(DatosHoy[Puntos]),'Regresion Md'!$W$6:$Y$10,3,1))</f>
        <v>11866568.926359337</v>
      </c>
      <c r="BT133" s="94">
        <f ca="1">IFERROR(VLOOKUP($BN133,'Regresion Md'!$Z$6:$AB$10,2,1)*$BN133+VLOOKUP($BN133,'Regresion Md'!$Z$6:$AB$10,3,1),VLOOKUP(MIN(DatosHoy[Puntos]),'Regresion Md'!$Z$6:$AB$10,2,1)*$BN133+VLOOKUP(MIN(DatosHoy[Puntos]),'Regresion Md'!$Z$6:$AB$10,3,1))</f>
        <v>12310627.446318457</v>
      </c>
      <c r="BU133" s="94">
        <f ca="1">IFERROR(VLOOKUP($BN133,'Regresion Q3'!$T$6:$V$10,2,1)*$BN133+VLOOKUP($BN133,'Regresion Q3'!$T$6:$V$10,3,1),VLOOKUP(MIN(DatosHoy[Puntos]),'Regresion Q3'!$T$6:$V$10,2,1)*$BN133+VLOOKUP(MIN(DatosHoy[Puntos]),'Regresion Q3'!$T$6:$V$10,3,1))</f>
        <v>12316266.798100935</v>
      </c>
      <c r="BV133" s="94">
        <f ca="1">IFERROR(VLOOKUP($BN133,'Regresion Q3'!$W$6:$Y$10,2,1)*$BN133+VLOOKUP($BN133,'Regresion Q3'!$W$6:$Y$10,3,1),VLOOKUP(MIN(DatosHoy[Puntos]),'Regresion Q3'!$W$6:$Y$10,2,1)*$BN133+VLOOKUP(MIN(DatosHoy[Puntos]),'Regresion Q3'!$W$6:$Y$10,3,1))</f>
        <v>12608790.788843092</v>
      </c>
      <c r="BW133" s="94">
        <f ca="1">IFERROR(VLOOKUP($BN133,'Regresion Q3'!$Z$6:$AB$10,2,1)*$BN133+VLOOKUP($BN133,'Regresion Q3'!$Z$6:$AB$10,3,1),VLOOKUP(MIN(DatosHoy[Puntos]),'Regresion Q3'!$Z$6:$AB$10,2,1)*$BN133+VLOOKUP(MIN(DatosHoy[Puntos]),'Regresion Q3'!$Z$6:$AB$10,3,1))</f>
        <v>12639889.854063021</v>
      </c>
      <c r="BX133" s="96">
        <f ca="1">DatosHoy[[#This Row],[CT Actual]]/DatosHoy[[#This Row],[CT ajus PM Md]]</f>
        <v>0.75509498118878704</v>
      </c>
      <c r="BY133" s="136" t="str">
        <f>VLOOKUP(DatosHoy[[#This Row],[Cargo Valorado]],Estadísticos[[Cargo]:[Nivel]],2,FALSE)</f>
        <v>Gerencia media</v>
      </c>
      <c r="BZ133" s="96">
        <f>(DatosHoy[[#This Row],[G+V Actual]]-DatosHoy[[#This Row],[G Actual]])/DatosHoy[[#This Row],[CT Actual]]</f>
        <v>0</v>
      </c>
      <c r="CA133" s="96">
        <f>(DatosHoy[[#This Row],[CT Actual]]-DatosHoy[[#This Row],[G+V Actual]])/DatosHoy[[#This Row],[CT Actual]]</f>
        <v>0</v>
      </c>
      <c r="CB133" s="139" t="s">
        <v>255</v>
      </c>
    </row>
    <row r="134" spans="2:80" x14ac:dyDescent="0.25">
      <c r="B134" s="73">
        <f t="shared" si="67"/>
        <v>129</v>
      </c>
      <c r="C134" s="74">
        <v>9295693</v>
      </c>
      <c r="D134" s="74">
        <v>9295693</v>
      </c>
      <c r="E134" s="74">
        <v>9295693</v>
      </c>
      <c r="F134" s="94">
        <f>VLOOKUP(DatosHoy[[#This Row],[Cargo Valorado]],Estadísticos[],3,0)</f>
        <v>10154825.901792649</v>
      </c>
      <c r="G134" s="94">
        <f>VLOOKUP(DatosHoy[[#This Row],[Cargo Valorado]],Estadísticos[],4,0)</f>
        <v>11948038.548060769</v>
      </c>
      <c r="H134" s="94">
        <f>VLOOKUP(DatosHoy[[#This Row],[Cargo Valorado]],Estadísticos[],5,0)</f>
        <v>12001775.365308225</v>
      </c>
      <c r="I134" s="94">
        <f>VLOOKUP(DatosHoy[[#This Row],[Cargo Valorado]],Estadísticos[],6,0)</f>
        <v>12754249.187308952</v>
      </c>
      <c r="J134" s="94">
        <f>VLOOKUP(DatosHoy[[#This Row],[Cargo Valorado]],Estadísticos[],7,0)</f>
        <v>13949724.284821033</v>
      </c>
      <c r="K134" s="94">
        <f>VLOOKUP(DatosHoy[[#This Row],[Cargo Valorado]],Estadísticos[],8,0)</f>
        <v>14057197.919315942</v>
      </c>
      <c r="L134" s="94">
        <f>VLOOKUP(DatosHoy[[#This Row],[Cargo Valorado]],Estadísticos[],9,0)</f>
        <v>15353672.472825255</v>
      </c>
      <c r="M134" s="94">
        <f>VLOOKUP(DatosHoy[[#This Row],[Cargo Valorado]],Estadísticos[],10,0)</f>
        <v>15951410.021581296</v>
      </c>
      <c r="N134" s="94">
        <f>VLOOKUP(DatosHoy[[#This Row],[Cargo Valorado]],Estadísticos[],11,0)</f>
        <v>16112620.47332366</v>
      </c>
      <c r="O134" s="75" t="s">
        <v>171</v>
      </c>
      <c r="P134" s="75">
        <v>619</v>
      </c>
      <c r="Q134" s="95" t="str">
        <f t="shared" si="68"/>
        <v>$P$134</v>
      </c>
      <c r="R134" s="95" t="str">
        <f t="shared" si="69"/>
        <v>$F$134</v>
      </c>
      <c r="S134" s="95" t="str">
        <f t="shared" si="70"/>
        <v>$G$134</v>
      </c>
      <c r="T134" s="95" t="str">
        <f t="shared" si="71"/>
        <v>$H$134</v>
      </c>
      <c r="U134" s="95" t="str">
        <f t="shared" si="72"/>
        <v>$I$134</v>
      </c>
      <c r="V134" s="95" t="str">
        <f t="shared" si="73"/>
        <v>$J$134</v>
      </c>
      <c r="W134" s="95" t="str">
        <f t="shared" si="74"/>
        <v>$K$134</v>
      </c>
      <c r="X134" s="95" t="str">
        <f t="shared" si="75"/>
        <v>$L$134</v>
      </c>
      <c r="Y134" s="95" t="str">
        <f t="shared" si="76"/>
        <v>$M$134</v>
      </c>
      <c r="Z134" s="95" t="str">
        <f t="shared" si="77"/>
        <v>$N$134</v>
      </c>
      <c r="AA134" s="94">
        <f ca="1">VLOOKUP($P134,'Regresion Q1'!$E$6:$I$10,4,1)*$P134+VLOOKUP($P134,'Regresion Q1'!$E$6:$I$10,5,1)</f>
        <v>10891975.481329201</v>
      </c>
      <c r="AB134" s="94">
        <f ca="1">VLOOKUP($P134,'Regresion Q1'!$J$6:$N$10,4,1)*$P134+VLOOKUP($P134,'Regresion Q1'!$J$6:$N$10,5,1)</f>
        <v>12031156.397616372</v>
      </c>
      <c r="AC134" s="94">
        <f ca="1">VLOOKUP($P134,'Regresion Q1'!$O$6:$S$10,4,1)*$P134+VLOOKUP($P134,'Regresion Q1'!$O$6:$S$10,5,1)</f>
        <v>12283438.75630421</v>
      </c>
      <c r="AD134" s="94">
        <f ca="1">VLOOKUP($P134,'Regresion Md'!$E$6:$I$10,4,1)*$P134+VLOOKUP($P134,'Regresion Md'!$E$6:$I$10,5,1)</f>
        <v>12395022.461445048</v>
      </c>
      <c r="AE134" s="94">
        <f ca="1">VLOOKUP($P134,'Regresion Md'!$J$6:$N$10,4,1)*$P134+VLOOKUP($P134,'Regresion Md'!$J$6:$N$10,5,1)</f>
        <v>13317197.412156064</v>
      </c>
      <c r="AF134" s="94">
        <f ca="1">VLOOKUP($P134,'Regresion Md'!$O$6:$S$10,4,1)*$P134+VLOOKUP($P134,'Regresion Md'!$O$6:$S$10,5,1)</f>
        <v>13764889.134105548</v>
      </c>
      <c r="AG134" s="94">
        <f ca="1">VLOOKUP($P134,'Regresion Q3'!$E$6:$I$10,4,1)*$P134+VLOOKUP($P134,'Regresion Q3'!$E$6:$I$10,5,1)</f>
        <v>17372380.730293106</v>
      </c>
      <c r="AH134" s="94">
        <f ca="1">VLOOKUP($P134,'Regresion Q3'!$J$6:$N$10,4,1)*$P134+VLOOKUP($P134,'Regresion Q3'!$J$6:$N$10,5,1)</f>
        <v>18453489.94069783</v>
      </c>
      <c r="AI134" s="94">
        <f ca="1">VLOOKUP($P134,'Regresion Q3'!$O$6:$S$10,4,1)*$P134+VLOOKUP($P134,'Regresion Q3'!$O$6:$S$10,5,1)</f>
        <v>18755767.936716586</v>
      </c>
      <c r="AJ134" s="94">
        <f ca="1">VLOOKUP($P134,'Regresion Q1'!$T$6:$V$10,2,1)*$P134+VLOOKUP($P134,'Regresion Q1'!$T$6:$V$10,3,1)</f>
        <v>11797586.120308228</v>
      </c>
      <c r="AK134" s="94">
        <f ca="1">VLOOKUP($P134,'Regresion Q1'!$W$6:$Y$10,2,1)*$P134+VLOOKUP($P134,'Regresion Q1'!$W$6:$Y$10,3,1)</f>
        <v>12379773.50655058</v>
      </c>
      <c r="AL134" s="94">
        <f ca="1">VLOOKUP($P134,'Regresion Q1'!$Z$6:$AB$10,2,1)*$P134+VLOOKUP($P134,'Regresion Q1'!$Z$6:$AB$10,3,1)</f>
        <v>12876065.325302772</v>
      </c>
      <c r="AM134" s="94">
        <f ca="1">VLOOKUP($P134,'Regresion Md'!$T$6:$V$10,2,1)*$P134+VLOOKUP($P134,'Regresion Md'!$T$6:$V$10,3,1)</f>
        <v>12625626.399920363</v>
      </c>
      <c r="AN134" s="94">
        <f ca="1">VLOOKUP($P134,'Regresion Md'!$W$6:$Y$10,2,1)*$P134+VLOOKUP($P134,'Regresion Md'!$W$6:$Y$10,3,1)</f>
        <v>13403090.17144699</v>
      </c>
      <c r="AO134" s="94">
        <f ca="1">VLOOKUP($P134,'Regresion Md'!$Z$6:$AB$10,2,1)*$P134+VLOOKUP($P134,'Regresion Md'!$Z$6:$AB$10,3,1)</f>
        <v>13885752.326414026</v>
      </c>
      <c r="AP134" s="94">
        <f ca="1">VLOOKUP($P134,'Regresion Q3'!$T$6:$V$10,2,1)*$P134+VLOOKUP($P134,'Regresion Q3'!$T$6:$V$10,3,1)</f>
        <v>13462307.223397024</v>
      </c>
      <c r="AQ134" s="94">
        <f ca="1">VLOOKUP($P134,'Regresion Q3'!$W$6:$Y$10,2,1)*$P134+VLOOKUP($P134,'Regresion Q3'!$W$6:$Y$10,3,1)</f>
        <v>13775569.706420917</v>
      </c>
      <c r="AR134" s="94">
        <f ca="1">VLOOKUP($P134,'Regresion Q3'!$Z$6:$AB$10,2,1)*$P134+VLOOKUP($P134,'Regresion Q3'!$Z$6:$AB$10,3,1)</f>
        <v>13752944.078053864</v>
      </c>
      <c r="AS134" s="94">
        <f>IF($BN134=$BN135,-1,DatosHoy[[#This Row],[G ajus PM Q1]]-BO135)</f>
        <v>-1</v>
      </c>
      <c r="AT134" s="94">
        <f>IF($BN134=$BN135,-1,DatosHoy[[#This Row],[G+V ajus PM Q1]]-BP135)</f>
        <v>-1</v>
      </c>
      <c r="AU134" s="94">
        <f>IF($BN134=$BN135,-1,DatosHoy[[#This Row],[CT ajus PM Q1]]-BQ135)</f>
        <v>-1</v>
      </c>
      <c r="AV134" s="94">
        <f ca="1">IF(DatosHoy[[#This Row],[G ajus PM Q1]]=DatosHoy[[#This Row],[G+V ajus PM Q1]],-1,DatosHoy[[#This Row],[G ajus PM Q1]]-DatosHoy[[#This Row],[G+V ajus PM Q1]])</f>
        <v>-665102.08098746836</v>
      </c>
      <c r="AW134" s="94">
        <f ca="1">IF(DatosHoy[[#This Row],[G+V ajus PM Q1]]=DatosHoy[[#This Row],[CT ajus PM Q1]],-1,DatosHoy[[#This Row],[G+V ajus PM Q1]]-DatosHoy[[#This Row],[CT ajus PM Q1]])</f>
        <v>-542485.7152334787</v>
      </c>
      <c r="AX134" s="94">
        <f>IF($BN134=$BN135,-1,DatosHoy[[#This Row],[G ajus PMd]]-BR135)</f>
        <v>-1</v>
      </c>
      <c r="AY134" s="94">
        <f>IF($BN134=$BN135,-1,DatosHoy[[#This Row],[G+V ajus PM Md]]-BS135)</f>
        <v>-1</v>
      </c>
      <c r="AZ134" s="94">
        <f>IF($BN134=$BN135,-1,DatosHoy[[#This Row],[CT ajus PM Md]]-BT135)</f>
        <v>-1</v>
      </c>
      <c r="BA134" s="94">
        <f ca="1">IF(DatosHoy[[#This Row],[G ajus PMd]]=DatosHoy[[#This Row],[G+V ajus PM Md]],-1,DatosHoy[[#This Row],[G ajus PMd]]-DatosHoy[[#This Row],[G+V ajus PM Md]])</f>
        <v>-846126.87776146084</v>
      </c>
      <c r="BB134" s="94">
        <f ca="1">IF(DatosHoy[[#This Row],[G+V ajus PM Md]]=DatosHoy[[#This Row],[CT ajus PM Md]],-1,DatosHoy[[#This Row],[G+V ajus PM Md]]-DatosHoy[[#This Row],[CT ajus PM Md]])</f>
        <v>-533904.52644038573</v>
      </c>
      <c r="BC134" s="94">
        <f>IF($BN134=$BN135,-1,DatosHoy[[#This Row],[G ajus PM Q3]]-BU135)</f>
        <v>-1</v>
      </c>
      <c r="BD134" s="94">
        <f>IF($BN134=$BN135,-1,DatosHoy[[#This Row],[G+V ajus PM Q3]]-BV135)</f>
        <v>-1</v>
      </c>
      <c r="BE134" s="94">
        <f>IF($BN134=$BN135,-1,DatosHoy[[#This Row],[CT ajus PM Q3]]-BW135)</f>
        <v>-1</v>
      </c>
      <c r="BF134" s="94">
        <f ca="1">IF(DatosHoy[[#This Row],[G ajus PM Q3]]=DatosHoy[[#This Row],[G+V ajus PM Q3]],-1,DatosHoy[[#This Row],[G ajus PM Q3]]-DatosHoy[[#This Row],[G+V ajus PM Q3]])</f>
        <v>-532014.87604853511</v>
      </c>
      <c r="BG134" s="94">
        <f ca="1">IF(DatosHoy[[#This Row],[G+V ajus PM Q3]]=DatosHoy[[#This Row],[CT ajus PM Q3]],-1,DatosHoy[[#This Row],[G+V ajus PM Q3]]-DatosHoy[[#This Row],[CT ajus PM Q3]])</f>
        <v>-355260.31475085765</v>
      </c>
      <c r="BH134" s="94">
        <f ca="1">IF(DatosHoy[[#This Row],[G ajus PM Q1]]=DatosHoy[[#This Row],[G ajus PMd]],-1,DatosHoy[[#This Row],[G ajus PM Q1]]-DatosHoy[[#This Row],[G ajus PMd]])</f>
        <v>-1583135.6086071879</v>
      </c>
      <c r="BI134" s="94">
        <f ca="1">IF(DatosHoy[[#This Row],[G+V ajus PM Q1]]=DatosHoy[[#This Row],[G+V ajus PM Md]],-1,DatosHoy[[#This Row],[G+V ajus PM Q1]]-DatosHoy[[#This Row],[G+V ajus PM Md]])</f>
        <v>-1764160.4053811803</v>
      </c>
      <c r="BJ134" s="94">
        <f ca="1">IF(DatosHoy[[#This Row],[CT ajus PM Q1]]=DatosHoy[[#This Row],[CT ajus PM Md]],-1,DatosHoy[[#This Row],[CT ajus PM Q1]]-DatosHoy[[#This Row],[CT ajus PM Md]])</f>
        <v>-1755579.2165880874</v>
      </c>
      <c r="BK134" s="94">
        <f ca="1">IF(DatosHoy[[#This Row],[G ajus PMd]]=DatosHoy[[#This Row],[G ajus PM Q3]],-1,DatosHoy[[#This Row],[G ajus PMd]]-DatosHoy[[#This Row],[G ajus PM Q3]])</f>
        <v>-1310109.8984156139</v>
      </c>
      <c r="BL134" s="94">
        <f ca="1">IF(DatosHoy[[#This Row],[G+V ajus PM Md]]=DatosHoy[[#This Row],[G+V ajus PM Q3]],-1,DatosHoy[[#This Row],[G+V ajus PM Md]]-DatosHoy[[#This Row],[G+V ajus PM Q3]])</f>
        <v>-995997.89670268819</v>
      </c>
      <c r="BM134" s="94">
        <f ca="1">IF(DatosHoy[[#This Row],[CT ajus PM Md]]=DatosHoy[[#This Row],[CT ajus PM Q3]],-1,DatosHoy[[#This Row],[CT ajus PM Md]]-DatosHoy[[#This Row],[CT ajus PM Q3]])</f>
        <v>-817353.68501316011</v>
      </c>
      <c r="BN134" s="74">
        <v>663</v>
      </c>
      <c r="BO134" s="94">
        <f ca="1">IFERROR(VLOOKUP($BN134,'Regresion Q1'!$T$6:$V$10,2,1)*$BN134+VLOOKUP($BN134,'Regresion Q1'!$T$6:$V$10,3,1),VLOOKUP(MIN(DatosHoy[Puntos]),'Regresion Q1'!$T$6:$V$10,2,1)*$BN134+VLOOKUP(MIN(DatosHoy[Puntos]),'Regresion Q1'!$T$6:$V$10,3,1))</f>
        <v>13151728.350528296</v>
      </c>
      <c r="BP134" s="94">
        <f ca="1">IFERROR(VLOOKUP($BN134,'Regresion Q1'!$W$6:$Y$10,2,1)*$BN134+VLOOKUP($BN134,'Regresion Q1'!$W$6:$Y$10,3,1),VLOOKUP(MIN(DatosHoy[Puntos]),'Regresion Q1'!$W$6:$Y$10,2,1)*$BN134+VLOOKUP(MIN(DatosHoy[Puntos]),'Regresion Q1'!$W$6:$Y$10,3,1))</f>
        <v>13816830.431515764</v>
      </c>
      <c r="BQ134" s="94">
        <f ca="1">IFERROR(VLOOKUP($BN134,'Regresion Q1'!$Z$6:$AB$10,2,1)*$BN134+VLOOKUP($BN134,'Regresion Q1'!$Z$6:$AB$10,3,1),VLOOKUP(MIN(DatosHoy[Puntos]),'Regresion Q1'!$Z$6:$AB$10,2,1)*$BN134+VLOOKUP(MIN(DatosHoy[Puntos]),'Regresion Q1'!$Z$6:$AB$10,3,1))</f>
        <v>14359316.146749243</v>
      </c>
      <c r="BR134" s="94">
        <f ca="1">IFERROR(VLOOKUP($BN134,'Regresion Md'!$T$6:$V$10,2,1)*$BN134+VLOOKUP($BN134,'Regresion Md'!$T$6:$V$10,3,1),VLOOKUP(MIN(DatosHoy[Puntos]),'Regresion Md'!$T$6:$V$10,2,1)*$BN134+VLOOKUP(MIN(DatosHoy[Puntos]),'Regresion Md'!$T$6:$V$10,3,1))</f>
        <v>14734863.959135484</v>
      </c>
      <c r="BS134" s="94">
        <f ca="1">IFERROR(VLOOKUP($BN134,'Regresion Md'!$W$6:$Y$10,2,1)*$BN134+VLOOKUP($BN134,'Regresion Md'!$W$6:$Y$10,3,1),VLOOKUP(MIN(DatosHoy[Puntos]),'Regresion Md'!$W$6:$Y$10,2,1)*$BN134+VLOOKUP(MIN(DatosHoy[Puntos]),'Regresion Md'!$W$6:$Y$10,3,1))</f>
        <v>15580990.836896945</v>
      </c>
      <c r="BT134" s="94">
        <f ca="1">IFERROR(VLOOKUP($BN134,'Regresion Md'!$Z$6:$AB$10,2,1)*$BN134+VLOOKUP($BN134,'Regresion Md'!$Z$6:$AB$10,3,1),VLOOKUP(MIN(DatosHoy[Puntos]),'Regresion Md'!$Z$6:$AB$10,2,1)*$BN134+VLOOKUP(MIN(DatosHoy[Puntos]),'Regresion Md'!$Z$6:$AB$10,3,1))</f>
        <v>16114895.363337331</v>
      </c>
      <c r="BU134" s="94">
        <f ca="1">IFERROR(VLOOKUP($BN134,'Regresion Q3'!$T$6:$V$10,2,1)*$BN134+VLOOKUP($BN134,'Regresion Q3'!$T$6:$V$10,3,1),VLOOKUP(MIN(DatosHoy[Puntos]),'Regresion Q3'!$T$6:$V$10,2,1)*$BN134+VLOOKUP(MIN(DatosHoy[Puntos]),'Regresion Q3'!$T$6:$V$10,3,1))</f>
        <v>16044973.857551098</v>
      </c>
      <c r="BV134" s="94">
        <f ca="1">IFERROR(VLOOKUP($BN134,'Regresion Q3'!$W$6:$Y$10,2,1)*$BN134+VLOOKUP($BN134,'Regresion Q3'!$W$6:$Y$10,3,1),VLOOKUP(MIN(DatosHoy[Puntos]),'Regresion Q3'!$W$6:$Y$10,2,1)*$BN134+VLOOKUP(MIN(DatosHoy[Puntos]),'Regresion Q3'!$W$6:$Y$10,3,1))</f>
        <v>16576988.733599633</v>
      </c>
      <c r="BW134" s="94">
        <f ca="1">IFERROR(VLOOKUP($BN134,'Regresion Q3'!$Z$6:$AB$10,2,1)*$BN134+VLOOKUP($BN134,'Regresion Q3'!$Z$6:$AB$10,3,1),VLOOKUP(MIN(DatosHoy[Puntos]),'Regresion Q3'!$Z$6:$AB$10,2,1)*$BN134+VLOOKUP(MIN(DatosHoy[Puntos]),'Regresion Q3'!$Z$6:$AB$10,3,1))</f>
        <v>16932249.048350491</v>
      </c>
      <c r="BX134" s="96">
        <f ca="1">DatosHoy[[#This Row],[CT Actual]]/DatosHoy[[#This Row],[CT ajus PM Md]]</f>
        <v>0.57683855776987802</v>
      </c>
      <c r="BY134" s="136" t="str">
        <f>VLOOKUP(DatosHoy[[#This Row],[Cargo Valorado]],Estadísticos[[Cargo]:[Nivel]],2,FALSE)</f>
        <v>Gerencia media</v>
      </c>
      <c r="BZ134" s="96">
        <f>(DatosHoy[[#This Row],[G+V Actual]]-DatosHoy[[#This Row],[G Actual]])/DatosHoy[[#This Row],[CT Actual]]</f>
        <v>0</v>
      </c>
      <c r="CA134" s="96">
        <f>(DatosHoy[[#This Row],[CT Actual]]-DatosHoy[[#This Row],[G+V Actual]])/DatosHoy[[#This Row],[CT Actual]]</f>
        <v>0</v>
      </c>
      <c r="CB134" s="139" t="s">
        <v>255</v>
      </c>
    </row>
    <row r="135" spans="2:80" x14ac:dyDescent="0.25">
      <c r="B135" s="73">
        <f t="shared" si="67"/>
        <v>130</v>
      </c>
      <c r="C135" s="74">
        <v>13526998.32</v>
      </c>
      <c r="D135" s="74">
        <v>13526998.32</v>
      </c>
      <c r="E135" s="74">
        <v>13526998.32</v>
      </c>
      <c r="F135" s="94">
        <f>VLOOKUP(DatosHoy[[#This Row],[Cargo Valorado]],Estadísticos[],3,0)</f>
        <v>16490668.956858592</v>
      </c>
      <c r="G135" s="94">
        <f>VLOOKUP(DatosHoy[[#This Row],[Cargo Valorado]],Estadísticos[],4,0)</f>
        <v>18359027.37121582</v>
      </c>
      <c r="H135" s="94">
        <f>VLOOKUP(DatosHoy[[#This Row],[Cargo Valorado]],Estadísticos[],5,0)</f>
        <v>19418115.291018426</v>
      </c>
      <c r="I135" s="94">
        <f>VLOOKUP(DatosHoy[[#This Row],[Cargo Valorado]],Estadísticos[],6,0)</f>
        <v>17778800</v>
      </c>
      <c r="J135" s="94">
        <f>VLOOKUP(DatosHoy[[#This Row],[Cargo Valorado]],Estadísticos[],7,0)</f>
        <v>19840889.319400001</v>
      </c>
      <c r="K135" s="94">
        <f>VLOOKUP(DatosHoy[[#This Row],[Cargo Valorado]],Estadísticos[],8,0)</f>
        <v>20289128.986066669</v>
      </c>
      <c r="L135" s="94">
        <f>VLOOKUP(DatosHoy[[#This Row],[Cargo Valorado]],Estadísticos[],9,0)</f>
        <v>18395708.0277</v>
      </c>
      <c r="M135" s="94">
        <f>VLOOKUP(DatosHoy[[#This Row],[Cargo Valorado]],Estadísticos[],10,0)</f>
        <v>20948633.009094283</v>
      </c>
      <c r="N135" s="94">
        <f>VLOOKUP(DatosHoy[[#This Row],[Cargo Valorado]],Estadísticos[],11,0)</f>
        <v>21284812.759094283</v>
      </c>
      <c r="O135" s="75" t="s">
        <v>170</v>
      </c>
      <c r="P135" s="75">
        <v>625</v>
      </c>
      <c r="Q135" s="95" t="str">
        <f t="shared" si="68"/>
        <v>$P$135</v>
      </c>
      <c r="R135" s="95" t="str">
        <f t="shared" si="69"/>
        <v>$F$135</v>
      </c>
      <c r="S135" s="95" t="str">
        <f t="shared" si="70"/>
        <v>$G$135</v>
      </c>
      <c r="T135" s="95" t="str">
        <f t="shared" si="71"/>
        <v>$H$135</v>
      </c>
      <c r="U135" s="95" t="str">
        <f t="shared" si="72"/>
        <v>$I$135</v>
      </c>
      <c r="V135" s="95" t="str">
        <f t="shared" si="73"/>
        <v>$J$135</v>
      </c>
      <c r="W135" s="95" t="str">
        <f t="shared" si="74"/>
        <v>$K$135</v>
      </c>
      <c r="X135" s="95" t="str">
        <f t="shared" si="75"/>
        <v>$L$135</v>
      </c>
      <c r="Y135" s="95" t="str">
        <f t="shared" si="76"/>
        <v>$M$135</v>
      </c>
      <c r="Z135" s="95" t="str">
        <f t="shared" si="77"/>
        <v>$N$135</v>
      </c>
      <c r="AA135" s="94">
        <f ca="1">VLOOKUP($P135,'Regresion Q1'!$E$6:$I$10,4,1)*$P135+VLOOKUP($P135,'Regresion Q1'!$E$6:$I$10,5,1)</f>
        <v>11052265.034462506</v>
      </c>
      <c r="AB135" s="94">
        <f ca="1">VLOOKUP($P135,'Regresion Q1'!$J$6:$N$10,4,1)*$P135+VLOOKUP($P135,'Regresion Q1'!$J$6:$N$10,5,1)</f>
        <v>12217738.873038791</v>
      </c>
      <c r="AC135" s="94">
        <f ca="1">VLOOKUP($P135,'Regresion Q1'!$O$6:$S$10,4,1)*$P135+VLOOKUP($P135,'Regresion Q1'!$O$6:$S$10,5,1)</f>
        <v>12469755.122476222</v>
      </c>
      <c r="AD135" s="94">
        <f ca="1">VLOOKUP($P135,'Regresion Md'!$E$6:$I$10,4,1)*$P135+VLOOKUP($P135,'Regresion Md'!$E$6:$I$10,5,1)</f>
        <v>12613464.583431788</v>
      </c>
      <c r="AE135" s="94">
        <f ca="1">VLOOKUP($P135,'Regresion Md'!$J$6:$N$10,4,1)*$P135+VLOOKUP($P135,'Regresion Md'!$J$6:$N$10,5,1)</f>
        <v>13588416.038748328</v>
      </c>
      <c r="AF135" s="94">
        <f ca="1">VLOOKUP($P135,'Regresion Md'!$O$6:$S$10,4,1)*$P135+VLOOKUP($P135,'Regresion Md'!$O$6:$S$10,5,1)</f>
        <v>14032604.226902548</v>
      </c>
      <c r="AG135" s="94">
        <f ca="1">VLOOKUP($P135,'Regresion Q3'!$E$6:$I$10,4,1)*$P135+VLOOKUP($P135,'Regresion Q3'!$E$6:$I$10,5,1)</f>
        <v>17668645.655690234</v>
      </c>
      <c r="AH135" s="94">
        <f ca="1">VLOOKUP($P135,'Regresion Q3'!$J$6:$N$10,4,1)*$P135+VLOOKUP($P135,'Regresion Q3'!$J$6:$N$10,5,1)</f>
        <v>18778746.210472573</v>
      </c>
      <c r="AI135" s="94">
        <f ca="1">VLOOKUP($P135,'Regresion Q3'!$O$6:$S$10,4,1)*$P135+VLOOKUP($P135,'Regresion Q3'!$O$6:$S$10,5,1)</f>
        <v>19084362.932447188</v>
      </c>
      <c r="AJ135" s="94">
        <f ca="1">VLOOKUP($P135,'Regresion Q1'!$T$6:$V$10,2,1)*$P135+VLOOKUP($P135,'Regresion Q1'!$T$6:$V$10,3,1)</f>
        <v>11982241.878974602</v>
      </c>
      <c r="AK135" s="94">
        <f ca="1">VLOOKUP($P135,'Regresion Q1'!$W$6:$Y$10,2,1)*$P135+VLOOKUP($P135,'Regresion Q1'!$W$6:$Y$10,3,1)</f>
        <v>12575735.81450038</v>
      </c>
      <c r="AL135" s="94">
        <f ca="1">VLOOKUP($P135,'Regresion Q1'!$Z$6:$AB$10,2,1)*$P135+VLOOKUP($P135,'Regresion Q1'!$Z$6:$AB$10,3,1)</f>
        <v>13078326.800954565</v>
      </c>
      <c r="AM135" s="94">
        <f ca="1">VLOOKUP($P135,'Regresion Md'!$T$6:$V$10,2,1)*$P135+VLOOKUP($P135,'Regresion Md'!$T$6:$V$10,3,1)</f>
        <v>12913249.703449696</v>
      </c>
      <c r="AN135" s="94">
        <f ca="1">VLOOKUP($P135,'Regresion Md'!$W$6:$Y$10,2,1)*$P135+VLOOKUP($P135,'Regresion Md'!$W$6:$Y$10,3,1)</f>
        <v>13700076.62582653</v>
      </c>
      <c r="AO135" s="94">
        <f ca="1">VLOOKUP($P135,'Regresion Md'!$Z$6:$AB$10,2,1)*$P135+VLOOKUP($P135,'Regresion Md'!$Z$6:$AB$10,3,1)</f>
        <v>14189726.376903567</v>
      </c>
      <c r="AP135" s="94">
        <f ca="1">VLOOKUP($P135,'Regresion Q3'!$T$6:$V$10,2,1)*$P135+VLOOKUP($P135,'Regresion Q3'!$T$6:$V$10,3,1)</f>
        <v>13626027.284153607</v>
      </c>
      <c r="AQ135" s="94">
        <f ca="1">VLOOKUP($P135,'Regresion Q3'!$W$6:$Y$10,2,1)*$P135+VLOOKUP($P135,'Regresion Q3'!$W$6:$Y$10,3,1)</f>
        <v>13942252.408932034</v>
      </c>
      <c r="AR135" s="94">
        <f ca="1">VLOOKUP($P135,'Regresion Q3'!$Z$6:$AB$10,2,1)*$P135+VLOOKUP($P135,'Regresion Q3'!$Z$6:$AB$10,3,1)</f>
        <v>13911951.82433827</v>
      </c>
      <c r="AS135" s="94">
        <f>IF($BN135=$BN136,-1,DatosHoy[[#This Row],[G ajus PM Q1]]-BO136)</f>
        <v>-1</v>
      </c>
      <c r="AT135" s="94">
        <f>IF($BN135=$BN136,-1,DatosHoy[[#This Row],[G+V ajus PM Q1]]-BP136)</f>
        <v>-1</v>
      </c>
      <c r="AU135" s="94">
        <f>IF($BN135=$BN136,-1,DatosHoy[[#This Row],[CT ajus PM Q1]]-BQ136)</f>
        <v>-1</v>
      </c>
      <c r="AV135" s="94">
        <f ca="1">IF(DatosHoy[[#This Row],[G ajus PM Q1]]=DatosHoy[[#This Row],[G+V ajus PM Q1]],-1,DatosHoy[[#This Row],[G ajus PM Q1]]-DatosHoy[[#This Row],[G+V ajus PM Q1]])</f>
        <v>-665102.08098746836</v>
      </c>
      <c r="AW135" s="94">
        <f ca="1">IF(DatosHoy[[#This Row],[G+V ajus PM Q1]]=DatosHoy[[#This Row],[CT ajus PM Q1]],-1,DatosHoy[[#This Row],[G+V ajus PM Q1]]-DatosHoy[[#This Row],[CT ajus PM Q1]])</f>
        <v>-542485.7152334787</v>
      </c>
      <c r="AX135" s="94">
        <f>IF($BN135=$BN136,-1,DatosHoy[[#This Row],[G ajus PMd]]-BR136)</f>
        <v>-1</v>
      </c>
      <c r="AY135" s="94">
        <f>IF($BN135=$BN136,-1,DatosHoy[[#This Row],[G+V ajus PM Md]]-BS136)</f>
        <v>-1</v>
      </c>
      <c r="AZ135" s="94">
        <f>IF($BN135=$BN136,-1,DatosHoy[[#This Row],[CT ajus PM Md]]-BT136)</f>
        <v>-1</v>
      </c>
      <c r="BA135" s="94">
        <f ca="1">IF(DatosHoy[[#This Row],[G ajus PMd]]=DatosHoy[[#This Row],[G+V ajus PM Md]],-1,DatosHoy[[#This Row],[G ajus PMd]]-DatosHoy[[#This Row],[G+V ajus PM Md]])</f>
        <v>-846126.87776146084</v>
      </c>
      <c r="BB135" s="94">
        <f ca="1">IF(DatosHoy[[#This Row],[G+V ajus PM Md]]=DatosHoy[[#This Row],[CT ajus PM Md]],-1,DatosHoy[[#This Row],[G+V ajus PM Md]]-DatosHoy[[#This Row],[CT ajus PM Md]])</f>
        <v>-533904.52644038573</v>
      </c>
      <c r="BC135" s="94">
        <f>IF($BN135=$BN136,-1,DatosHoy[[#This Row],[G ajus PM Q3]]-BU136)</f>
        <v>-1</v>
      </c>
      <c r="BD135" s="94">
        <f>IF($BN135=$BN136,-1,DatosHoy[[#This Row],[G+V ajus PM Q3]]-BV136)</f>
        <v>-1</v>
      </c>
      <c r="BE135" s="94">
        <f>IF($BN135=$BN136,-1,DatosHoy[[#This Row],[CT ajus PM Q3]]-BW136)</f>
        <v>-1</v>
      </c>
      <c r="BF135" s="94">
        <f ca="1">IF(DatosHoy[[#This Row],[G ajus PM Q3]]=DatosHoy[[#This Row],[G+V ajus PM Q3]],-1,DatosHoy[[#This Row],[G ajus PM Q3]]-DatosHoy[[#This Row],[G+V ajus PM Q3]])</f>
        <v>-532014.87604853511</v>
      </c>
      <c r="BG135" s="94">
        <f ca="1">IF(DatosHoy[[#This Row],[G+V ajus PM Q3]]=DatosHoy[[#This Row],[CT ajus PM Q3]],-1,DatosHoy[[#This Row],[G+V ajus PM Q3]]-DatosHoy[[#This Row],[CT ajus PM Q3]])</f>
        <v>-355260.31475085765</v>
      </c>
      <c r="BH135" s="94">
        <f ca="1">IF(DatosHoy[[#This Row],[G ajus PM Q1]]=DatosHoy[[#This Row],[G ajus PMd]],-1,DatosHoy[[#This Row],[G ajus PM Q1]]-DatosHoy[[#This Row],[G ajus PMd]])</f>
        <v>-1583135.6086071879</v>
      </c>
      <c r="BI135" s="94">
        <f ca="1">IF(DatosHoy[[#This Row],[G+V ajus PM Q1]]=DatosHoy[[#This Row],[G+V ajus PM Md]],-1,DatosHoy[[#This Row],[G+V ajus PM Q1]]-DatosHoy[[#This Row],[G+V ajus PM Md]])</f>
        <v>-1764160.4053811803</v>
      </c>
      <c r="BJ135" s="94">
        <f ca="1">IF(DatosHoy[[#This Row],[CT ajus PM Q1]]=DatosHoy[[#This Row],[CT ajus PM Md]],-1,DatosHoy[[#This Row],[CT ajus PM Q1]]-DatosHoy[[#This Row],[CT ajus PM Md]])</f>
        <v>-1755579.2165880874</v>
      </c>
      <c r="BK135" s="94">
        <f ca="1">IF(DatosHoy[[#This Row],[G ajus PMd]]=DatosHoy[[#This Row],[G ajus PM Q3]],-1,DatosHoy[[#This Row],[G ajus PMd]]-DatosHoy[[#This Row],[G ajus PM Q3]])</f>
        <v>-1310109.8984156139</v>
      </c>
      <c r="BL135" s="94">
        <f ca="1">IF(DatosHoy[[#This Row],[G+V ajus PM Md]]=DatosHoy[[#This Row],[G+V ajus PM Q3]],-1,DatosHoy[[#This Row],[G+V ajus PM Md]]-DatosHoy[[#This Row],[G+V ajus PM Q3]])</f>
        <v>-995997.89670268819</v>
      </c>
      <c r="BM135" s="94">
        <f ca="1">IF(DatosHoy[[#This Row],[CT ajus PM Md]]=DatosHoy[[#This Row],[CT ajus PM Q3]],-1,DatosHoy[[#This Row],[CT ajus PM Md]]-DatosHoy[[#This Row],[CT ajus PM Q3]])</f>
        <v>-817353.68501316011</v>
      </c>
      <c r="BN135" s="74">
        <v>663</v>
      </c>
      <c r="BO135" s="94">
        <f ca="1">IFERROR(VLOOKUP($BN135,'Regresion Q1'!$T$6:$V$10,2,1)*$BN135+VLOOKUP($BN135,'Regresion Q1'!$T$6:$V$10,3,1),VLOOKUP(MIN(DatosHoy[Puntos]),'Regresion Q1'!$T$6:$V$10,2,1)*$BN135+VLOOKUP(MIN(DatosHoy[Puntos]),'Regresion Q1'!$T$6:$V$10,3,1))</f>
        <v>13151728.350528296</v>
      </c>
      <c r="BP135" s="94">
        <f ca="1">IFERROR(VLOOKUP($BN135,'Regresion Q1'!$W$6:$Y$10,2,1)*$BN135+VLOOKUP($BN135,'Regresion Q1'!$W$6:$Y$10,3,1),VLOOKUP(MIN(DatosHoy[Puntos]),'Regresion Q1'!$W$6:$Y$10,2,1)*$BN135+VLOOKUP(MIN(DatosHoy[Puntos]),'Regresion Q1'!$W$6:$Y$10,3,1))</f>
        <v>13816830.431515764</v>
      </c>
      <c r="BQ135" s="94">
        <f ca="1">IFERROR(VLOOKUP($BN135,'Regresion Q1'!$Z$6:$AB$10,2,1)*$BN135+VLOOKUP($BN135,'Regresion Q1'!$Z$6:$AB$10,3,1),VLOOKUP(MIN(DatosHoy[Puntos]),'Regresion Q1'!$Z$6:$AB$10,2,1)*$BN135+VLOOKUP(MIN(DatosHoy[Puntos]),'Regresion Q1'!$Z$6:$AB$10,3,1))</f>
        <v>14359316.146749243</v>
      </c>
      <c r="BR135" s="94">
        <f ca="1">IFERROR(VLOOKUP($BN135,'Regresion Md'!$T$6:$V$10,2,1)*$BN135+VLOOKUP($BN135,'Regresion Md'!$T$6:$V$10,3,1),VLOOKUP(MIN(DatosHoy[Puntos]),'Regresion Md'!$T$6:$V$10,2,1)*$BN135+VLOOKUP(MIN(DatosHoy[Puntos]),'Regresion Md'!$T$6:$V$10,3,1))</f>
        <v>14734863.959135484</v>
      </c>
      <c r="BS135" s="94">
        <f ca="1">IFERROR(VLOOKUP($BN135,'Regresion Md'!$W$6:$Y$10,2,1)*$BN135+VLOOKUP($BN135,'Regresion Md'!$W$6:$Y$10,3,1),VLOOKUP(MIN(DatosHoy[Puntos]),'Regresion Md'!$W$6:$Y$10,2,1)*$BN135+VLOOKUP(MIN(DatosHoy[Puntos]),'Regresion Md'!$W$6:$Y$10,3,1))</f>
        <v>15580990.836896945</v>
      </c>
      <c r="BT135" s="94">
        <f ca="1">IFERROR(VLOOKUP($BN135,'Regresion Md'!$Z$6:$AB$10,2,1)*$BN135+VLOOKUP($BN135,'Regresion Md'!$Z$6:$AB$10,3,1),VLOOKUP(MIN(DatosHoy[Puntos]),'Regresion Md'!$Z$6:$AB$10,2,1)*$BN135+VLOOKUP(MIN(DatosHoy[Puntos]),'Regresion Md'!$Z$6:$AB$10,3,1))</f>
        <v>16114895.363337331</v>
      </c>
      <c r="BU135" s="94">
        <f ca="1">IFERROR(VLOOKUP($BN135,'Regresion Q3'!$T$6:$V$10,2,1)*$BN135+VLOOKUP($BN135,'Regresion Q3'!$T$6:$V$10,3,1),VLOOKUP(MIN(DatosHoy[Puntos]),'Regresion Q3'!$T$6:$V$10,2,1)*$BN135+VLOOKUP(MIN(DatosHoy[Puntos]),'Regresion Q3'!$T$6:$V$10,3,1))</f>
        <v>16044973.857551098</v>
      </c>
      <c r="BV135" s="94">
        <f ca="1">IFERROR(VLOOKUP($BN135,'Regresion Q3'!$W$6:$Y$10,2,1)*$BN135+VLOOKUP($BN135,'Regresion Q3'!$W$6:$Y$10,3,1),VLOOKUP(MIN(DatosHoy[Puntos]),'Regresion Q3'!$W$6:$Y$10,2,1)*$BN135+VLOOKUP(MIN(DatosHoy[Puntos]),'Regresion Q3'!$W$6:$Y$10,3,1))</f>
        <v>16576988.733599633</v>
      </c>
      <c r="BW135" s="94">
        <f ca="1">IFERROR(VLOOKUP($BN135,'Regresion Q3'!$Z$6:$AB$10,2,1)*$BN135+VLOOKUP($BN135,'Regresion Q3'!$Z$6:$AB$10,3,1),VLOOKUP(MIN(DatosHoy[Puntos]),'Regresion Q3'!$Z$6:$AB$10,2,1)*$BN135+VLOOKUP(MIN(DatosHoy[Puntos]),'Regresion Q3'!$Z$6:$AB$10,3,1))</f>
        <v>16932249.048350491</v>
      </c>
      <c r="BX135" s="96">
        <f ca="1">DatosHoy[[#This Row],[CT Actual]]/DatosHoy[[#This Row],[CT ajus PM Md]]</f>
        <v>0.83940962786360984</v>
      </c>
      <c r="BY135" s="136" t="str">
        <f>VLOOKUP(DatosHoy[[#This Row],[Cargo Valorado]],Estadísticos[[Cargo]:[Nivel]],2,FALSE)</f>
        <v>Gerencia media</v>
      </c>
      <c r="BZ135" s="96">
        <f>(DatosHoy[[#This Row],[G+V Actual]]-DatosHoy[[#This Row],[G Actual]])/DatosHoy[[#This Row],[CT Actual]]</f>
        <v>0</v>
      </c>
      <c r="CA135" s="96">
        <f>(DatosHoy[[#This Row],[CT Actual]]-DatosHoy[[#This Row],[G+V Actual]])/DatosHoy[[#This Row],[CT Actual]]</f>
        <v>0</v>
      </c>
      <c r="CB135" s="139" t="s">
        <v>255</v>
      </c>
    </row>
    <row r="136" spans="2:80" x14ac:dyDescent="0.25">
      <c r="B136" s="73">
        <f t="shared" si="67"/>
        <v>131</v>
      </c>
      <c r="C136" s="74">
        <v>10253502.380000001</v>
      </c>
      <c r="D136" s="74">
        <v>10253502.380000001</v>
      </c>
      <c r="E136" s="74">
        <v>10253502.380000001</v>
      </c>
      <c r="F136" s="94">
        <f>VLOOKUP(DatosHoy[[#This Row],[Cargo Valorado]],Estadísticos[],3,0)</f>
        <v>12282632.902368892</v>
      </c>
      <c r="G136" s="94">
        <f>VLOOKUP(DatosHoy[[#This Row],[Cargo Valorado]],Estadísticos[],4,0)</f>
        <v>12823886.902368892</v>
      </c>
      <c r="H136" s="94">
        <f>VLOOKUP(DatosHoy[[#This Row],[Cargo Valorado]],Estadísticos[],5,0)</f>
        <v>12872378.85107876</v>
      </c>
      <c r="I136" s="94">
        <f>VLOOKUP(DatosHoy[[#This Row],[Cargo Valorado]],Estadísticos[],6,0)</f>
        <v>18247245.855728436</v>
      </c>
      <c r="J136" s="94">
        <f>VLOOKUP(DatosHoy[[#This Row],[Cargo Valorado]],Estadísticos[],7,0)</f>
        <v>18247245.855728436</v>
      </c>
      <c r="K136" s="94">
        <f>VLOOKUP(DatosHoy[[#This Row],[Cargo Valorado]],Estadísticos[],8,0)</f>
        <v>18247245.855728436</v>
      </c>
      <c r="L136" s="94">
        <f>VLOOKUP(DatosHoy[[#This Row],[Cargo Valorado]],Estadísticos[],9,0)</f>
        <v>23627690.216688022</v>
      </c>
      <c r="M136" s="94">
        <f>VLOOKUP(DatosHoy[[#This Row],[Cargo Valorado]],Estadísticos[],10,0)</f>
        <v>25555752.453955505</v>
      </c>
      <c r="N136" s="94">
        <f>VLOOKUP(DatosHoy[[#This Row],[Cargo Valorado]],Estadísticos[],11,0)</f>
        <v>25920113.734356325</v>
      </c>
      <c r="O136" s="75" t="s">
        <v>169</v>
      </c>
      <c r="P136" s="75">
        <v>632</v>
      </c>
      <c r="Q136" s="95" t="str">
        <f t="shared" si="68"/>
        <v>$P$136</v>
      </c>
      <c r="R136" s="95" t="str">
        <f t="shared" si="69"/>
        <v>$F$136</v>
      </c>
      <c r="S136" s="95" t="str">
        <f t="shared" si="70"/>
        <v>$G$136</v>
      </c>
      <c r="T136" s="95" t="str">
        <f t="shared" si="71"/>
        <v>$H$136</v>
      </c>
      <c r="U136" s="95" t="str">
        <f t="shared" si="72"/>
        <v>$I$136</v>
      </c>
      <c r="V136" s="95" t="str">
        <f t="shared" si="73"/>
        <v>$J$136</v>
      </c>
      <c r="W136" s="95" t="str">
        <f t="shared" si="74"/>
        <v>$K$136</v>
      </c>
      <c r="X136" s="95" t="str">
        <f t="shared" si="75"/>
        <v>$L$136</v>
      </c>
      <c r="Y136" s="95" t="str">
        <f t="shared" si="76"/>
        <v>$M$136</v>
      </c>
      <c r="Z136" s="95" t="str">
        <f t="shared" si="77"/>
        <v>$N$136</v>
      </c>
      <c r="AA136" s="94">
        <f ca="1">VLOOKUP($P136,'Regresion Q1'!$E$6:$I$10,4,1)*$P136+VLOOKUP($P136,'Regresion Q1'!$E$6:$I$10,5,1)</f>
        <v>11239269.513118027</v>
      </c>
      <c r="AB136" s="94">
        <f ca="1">VLOOKUP($P136,'Regresion Q1'!$J$6:$N$10,4,1)*$P136+VLOOKUP($P136,'Regresion Q1'!$J$6:$N$10,5,1)</f>
        <v>12435418.427698281</v>
      </c>
      <c r="AC136" s="94">
        <f ca="1">VLOOKUP($P136,'Regresion Q1'!$O$6:$S$10,4,1)*$P136+VLOOKUP($P136,'Regresion Q1'!$O$6:$S$10,5,1)</f>
        <v>12687124.216343565</v>
      </c>
      <c r="AD136" s="94">
        <f ca="1">VLOOKUP($P136,'Regresion Md'!$E$6:$I$10,4,1)*$P136+VLOOKUP($P136,'Regresion Md'!$E$6:$I$10,5,1)</f>
        <v>12868313.725749653</v>
      </c>
      <c r="AE136" s="94">
        <f ca="1">VLOOKUP($P136,'Regresion Md'!$J$6:$N$10,4,1)*$P136+VLOOKUP($P136,'Regresion Md'!$J$6:$N$10,5,1)</f>
        <v>13904837.769772634</v>
      </c>
      <c r="AF136" s="94">
        <f ca="1">VLOOKUP($P136,'Regresion Md'!$O$6:$S$10,4,1)*$P136+VLOOKUP($P136,'Regresion Md'!$O$6:$S$10,5,1)</f>
        <v>14344938.501832377</v>
      </c>
      <c r="AG136" s="94">
        <f ca="1">VLOOKUP($P136,'Regresion Q3'!$E$6:$I$10,4,1)*$P136+VLOOKUP($P136,'Regresion Q3'!$E$6:$I$10,5,1)</f>
        <v>13817034.021702953</v>
      </c>
      <c r="AH136" s="94">
        <f ca="1">VLOOKUP($P136,'Regresion Q3'!$J$6:$N$10,4,1)*$P136+VLOOKUP($P136,'Regresion Q3'!$J$6:$N$10,5,1)</f>
        <v>14136715.561861672</v>
      </c>
      <c r="AI136" s="94">
        <f ca="1">VLOOKUP($P136,'Regresion Q3'!$O$6:$S$10,4,1)*$P136+VLOOKUP($P136,'Regresion Q3'!$O$6:$S$10,5,1)</f>
        <v>14097460.861670077</v>
      </c>
      <c r="AJ136" s="94">
        <f ca="1">VLOOKUP($P136,'Regresion Q1'!$T$6:$V$10,2,1)*$P136+VLOOKUP($P136,'Regresion Q1'!$T$6:$V$10,3,1)</f>
        <v>12197673.597418703</v>
      </c>
      <c r="AK136" s="94">
        <f ca="1">VLOOKUP($P136,'Regresion Q1'!$W$6:$Y$10,2,1)*$P136+VLOOKUP($P136,'Regresion Q1'!$W$6:$Y$10,3,1)</f>
        <v>12804358.507108476</v>
      </c>
      <c r="AL136" s="94">
        <f ca="1">VLOOKUP($P136,'Regresion Q1'!$Z$6:$AB$10,2,1)*$P136+VLOOKUP($P136,'Regresion Q1'!$Z$6:$AB$10,3,1)</f>
        <v>13314298.522548322</v>
      </c>
      <c r="AM136" s="94">
        <f ca="1">VLOOKUP($P136,'Regresion Md'!$T$6:$V$10,2,1)*$P136+VLOOKUP($P136,'Regresion Md'!$T$6:$V$10,3,1)</f>
        <v>13248810.224233922</v>
      </c>
      <c r="AN136" s="94">
        <f ca="1">VLOOKUP($P136,'Regresion Md'!$W$6:$Y$10,2,1)*$P136+VLOOKUP($P136,'Regresion Md'!$W$6:$Y$10,3,1)</f>
        <v>14046560.822602659</v>
      </c>
      <c r="AO136" s="94">
        <f ca="1">VLOOKUP($P136,'Regresion Md'!$Z$6:$AB$10,2,1)*$P136+VLOOKUP($P136,'Regresion Md'!$Z$6:$AB$10,3,1)</f>
        <v>14544362.769141365</v>
      </c>
      <c r="AP136" s="94">
        <f ca="1">VLOOKUP($P136,'Regresion Q3'!$T$6:$V$10,2,1)*$P136+VLOOKUP($P136,'Regresion Q3'!$T$6:$V$10,3,1)</f>
        <v>13817034.021702945</v>
      </c>
      <c r="AQ136" s="94">
        <f ca="1">VLOOKUP($P136,'Regresion Q3'!$W$6:$Y$10,2,1)*$P136+VLOOKUP($P136,'Regresion Q3'!$W$6:$Y$10,3,1)</f>
        <v>14136715.561861672</v>
      </c>
      <c r="AR136" s="94">
        <f ca="1">VLOOKUP($P136,'Regresion Q3'!$Z$6:$AB$10,2,1)*$P136+VLOOKUP($P136,'Regresion Q3'!$Z$6:$AB$10,3,1)</f>
        <v>14097460.861670077</v>
      </c>
      <c r="AS136" s="94">
        <f>IF($BN136=$BN137,-1,DatosHoy[[#This Row],[G ajus PM Q1]]-BO137)</f>
        <v>-1</v>
      </c>
      <c r="AT136" s="94">
        <f>IF($BN136=$BN137,-1,DatosHoy[[#This Row],[G+V ajus PM Q1]]-BP137)</f>
        <v>-1</v>
      </c>
      <c r="AU136" s="94">
        <f>IF($BN136=$BN137,-1,DatosHoy[[#This Row],[CT ajus PM Q1]]-BQ137)</f>
        <v>-1</v>
      </c>
      <c r="AV136" s="94">
        <f ca="1">IF(DatosHoy[[#This Row],[G ajus PM Q1]]=DatosHoy[[#This Row],[G+V ajus PM Q1]],-1,DatosHoy[[#This Row],[G ajus PM Q1]]-DatosHoy[[#This Row],[G+V ajus PM Q1]])</f>
        <v>-665102.08098746836</v>
      </c>
      <c r="AW136" s="94">
        <f ca="1">IF(DatosHoy[[#This Row],[G+V ajus PM Q1]]=DatosHoy[[#This Row],[CT ajus PM Q1]],-1,DatosHoy[[#This Row],[G+V ajus PM Q1]]-DatosHoy[[#This Row],[CT ajus PM Q1]])</f>
        <v>-542485.7152334787</v>
      </c>
      <c r="AX136" s="94">
        <f>IF($BN136=$BN137,-1,DatosHoy[[#This Row],[G ajus PMd]]-BR137)</f>
        <v>-1</v>
      </c>
      <c r="AY136" s="94">
        <f>IF($BN136=$BN137,-1,DatosHoy[[#This Row],[G+V ajus PM Md]]-BS137)</f>
        <v>-1</v>
      </c>
      <c r="AZ136" s="94">
        <f>IF($BN136=$BN137,-1,DatosHoy[[#This Row],[CT ajus PM Md]]-BT137)</f>
        <v>-1</v>
      </c>
      <c r="BA136" s="94">
        <f ca="1">IF(DatosHoy[[#This Row],[G ajus PMd]]=DatosHoy[[#This Row],[G+V ajus PM Md]],-1,DatosHoy[[#This Row],[G ajus PMd]]-DatosHoy[[#This Row],[G+V ajus PM Md]])</f>
        <v>-846126.87776146084</v>
      </c>
      <c r="BB136" s="94">
        <f ca="1">IF(DatosHoy[[#This Row],[G+V ajus PM Md]]=DatosHoy[[#This Row],[CT ajus PM Md]],-1,DatosHoy[[#This Row],[G+V ajus PM Md]]-DatosHoy[[#This Row],[CT ajus PM Md]])</f>
        <v>-533904.52644038573</v>
      </c>
      <c r="BC136" s="94">
        <f>IF($BN136=$BN137,-1,DatosHoy[[#This Row],[G ajus PM Q3]]-BU137)</f>
        <v>-1</v>
      </c>
      <c r="BD136" s="94">
        <f>IF($BN136=$BN137,-1,DatosHoy[[#This Row],[G+V ajus PM Q3]]-BV137)</f>
        <v>-1</v>
      </c>
      <c r="BE136" s="94">
        <f>IF($BN136=$BN137,-1,DatosHoy[[#This Row],[CT ajus PM Q3]]-BW137)</f>
        <v>-1</v>
      </c>
      <c r="BF136" s="94">
        <f ca="1">IF(DatosHoy[[#This Row],[G ajus PM Q3]]=DatosHoy[[#This Row],[G+V ajus PM Q3]],-1,DatosHoy[[#This Row],[G ajus PM Q3]]-DatosHoy[[#This Row],[G+V ajus PM Q3]])</f>
        <v>-532014.87604853511</v>
      </c>
      <c r="BG136" s="94">
        <f ca="1">IF(DatosHoy[[#This Row],[G+V ajus PM Q3]]=DatosHoy[[#This Row],[CT ajus PM Q3]],-1,DatosHoy[[#This Row],[G+V ajus PM Q3]]-DatosHoy[[#This Row],[CT ajus PM Q3]])</f>
        <v>-355260.31475085765</v>
      </c>
      <c r="BH136" s="94">
        <f ca="1">IF(DatosHoy[[#This Row],[G ajus PM Q1]]=DatosHoy[[#This Row],[G ajus PMd]],-1,DatosHoy[[#This Row],[G ajus PM Q1]]-DatosHoy[[#This Row],[G ajus PMd]])</f>
        <v>-1583135.6086071879</v>
      </c>
      <c r="BI136" s="94">
        <f ca="1">IF(DatosHoy[[#This Row],[G+V ajus PM Q1]]=DatosHoy[[#This Row],[G+V ajus PM Md]],-1,DatosHoy[[#This Row],[G+V ajus PM Q1]]-DatosHoy[[#This Row],[G+V ajus PM Md]])</f>
        <v>-1764160.4053811803</v>
      </c>
      <c r="BJ136" s="94">
        <f ca="1">IF(DatosHoy[[#This Row],[CT ajus PM Q1]]=DatosHoy[[#This Row],[CT ajus PM Md]],-1,DatosHoy[[#This Row],[CT ajus PM Q1]]-DatosHoy[[#This Row],[CT ajus PM Md]])</f>
        <v>-1755579.2165880874</v>
      </c>
      <c r="BK136" s="94">
        <f ca="1">IF(DatosHoy[[#This Row],[G ajus PMd]]=DatosHoy[[#This Row],[G ajus PM Q3]],-1,DatosHoy[[#This Row],[G ajus PMd]]-DatosHoy[[#This Row],[G ajus PM Q3]])</f>
        <v>-1310109.8984156139</v>
      </c>
      <c r="BL136" s="94">
        <f ca="1">IF(DatosHoy[[#This Row],[G+V ajus PM Md]]=DatosHoy[[#This Row],[G+V ajus PM Q3]],-1,DatosHoy[[#This Row],[G+V ajus PM Md]]-DatosHoy[[#This Row],[G+V ajus PM Q3]])</f>
        <v>-995997.89670268819</v>
      </c>
      <c r="BM136" s="94">
        <f ca="1">IF(DatosHoy[[#This Row],[CT ajus PM Md]]=DatosHoy[[#This Row],[CT ajus PM Q3]],-1,DatosHoy[[#This Row],[CT ajus PM Md]]-DatosHoy[[#This Row],[CT ajus PM Q3]])</f>
        <v>-817353.68501316011</v>
      </c>
      <c r="BN136" s="74">
        <v>663</v>
      </c>
      <c r="BO136" s="94">
        <f ca="1">IFERROR(VLOOKUP($BN136,'Regresion Q1'!$T$6:$V$10,2,1)*$BN136+VLOOKUP($BN136,'Regresion Q1'!$T$6:$V$10,3,1),VLOOKUP(MIN(DatosHoy[Puntos]),'Regresion Q1'!$T$6:$V$10,2,1)*$BN136+VLOOKUP(MIN(DatosHoy[Puntos]),'Regresion Q1'!$T$6:$V$10,3,1))</f>
        <v>13151728.350528296</v>
      </c>
      <c r="BP136" s="94">
        <f ca="1">IFERROR(VLOOKUP($BN136,'Regresion Q1'!$W$6:$Y$10,2,1)*$BN136+VLOOKUP($BN136,'Regresion Q1'!$W$6:$Y$10,3,1),VLOOKUP(MIN(DatosHoy[Puntos]),'Regresion Q1'!$W$6:$Y$10,2,1)*$BN136+VLOOKUP(MIN(DatosHoy[Puntos]),'Regresion Q1'!$W$6:$Y$10,3,1))</f>
        <v>13816830.431515764</v>
      </c>
      <c r="BQ136" s="94">
        <f ca="1">IFERROR(VLOOKUP($BN136,'Regresion Q1'!$Z$6:$AB$10,2,1)*$BN136+VLOOKUP($BN136,'Regresion Q1'!$Z$6:$AB$10,3,1),VLOOKUP(MIN(DatosHoy[Puntos]),'Regresion Q1'!$Z$6:$AB$10,2,1)*$BN136+VLOOKUP(MIN(DatosHoy[Puntos]),'Regresion Q1'!$Z$6:$AB$10,3,1))</f>
        <v>14359316.146749243</v>
      </c>
      <c r="BR136" s="94">
        <f ca="1">IFERROR(VLOOKUP($BN136,'Regresion Md'!$T$6:$V$10,2,1)*$BN136+VLOOKUP($BN136,'Regresion Md'!$T$6:$V$10,3,1),VLOOKUP(MIN(DatosHoy[Puntos]),'Regresion Md'!$T$6:$V$10,2,1)*$BN136+VLOOKUP(MIN(DatosHoy[Puntos]),'Regresion Md'!$T$6:$V$10,3,1))</f>
        <v>14734863.959135484</v>
      </c>
      <c r="BS136" s="94">
        <f ca="1">IFERROR(VLOOKUP($BN136,'Regresion Md'!$W$6:$Y$10,2,1)*$BN136+VLOOKUP($BN136,'Regresion Md'!$W$6:$Y$10,3,1),VLOOKUP(MIN(DatosHoy[Puntos]),'Regresion Md'!$W$6:$Y$10,2,1)*$BN136+VLOOKUP(MIN(DatosHoy[Puntos]),'Regresion Md'!$W$6:$Y$10,3,1))</f>
        <v>15580990.836896945</v>
      </c>
      <c r="BT136" s="94">
        <f ca="1">IFERROR(VLOOKUP($BN136,'Regresion Md'!$Z$6:$AB$10,2,1)*$BN136+VLOOKUP($BN136,'Regresion Md'!$Z$6:$AB$10,3,1),VLOOKUP(MIN(DatosHoy[Puntos]),'Regresion Md'!$Z$6:$AB$10,2,1)*$BN136+VLOOKUP(MIN(DatosHoy[Puntos]),'Regresion Md'!$Z$6:$AB$10,3,1))</f>
        <v>16114895.363337331</v>
      </c>
      <c r="BU136" s="94">
        <f ca="1">IFERROR(VLOOKUP($BN136,'Regresion Q3'!$T$6:$V$10,2,1)*$BN136+VLOOKUP($BN136,'Regresion Q3'!$T$6:$V$10,3,1),VLOOKUP(MIN(DatosHoy[Puntos]),'Regresion Q3'!$T$6:$V$10,2,1)*$BN136+VLOOKUP(MIN(DatosHoy[Puntos]),'Regresion Q3'!$T$6:$V$10,3,1))</f>
        <v>16044973.857551098</v>
      </c>
      <c r="BV136" s="94">
        <f ca="1">IFERROR(VLOOKUP($BN136,'Regresion Q3'!$W$6:$Y$10,2,1)*$BN136+VLOOKUP($BN136,'Regresion Q3'!$W$6:$Y$10,3,1),VLOOKUP(MIN(DatosHoy[Puntos]),'Regresion Q3'!$W$6:$Y$10,2,1)*$BN136+VLOOKUP(MIN(DatosHoy[Puntos]),'Regresion Q3'!$W$6:$Y$10,3,1))</f>
        <v>16576988.733599633</v>
      </c>
      <c r="BW136" s="94">
        <f ca="1">IFERROR(VLOOKUP($BN136,'Regresion Q3'!$Z$6:$AB$10,2,1)*$BN136+VLOOKUP($BN136,'Regresion Q3'!$Z$6:$AB$10,3,1),VLOOKUP(MIN(DatosHoy[Puntos]),'Regresion Q3'!$Z$6:$AB$10,2,1)*$BN136+VLOOKUP(MIN(DatosHoy[Puntos]),'Regresion Q3'!$Z$6:$AB$10,3,1))</f>
        <v>16932249.048350491</v>
      </c>
      <c r="BX136" s="96">
        <f ca="1">DatosHoy[[#This Row],[CT Actual]]/DatosHoy[[#This Row],[CT ajus PM Md]]</f>
        <v>0.63627483448186295</v>
      </c>
      <c r="BY136" s="136" t="str">
        <f>VLOOKUP(DatosHoy[[#This Row],[Cargo Valorado]],Estadísticos[[Cargo]:[Nivel]],2,FALSE)</f>
        <v>Gerencia media</v>
      </c>
      <c r="BZ136" s="96">
        <f>(DatosHoy[[#This Row],[G+V Actual]]-DatosHoy[[#This Row],[G Actual]])/DatosHoy[[#This Row],[CT Actual]]</f>
        <v>0</v>
      </c>
      <c r="CA136" s="96">
        <f>(DatosHoy[[#This Row],[CT Actual]]-DatosHoy[[#This Row],[G+V Actual]])/DatosHoy[[#This Row],[CT Actual]]</f>
        <v>0</v>
      </c>
      <c r="CB136" s="139" t="s">
        <v>255</v>
      </c>
    </row>
    <row r="137" spans="2:80" x14ac:dyDescent="0.25">
      <c r="B137" s="73">
        <f t="shared" si="67"/>
        <v>132</v>
      </c>
      <c r="C137" s="74">
        <v>13526998.32</v>
      </c>
      <c r="D137" s="74">
        <v>13526998.32</v>
      </c>
      <c r="E137" s="74">
        <v>13526998.32</v>
      </c>
      <c r="F137" s="94">
        <f>VLOOKUP(DatosHoy[[#This Row],[Cargo Valorado]],Estadísticos[],3,0)</f>
        <v>10009337.65674226</v>
      </c>
      <c r="G137" s="94">
        <f>VLOOKUP(DatosHoy[[#This Row],[Cargo Valorado]],Estadísticos[],4,0)</f>
        <v>10650999.629968666</v>
      </c>
      <c r="H137" s="94">
        <f>VLOOKUP(DatosHoy[[#This Row],[Cargo Valorado]],Estadísticos[],5,0)</f>
        <v>10938115.6963863</v>
      </c>
      <c r="I137" s="94">
        <f>VLOOKUP(DatosHoy[[#This Row],[Cargo Valorado]],Estadísticos[],6,0)</f>
        <v>12140182.216130758</v>
      </c>
      <c r="J137" s="94">
        <f>VLOOKUP(DatosHoy[[#This Row],[Cargo Valorado]],Estadísticos[],7,0)</f>
        <v>12140182.216130758</v>
      </c>
      <c r="K137" s="94">
        <f>VLOOKUP(DatosHoy[[#This Row],[Cargo Valorado]],Estadísticos[],8,0)</f>
        <v>12714414.34896603</v>
      </c>
      <c r="L137" s="94">
        <f>VLOOKUP(DatosHoy[[#This Row],[Cargo Valorado]],Estadísticos[],9,0)</f>
        <v>12427298.282548394</v>
      </c>
      <c r="M137" s="94">
        <f>VLOOKUP(DatosHoy[[#This Row],[Cargo Valorado]],Estadísticos[],10,0)</f>
        <v>12427298.282548394</v>
      </c>
      <c r="N137" s="94">
        <f>VLOOKUP(DatosHoy[[#This Row],[Cargo Valorado]],Estadísticos[],11,0)</f>
        <v>13252693.154205717</v>
      </c>
      <c r="O137" s="75" t="s">
        <v>168</v>
      </c>
      <c r="P137" s="75">
        <v>633</v>
      </c>
      <c r="Q137" s="95" t="str">
        <f t="shared" si="68"/>
        <v>$P$137</v>
      </c>
      <c r="R137" s="95" t="str">
        <f t="shared" si="69"/>
        <v>$F$137</v>
      </c>
      <c r="S137" s="95" t="str">
        <f t="shared" si="70"/>
        <v>$G$137</v>
      </c>
      <c r="T137" s="95" t="str">
        <f t="shared" si="71"/>
        <v>$H$137</v>
      </c>
      <c r="U137" s="95" t="str">
        <f t="shared" si="72"/>
        <v>$I$137</v>
      </c>
      <c r="V137" s="95" t="str">
        <f t="shared" si="73"/>
        <v>$J$137</v>
      </c>
      <c r="W137" s="95" t="str">
        <f t="shared" si="74"/>
        <v>$K$137</v>
      </c>
      <c r="X137" s="95" t="str">
        <f t="shared" si="75"/>
        <v>$L$137</v>
      </c>
      <c r="Y137" s="95" t="str">
        <f t="shared" si="76"/>
        <v>$M$137</v>
      </c>
      <c r="Z137" s="95" t="str">
        <f t="shared" si="77"/>
        <v>$N$137</v>
      </c>
      <c r="AA137" s="94">
        <f ca="1">VLOOKUP($P137,'Regresion Q1'!$E$6:$I$10,4,1)*$P137+VLOOKUP($P137,'Regresion Q1'!$E$6:$I$10,5,1)</f>
        <v>11265984.438640246</v>
      </c>
      <c r="AB137" s="94">
        <f ca="1">VLOOKUP($P137,'Regresion Q1'!$J$6:$N$10,4,1)*$P137+VLOOKUP($P137,'Regresion Q1'!$J$6:$N$10,5,1)</f>
        <v>12466515.506935351</v>
      </c>
      <c r="AC137" s="94">
        <f ca="1">VLOOKUP($P137,'Regresion Q1'!$O$6:$S$10,4,1)*$P137+VLOOKUP($P137,'Regresion Q1'!$O$6:$S$10,5,1)</f>
        <v>12718176.9440389</v>
      </c>
      <c r="AD137" s="94">
        <f ca="1">VLOOKUP($P137,'Regresion Md'!$E$6:$I$10,4,1)*$P137+VLOOKUP($P137,'Regresion Md'!$E$6:$I$10,5,1)</f>
        <v>12904720.746080775</v>
      </c>
      <c r="AE137" s="94">
        <f ca="1">VLOOKUP($P137,'Regresion Md'!$J$6:$N$10,4,1)*$P137+VLOOKUP($P137,'Regresion Md'!$J$6:$N$10,5,1)</f>
        <v>13950040.874204677</v>
      </c>
      <c r="AF137" s="94">
        <f ca="1">VLOOKUP($P137,'Regresion Md'!$O$6:$S$10,4,1)*$P137+VLOOKUP($P137,'Regresion Md'!$O$6:$S$10,5,1)</f>
        <v>14389557.68396521</v>
      </c>
      <c r="AG137" s="94">
        <f ca="1">VLOOKUP($P137,'Regresion Q3'!$E$6:$I$10,4,1)*$P137+VLOOKUP($P137,'Regresion Q3'!$E$6:$I$10,5,1)</f>
        <v>13884836.131487228</v>
      </c>
      <c r="AH137" s="94">
        <f ca="1">VLOOKUP($P137,'Regresion Q3'!$J$6:$N$10,4,1)*$P137+VLOOKUP($P137,'Regresion Q3'!$J$6:$N$10,5,1)</f>
        <v>14215434.051272571</v>
      </c>
      <c r="AI137" s="94">
        <f ca="1">VLOOKUP($P137,'Regresion Q3'!$O$6:$S$10,4,1)*$P137+VLOOKUP($P137,'Regresion Q3'!$O$6:$S$10,5,1)</f>
        <v>14188905.641885571</v>
      </c>
      <c r="AJ137" s="94">
        <f ca="1">VLOOKUP($P137,'Regresion Q1'!$T$6:$V$10,2,1)*$P137+VLOOKUP($P137,'Regresion Q1'!$T$6:$V$10,3,1)</f>
        <v>12228449.557196431</v>
      </c>
      <c r="AK137" s="94">
        <f ca="1">VLOOKUP($P137,'Regresion Q1'!$W$6:$Y$10,2,1)*$P137+VLOOKUP($P137,'Regresion Q1'!$W$6:$Y$10,3,1)</f>
        <v>12837018.891766775</v>
      </c>
      <c r="AL137" s="94">
        <f ca="1">VLOOKUP($P137,'Regresion Q1'!$Z$6:$AB$10,2,1)*$P137+VLOOKUP($P137,'Regresion Q1'!$Z$6:$AB$10,3,1)</f>
        <v>13348008.768490285</v>
      </c>
      <c r="AM137" s="94">
        <f ca="1">VLOOKUP($P137,'Regresion Md'!$T$6:$V$10,2,1)*$P137+VLOOKUP($P137,'Regresion Md'!$T$6:$V$10,3,1)</f>
        <v>13296747.44148881</v>
      </c>
      <c r="AN137" s="94">
        <f ca="1">VLOOKUP($P137,'Regresion Md'!$W$6:$Y$10,2,1)*$P137+VLOOKUP($P137,'Regresion Md'!$W$6:$Y$10,3,1)</f>
        <v>14096058.564999249</v>
      </c>
      <c r="AO137" s="94">
        <f ca="1">VLOOKUP($P137,'Regresion Md'!$Z$6:$AB$10,2,1)*$P137+VLOOKUP($P137,'Regresion Md'!$Z$6:$AB$10,3,1)</f>
        <v>14595025.110889625</v>
      </c>
      <c r="AP137" s="94">
        <f ca="1">VLOOKUP($P137,'Regresion Q3'!$T$6:$V$10,2,1)*$P137+VLOOKUP($P137,'Regresion Q3'!$T$6:$V$10,3,1)</f>
        <v>13888903.048665792</v>
      </c>
      <c r="AQ137" s="94">
        <f ca="1">VLOOKUP($P137,'Regresion Q3'!$W$6:$Y$10,2,1)*$P137+VLOOKUP($P137,'Regresion Q3'!$W$6:$Y$10,3,1)</f>
        <v>14215434.051272571</v>
      </c>
      <c r="AR137" s="94">
        <f ca="1">VLOOKUP($P137,'Regresion Q3'!$Z$6:$AB$10,2,1)*$P137+VLOOKUP($P137,'Regresion Q3'!$Z$6:$AB$10,3,1)</f>
        <v>14188905.641885571</v>
      </c>
      <c r="AS137" s="94">
        <f>IF($BN137=$BN138,-1,DatosHoy[[#This Row],[G ajus PM Q1]]-BO138)</f>
        <v>-1</v>
      </c>
      <c r="AT137" s="94">
        <f>IF($BN137=$BN138,-1,DatosHoy[[#This Row],[G+V ajus PM Q1]]-BP138)</f>
        <v>-1</v>
      </c>
      <c r="AU137" s="94">
        <f>IF($BN137=$BN138,-1,DatosHoy[[#This Row],[CT ajus PM Q1]]-BQ138)</f>
        <v>-1</v>
      </c>
      <c r="AV137" s="94">
        <f ca="1">IF(DatosHoy[[#This Row],[G ajus PM Q1]]=DatosHoy[[#This Row],[G+V ajus PM Q1]],-1,DatosHoy[[#This Row],[G ajus PM Q1]]-DatosHoy[[#This Row],[G+V ajus PM Q1]])</f>
        <v>-665102.08098746836</v>
      </c>
      <c r="AW137" s="94">
        <f ca="1">IF(DatosHoy[[#This Row],[G+V ajus PM Q1]]=DatosHoy[[#This Row],[CT ajus PM Q1]],-1,DatosHoy[[#This Row],[G+V ajus PM Q1]]-DatosHoy[[#This Row],[CT ajus PM Q1]])</f>
        <v>-542485.7152334787</v>
      </c>
      <c r="AX137" s="94">
        <f>IF($BN137=$BN138,-1,DatosHoy[[#This Row],[G ajus PMd]]-BR138)</f>
        <v>-1</v>
      </c>
      <c r="AY137" s="94">
        <f>IF($BN137=$BN138,-1,DatosHoy[[#This Row],[G+V ajus PM Md]]-BS138)</f>
        <v>-1</v>
      </c>
      <c r="AZ137" s="94">
        <f>IF($BN137=$BN138,-1,DatosHoy[[#This Row],[CT ajus PM Md]]-BT138)</f>
        <v>-1</v>
      </c>
      <c r="BA137" s="94">
        <f ca="1">IF(DatosHoy[[#This Row],[G ajus PMd]]=DatosHoy[[#This Row],[G+V ajus PM Md]],-1,DatosHoy[[#This Row],[G ajus PMd]]-DatosHoy[[#This Row],[G+V ajus PM Md]])</f>
        <v>-846126.87776146084</v>
      </c>
      <c r="BB137" s="94">
        <f ca="1">IF(DatosHoy[[#This Row],[G+V ajus PM Md]]=DatosHoy[[#This Row],[CT ajus PM Md]],-1,DatosHoy[[#This Row],[G+V ajus PM Md]]-DatosHoy[[#This Row],[CT ajus PM Md]])</f>
        <v>-533904.52644038573</v>
      </c>
      <c r="BC137" s="94">
        <f>IF($BN137=$BN138,-1,DatosHoy[[#This Row],[G ajus PM Q3]]-BU138)</f>
        <v>-1</v>
      </c>
      <c r="BD137" s="94">
        <f>IF($BN137=$BN138,-1,DatosHoy[[#This Row],[G+V ajus PM Q3]]-BV138)</f>
        <v>-1</v>
      </c>
      <c r="BE137" s="94">
        <f>IF($BN137=$BN138,-1,DatosHoy[[#This Row],[CT ajus PM Q3]]-BW138)</f>
        <v>-1</v>
      </c>
      <c r="BF137" s="94">
        <f ca="1">IF(DatosHoy[[#This Row],[G ajus PM Q3]]=DatosHoy[[#This Row],[G+V ajus PM Q3]],-1,DatosHoy[[#This Row],[G ajus PM Q3]]-DatosHoy[[#This Row],[G+V ajus PM Q3]])</f>
        <v>-532014.87604853511</v>
      </c>
      <c r="BG137" s="94">
        <f ca="1">IF(DatosHoy[[#This Row],[G+V ajus PM Q3]]=DatosHoy[[#This Row],[CT ajus PM Q3]],-1,DatosHoy[[#This Row],[G+V ajus PM Q3]]-DatosHoy[[#This Row],[CT ajus PM Q3]])</f>
        <v>-355260.31475085765</v>
      </c>
      <c r="BH137" s="94">
        <f ca="1">IF(DatosHoy[[#This Row],[G ajus PM Q1]]=DatosHoy[[#This Row],[G ajus PMd]],-1,DatosHoy[[#This Row],[G ajus PM Q1]]-DatosHoy[[#This Row],[G ajus PMd]])</f>
        <v>-1583135.6086071879</v>
      </c>
      <c r="BI137" s="94">
        <f ca="1">IF(DatosHoy[[#This Row],[G+V ajus PM Q1]]=DatosHoy[[#This Row],[G+V ajus PM Md]],-1,DatosHoy[[#This Row],[G+V ajus PM Q1]]-DatosHoy[[#This Row],[G+V ajus PM Md]])</f>
        <v>-1764160.4053811803</v>
      </c>
      <c r="BJ137" s="94">
        <f ca="1">IF(DatosHoy[[#This Row],[CT ajus PM Q1]]=DatosHoy[[#This Row],[CT ajus PM Md]],-1,DatosHoy[[#This Row],[CT ajus PM Q1]]-DatosHoy[[#This Row],[CT ajus PM Md]])</f>
        <v>-1755579.2165880874</v>
      </c>
      <c r="BK137" s="94">
        <f ca="1">IF(DatosHoy[[#This Row],[G ajus PMd]]=DatosHoy[[#This Row],[G ajus PM Q3]],-1,DatosHoy[[#This Row],[G ajus PMd]]-DatosHoy[[#This Row],[G ajus PM Q3]])</f>
        <v>-1310109.8984156139</v>
      </c>
      <c r="BL137" s="94">
        <f ca="1">IF(DatosHoy[[#This Row],[G+V ajus PM Md]]=DatosHoy[[#This Row],[G+V ajus PM Q3]],-1,DatosHoy[[#This Row],[G+V ajus PM Md]]-DatosHoy[[#This Row],[G+V ajus PM Q3]])</f>
        <v>-995997.89670268819</v>
      </c>
      <c r="BM137" s="94">
        <f ca="1">IF(DatosHoy[[#This Row],[CT ajus PM Md]]=DatosHoy[[#This Row],[CT ajus PM Q3]],-1,DatosHoy[[#This Row],[CT ajus PM Md]]-DatosHoy[[#This Row],[CT ajus PM Q3]])</f>
        <v>-817353.68501316011</v>
      </c>
      <c r="BN137" s="74">
        <v>663</v>
      </c>
      <c r="BO137" s="94">
        <f ca="1">IFERROR(VLOOKUP($BN137,'Regresion Q1'!$T$6:$V$10,2,1)*$BN137+VLOOKUP($BN137,'Regresion Q1'!$T$6:$V$10,3,1),VLOOKUP(MIN(DatosHoy[Puntos]),'Regresion Q1'!$T$6:$V$10,2,1)*$BN137+VLOOKUP(MIN(DatosHoy[Puntos]),'Regresion Q1'!$T$6:$V$10,3,1))</f>
        <v>13151728.350528296</v>
      </c>
      <c r="BP137" s="94">
        <f ca="1">IFERROR(VLOOKUP($BN137,'Regresion Q1'!$W$6:$Y$10,2,1)*$BN137+VLOOKUP($BN137,'Regresion Q1'!$W$6:$Y$10,3,1),VLOOKUP(MIN(DatosHoy[Puntos]),'Regresion Q1'!$W$6:$Y$10,2,1)*$BN137+VLOOKUP(MIN(DatosHoy[Puntos]),'Regresion Q1'!$W$6:$Y$10,3,1))</f>
        <v>13816830.431515764</v>
      </c>
      <c r="BQ137" s="94">
        <f ca="1">IFERROR(VLOOKUP($BN137,'Regresion Q1'!$Z$6:$AB$10,2,1)*$BN137+VLOOKUP($BN137,'Regresion Q1'!$Z$6:$AB$10,3,1),VLOOKUP(MIN(DatosHoy[Puntos]),'Regresion Q1'!$Z$6:$AB$10,2,1)*$BN137+VLOOKUP(MIN(DatosHoy[Puntos]),'Regresion Q1'!$Z$6:$AB$10,3,1))</f>
        <v>14359316.146749243</v>
      </c>
      <c r="BR137" s="94">
        <f ca="1">IFERROR(VLOOKUP($BN137,'Regresion Md'!$T$6:$V$10,2,1)*$BN137+VLOOKUP($BN137,'Regresion Md'!$T$6:$V$10,3,1),VLOOKUP(MIN(DatosHoy[Puntos]),'Regresion Md'!$T$6:$V$10,2,1)*$BN137+VLOOKUP(MIN(DatosHoy[Puntos]),'Regresion Md'!$T$6:$V$10,3,1))</f>
        <v>14734863.959135484</v>
      </c>
      <c r="BS137" s="94">
        <f ca="1">IFERROR(VLOOKUP($BN137,'Regresion Md'!$W$6:$Y$10,2,1)*$BN137+VLOOKUP($BN137,'Regresion Md'!$W$6:$Y$10,3,1),VLOOKUP(MIN(DatosHoy[Puntos]),'Regresion Md'!$W$6:$Y$10,2,1)*$BN137+VLOOKUP(MIN(DatosHoy[Puntos]),'Regresion Md'!$W$6:$Y$10,3,1))</f>
        <v>15580990.836896945</v>
      </c>
      <c r="BT137" s="94">
        <f ca="1">IFERROR(VLOOKUP($BN137,'Regresion Md'!$Z$6:$AB$10,2,1)*$BN137+VLOOKUP($BN137,'Regresion Md'!$Z$6:$AB$10,3,1),VLOOKUP(MIN(DatosHoy[Puntos]),'Regresion Md'!$Z$6:$AB$10,2,1)*$BN137+VLOOKUP(MIN(DatosHoy[Puntos]),'Regresion Md'!$Z$6:$AB$10,3,1))</f>
        <v>16114895.363337331</v>
      </c>
      <c r="BU137" s="94">
        <f ca="1">IFERROR(VLOOKUP($BN137,'Regresion Q3'!$T$6:$V$10,2,1)*$BN137+VLOOKUP($BN137,'Regresion Q3'!$T$6:$V$10,3,1),VLOOKUP(MIN(DatosHoy[Puntos]),'Regresion Q3'!$T$6:$V$10,2,1)*$BN137+VLOOKUP(MIN(DatosHoy[Puntos]),'Regresion Q3'!$T$6:$V$10,3,1))</f>
        <v>16044973.857551098</v>
      </c>
      <c r="BV137" s="94">
        <f ca="1">IFERROR(VLOOKUP($BN137,'Regresion Q3'!$W$6:$Y$10,2,1)*$BN137+VLOOKUP($BN137,'Regresion Q3'!$W$6:$Y$10,3,1),VLOOKUP(MIN(DatosHoy[Puntos]),'Regresion Q3'!$W$6:$Y$10,2,1)*$BN137+VLOOKUP(MIN(DatosHoy[Puntos]),'Regresion Q3'!$W$6:$Y$10,3,1))</f>
        <v>16576988.733599633</v>
      </c>
      <c r="BW137" s="94">
        <f ca="1">IFERROR(VLOOKUP($BN137,'Regresion Q3'!$Z$6:$AB$10,2,1)*$BN137+VLOOKUP($BN137,'Regresion Q3'!$Z$6:$AB$10,3,1),VLOOKUP(MIN(DatosHoy[Puntos]),'Regresion Q3'!$Z$6:$AB$10,2,1)*$BN137+VLOOKUP(MIN(DatosHoy[Puntos]),'Regresion Q3'!$Z$6:$AB$10,3,1))</f>
        <v>16932249.048350491</v>
      </c>
      <c r="BX137" s="96">
        <f ca="1">DatosHoy[[#This Row],[CT Actual]]/DatosHoy[[#This Row],[CT ajus PM Md]]</f>
        <v>0.83940962786360984</v>
      </c>
      <c r="BY137" s="136" t="str">
        <f>VLOOKUP(DatosHoy[[#This Row],[Cargo Valorado]],Estadísticos[[Cargo]:[Nivel]],2,FALSE)</f>
        <v>Gerencia media</v>
      </c>
      <c r="BZ137" s="96">
        <f>(DatosHoy[[#This Row],[G+V Actual]]-DatosHoy[[#This Row],[G Actual]])/DatosHoy[[#This Row],[CT Actual]]</f>
        <v>0</v>
      </c>
      <c r="CA137" s="96">
        <f>(DatosHoy[[#This Row],[CT Actual]]-DatosHoy[[#This Row],[G+V Actual]])/DatosHoy[[#This Row],[CT Actual]]</f>
        <v>0</v>
      </c>
      <c r="CB137" s="139" t="s">
        <v>255</v>
      </c>
    </row>
    <row r="138" spans="2:80" x14ac:dyDescent="0.25">
      <c r="B138" s="73">
        <f t="shared" si="67"/>
        <v>133</v>
      </c>
      <c r="C138" s="74">
        <v>6304597.8600000003</v>
      </c>
      <c r="D138" s="74">
        <v>9363939.8600000013</v>
      </c>
      <c r="E138" s="74">
        <v>9363939.8600000013</v>
      </c>
      <c r="F138" s="94">
        <f>VLOOKUP(DatosHoy[[#This Row],[Cargo Valorado]],Estadísticos[],3,0)</f>
        <v>9837641.0790272821</v>
      </c>
      <c r="G138" s="94">
        <f>VLOOKUP(DatosHoy[[#This Row],[Cargo Valorado]],Estadísticos[],4,0)</f>
        <v>10909654.265600676</v>
      </c>
      <c r="H138" s="94">
        <f>VLOOKUP(DatosHoy[[#This Row],[Cargo Valorado]],Estadísticos[],5,0)</f>
        <v>10987951.108250968</v>
      </c>
      <c r="I138" s="94">
        <f>VLOOKUP(DatosHoy[[#This Row],[Cargo Valorado]],Estadísticos[],6,0)</f>
        <v>9554005.5577224996</v>
      </c>
      <c r="J138" s="94">
        <f>VLOOKUP(DatosHoy[[#This Row],[Cargo Valorado]],Estadísticos[],7,0)</f>
        <v>11696022.2645061</v>
      </c>
      <c r="K138" s="94">
        <f>VLOOKUP(DatosHoy[[#This Row],[Cargo Valorado]],Estadísticos[],8,0)</f>
        <v>11731686.529795032</v>
      </c>
      <c r="L138" s="94">
        <f>VLOOKUP(DatosHoy[[#This Row],[Cargo Valorado]],Estadísticos[],9,0)</f>
        <v>11111141.41413936</v>
      </c>
      <c r="M138" s="94">
        <f>VLOOKUP(DatosHoy[[#This Row],[Cargo Valorado]],Estadísticos[],10,0)</f>
        <v>11943267.095084628</v>
      </c>
      <c r="N138" s="94">
        <f>VLOOKUP(DatosHoy[[#This Row],[Cargo Valorado]],Estadísticos[],11,0)</f>
        <v>12132802.385078812</v>
      </c>
      <c r="O138" s="75" t="s">
        <v>167</v>
      </c>
      <c r="P138" s="75">
        <v>652</v>
      </c>
      <c r="Q138" s="95" t="str">
        <f t="shared" si="68"/>
        <v>$P$138</v>
      </c>
      <c r="R138" s="95" t="str">
        <f t="shared" si="69"/>
        <v>$F$138</v>
      </c>
      <c r="S138" s="95" t="str">
        <f t="shared" si="70"/>
        <v>$G$138</v>
      </c>
      <c r="T138" s="95" t="str">
        <f t="shared" si="71"/>
        <v>$H$138</v>
      </c>
      <c r="U138" s="95" t="str">
        <f t="shared" si="72"/>
        <v>$I$138</v>
      </c>
      <c r="V138" s="95" t="str">
        <f t="shared" si="73"/>
        <v>$J$138</v>
      </c>
      <c r="W138" s="95" t="str">
        <f t="shared" si="74"/>
        <v>$K$138</v>
      </c>
      <c r="X138" s="95" t="str">
        <f t="shared" si="75"/>
        <v>$L$138</v>
      </c>
      <c r="Y138" s="95" t="str">
        <f t="shared" si="76"/>
        <v>$M$138</v>
      </c>
      <c r="Z138" s="95" t="str">
        <f t="shared" si="77"/>
        <v>$N$138</v>
      </c>
      <c r="AA138" s="94">
        <f ca="1">VLOOKUP($P138,'Regresion Q1'!$E$6:$I$10,4,1)*$P138+VLOOKUP($P138,'Regresion Q1'!$E$6:$I$10,5,1)</f>
        <v>11773568.023562377</v>
      </c>
      <c r="AB138" s="94">
        <f ca="1">VLOOKUP($P138,'Regresion Q1'!$J$6:$N$10,4,1)*$P138+VLOOKUP($P138,'Regresion Q1'!$J$6:$N$10,5,1)</f>
        <v>13057360.012439679</v>
      </c>
      <c r="AC138" s="94">
        <f ca="1">VLOOKUP($P138,'Regresion Q1'!$O$6:$S$10,4,1)*$P138+VLOOKUP($P138,'Regresion Q1'!$O$6:$S$10,5,1)</f>
        <v>13308178.770250266</v>
      </c>
      <c r="AD138" s="94">
        <f ca="1">VLOOKUP($P138,'Regresion Md'!$E$6:$I$10,4,1)*$P138+VLOOKUP($P138,'Regresion Md'!$E$6:$I$10,5,1)</f>
        <v>13596454.132372119</v>
      </c>
      <c r="AE138" s="94">
        <f ca="1">VLOOKUP($P138,'Regresion Md'!$J$6:$N$10,4,1)*$P138+VLOOKUP($P138,'Regresion Md'!$J$6:$N$10,5,1)</f>
        <v>14808899.858413506</v>
      </c>
      <c r="AF138" s="94">
        <f ca="1">VLOOKUP($P138,'Regresion Md'!$O$6:$S$10,4,1)*$P138+VLOOKUP($P138,'Regresion Md'!$O$6:$S$10,5,1)</f>
        <v>15237322.144489035</v>
      </c>
      <c r="AG138" s="94">
        <f ca="1">VLOOKUP($P138,'Regresion Q3'!$E$6:$I$10,4,1)*$P138+VLOOKUP($P138,'Regresion Q3'!$E$6:$I$10,5,1)</f>
        <v>15173076.217388473</v>
      </c>
      <c r="AH138" s="94">
        <f ca="1">VLOOKUP($P138,'Regresion Q3'!$J$6:$N$10,4,1)*$P138+VLOOKUP($P138,'Regresion Q3'!$J$6:$N$10,5,1)</f>
        <v>15711085.350079708</v>
      </c>
      <c r="AI138" s="94">
        <f ca="1">VLOOKUP($P138,'Regresion Q3'!$O$6:$S$10,4,1)*$P138+VLOOKUP($P138,'Regresion Q3'!$O$6:$S$10,5,1)</f>
        <v>15926356.465980023</v>
      </c>
      <c r="AJ138" s="94">
        <f ca="1">VLOOKUP($P138,'Regresion Q1'!$T$6:$V$10,2,1)*$P138+VLOOKUP($P138,'Regresion Q1'!$T$6:$V$10,3,1)</f>
        <v>12813192.79297328</v>
      </c>
      <c r="AK138" s="94">
        <f ca="1">VLOOKUP($P138,'Regresion Q1'!$W$6:$Y$10,2,1)*$P138+VLOOKUP($P138,'Regresion Q1'!$W$6:$Y$10,3,1)</f>
        <v>13457566.200274467</v>
      </c>
      <c r="AL138" s="94">
        <f ca="1">VLOOKUP($P138,'Regresion Q1'!$Z$6:$AB$10,2,1)*$P138+VLOOKUP($P138,'Regresion Q1'!$Z$6:$AB$10,3,1)</f>
        <v>13988503.441387627</v>
      </c>
      <c r="AM138" s="94">
        <f ca="1">VLOOKUP($P138,'Regresion Md'!$T$6:$V$10,2,1)*$P138+VLOOKUP($P138,'Regresion Md'!$T$6:$V$10,3,1)</f>
        <v>14207554.569331702</v>
      </c>
      <c r="AN138" s="94">
        <f ca="1">VLOOKUP($P138,'Regresion Md'!$W$6:$Y$10,2,1)*$P138+VLOOKUP($P138,'Regresion Md'!$W$6:$Y$10,3,1)</f>
        <v>15036515.670534458</v>
      </c>
      <c r="AO138" s="94">
        <f ca="1">VLOOKUP($P138,'Regresion Md'!$Z$6:$AB$10,2,1)*$P138+VLOOKUP($P138,'Regresion Md'!$Z$6:$AB$10,3,1)</f>
        <v>15557609.604106504</v>
      </c>
      <c r="AP138" s="94">
        <f ca="1">VLOOKUP($P138,'Regresion Q3'!$T$6:$V$10,2,1)*$P138+VLOOKUP($P138,'Regresion Q3'!$T$6:$V$10,3,1)</f>
        <v>15254414.560959823</v>
      </c>
      <c r="AQ138" s="94">
        <f ca="1">VLOOKUP($P138,'Regresion Q3'!$W$6:$Y$10,2,1)*$P138+VLOOKUP($P138,'Regresion Q3'!$W$6:$Y$10,3,1)</f>
        <v>15711085.350079708</v>
      </c>
      <c r="AR138" s="94">
        <f ca="1">VLOOKUP($P138,'Regresion Q3'!$Z$6:$AB$10,2,1)*$P138+VLOOKUP($P138,'Regresion Q3'!$Z$6:$AB$10,3,1)</f>
        <v>15926356.465980023</v>
      </c>
      <c r="AS138" s="94">
        <f>IF($BN138=$BN139,-1,DatosHoy[[#This Row],[G ajus PM Q1]]-BO139)</f>
        <v>-1</v>
      </c>
      <c r="AT138" s="94">
        <f>IF($BN138=$BN139,-1,DatosHoy[[#This Row],[G+V ajus PM Q1]]-BP139)</f>
        <v>-1</v>
      </c>
      <c r="AU138" s="94">
        <f>IF($BN138=$BN139,-1,DatosHoy[[#This Row],[CT ajus PM Q1]]-BQ139)</f>
        <v>-1</v>
      </c>
      <c r="AV138" s="94">
        <f ca="1">IF(DatosHoy[[#This Row],[G ajus PM Q1]]=DatosHoy[[#This Row],[G+V ajus PM Q1]],-1,DatosHoy[[#This Row],[G ajus PM Q1]]-DatosHoy[[#This Row],[G+V ajus PM Q1]])</f>
        <v>-665102.08098746836</v>
      </c>
      <c r="AW138" s="94">
        <f ca="1">IF(DatosHoy[[#This Row],[G+V ajus PM Q1]]=DatosHoy[[#This Row],[CT ajus PM Q1]],-1,DatosHoy[[#This Row],[G+V ajus PM Q1]]-DatosHoy[[#This Row],[CT ajus PM Q1]])</f>
        <v>-542485.7152334787</v>
      </c>
      <c r="AX138" s="94">
        <f>IF($BN138=$BN139,-1,DatosHoy[[#This Row],[G ajus PMd]]-BR139)</f>
        <v>-1</v>
      </c>
      <c r="AY138" s="94">
        <f>IF($BN138=$BN139,-1,DatosHoy[[#This Row],[G+V ajus PM Md]]-BS139)</f>
        <v>-1</v>
      </c>
      <c r="AZ138" s="94">
        <f>IF($BN138=$BN139,-1,DatosHoy[[#This Row],[CT ajus PM Md]]-BT139)</f>
        <v>-1</v>
      </c>
      <c r="BA138" s="94">
        <f ca="1">IF(DatosHoy[[#This Row],[G ajus PMd]]=DatosHoy[[#This Row],[G+V ajus PM Md]],-1,DatosHoy[[#This Row],[G ajus PMd]]-DatosHoy[[#This Row],[G+V ajus PM Md]])</f>
        <v>-846126.87776146084</v>
      </c>
      <c r="BB138" s="94">
        <f ca="1">IF(DatosHoy[[#This Row],[G+V ajus PM Md]]=DatosHoy[[#This Row],[CT ajus PM Md]],-1,DatosHoy[[#This Row],[G+V ajus PM Md]]-DatosHoy[[#This Row],[CT ajus PM Md]])</f>
        <v>-533904.52644038573</v>
      </c>
      <c r="BC138" s="94">
        <f>IF($BN138=$BN139,-1,DatosHoy[[#This Row],[G ajus PM Q3]]-BU139)</f>
        <v>-1</v>
      </c>
      <c r="BD138" s="94">
        <f>IF($BN138=$BN139,-1,DatosHoy[[#This Row],[G+V ajus PM Q3]]-BV139)</f>
        <v>-1</v>
      </c>
      <c r="BE138" s="94">
        <f>IF($BN138=$BN139,-1,DatosHoy[[#This Row],[CT ajus PM Q3]]-BW139)</f>
        <v>-1</v>
      </c>
      <c r="BF138" s="94">
        <f ca="1">IF(DatosHoy[[#This Row],[G ajus PM Q3]]=DatosHoy[[#This Row],[G+V ajus PM Q3]],-1,DatosHoy[[#This Row],[G ajus PM Q3]]-DatosHoy[[#This Row],[G+V ajus PM Q3]])</f>
        <v>-532014.87604853511</v>
      </c>
      <c r="BG138" s="94">
        <f ca="1">IF(DatosHoy[[#This Row],[G+V ajus PM Q3]]=DatosHoy[[#This Row],[CT ajus PM Q3]],-1,DatosHoy[[#This Row],[G+V ajus PM Q3]]-DatosHoy[[#This Row],[CT ajus PM Q3]])</f>
        <v>-355260.31475085765</v>
      </c>
      <c r="BH138" s="94">
        <f ca="1">IF(DatosHoy[[#This Row],[G ajus PM Q1]]=DatosHoy[[#This Row],[G ajus PMd]],-1,DatosHoy[[#This Row],[G ajus PM Q1]]-DatosHoy[[#This Row],[G ajus PMd]])</f>
        <v>-1583135.6086071879</v>
      </c>
      <c r="BI138" s="94">
        <f ca="1">IF(DatosHoy[[#This Row],[G+V ajus PM Q1]]=DatosHoy[[#This Row],[G+V ajus PM Md]],-1,DatosHoy[[#This Row],[G+V ajus PM Q1]]-DatosHoy[[#This Row],[G+V ajus PM Md]])</f>
        <v>-1764160.4053811803</v>
      </c>
      <c r="BJ138" s="94">
        <f ca="1">IF(DatosHoy[[#This Row],[CT ajus PM Q1]]=DatosHoy[[#This Row],[CT ajus PM Md]],-1,DatosHoy[[#This Row],[CT ajus PM Q1]]-DatosHoy[[#This Row],[CT ajus PM Md]])</f>
        <v>-1755579.2165880874</v>
      </c>
      <c r="BK138" s="94">
        <f ca="1">IF(DatosHoy[[#This Row],[G ajus PMd]]=DatosHoy[[#This Row],[G ajus PM Q3]],-1,DatosHoy[[#This Row],[G ajus PMd]]-DatosHoy[[#This Row],[G ajus PM Q3]])</f>
        <v>-1310109.8984156139</v>
      </c>
      <c r="BL138" s="94">
        <f ca="1">IF(DatosHoy[[#This Row],[G+V ajus PM Md]]=DatosHoy[[#This Row],[G+V ajus PM Q3]],-1,DatosHoy[[#This Row],[G+V ajus PM Md]]-DatosHoy[[#This Row],[G+V ajus PM Q3]])</f>
        <v>-995997.89670268819</v>
      </c>
      <c r="BM138" s="94">
        <f ca="1">IF(DatosHoy[[#This Row],[CT ajus PM Md]]=DatosHoy[[#This Row],[CT ajus PM Q3]],-1,DatosHoy[[#This Row],[CT ajus PM Md]]-DatosHoy[[#This Row],[CT ajus PM Q3]])</f>
        <v>-817353.68501316011</v>
      </c>
      <c r="BN138" s="74">
        <v>663</v>
      </c>
      <c r="BO138" s="94">
        <f ca="1">IFERROR(VLOOKUP($BN138,'Regresion Q1'!$T$6:$V$10,2,1)*$BN138+VLOOKUP($BN138,'Regresion Q1'!$T$6:$V$10,3,1),VLOOKUP(MIN(DatosHoy[Puntos]),'Regresion Q1'!$T$6:$V$10,2,1)*$BN138+VLOOKUP(MIN(DatosHoy[Puntos]),'Regresion Q1'!$T$6:$V$10,3,1))</f>
        <v>13151728.350528296</v>
      </c>
      <c r="BP138" s="94">
        <f ca="1">IFERROR(VLOOKUP($BN138,'Regresion Q1'!$W$6:$Y$10,2,1)*$BN138+VLOOKUP($BN138,'Regresion Q1'!$W$6:$Y$10,3,1),VLOOKUP(MIN(DatosHoy[Puntos]),'Regresion Q1'!$W$6:$Y$10,2,1)*$BN138+VLOOKUP(MIN(DatosHoy[Puntos]),'Regresion Q1'!$W$6:$Y$10,3,1))</f>
        <v>13816830.431515764</v>
      </c>
      <c r="BQ138" s="94">
        <f ca="1">IFERROR(VLOOKUP($BN138,'Regresion Q1'!$Z$6:$AB$10,2,1)*$BN138+VLOOKUP($BN138,'Regresion Q1'!$Z$6:$AB$10,3,1),VLOOKUP(MIN(DatosHoy[Puntos]),'Regresion Q1'!$Z$6:$AB$10,2,1)*$BN138+VLOOKUP(MIN(DatosHoy[Puntos]),'Regresion Q1'!$Z$6:$AB$10,3,1))</f>
        <v>14359316.146749243</v>
      </c>
      <c r="BR138" s="94">
        <f ca="1">IFERROR(VLOOKUP($BN138,'Regresion Md'!$T$6:$V$10,2,1)*$BN138+VLOOKUP($BN138,'Regresion Md'!$T$6:$V$10,3,1),VLOOKUP(MIN(DatosHoy[Puntos]),'Regresion Md'!$T$6:$V$10,2,1)*$BN138+VLOOKUP(MIN(DatosHoy[Puntos]),'Regresion Md'!$T$6:$V$10,3,1))</f>
        <v>14734863.959135484</v>
      </c>
      <c r="BS138" s="94">
        <f ca="1">IFERROR(VLOOKUP($BN138,'Regresion Md'!$W$6:$Y$10,2,1)*$BN138+VLOOKUP($BN138,'Regresion Md'!$W$6:$Y$10,3,1),VLOOKUP(MIN(DatosHoy[Puntos]),'Regresion Md'!$W$6:$Y$10,2,1)*$BN138+VLOOKUP(MIN(DatosHoy[Puntos]),'Regresion Md'!$W$6:$Y$10,3,1))</f>
        <v>15580990.836896945</v>
      </c>
      <c r="BT138" s="94">
        <f ca="1">IFERROR(VLOOKUP($BN138,'Regresion Md'!$Z$6:$AB$10,2,1)*$BN138+VLOOKUP($BN138,'Regresion Md'!$Z$6:$AB$10,3,1),VLOOKUP(MIN(DatosHoy[Puntos]),'Regresion Md'!$Z$6:$AB$10,2,1)*$BN138+VLOOKUP(MIN(DatosHoy[Puntos]),'Regresion Md'!$Z$6:$AB$10,3,1))</f>
        <v>16114895.363337331</v>
      </c>
      <c r="BU138" s="94">
        <f ca="1">IFERROR(VLOOKUP($BN138,'Regresion Q3'!$T$6:$V$10,2,1)*$BN138+VLOOKUP($BN138,'Regresion Q3'!$T$6:$V$10,3,1),VLOOKUP(MIN(DatosHoy[Puntos]),'Regresion Q3'!$T$6:$V$10,2,1)*$BN138+VLOOKUP(MIN(DatosHoy[Puntos]),'Regresion Q3'!$T$6:$V$10,3,1))</f>
        <v>16044973.857551098</v>
      </c>
      <c r="BV138" s="94">
        <f ca="1">IFERROR(VLOOKUP($BN138,'Regresion Q3'!$W$6:$Y$10,2,1)*$BN138+VLOOKUP($BN138,'Regresion Q3'!$W$6:$Y$10,3,1),VLOOKUP(MIN(DatosHoy[Puntos]),'Regresion Q3'!$W$6:$Y$10,2,1)*$BN138+VLOOKUP(MIN(DatosHoy[Puntos]),'Regresion Q3'!$W$6:$Y$10,3,1))</f>
        <v>16576988.733599633</v>
      </c>
      <c r="BW138" s="94">
        <f ca="1">IFERROR(VLOOKUP($BN138,'Regresion Q3'!$Z$6:$AB$10,2,1)*$BN138+VLOOKUP($BN138,'Regresion Q3'!$Z$6:$AB$10,3,1),VLOOKUP(MIN(DatosHoy[Puntos]),'Regresion Q3'!$Z$6:$AB$10,2,1)*$BN138+VLOOKUP(MIN(DatosHoy[Puntos]),'Regresion Q3'!$Z$6:$AB$10,3,1))</f>
        <v>16932249.048350491</v>
      </c>
      <c r="BX138" s="96">
        <f ca="1">DatosHoy[[#This Row],[CT Actual]]/DatosHoy[[#This Row],[CT ajus PM Md]]</f>
        <v>0.58107357502945445</v>
      </c>
      <c r="BY138" s="136" t="str">
        <f>VLOOKUP(DatosHoy[[#This Row],[Cargo Valorado]],Estadísticos[[Cargo]:[Nivel]],2,FALSE)</f>
        <v>Gerencia media</v>
      </c>
      <c r="BZ138" s="96">
        <f>(DatosHoy[[#This Row],[G+V Actual]]-DatosHoy[[#This Row],[G Actual]])/DatosHoy[[#This Row],[CT Actual]]</f>
        <v>0.32671525508921845</v>
      </c>
      <c r="CA138" s="96">
        <f>(DatosHoy[[#This Row],[CT Actual]]-DatosHoy[[#This Row],[G+V Actual]])/DatosHoy[[#This Row],[CT Actual]]</f>
        <v>0</v>
      </c>
      <c r="CB138" s="139" t="s">
        <v>256</v>
      </c>
    </row>
    <row r="139" spans="2:80" x14ac:dyDescent="0.25">
      <c r="B139" s="73">
        <f t="shared" si="67"/>
        <v>134</v>
      </c>
      <c r="C139" s="74">
        <v>11766700.000000002</v>
      </c>
      <c r="D139" s="74">
        <v>11766700.000000002</v>
      </c>
      <c r="E139" s="74">
        <v>11766700.000000002</v>
      </c>
      <c r="F139" s="94">
        <f>VLOOKUP(DatosHoy[[#This Row],[Cargo Valorado]],Estadísticos[],3,0)</f>
        <v>11183326.617778357</v>
      </c>
      <c r="G139" s="94">
        <f>VLOOKUP(DatosHoy[[#This Row],[Cargo Valorado]],Estadísticos[],4,0)</f>
        <v>11616812.110685024</v>
      </c>
      <c r="H139" s="94">
        <f>VLOOKUP(DatosHoy[[#This Row],[Cargo Valorado]],Estadísticos[],5,0)</f>
        <v>11702508.030685026</v>
      </c>
      <c r="I139" s="94">
        <f>VLOOKUP(DatosHoy[[#This Row],[Cargo Valorado]],Estadísticos[],6,0)</f>
        <v>12108601.3401764</v>
      </c>
      <c r="J139" s="94">
        <f>VLOOKUP(DatosHoy[[#This Row],[Cargo Valorado]],Estadísticos[],7,0)</f>
        <v>14146964.165989773</v>
      </c>
      <c r="K139" s="94">
        <f>VLOOKUP(DatosHoy[[#This Row],[Cargo Valorado]],Estadísticos[],8,0)</f>
        <v>14146964.165989773</v>
      </c>
      <c r="L139" s="94">
        <f>VLOOKUP(DatosHoy[[#This Row],[Cargo Valorado]],Estadísticos[],9,0)</f>
        <v>13900586.376402466</v>
      </c>
      <c r="M139" s="94">
        <f>VLOOKUP(DatosHoy[[#This Row],[Cargo Valorado]],Estadísticos[],10,0)</f>
        <v>15159466.740966458</v>
      </c>
      <c r="N139" s="94">
        <f>VLOOKUP(DatosHoy[[#This Row],[Cargo Valorado]],Estadísticos[],11,0)</f>
        <v>15352636.295461368</v>
      </c>
      <c r="O139" s="75" t="s">
        <v>166</v>
      </c>
      <c r="P139" s="75">
        <v>655</v>
      </c>
      <c r="Q139" s="95" t="str">
        <f t="shared" si="68"/>
        <v>$P$139</v>
      </c>
      <c r="R139" s="95" t="str">
        <f t="shared" si="69"/>
        <v>$F$139</v>
      </c>
      <c r="S139" s="95" t="str">
        <f t="shared" si="70"/>
        <v>$G$139</v>
      </c>
      <c r="T139" s="95" t="str">
        <f t="shared" si="71"/>
        <v>$H$139</v>
      </c>
      <c r="U139" s="95" t="str">
        <f t="shared" si="72"/>
        <v>$I$139</v>
      </c>
      <c r="V139" s="95" t="str">
        <f t="shared" si="73"/>
        <v>$J$139</v>
      </c>
      <c r="W139" s="95" t="str">
        <f t="shared" si="74"/>
        <v>$K$139</v>
      </c>
      <c r="X139" s="95" t="str">
        <f t="shared" si="75"/>
        <v>$L$139</v>
      </c>
      <c r="Y139" s="95" t="str">
        <f t="shared" si="76"/>
        <v>$M$139</v>
      </c>
      <c r="Z139" s="95" t="str">
        <f t="shared" si="77"/>
        <v>$N$139</v>
      </c>
      <c r="AA139" s="94">
        <f ca="1">VLOOKUP($P139,'Regresion Q1'!$E$6:$I$10,4,1)*$P139+VLOOKUP($P139,'Regresion Q1'!$E$6:$I$10,5,1)</f>
        <v>11853712.800129032</v>
      </c>
      <c r="AB139" s="94">
        <f ca="1">VLOOKUP($P139,'Regresion Q1'!$J$6:$N$10,4,1)*$P139+VLOOKUP($P139,'Regresion Q1'!$J$6:$N$10,5,1)</f>
        <v>13150651.250150889</v>
      </c>
      <c r="AC139" s="94">
        <f ca="1">VLOOKUP($P139,'Regresion Q1'!$O$6:$S$10,4,1)*$P139+VLOOKUP($P139,'Regresion Q1'!$O$6:$S$10,5,1)</f>
        <v>13401336.953336271</v>
      </c>
      <c r="AD139" s="94">
        <f ca="1">VLOOKUP($P139,'Regresion Md'!$E$6:$I$10,4,1)*$P139+VLOOKUP($P139,'Regresion Md'!$E$6:$I$10,5,1)</f>
        <v>13705675.193365488</v>
      </c>
      <c r="AE139" s="94">
        <f ca="1">VLOOKUP($P139,'Regresion Md'!$J$6:$N$10,4,1)*$P139+VLOOKUP($P139,'Regresion Md'!$J$6:$N$10,5,1)</f>
        <v>14944509.171709638</v>
      </c>
      <c r="AF139" s="94">
        <f ca="1">VLOOKUP($P139,'Regresion Md'!$O$6:$S$10,4,1)*$P139+VLOOKUP($P139,'Regresion Md'!$O$6:$S$10,5,1)</f>
        <v>15371179.690887533</v>
      </c>
      <c r="AG139" s="94">
        <f ca="1">VLOOKUP($P139,'Regresion Q3'!$E$6:$I$10,4,1)*$P139+VLOOKUP($P139,'Regresion Q3'!$E$6:$I$10,5,1)</f>
        <v>15376482.546741299</v>
      </c>
      <c r="AH139" s="94">
        <f ca="1">VLOOKUP($P139,'Regresion Q3'!$J$6:$N$10,4,1)*$P139+VLOOKUP($P139,'Regresion Q3'!$J$6:$N$10,5,1)</f>
        <v>15947240.818312414</v>
      </c>
      <c r="AI139" s="94">
        <f ca="1">VLOOKUP($P139,'Regresion Q3'!$O$6:$S$10,4,1)*$P139+VLOOKUP($P139,'Regresion Q3'!$O$6:$S$10,5,1)</f>
        <v>16200690.806626514</v>
      </c>
      <c r="AJ139" s="94">
        <f ca="1">VLOOKUP($P139,'Regresion Q1'!$T$6:$V$10,2,1)*$P139+VLOOKUP($P139,'Regresion Q1'!$T$6:$V$10,3,1)</f>
        <v>12905520.672306467</v>
      </c>
      <c r="AK139" s="94">
        <f ca="1">VLOOKUP($P139,'Regresion Q1'!$W$6:$Y$10,2,1)*$P139+VLOOKUP($P139,'Regresion Q1'!$W$6:$Y$10,3,1)</f>
        <v>13555547.354249366</v>
      </c>
      <c r="AL139" s="94">
        <f ca="1">VLOOKUP($P139,'Regresion Q1'!$Z$6:$AB$10,2,1)*$P139+VLOOKUP($P139,'Regresion Q1'!$Z$6:$AB$10,3,1)</f>
        <v>14089634.17921352</v>
      </c>
      <c r="AM139" s="94">
        <f ca="1">VLOOKUP($P139,'Regresion Md'!$T$6:$V$10,2,1)*$P139+VLOOKUP($P139,'Regresion Md'!$T$6:$V$10,3,1)</f>
        <v>14351366.22109637</v>
      </c>
      <c r="AN139" s="94">
        <f ca="1">VLOOKUP($P139,'Regresion Md'!$W$6:$Y$10,2,1)*$P139+VLOOKUP($P139,'Regresion Md'!$W$6:$Y$10,3,1)</f>
        <v>15185008.897724226</v>
      </c>
      <c r="AO139" s="94">
        <f ca="1">VLOOKUP($P139,'Regresion Md'!$Z$6:$AB$10,2,1)*$P139+VLOOKUP($P139,'Regresion Md'!$Z$6:$AB$10,3,1)</f>
        <v>15709596.629351273</v>
      </c>
      <c r="AP139" s="94">
        <f ca="1">VLOOKUP($P139,'Regresion Q3'!$T$6:$V$10,2,1)*$P139+VLOOKUP($P139,'Regresion Q3'!$T$6:$V$10,3,1)</f>
        <v>15470021.641848348</v>
      </c>
      <c r="AQ139" s="94">
        <f ca="1">VLOOKUP($P139,'Regresion Q3'!$W$6:$Y$10,2,1)*$P139+VLOOKUP($P139,'Regresion Q3'!$W$6:$Y$10,3,1)</f>
        <v>15947240.818312414</v>
      </c>
      <c r="AR139" s="94">
        <f ca="1">VLOOKUP($P139,'Regresion Q3'!$Z$6:$AB$10,2,1)*$P139+VLOOKUP($P139,'Regresion Q3'!$Z$6:$AB$10,3,1)</f>
        <v>16200690.806626514</v>
      </c>
      <c r="AS139" s="94">
        <f>IF($BN139=$BN140,-1,DatosHoy[[#This Row],[G ajus PM Q1]]-BO140)</f>
        <v>-1</v>
      </c>
      <c r="AT139" s="94">
        <f>IF($BN139=$BN140,-1,DatosHoy[[#This Row],[G+V ajus PM Q1]]-BP140)</f>
        <v>-1</v>
      </c>
      <c r="AU139" s="94">
        <f>IF($BN139=$BN140,-1,DatosHoy[[#This Row],[CT ajus PM Q1]]-BQ140)</f>
        <v>-1</v>
      </c>
      <c r="AV139" s="94">
        <f ca="1">IF(DatosHoy[[#This Row],[G ajus PM Q1]]=DatosHoy[[#This Row],[G+V ajus PM Q1]],-1,DatosHoy[[#This Row],[G ajus PM Q1]]-DatosHoy[[#This Row],[G+V ajus PM Q1]])</f>
        <v>-665102.08098746836</v>
      </c>
      <c r="AW139" s="94">
        <f ca="1">IF(DatosHoy[[#This Row],[G+V ajus PM Q1]]=DatosHoy[[#This Row],[CT ajus PM Q1]],-1,DatosHoy[[#This Row],[G+V ajus PM Q1]]-DatosHoy[[#This Row],[CT ajus PM Q1]])</f>
        <v>-542485.7152334787</v>
      </c>
      <c r="AX139" s="94">
        <f>IF($BN139=$BN140,-1,DatosHoy[[#This Row],[G ajus PMd]]-BR140)</f>
        <v>-1</v>
      </c>
      <c r="AY139" s="94">
        <f>IF($BN139=$BN140,-1,DatosHoy[[#This Row],[G+V ajus PM Md]]-BS140)</f>
        <v>-1</v>
      </c>
      <c r="AZ139" s="94">
        <f>IF($BN139=$BN140,-1,DatosHoy[[#This Row],[CT ajus PM Md]]-BT140)</f>
        <v>-1</v>
      </c>
      <c r="BA139" s="94">
        <f ca="1">IF(DatosHoy[[#This Row],[G ajus PMd]]=DatosHoy[[#This Row],[G+V ajus PM Md]],-1,DatosHoy[[#This Row],[G ajus PMd]]-DatosHoy[[#This Row],[G+V ajus PM Md]])</f>
        <v>-846126.87776146084</v>
      </c>
      <c r="BB139" s="94">
        <f ca="1">IF(DatosHoy[[#This Row],[G+V ajus PM Md]]=DatosHoy[[#This Row],[CT ajus PM Md]],-1,DatosHoy[[#This Row],[G+V ajus PM Md]]-DatosHoy[[#This Row],[CT ajus PM Md]])</f>
        <v>-533904.52644038573</v>
      </c>
      <c r="BC139" s="94">
        <f>IF($BN139=$BN140,-1,DatosHoy[[#This Row],[G ajus PM Q3]]-BU140)</f>
        <v>-1</v>
      </c>
      <c r="BD139" s="94">
        <f>IF($BN139=$BN140,-1,DatosHoy[[#This Row],[G+V ajus PM Q3]]-BV140)</f>
        <v>-1</v>
      </c>
      <c r="BE139" s="94">
        <f>IF($BN139=$BN140,-1,DatosHoy[[#This Row],[CT ajus PM Q3]]-BW140)</f>
        <v>-1</v>
      </c>
      <c r="BF139" s="94">
        <f ca="1">IF(DatosHoy[[#This Row],[G ajus PM Q3]]=DatosHoy[[#This Row],[G+V ajus PM Q3]],-1,DatosHoy[[#This Row],[G ajus PM Q3]]-DatosHoy[[#This Row],[G+V ajus PM Q3]])</f>
        <v>-532014.87604853511</v>
      </c>
      <c r="BG139" s="94">
        <f ca="1">IF(DatosHoy[[#This Row],[G+V ajus PM Q3]]=DatosHoy[[#This Row],[CT ajus PM Q3]],-1,DatosHoy[[#This Row],[G+V ajus PM Q3]]-DatosHoy[[#This Row],[CT ajus PM Q3]])</f>
        <v>-355260.31475085765</v>
      </c>
      <c r="BH139" s="94">
        <f ca="1">IF(DatosHoy[[#This Row],[G ajus PM Q1]]=DatosHoy[[#This Row],[G ajus PMd]],-1,DatosHoy[[#This Row],[G ajus PM Q1]]-DatosHoy[[#This Row],[G ajus PMd]])</f>
        <v>-1583135.6086071879</v>
      </c>
      <c r="BI139" s="94">
        <f ca="1">IF(DatosHoy[[#This Row],[G+V ajus PM Q1]]=DatosHoy[[#This Row],[G+V ajus PM Md]],-1,DatosHoy[[#This Row],[G+V ajus PM Q1]]-DatosHoy[[#This Row],[G+V ajus PM Md]])</f>
        <v>-1764160.4053811803</v>
      </c>
      <c r="BJ139" s="94">
        <f ca="1">IF(DatosHoy[[#This Row],[CT ajus PM Q1]]=DatosHoy[[#This Row],[CT ajus PM Md]],-1,DatosHoy[[#This Row],[CT ajus PM Q1]]-DatosHoy[[#This Row],[CT ajus PM Md]])</f>
        <v>-1755579.2165880874</v>
      </c>
      <c r="BK139" s="94">
        <f ca="1">IF(DatosHoy[[#This Row],[G ajus PMd]]=DatosHoy[[#This Row],[G ajus PM Q3]],-1,DatosHoy[[#This Row],[G ajus PMd]]-DatosHoy[[#This Row],[G ajus PM Q3]])</f>
        <v>-1310109.8984156139</v>
      </c>
      <c r="BL139" s="94">
        <f ca="1">IF(DatosHoy[[#This Row],[G+V ajus PM Md]]=DatosHoy[[#This Row],[G+V ajus PM Q3]],-1,DatosHoy[[#This Row],[G+V ajus PM Md]]-DatosHoy[[#This Row],[G+V ajus PM Q3]])</f>
        <v>-995997.89670268819</v>
      </c>
      <c r="BM139" s="94">
        <f ca="1">IF(DatosHoy[[#This Row],[CT ajus PM Md]]=DatosHoy[[#This Row],[CT ajus PM Q3]],-1,DatosHoy[[#This Row],[CT ajus PM Md]]-DatosHoy[[#This Row],[CT ajus PM Q3]])</f>
        <v>-817353.68501316011</v>
      </c>
      <c r="BN139" s="74">
        <v>663</v>
      </c>
      <c r="BO139" s="94">
        <f ca="1">IFERROR(VLOOKUP($BN139,'Regresion Q1'!$T$6:$V$10,2,1)*$BN139+VLOOKUP($BN139,'Regresion Q1'!$T$6:$V$10,3,1),VLOOKUP(MIN(DatosHoy[Puntos]),'Regresion Q1'!$T$6:$V$10,2,1)*$BN139+VLOOKUP(MIN(DatosHoy[Puntos]),'Regresion Q1'!$T$6:$V$10,3,1))</f>
        <v>13151728.350528296</v>
      </c>
      <c r="BP139" s="94">
        <f ca="1">IFERROR(VLOOKUP($BN139,'Regresion Q1'!$W$6:$Y$10,2,1)*$BN139+VLOOKUP($BN139,'Regresion Q1'!$W$6:$Y$10,3,1),VLOOKUP(MIN(DatosHoy[Puntos]),'Regresion Q1'!$W$6:$Y$10,2,1)*$BN139+VLOOKUP(MIN(DatosHoy[Puntos]),'Regresion Q1'!$W$6:$Y$10,3,1))</f>
        <v>13816830.431515764</v>
      </c>
      <c r="BQ139" s="94">
        <f ca="1">IFERROR(VLOOKUP($BN139,'Regresion Q1'!$Z$6:$AB$10,2,1)*$BN139+VLOOKUP($BN139,'Regresion Q1'!$Z$6:$AB$10,3,1),VLOOKUP(MIN(DatosHoy[Puntos]),'Regresion Q1'!$Z$6:$AB$10,2,1)*$BN139+VLOOKUP(MIN(DatosHoy[Puntos]),'Regresion Q1'!$Z$6:$AB$10,3,1))</f>
        <v>14359316.146749243</v>
      </c>
      <c r="BR139" s="94">
        <f ca="1">IFERROR(VLOOKUP($BN139,'Regresion Md'!$T$6:$V$10,2,1)*$BN139+VLOOKUP($BN139,'Regresion Md'!$T$6:$V$10,3,1),VLOOKUP(MIN(DatosHoy[Puntos]),'Regresion Md'!$T$6:$V$10,2,1)*$BN139+VLOOKUP(MIN(DatosHoy[Puntos]),'Regresion Md'!$T$6:$V$10,3,1))</f>
        <v>14734863.959135484</v>
      </c>
      <c r="BS139" s="94">
        <f ca="1">IFERROR(VLOOKUP($BN139,'Regresion Md'!$W$6:$Y$10,2,1)*$BN139+VLOOKUP($BN139,'Regresion Md'!$W$6:$Y$10,3,1),VLOOKUP(MIN(DatosHoy[Puntos]),'Regresion Md'!$W$6:$Y$10,2,1)*$BN139+VLOOKUP(MIN(DatosHoy[Puntos]),'Regresion Md'!$W$6:$Y$10,3,1))</f>
        <v>15580990.836896945</v>
      </c>
      <c r="BT139" s="94">
        <f ca="1">IFERROR(VLOOKUP($BN139,'Regresion Md'!$Z$6:$AB$10,2,1)*$BN139+VLOOKUP($BN139,'Regresion Md'!$Z$6:$AB$10,3,1),VLOOKUP(MIN(DatosHoy[Puntos]),'Regresion Md'!$Z$6:$AB$10,2,1)*$BN139+VLOOKUP(MIN(DatosHoy[Puntos]),'Regresion Md'!$Z$6:$AB$10,3,1))</f>
        <v>16114895.363337331</v>
      </c>
      <c r="BU139" s="94">
        <f ca="1">IFERROR(VLOOKUP($BN139,'Regresion Q3'!$T$6:$V$10,2,1)*$BN139+VLOOKUP($BN139,'Regresion Q3'!$T$6:$V$10,3,1),VLOOKUP(MIN(DatosHoy[Puntos]),'Regresion Q3'!$T$6:$V$10,2,1)*$BN139+VLOOKUP(MIN(DatosHoy[Puntos]),'Regresion Q3'!$T$6:$V$10,3,1))</f>
        <v>16044973.857551098</v>
      </c>
      <c r="BV139" s="94">
        <f ca="1">IFERROR(VLOOKUP($BN139,'Regresion Q3'!$W$6:$Y$10,2,1)*$BN139+VLOOKUP($BN139,'Regresion Q3'!$W$6:$Y$10,3,1),VLOOKUP(MIN(DatosHoy[Puntos]),'Regresion Q3'!$W$6:$Y$10,2,1)*$BN139+VLOOKUP(MIN(DatosHoy[Puntos]),'Regresion Q3'!$W$6:$Y$10,3,1))</f>
        <v>16576988.733599633</v>
      </c>
      <c r="BW139" s="94">
        <f ca="1">IFERROR(VLOOKUP($BN139,'Regresion Q3'!$Z$6:$AB$10,2,1)*$BN139+VLOOKUP($BN139,'Regresion Q3'!$Z$6:$AB$10,3,1),VLOOKUP(MIN(DatosHoy[Puntos]),'Regresion Q3'!$Z$6:$AB$10,2,1)*$BN139+VLOOKUP(MIN(DatosHoy[Puntos]),'Regresion Q3'!$Z$6:$AB$10,3,1))</f>
        <v>16932249.048350491</v>
      </c>
      <c r="BX139" s="96">
        <f ca="1">DatosHoy[[#This Row],[CT Actual]]/DatosHoy[[#This Row],[CT ajus PM Md]]</f>
        <v>0.73017538958212413</v>
      </c>
      <c r="BY139" s="136" t="str">
        <f>VLOOKUP(DatosHoy[[#This Row],[Cargo Valorado]],Estadísticos[[Cargo]:[Nivel]],2,FALSE)</f>
        <v>Gerencia media</v>
      </c>
      <c r="BZ139" s="96">
        <f>(DatosHoy[[#This Row],[G+V Actual]]-DatosHoy[[#This Row],[G Actual]])/DatosHoy[[#This Row],[CT Actual]]</f>
        <v>0</v>
      </c>
      <c r="CA139" s="96">
        <f>(DatosHoy[[#This Row],[CT Actual]]-DatosHoy[[#This Row],[G+V Actual]])/DatosHoy[[#This Row],[CT Actual]]</f>
        <v>0</v>
      </c>
      <c r="CB139" s="139" t="s">
        <v>256</v>
      </c>
    </row>
    <row r="140" spans="2:80" x14ac:dyDescent="0.25">
      <c r="B140" s="73">
        <f t="shared" si="67"/>
        <v>135</v>
      </c>
      <c r="C140" s="74">
        <v>7427141.040000001</v>
      </c>
      <c r="D140" s="74">
        <v>12133821.040000001</v>
      </c>
      <c r="E140" s="74">
        <v>12133821.040000001</v>
      </c>
      <c r="F140" s="94">
        <f>VLOOKUP(DatosHoy[[#This Row],[Cargo Valorado]],Estadísticos[],3,0)</f>
        <v>9064311.7587320898</v>
      </c>
      <c r="G140" s="94">
        <f>VLOOKUP(DatosHoy[[#This Row],[Cargo Valorado]],Estadísticos[],4,0)</f>
        <v>9064311.7587320898</v>
      </c>
      <c r="H140" s="94">
        <f>VLOOKUP(DatosHoy[[#This Row],[Cargo Valorado]],Estadísticos[],5,0)</f>
        <v>9171785.3932269998</v>
      </c>
      <c r="I140" s="94">
        <f>VLOOKUP(DatosHoy[[#This Row],[Cargo Valorado]],Estadísticos[],6,0)</f>
        <v>11152849.963923501</v>
      </c>
      <c r="J140" s="94">
        <f>VLOOKUP(DatosHoy[[#This Row],[Cargo Valorado]],Estadísticos[],7,0)</f>
        <v>13152849.963923501</v>
      </c>
      <c r="K140" s="94">
        <f>VLOOKUP(DatosHoy[[#This Row],[Cargo Valorado]],Estadísticos[],8,0)</f>
        <v>14367797.2329133</v>
      </c>
      <c r="L140" s="94">
        <f>VLOOKUP(DatosHoy[[#This Row],[Cargo Valorado]],Estadísticos[],9,0)</f>
        <v>12393137.887216808</v>
      </c>
      <c r="M140" s="94">
        <f>VLOOKUP(DatosHoy[[#This Row],[Cargo Valorado]],Estadísticos[],10,0)</f>
        <v>12393137.887216808</v>
      </c>
      <c r="N140" s="94">
        <f>VLOOKUP(DatosHoy[[#This Row],[Cargo Valorado]],Estadísticos[],11,0)</f>
        <v>12549103.470421586</v>
      </c>
      <c r="O140" s="75" t="s">
        <v>165</v>
      </c>
      <c r="P140" s="75">
        <v>666</v>
      </c>
      <c r="Q140" s="95" t="str">
        <f t="shared" si="68"/>
        <v>$P$140</v>
      </c>
      <c r="R140" s="95" t="str">
        <f t="shared" si="69"/>
        <v>$F$140</v>
      </c>
      <c r="S140" s="95" t="str">
        <f t="shared" si="70"/>
        <v>$G$140</v>
      </c>
      <c r="T140" s="95" t="str">
        <f t="shared" si="71"/>
        <v>$H$140</v>
      </c>
      <c r="U140" s="95" t="str">
        <f t="shared" si="72"/>
        <v>$I$140</v>
      </c>
      <c r="V140" s="95" t="str">
        <f t="shared" si="73"/>
        <v>$J$140</v>
      </c>
      <c r="W140" s="95" t="str">
        <f t="shared" si="74"/>
        <v>$K$140</v>
      </c>
      <c r="X140" s="95" t="str">
        <f t="shared" si="75"/>
        <v>$L$140</v>
      </c>
      <c r="Y140" s="95" t="str">
        <f t="shared" si="76"/>
        <v>$M$140</v>
      </c>
      <c r="Z140" s="95" t="str">
        <f t="shared" si="77"/>
        <v>$N$140</v>
      </c>
      <c r="AA140" s="94">
        <f ca="1">VLOOKUP($P140,'Regresion Q1'!$E$6:$I$10,4,1)*$P140+VLOOKUP($P140,'Regresion Q1'!$E$6:$I$10,5,1)</f>
        <v>12147576.980873423</v>
      </c>
      <c r="AB140" s="94">
        <f ca="1">VLOOKUP($P140,'Regresion Q1'!$J$6:$N$10,4,1)*$P140+VLOOKUP($P140,'Regresion Q1'!$J$6:$N$10,5,1)</f>
        <v>13492719.121758658</v>
      </c>
      <c r="AC140" s="94">
        <f ca="1">VLOOKUP($P140,'Regresion Q1'!$O$6:$S$10,4,1)*$P140+VLOOKUP($P140,'Regresion Q1'!$O$6:$S$10,5,1)</f>
        <v>13742916.957984956</v>
      </c>
      <c r="AD140" s="94">
        <f ca="1">VLOOKUP($P140,'Regresion Md'!$E$6:$I$10,4,1)*$P140+VLOOKUP($P140,'Regresion Md'!$E$6:$I$10,5,1)</f>
        <v>14106152.417007845</v>
      </c>
      <c r="AE140" s="94">
        <f ca="1">VLOOKUP($P140,'Regresion Md'!$J$6:$N$10,4,1)*$P140+VLOOKUP($P140,'Regresion Md'!$J$6:$N$10,5,1)</f>
        <v>15441743.320462119</v>
      </c>
      <c r="AF140" s="94">
        <f ca="1">VLOOKUP($P140,'Regresion Md'!$O$6:$S$10,4,1)*$P140+VLOOKUP($P140,'Regresion Md'!$O$6:$S$10,5,1)</f>
        <v>15861990.694348697</v>
      </c>
      <c r="AG140" s="94">
        <f ca="1">VLOOKUP($P140,'Regresion Q3'!$E$6:$I$10,4,1)*$P140+VLOOKUP($P140,'Regresion Q3'!$E$6:$I$10,5,1)</f>
        <v>16122305.754368335</v>
      </c>
      <c r="AH140" s="94">
        <f ca="1">VLOOKUP($P140,'Regresion Q3'!$J$6:$N$10,4,1)*$P140+VLOOKUP($P140,'Regresion Q3'!$J$6:$N$10,5,1)</f>
        <v>16813144.201832339</v>
      </c>
      <c r="AI140" s="94">
        <f ca="1">VLOOKUP($P140,'Regresion Q3'!$O$6:$S$10,4,1)*$P140+VLOOKUP($P140,'Regresion Q3'!$O$6:$S$10,5,1)</f>
        <v>17206583.388996981</v>
      </c>
      <c r="AJ140" s="94">
        <f ca="1">VLOOKUP($P140,'Regresion Q1'!$T$6:$V$10,2,1)*$P140+VLOOKUP($P140,'Regresion Q1'!$T$6:$V$10,3,1)</f>
        <v>13244056.229861483</v>
      </c>
      <c r="AK140" s="94">
        <f ca="1">VLOOKUP($P140,'Regresion Q1'!$W$6:$Y$10,2,1)*$P140+VLOOKUP($P140,'Regresion Q1'!$W$6:$Y$10,3,1)</f>
        <v>13914811.585490663</v>
      </c>
      <c r="AL140" s="94">
        <f ca="1">VLOOKUP($P140,'Regresion Q1'!$Z$6:$AB$10,2,1)*$P140+VLOOKUP($P140,'Regresion Q1'!$Z$6:$AB$10,3,1)</f>
        <v>14460446.88457514</v>
      </c>
      <c r="AM140" s="94">
        <f ca="1">VLOOKUP($P140,'Regresion Md'!$T$6:$V$10,2,1)*$P140+VLOOKUP($P140,'Regresion Md'!$T$6:$V$10,3,1)</f>
        <v>14878675.610900149</v>
      </c>
      <c r="AN140" s="94">
        <f ca="1">VLOOKUP($P140,'Regresion Md'!$W$6:$Y$10,2,1)*$P140+VLOOKUP($P140,'Regresion Md'!$W$6:$Y$10,3,1)</f>
        <v>15729484.064086717</v>
      </c>
      <c r="AO140" s="94">
        <f ca="1">VLOOKUP($P140,'Regresion Md'!$Z$6:$AB$10,2,1)*$P140+VLOOKUP($P140,'Regresion Md'!$Z$6:$AB$10,3,1)</f>
        <v>16266882.388582103</v>
      </c>
      <c r="AP140" s="94">
        <f ca="1">VLOOKUP($P140,'Regresion Q3'!$T$6:$V$10,2,1)*$P140+VLOOKUP($P140,'Regresion Q3'!$T$6:$V$10,3,1)</f>
        <v>16260580.93843963</v>
      </c>
      <c r="AQ140" s="94">
        <f ca="1">VLOOKUP($P140,'Regresion Q3'!$W$6:$Y$10,2,1)*$P140+VLOOKUP($P140,'Regresion Q3'!$W$6:$Y$10,3,1)</f>
        <v>16813144.201832339</v>
      </c>
      <c r="AR140" s="94">
        <f ca="1">VLOOKUP($P140,'Regresion Q3'!$Z$6:$AB$10,2,1)*$P140+VLOOKUP($P140,'Regresion Q3'!$Z$6:$AB$10,3,1)</f>
        <v>17206583.388996981</v>
      </c>
      <c r="AS140" s="94">
        <f>IF($BN140=$BN141,-1,DatosHoy[[#This Row],[G ajus PM Q1]]-BO141)</f>
        <v>-1</v>
      </c>
      <c r="AT140" s="94">
        <f>IF($BN140=$BN141,-1,DatosHoy[[#This Row],[G+V ajus PM Q1]]-BP141)</f>
        <v>-1</v>
      </c>
      <c r="AU140" s="94">
        <f>IF($BN140=$BN141,-1,DatosHoy[[#This Row],[CT ajus PM Q1]]-BQ141)</f>
        <v>-1</v>
      </c>
      <c r="AV140" s="94">
        <f ca="1">IF(DatosHoy[[#This Row],[G ajus PM Q1]]=DatosHoy[[#This Row],[G+V ajus PM Q1]],-1,DatosHoy[[#This Row],[G ajus PM Q1]]-DatosHoy[[#This Row],[G+V ajus PM Q1]])</f>
        <v>-665102.08098746836</v>
      </c>
      <c r="AW140" s="94">
        <f ca="1">IF(DatosHoy[[#This Row],[G+V ajus PM Q1]]=DatosHoy[[#This Row],[CT ajus PM Q1]],-1,DatosHoy[[#This Row],[G+V ajus PM Q1]]-DatosHoy[[#This Row],[CT ajus PM Q1]])</f>
        <v>-542485.7152334787</v>
      </c>
      <c r="AX140" s="94">
        <f>IF($BN140=$BN141,-1,DatosHoy[[#This Row],[G ajus PMd]]-BR141)</f>
        <v>-1</v>
      </c>
      <c r="AY140" s="94">
        <f>IF($BN140=$BN141,-1,DatosHoy[[#This Row],[G+V ajus PM Md]]-BS141)</f>
        <v>-1</v>
      </c>
      <c r="AZ140" s="94">
        <f>IF($BN140=$BN141,-1,DatosHoy[[#This Row],[CT ajus PM Md]]-BT141)</f>
        <v>-1</v>
      </c>
      <c r="BA140" s="94">
        <f ca="1">IF(DatosHoy[[#This Row],[G ajus PMd]]=DatosHoy[[#This Row],[G+V ajus PM Md]],-1,DatosHoy[[#This Row],[G ajus PMd]]-DatosHoy[[#This Row],[G+V ajus PM Md]])</f>
        <v>-846126.87776146084</v>
      </c>
      <c r="BB140" s="94">
        <f ca="1">IF(DatosHoy[[#This Row],[G+V ajus PM Md]]=DatosHoy[[#This Row],[CT ajus PM Md]],-1,DatosHoy[[#This Row],[G+V ajus PM Md]]-DatosHoy[[#This Row],[CT ajus PM Md]])</f>
        <v>-533904.52644038573</v>
      </c>
      <c r="BC140" s="94">
        <f>IF($BN140=$BN141,-1,DatosHoy[[#This Row],[G ajus PM Q3]]-BU141)</f>
        <v>-1</v>
      </c>
      <c r="BD140" s="94">
        <f>IF($BN140=$BN141,-1,DatosHoy[[#This Row],[G+V ajus PM Q3]]-BV141)</f>
        <v>-1</v>
      </c>
      <c r="BE140" s="94">
        <f>IF($BN140=$BN141,-1,DatosHoy[[#This Row],[CT ajus PM Q3]]-BW141)</f>
        <v>-1</v>
      </c>
      <c r="BF140" s="94">
        <f ca="1">IF(DatosHoy[[#This Row],[G ajus PM Q3]]=DatosHoy[[#This Row],[G+V ajus PM Q3]],-1,DatosHoy[[#This Row],[G ajus PM Q3]]-DatosHoy[[#This Row],[G+V ajus PM Q3]])</f>
        <v>-532014.87604853511</v>
      </c>
      <c r="BG140" s="94">
        <f ca="1">IF(DatosHoy[[#This Row],[G+V ajus PM Q3]]=DatosHoy[[#This Row],[CT ajus PM Q3]],-1,DatosHoy[[#This Row],[G+V ajus PM Q3]]-DatosHoy[[#This Row],[CT ajus PM Q3]])</f>
        <v>-355260.31475085765</v>
      </c>
      <c r="BH140" s="94">
        <f ca="1">IF(DatosHoy[[#This Row],[G ajus PM Q1]]=DatosHoy[[#This Row],[G ajus PMd]],-1,DatosHoy[[#This Row],[G ajus PM Q1]]-DatosHoy[[#This Row],[G ajus PMd]])</f>
        <v>-1583135.6086071879</v>
      </c>
      <c r="BI140" s="94">
        <f ca="1">IF(DatosHoy[[#This Row],[G+V ajus PM Q1]]=DatosHoy[[#This Row],[G+V ajus PM Md]],-1,DatosHoy[[#This Row],[G+V ajus PM Q1]]-DatosHoy[[#This Row],[G+V ajus PM Md]])</f>
        <v>-1764160.4053811803</v>
      </c>
      <c r="BJ140" s="94">
        <f ca="1">IF(DatosHoy[[#This Row],[CT ajus PM Q1]]=DatosHoy[[#This Row],[CT ajus PM Md]],-1,DatosHoy[[#This Row],[CT ajus PM Q1]]-DatosHoy[[#This Row],[CT ajus PM Md]])</f>
        <v>-1755579.2165880874</v>
      </c>
      <c r="BK140" s="94">
        <f ca="1">IF(DatosHoy[[#This Row],[G ajus PMd]]=DatosHoy[[#This Row],[G ajus PM Q3]],-1,DatosHoy[[#This Row],[G ajus PMd]]-DatosHoy[[#This Row],[G ajus PM Q3]])</f>
        <v>-1310109.8984156139</v>
      </c>
      <c r="BL140" s="94">
        <f ca="1">IF(DatosHoy[[#This Row],[G+V ajus PM Md]]=DatosHoy[[#This Row],[G+V ajus PM Q3]],-1,DatosHoy[[#This Row],[G+V ajus PM Md]]-DatosHoy[[#This Row],[G+V ajus PM Q3]])</f>
        <v>-995997.89670268819</v>
      </c>
      <c r="BM140" s="94">
        <f ca="1">IF(DatosHoy[[#This Row],[CT ajus PM Md]]=DatosHoy[[#This Row],[CT ajus PM Q3]],-1,DatosHoy[[#This Row],[CT ajus PM Md]]-DatosHoy[[#This Row],[CT ajus PM Q3]])</f>
        <v>-817353.68501316011</v>
      </c>
      <c r="BN140" s="74">
        <v>663</v>
      </c>
      <c r="BO140" s="94">
        <f ca="1">IFERROR(VLOOKUP($BN140,'Regresion Q1'!$T$6:$V$10,2,1)*$BN140+VLOOKUP($BN140,'Regresion Q1'!$T$6:$V$10,3,1),VLOOKUP(MIN(DatosHoy[Puntos]),'Regresion Q1'!$T$6:$V$10,2,1)*$BN140+VLOOKUP(MIN(DatosHoy[Puntos]),'Regresion Q1'!$T$6:$V$10,3,1))</f>
        <v>13151728.350528296</v>
      </c>
      <c r="BP140" s="94">
        <f ca="1">IFERROR(VLOOKUP($BN140,'Regresion Q1'!$W$6:$Y$10,2,1)*$BN140+VLOOKUP($BN140,'Regresion Q1'!$W$6:$Y$10,3,1),VLOOKUP(MIN(DatosHoy[Puntos]),'Regresion Q1'!$W$6:$Y$10,2,1)*$BN140+VLOOKUP(MIN(DatosHoy[Puntos]),'Regresion Q1'!$W$6:$Y$10,3,1))</f>
        <v>13816830.431515764</v>
      </c>
      <c r="BQ140" s="94">
        <f ca="1">IFERROR(VLOOKUP($BN140,'Regresion Q1'!$Z$6:$AB$10,2,1)*$BN140+VLOOKUP($BN140,'Regresion Q1'!$Z$6:$AB$10,3,1),VLOOKUP(MIN(DatosHoy[Puntos]),'Regresion Q1'!$Z$6:$AB$10,2,1)*$BN140+VLOOKUP(MIN(DatosHoy[Puntos]),'Regresion Q1'!$Z$6:$AB$10,3,1))</f>
        <v>14359316.146749243</v>
      </c>
      <c r="BR140" s="94">
        <f ca="1">IFERROR(VLOOKUP($BN140,'Regresion Md'!$T$6:$V$10,2,1)*$BN140+VLOOKUP($BN140,'Regresion Md'!$T$6:$V$10,3,1),VLOOKUP(MIN(DatosHoy[Puntos]),'Regresion Md'!$T$6:$V$10,2,1)*$BN140+VLOOKUP(MIN(DatosHoy[Puntos]),'Regresion Md'!$T$6:$V$10,3,1))</f>
        <v>14734863.959135484</v>
      </c>
      <c r="BS140" s="94">
        <f ca="1">IFERROR(VLOOKUP($BN140,'Regresion Md'!$W$6:$Y$10,2,1)*$BN140+VLOOKUP($BN140,'Regresion Md'!$W$6:$Y$10,3,1),VLOOKUP(MIN(DatosHoy[Puntos]),'Regresion Md'!$W$6:$Y$10,2,1)*$BN140+VLOOKUP(MIN(DatosHoy[Puntos]),'Regresion Md'!$W$6:$Y$10,3,1))</f>
        <v>15580990.836896945</v>
      </c>
      <c r="BT140" s="94">
        <f ca="1">IFERROR(VLOOKUP($BN140,'Regresion Md'!$Z$6:$AB$10,2,1)*$BN140+VLOOKUP($BN140,'Regresion Md'!$Z$6:$AB$10,3,1),VLOOKUP(MIN(DatosHoy[Puntos]),'Regresion Md'!$Z$6:$AB$10,2,1)*$BN140+VLOOKUP(MIN(DatosHoy[Puntos]),'Regresion Md'!$Z$6:$AB$10,3,1))</f>
        <v>16114895.363337331</v>
      </c>
      <c r="BU140" s="94">
        <f ca="1">IFERROR(VLOOKUP($BN140,'Regresion Q3'!$T$6:$V$10,2,1)*$BN140+VLOOKUP($BN140,'Regresion Q3'!$T$6:$V$10,3,1),VLOOKUP(MIN(DatosHoy[Puntos]),'Regresion Q3'!$T$6:$V$10,2,1)*$BN140+VLOOKUP(MIN(DatosHoy[Puntos]),'Regresion Q3'!$T$6:$V$10,3,1))</f>
        <v>16044973.857551098</v>
      </c>
      <c r="BV140" s="94">
        <f ca="1">IFERROR(VLOOKUP($BN140,'Regresion Q3'!$W$6:$Y$10,2,1)*$BN140+VLOOKUP($BN140,'Regresion Q3'!$W$6:$Y$10,3,1),VLOOKUP(MIN(DatosHoy[Puntos]),'Regresion Q3'!$W$6:$Y$10,2,1)*$BN140+VLOOKUP(MIN(DatosHoy[Puntos]),'Regresion Q3'!$W$6:$Y$10,3,1))</f>
        <v>16576988.733599633</v>
      </c>
      <c r="BW140" s="94">
        <f ca="1">IFERROR(VLOOKUP($BN140,'Regresion Q3'!$Z$6:$AB$10,2,1)*$BN140+VLOOKUP($BN140,'Regresion Q3'!$Z$6:$AB$10,3,1),VLOOKUP(MIN(DatosHoy[Puntos]),'Regresion Q3'!$Z$6:$AB$10,2,1)*$BN140+VLOOKUP(MIN(DatosHoy[Puntos]),'Regresion Q3'!$Z$6:$AB$10,3,1))</f>
        <v>16932249.048350491</v>
      </c>
      <c r="BX140" s="96">
        <f ca="1">DatosHoy[[#This Row],[CT Actual]]/DatosHoy[[#This Row],[CT ajus PM Md]]</f>
        <v>0.75295686173708642</v>
      </c>
      <c r="BY140" s="136" t="str">
        <f>VLOOKUP(DatosHoy[[#This Row],[Cargo Valorado]],Estadísticos[[Cargo]:[Nivel]],2,FALSE)</f>
        <v>Gerencia media</v>
      </c>
      <c r="BZ140" s="96">
        <f>(DatosHoy[[#This Row],[G+V Actual]]-DatosHoy[[#This Row],[G Actual]])/DatosHoy[[#This Row],[CT Actual]]</f>
        <v>0.38789759503491072</v>
      </c>
      <c r="CA140" s="96">
        <f>(DatosHoy[[#This Row],[CT Actual]]-DatosHoy[[#This Row],[G+V Actual]])/DatosHoy[[#This Row],[CT Actual]]</f>
        <v>0</v>
      </c>
      <c r="CB140" s="139" t="s">
        <v>256</v>
      </c>
    </row>
    <row r="141" spans="2:80" x14ac:dyDescent="0.25">
      <c r="B141" s="73">
        <f t="shared" si="67"/>
        <v>136</v>
      </c>
      <c r="C141" s="74">
        <v>5203234.74</v>
      </c>
      <c r="D141" s="74">
        <v>8450843.9400000013</v>
      </c>
      <c r="E141" s="74">
        <v>8450843.9400000013</v>
      </c>
      <c r="F141" s="94">
        <f>VLOOKUP(DatosHoy[[#This Row],[Cargo Valorado]],Estadísticos[],3,0)</f>
        <v>9064311.7587320898</v>
      </c>
      <c r="G141" s="94">
        <f>VLOOKUP(DatosHoy[[#This Row],[Cargo Valorado]],Estadísticos[],4,0)</f>
        <v>9064311.7587320898</v>
      </c>
      <c r="H141" s="94">
        <f>VLOOKUP(DatosHoy[[#This Row],[Cargo Valorado]],Estadísticos[],5,0)</f>
        <v>9171785.3932269998</v>
      </c>
      <c r="I141" s="94">
        <f>VLOOKUP(DatosHoy[[#This Row],[Cargo Valorado]],Estadísticos[],6,0)</f>
        <v>11152849.963923501</v>
      </c>
      <c r="J141" s="94">
        <f>VLOOKUP(DatosHoy[[#This Row],[Cargo Valorado]],Estadísticos[],7,0)</f>
        <v>13152849.963923501</v>
      </c>
      <c r="K141" s="94">
        <f>VLOOKUP(DatosHoy[[#This Row],[Cargo Valorado]],Estadísticos[],8,0)</f>
        <v>14367797.2329133</v>
      </c>
      <c r="L141" s="94">
        <f>VLOOKUP(DatosHoy[[#This Row],[Cargo Valorado]],Estadísticos[],9,0)</f>
        <v>12393137.887216808</v>
      </c>
      <c r="M141" s="94">
        <f>VLOOKUP(DatosHoy[[#This Row],[Cargo Valorado]],Estadísticos[],10,0)</f>
        <v>12393137.887216808</v>
      </c>
      <c r="N141" s="94">
        <f>VLOOKUP(DatosHoy[[#This Row],[Cargo Valorado]],Estadísticos[],11,0)</f>
        <v>12549103.470421586</v>
      </c>
      <c r="O141" s="75" t="s">
        <v>165</v>
      </c>
      <c r="P141" s="75">
        <v>666</v>
      </c>
      <c r="Q141" s="95" t="str">
        <f t="shared" si="68"/>
        <v>$P$141</v>
      </c>
      <c r="R141" s="95" t="str">
        <f t="shared" si="69"/>
        <v>$F$141</v>
      </c>
      <c r="S141" s="95" t="str">
        <f t="shared" si="70"/>
        <v>$G$141</v>
      </c>
      <c r="T141" s="95" t="str">
        <f t="shared" si="71"/>
        <v>$H$141</v>
      </c>
      <c r="U141" s="95" t="str">
        <f t="shared" si="72"/>
        <v>$I$141</v>
      </c>
      <c r="V141" s="95" t="str">
        <f t="shared" si="73"/>
        <v>$J$141</v>
      </c>
      <c r="W141" s="95" t="str">
        <f t="shared" si="74"/>
        <v>$K$141</v>
      </c>
      <c r="X141" s="95" t="str">
        <f t="shared" si="75"/>
        <v>$L$141</v>
      </c>
      <c r="Y141" s="95" t="str">
        <f t="shared" si="76"/>
        <v>$M$141</v>
      </c>
      <c r="Z141" s="95" t="str">
        <f t="shared" si="77"/>
        <v>$N$141</v>
      </c>
      <c r="AA141" s="94">
        <f ca="1">VLOOKUP($P141,'Regresion Q1'!$E$6:$I$10,4,1)*$P141+VLOOKUP($P141,'Regresion Q1'!$E$6:$I$10,5,1)</f>
        <v>12147576.980873423</v>
      </c>
      <c r="AB141" s="94">
        <f ca="1">VLOOKUP($P141,'Regresion Q1'!$J$6:$N$10,4,1)*$P141+VLOOKUP($P141,'Regresion Q1'!$J$6:$N$10,5,1)</f>
        <v>13492719.121758658</v>
      </c>
      <c r="AC141" s="94">
        <f ca="1">VLOOKUP($P141,'Regresion Q1'!$O$6:$S$10,4,1)*$P141+VLOOKUP($P141,'Regresion Q1'!$O$6:$S$10,5,1)</f>
        <v>13742916.957984956</v>
      </c>
      <c r="AD141" s="94">
        <f ca="1">VLOOKUP($P141,'Regresion Md'!$E$6:$I$10,4,1)*$P141+VLOOKUP($P141,'Regresion Md'!$E$6:$I$10,5,1)</f>
        <v>14106152.417007845</v>
      </c>
      <c r="AE141" s="94">
        <f ca="1">VLOOKUP($P141,'Regresion Md'!$J$6:$N$10,4,1)*$P141+VLOOKUP($P141,'Regresion Md'!$J$6:$N$10,5,1)</f>
        <v>15441743.320462119</v>
      </c>
      <c r="AF141" s="94">
        <f ca="1">VLOOKUP($P141,'Regresion Md'!$O$6:$S$10,4,1)*$P141+VLOOKUP($P141,'Regresion Md'!$O$6:$S$10,5,1)</f>
        <v>15861990.694348697</v>
      </c>
      <c r="AG141" s="94">
        <f ca="1">VLOOKUP($P141,'Regresion Q3'!$E$6:$I$10,4,1)*$P141+VLOOKUP($P141,'Regresion Q3'!$E$6:$I$10,5,1)</f>
        <v>16122305.754368335</v>
      </c>
      <c r="AH141" s="94">
        <f ca="1">VLOOKUP($P141,'Regresion Q3'!$J$6:$N$10,4,1)*$P141+VLOOKUP($P141,'Regresion Q3'!$J$6:$N$10,5,1)</f>
        <v>16813144.201832339</v>
      </c>
      <c r="AI141" s="94">
        <f ca="1">VLOOKUP($P141,'Regresion Q3'!$O$6:$S$10,4,1)*$P141+VLOOKUP($P141,'Regresion Q3'!$O$6:$S$10,5,1)</f>
        <v>17206583.388996981</v>
      </c>
      <c r="AJ141" s="94">
        <f ca="1">VLOOKUP($P141,'Regresion Q1'!$T$6:$V$10,2,1)*$P141+VLOOKUP($P141,'Regresion Q1'!$T$6:$V$10,3,1)</f>
        <v>13244056.229861483</v>
      </c>
      <c r="AK141" s="94">
        <f ca="1">VLOOKUP($P141,'Regresion Q1'!$W$6:$Y$10,2,1)*$P141+VLOOKUP($P141,'Regresion Q1'!$W$6:$Y$10,3,1)</f>
        <v>13914811.585490663</v>
      </c>
      <c r="AL141" s="94">
        <f ca="1">VLOOKUP($P141,'Regresion Q1'!$Z$6:$AB$10,2,1)*$P141+VLOOKUP($P141,'Regresion Q1'!$Z$6:$AB$10,3,1)</f>
        <v>14460446.88457514</v>
      </c>
      <c r="AM141" s="94">
        <f ca="1">VLOOKUP($P141,'Regresion Md'!$T$6:$V$10,2,1)*$P141+VLOOKUP($P141,'Regresion Md'!$T$6:$V$10,3,1)</f>
        <v>14878675.610900149</v>
      </c>
      <c r="AN141" s="94">
        <f ca="1">VLOOKUP($P141,'Regresion Md'!$W$6:$Y$10,2,1)*$P141+VLOOKUP($P141,'Regresion Md'!$W$6:$Y$10,3,1)</f>
        <v>15729484.064086717</v>
      </c>
      <c r="AO141" s="94">
        <f ca="1">VLOOKUP($P141,'Regresion Md'!$Z$6:$AB$10,2,1)*$P141+VLOOKUP($P141,'Regresion Md'!$Z$6:$AB$10,3,1)</f>
        <v>16266882.388582103</v>
      </c>
      <c r="AP141" s="94">
        <f ca="1">VLOOKUP($P141,'Regresion Q3'!$T$6:$V$10,2,1)*$P141+VLOOKUP($P141,'Regresion Q3'!$T$6:$V$10,3,1)</f>
        <v>16260580.93843963</v>
      </c>
      <c r="AQ141" s="94">
        <f ca="1">VLOOKUP($P141,'Regresion Q3'!$W$6:$Y$10,2,1)*$P141+VLOOKUP($P141,'Regresion Q3'!$W$6:$Y$10,3,1)</f>
        <v>16813144.201832339</v>
      </c>
      <c r="AR141" s="94">
        <f ca="1">VLOOKUP($P141,'Regresion Q3'!$Z$6:$AB$10,2,1)*$P141+VLOOKUP($P141,'Regresion Q3'!$Z$6:$AB$10,3,1)</f>
        <v>17206583.388996981</v>
      </c>
      <c r="AS141" s="94">
        <f ca="1">IF($BN141=$BN142,-1,DatosHoy[[#This Row],[G ajus PM Q1]]-BO142)</f>
        <v>-3046820.0179951563</v>
      </c>
      <c r="AT141" s="94">
        <f ca="1">IF($BN141=$BN142,-1,DatosHoy[[#This Row],[G+V ajus PM Q1]]-BP142)</f>
        <v>-3233378.0811716579</v>
      </c>
      <c r="AU141" s="94">
        <f ca="1">IF($BN141=$BN142,-1,DatosHoy[[#This Row],[CT ajus PM Q1]]-BQ142)</f>
        <v>-3337314.3482545614</v>
      </c>
      <c r="AV141" s="94">
        <f ca="1">IF(DatosHoy[[#This Row],[G ajus PM Q1]]=DatosHoy[[#This Row],[G+V ajus PM Q1]],-1,DatosHoy[[#This Row],[G ajus PM Q1]]-DatosHoy[[#This Row],[G+V ajus PM Q1]])</f>
        <v>-665102.08098746836</v>
      </c>
      <c r="AW141" s="94">
        <f ca="1">IF(DatosHoy[[#This Row],[G+V ajus PM Q1]]=DatosHoy[[#This Row],[CT ajus PM Q1]],-1,DatosHoy[[#This Row],[G+V ajus PM Q1]]-DatosHoy[[#This Row],[CT ajus PM Q1]])</f>
        <v>-542485.7152334787</v>
      </c>
      <c r="AX141" s="94">
        <f ca="1">IF($BN141=$BN142,-1,DatosHoy[[#This Row],[G ajus PMd]]-BR142)</f>
        <v>-4745784.5082340203</v>
      </c>
      <c r="AY141" s="94">
        <f ca="1">IF($BN141=$BN142,-1,DatosHoy[[#This Row],[G+V ajus PM Md]]-BS142)</f>
        <v>-4900276.4972624071</v>
      </c>
      <c r="AZ141" s="94">
        <f ca="1">IF($BN141=$BN142,-1,DatosHoy[[#This Row],[CT ajus PM Md]]-BT142)</f>
        <v>-5015571.8330774307</v>
      </c>
      <c r="BA141" s="94">
        <f ca="1">IF(DatosHoy[[#This Row],[G ajus PMd]]=DatosHoy[[#This Row],[G+V ajus PM Md]],-1,DatosHoy[[#This Row],[G ajus PMd]]-DatosHoy[[#This Row],[G+V ajus PM Md]])</f>
        <v>-846126.87776146084</v>
      </c>
      <c r="BB141" s="94">
        <f ca="1">IF(DatosHoy[[#This Row],[G+V ajus PM Md]]=DatosHoy[[#This Row],[CT ajus PM Md]],-1,DatosHoy[[#This Row],[G+V ajus PM Md]]-DatosHoy[[#This Row],[CT ajus PM Md]])</f>
        <v>-533904.52644038573</v>
      </c>
      <c r="BC141" s="94">
        <f ca="1">IF($BN141=$BN142,-1,DatosHoy[[#This Row],[G ajus PM Q3]]-BU142)</f>
        <v>-7115033.6693215296</v>
      </c>
      <c r="BD141" s="94">
        <f ca="1">IF($BN141=$BN142,-1,DatosHoy[[#This Row],[G+V ajus PM Q3]]-BV142)</f>
        <v>-7793130.4516792893</v>
      </c>
      <c r="BE141" s="94">
        <f ca="1">IF($BN141=$BN142,-1,DatosHoy[[#This Row],[CT ajus PM Q3]]-BW142)</f>
        <v>-9053033.2413342372</v>
      </c>
      <c r="BF141" s="94">
        <f ca="1">IF(DatosHoy[[#This Row],[G ajus PM Q3]]=DatosHoy[[#This Row],[G+V ajus PM Q3]],-1,DatosHoy[[#This Row],[G ajus PM Q3]]-DatosHoy[[#This Row],[G+V ajus PM Q3]])</f>
        <v>-532014.87604853511</v>
      </c>
      <c r="BG141" s="94">
        <f ca="1">IF(DatosHoy[[#This Row],[G+V ajus PM Q3]]=DatosHoy[[#This Row],[CT ajus PM Q3]],-1,DatosHoy[[#This Row],[G+V ajus PM Q3]]-DatosHoy[[#This Row],[CT ajus PM Q3]])</f>
        <v>-355260.31475085765</v>
      </c>
      <c r="BH141" s="94">
        <f ca="1">IF(DatosHoy[[#This Row],[G ajus PM Q1]]=DatosHoy[[#This Row],[G ajus PMd]],-1,DatosHoy[[#This Row],[G ajus PM Q1]]-DatosHoy[[#This Row],[G ajus PMd]])</f>
        <v>-1583135.6086071879</v>
      </c>
      <c r="BI141" s="94">
        <f ca="1">IF(DatosHoy[[#This Row],[G+V ajus PM Q1]]=DatosHoy[[#This Row],[G+V ajus PM Md]],-1,DatosHoy[[#This Row],[G+V ajus PM Q1]]-DatosHoy[[#This Row],[G+V ajus PM Md]])</f>
        <v>-1764160.4053811803</v>
      </c>
      <c r="BJ141" s="94">
        <f ca="1">IF(DatosHoy[[#This Row],[CT ajus PM Q1]]=DatosHoy[[#This Row],[CT ajus PM Md]],-1,DatosHoy[[#This Row],[CT ajus PM Q1]]-DatosHoy[[#This Row],[CT ajus PM Md]])</f>
        <v>-1755579.2165880874</v>
      </c>
      <c r="BK141" s="94">
        <f ca="1">IF(DatosHoy[[#This Row],[G ajus PMd]]=DatosHoy[[#This Row],[G ajus PM Q3]],-1,DatosHoy[[#This Row],[G ajus PMd]]-DatosHoy[[#This Row],[G ajus PM Q3]])</f>
        <v>-1310109.8984156139</v>
      </c>
      <c r="BL141" s="94">
        <f ca="1">IF(DatosHoy[[#This Row],[G+V ajus PM Md]]=DatosHoy[[#This Row],[G+V ajus PM Q3]],-1,DatosHoy[[#This Row],[G+V ajus PM Md]]-DatosHoy[[#This Row],[G+V ajus PM Q3]])</f>
        <v>-995997.89670268819</v>
      </c>
      <c r="BM141" s="94">
        <f ca="1">IF(DatosHoy[[#This Row],[CT ajus PM Md]]=DatosHoy[[#This Row],[CT ajus PM Q3]],-1,DatosHoy[[#This Row],[CT ajus PM Md]]-DatosHoy[[#This Row],[CT ajus PM Q3]])</f>
        <v>-817353.68501316011</v>
      </c>
      <c r="BN141" s="74">
        <v>663</v>
      </c>
      <c r="BO141" s="94">
        <f ca="1">IFERROR(VLOOKUP($BN141,'Regresion Q1'!$T$6:$V$10,2,1)*$BN141+VLOOKUP($BN141,'Regresion Q1'!$T$6:$V$10,3,1),VLOOKUP(MIN(DatosHoy[Puntos]),'Regresion Q1'!$T$6:$V$10,2,1)*$BN141+VLOOKUP(MIN(DatosHoy[Puntos]),'Regresion Q1'!$T$6:$V$10,3,1))</f>
        <v>13151728.350528296</v>
      </c>
      <c r="BP141" s="94">
        <f ca="1">IFERROR(VLOOKUP($BN141,'Regresion Q1'!$W$6:$Y$10,2,1)*$BN141+VLOOKUP($BN141,'Regresion Q1'!$W$6:$Y$10,3,1),VLOOKUP(MIN(DatosHoy[Puntos]),'Regresion Q1'!$W$6:$Y$10,2,1)*$BN141+VLOOKUP(MIN(DatosHoy[Puntos]),'Regresion Q1'!$W$6:$Y$10,3,1))</f>
        <v>13816830.431515764</v>
      </c>
      <c r="BQ141" s="94">
        <f ca="1">IFERROR(VLOOKUP($BN141,'Regresion Q1'!$Z$6:$AB$10,2,1)*$BN141+VLOOKUP($BN141,'Regresion Q1'!$Z$6:$AB$10,3,1),VLOOKUP(MIN(DatosHoy[Puntos]),'Regresion Q1'!$Z$6:$AB$10,2,1)*$BN141+VLOOKUP(MIN(DatosHoy[Puntos]),'Regresion Q1'!$Z$6:$AB$10,3,1))</f>
        <v>14359316.146749243</v>
      </c>
      <c r="BR141" s="94">
        <f ca="1">IFERROR(VLOOKUP($BN141,'Regresion Md'!$T$6:$V$10,2,1)*$BN141+VLOOKUP($BN141,'Regresion Md'!$T$6:$V$10,3,1),VLOOKUP(MIN(DatosHoy[Puntos]),'Regresion Md'!$T$6:$V$10,2,1)*$BN141+VLOOKUP(MIN(DatosHoy[Puntos]),'Regresion Md'!$T$6:$V$10,3,1))</f>
        <v>14734863.959135484</v>
      </c>
      <c r="BS141" s="94">
        <f ca="1">IFERROR(VLOOKUP($BN141,'Regresion Md'!$W$6:$Y$10,2,1)*$BN141+VLOOKUP($BN141,'Regresion Md'!$W$6:$Y$10,3,1),VLOOKUP(MIN(DatosHoy[Puntos]),'Regresion Md'!$W$6:$Y$10,2,1)*$BN141+VLOOKUP(MIN(DatosHoy[Puntos]),'Regresion Md'!$W$6:$Y$10,3,1))</f>
        <v>15580990.836896945</v>
      </c>
      <c r="BT141" s="94">
        <f ca="1">IFERROR(VLOOKUP($BN141,'Regresion Md'!$Z$6:$AB$10,2,1)*$BN141+VLOOKUP($BN141,'Regresion Md'!$Z$6:$AB$10,3,1),VLOOKUP(MIN(DatosHoy[Puntos]),'Regresion Md'!$Z$6:$AB$10,2,1)*$BN141+VLOOKUP(MIN(DatosHoy[Puntos]),'Regresion Md'!$Z$6:$AB$10,3,1))</f>
        <v>16114895.363337331</v>
      </c>
      <c r="BU141" s="94">
        <f ca="1">IFERROR(VLOOKUP($BN141,'Regresion Q3'!$T$6:$V$10,2,1)*$BN141+VLOOKUP($BN141,'Regresion Q3'!$T$6:$V$10,3,1),VLOOKUP(MIN(DatosHoy[Puntos]),'Regresion Q3'!$T$6:$V$10,2,1)*$BN141+VLOOKUP(MIN(DatosHoy[Puntos]),'Regresion Q3'!$T$6:$V$10,3,1))</f>
        <v>16044973.857551098</v>
      </c>
      <c r="BV141" s="94">
        <f ca="1">IFERROR(VLOOKUP($BN141,'Regresion Q3'!$W$6:$Y$10,2,1)*$BN141+VLOOKUP($BN141,'Regresion Q3'!$W$6:$Y$10,3,1),VLOOKUP(MIN(DatosHoy[Puntos]),'Regresion Q3'!$W$6:$Y$10,2,1)*$BN141+VLOOKUP(MIN(DatosHoy[Puntos]),'Regresion Q3'!$W$6:$Y$10,3,1))</f>
        <v>16576988.733599633</v>
      </c>
      <c r="BW141" s="94">
        <f ca="1">IFERROR(VLOOKUP($BN141,'Regresion Q3'!$Z$6:$AB$10,2,1)*$BN141+VLOOKUP($BN141,'Regresion Q3'!$Z$6:$AB$10,3,1),VLOOKUP(MIN(DatosHoy[Puntos]),'Regresion Q3'!$Z$6:$AB$10,2,1)*$BN141+VLOOKUP(MIN(DatosHoy[Puntos]),'Regresion Q3'!$Z$6:$AB$10,3,1))</f>
        <v>16932249.048350491</v>
      </c>
      <c r="BX141" s="96">
        <f ca="1">DatosHoy[[#This Row],[CT Actual]]/DatosHoy[[#This Row],[CT ajus PM Md]]</f>
        <v>0.52441196479788155</v>
      </c>
      <c r="BY141" s="136" t="str">
        <f>VLOOKUP(DatosHoy[[#This Row],[Cargo Valorado]],Estadísticos[[Cargo]:[Nivel]],2,FALSE)</f>
        <v>Gerencia media</v>
      </c>
      <c r="BZ141" s="96">
        <f>(DatosHoy[[#This Row],[G+V Actual]]-DatosHoy[[#This Row],[G Actual]])/DatosHoy[[#This Row],[CT Actual]]</f>
        <v>0.38429406850459491</v>
      </c>
      <c r="CA141" s="96">
        <f>(DatosHoy[[#This Row],[CT Actual]]-DatosHoy[[#This Row],[G+V Actual]])/DatosHoy[[#This Row],[CT Actual]]</f>
        <v>0</v>
      </c>
      <c r="CB141" s="139" t="s">
        <v>256</v>
      </c>
    </row>
    <row r="142" spans="2:80" x14ac:dyDescent="0.25">
      <c r="B142" s="73">
        <f t="shared" si="67"/>
        <v>137</v>
      </c>
      <c r="C142" s="74">
        <v>16233339.320000002</v>
      </c>
      <c r="D142" s="74">
        <v>16233339.320000002</v>
      </c>
      <c r="E142" s="74">
        <v>16233339.320000002</v>
      </c>
      <c r="F142" s="94">
        <f>VLOOKUP(DatosHoy[[#This Row],[Cargo Valorado]],Estadísticos[],3,0)</f>
        <v>17174427.338327128</v>
      </c>
      <c r="G142" s="94">
        <f>VLOOKUP(DatosHoy[[#This Row],[Cargo Valorado]],Estadísticos[],4,0)</f>
        <v>18196243.986316849</v>
      </c>
      <c r="H142" s="94">
        <f>VLOOKUP(DatosHoy[[#This Row],[Cargo Valorado]],Estadísticos[],5,0)</f>
        <v>19075636.432581395</v>
      </c>
      <c r="I142" s="94">
        <f>VLOOKUP(DatosHoy[[#This Row],[Cargo Valorado]],Estadísticos[],6,0)</f>
        <v>17516854.676654257</v>
      </c>
      <c r="J142" s="94">
        <f>VLOOKUP(DatosHoy[[#This Row],[Cargo Valorado]],Estadísticos[],7,0)</f>
        <v>19560487.972633697</v>
      </c>
      <c r="K142" s="94">
        <f>VLOOKUP(DatosHoy[[#This Row],[Cargo Valorado]],Estadísticos[],8,0)</f>
        <v>20546052.865162794</v>
      </c>
      <c r="L142" s="94">
        <f>VLOOKUP(DatosHoy[[#This Row],[Cargo Valorado]],Estadísticos[],9,0)</f>
        <v>31668176.125996534</v>
      </c>
      <c r="M142" s="94">
        <f>VLOOKUP(DatosHoy[[#This Row],[Cargo Valorado]],Estadísticos[],10,0)</f>
        <v>32689992.773986254</v>
      </c>
      <c r="N142" s="94">
        <f>VLOOKUP(DatosHoy[[#This Row],[Cargo Valorado]],Estadísticos[],11,0)</f>
        <v>33290248.854745716</v>
      </c>
      <c r="O142" s="75" t="s">
        <v>199</v>
      </c>
      <c r="P142" s="75">
        <v>805</v>
      </c>
      <c r="Q142" s="95" t="str">
        <f t="shared" si="68"/>
        <v>$P$142</v>
      </c>
      <c r="R142" s="95" t="str">
        <f t="shared" si="69"/>
        <v>$F$142</v>
      </c>
      <c r="S142" s="95" t="str">
        <f t="shared" si="70"/>
        <v>$G$142</v>
      </c>
      <c r="T142" s="95" t="str">
        <f t="shared" si="71"/>
        <v>$H$142</v>
      </c>
      <c r="U142" s="95" t="str">
        <f t="shared" si="72"/>
        <v>$I$142</v>
      </c>
      <c r="V142" s="95" t="str">
        <f t="shared" si="73"/>
        <v>$J$142</v>
      </c>
      <c r="W142" s="95" t="str">
        <f t="shared" si="74"/>
        <v>$K$142</v>
      </c>
      <c r="X142" s="95" t="str">
        <f t="shared" si="75"/>
        <v>$L$142</v>
      </c>
      <c r="Y142" s="95" t="str">
        <f t="shared" si="76"/>
        <v>$M$142</v>
      </c>
      <c r="Z142" s="95" t="str">
        <f t="shared" si="77"/>
        <v>$N$142</v>
      </c>
      <c r="AA142" s="94">
        <f ca="1">VLOOKUP($P142,'Regresion Q1'!$E$6:$I$10,4,1)*$P142+VLOOKUP($P142,'Regresion Q1'!$E$6:$I$10,5,1)</f>
        <v>15860951.628461661</v>
      </c>
      <c r="AB142" s="94">
        <f ca="1">VLOOKUP($P142,'Regresion Q1'!$J$6:$N$10,4,1)*$P142+VLOOKUP($P142,'Regresion Q1'!$J$6:$N$10,5,1)</f>
        <v>17815213.135711376</v>
      </c>
      <c r="AC142" s="94">
        <f ca="1">VLOOKUP($P142,'Regresion Q1'!$O$6:$S$10,4,1)*$P142+VLOOKUP($P142,'Regresion Q1'!$O$6:$S$10,5,1)</f>
        <v>18059246.107636511</v>
      </c>
      <c r="AD142" s="94">
        <f ca="1">VLOOKUP($P142,'Regresion Md'!$E$6:$I$10,4,1)*$P142+VLOOKUP($P142,'Regresion Md'!$E$6:$I$10,5,1)</f>
        <v>19166728.24303399</v>
      </c>
      <c r="AE142" s="94">
        <f ca="1">VLOOKUP($P142,'Regresion Md'!$J$6:$N$10,4,1)*$P142+VLOOKUP($P142,'Regresion Md'!$J$6:$N$10,5,1)</f>
        <v>21724974.836516198</v>
      </c>
      <c r="AF142" s="94">
        <f ca="1">VLOOKUP($P142,'Regresion Md'!$O$6:$S$10,4,1)*$P142+VLOOKUP($P142,'Regresion Md'!$O$6:$S$10,5,1)</f>
        <v>22064057.010812469</v>
      </c>
      <c r="AG142" s="94">
        <f ca="1">VLOOKUP($P142,'Regresion Q3'!$E$6:$I$10,4,1)*$P142+VLOOKUP($P142,'Regresion Q3'!$E$6:$I$10,5,1)</f>
        <v>25546799.014382675</v>
      </c>
      <c r="AH142" s="94">
        <f ca="1">VLOOKUP($P142,'Regresion Q3'!$J$6:$N$10,4,1)*$P142+VLOOKUP($P142,'Regresion Q3'!$J$6:$N$10,5,1)</f>
        <v>27755014.229947709</v>
      </c>
      <c r="AI142" s="94">
        <f ca="1">VLOOKUP($P142,'Regresion Q3'!$O$6:$S$10,4,1)*$P142+VLOOKUP($P142,'Regresion Q3'!$O$6:$S$10,5,1)</f>
        <v>29917407.838951111</v>
      </c>
      <c r="AJ142" s="94">
        <f ca="1">VLOOKUP($P142,'Regresion Q1'!$T$6:$V$10,2,1)*$P142+VLOOKUP($P142,'Regresion Q1'!$T$6:$V$10,3,1)</f>
        <v>17521914.638965793</v>
      </c>
      <c r="AK142" s="94">
        <f ca="1">VLOOKUP($P142,'Regresion Q1'!$W$6:$Y$10,2,1)*$P142+VLOOKUP($P142,'Regresion Q1'!$W$6:$Y$10,3,1)</f>
        <v>18454605.052994303</v>
      </c>
      <c r="AL142" s="94">
        <f ca="1">VLOOKUP($P142,'Regresion Q1'!$Z$6:$AB$10,2,1)*$P142+VLOOKUP($P142,'Regresion Q1'!$Z$6:$AB$10,3,1)</f>
        <v>19146171.070508312</v>
      </c>
      <c r="AM142" s="94">
        <f ca="1">VLOOKUP($P142,'Regresion Md'!$T$6:$V$10,2,1)*$P142+VLOOKUP($P142,'Regresion Md'!$T$6:$V$10,3,1)</f>
        <v>21541948.809329733</v>
      </c>
      <c r="AN142" s="94">
        <f ca="1">VLOOKUP($P142,'Regresion Md'!$W$6:$Y$10,2,1)*$P142+VLOOKUP($P142,'Regresion Md'!$W$6:$Y$10,3,1)</f>
        <v>22609670.257212713</v>
      </c>
      <c r="AO142" s="94">
        <f ca="1">VLOOKUP($P142,'Regresion Md'!$Z$6:$AB$10,2,1)*$P142+VLOOKUP($P142,'Regresion Md'!$Z$6:$AB$10,3,1)</f>
        <v>23308947.891589805</v>
      </c>
      <c r="AP142" s="94">
        <f ca="1">VLOOKUP($P142,'Regresion Q3'!$T$6:$V$10,2,1)*$P142+VLOOKUP($P142,'Regresion Q3'!$T$6:$V$10,3,1)</f>
        <v>26250375.686274908</v>
      </c>
      <c r="AQ142" s="94">
        <f ca="1">VLOOKUP($P142,'Regresion Q3'!$W$6:$Y$10,2,1)*$P142+VLOOKUP($P142,'Regresion Q3'!$W$6:$Y$10,3,1)</f>
        <v>27755014.229947709</v>
      </c>
      <c r="AR142" s="94">
        <f ca="1">VLOOKUP($P142,'Regresion Q3'!$Z$6:$AB$10,2,1)*$P142+VLOOKUP($P142,'Regresion Q3'!$Z$6:$AB$10,3,1)</f>
        <v>29917407.838951111</v>
      </c>
      <c r="AS142" s="94">
        <f ca="1">IF($BN142=$BN143,-1,DatosHoy[[#This Row],[G ajus PM Q1]]-BO143)</f>
        <v>-7540110.1455435716</v>
      </c>
      <c r="AT142" s="94">
        <f ca="1">IF($BN142=$BN143,-1,DatosHoy[[#This Row],[G+V ajus PM Q1]]-BP143)</f>
        <v>-8001794.2412833944</v>
      </c>
      <c r="AU142" s="94">
        <f ca="1">IF($BN142=$BN143,-1,DatosHoy[[#This Row],[CT ajus PM Q1]]-BQ143)</f>
        <v>-8259010.2557814904</v>
      </c>
      <c r="AV142" s="94">
        <f ca="1">IF(DatosHoy[[#This Row],[G ajus PM Q1]]=DatosHoy[[#This Row],[G+V ajus PM Q1]],-1,DatosHoy[[#This Row],[G ajus PM Q1]]-DatosHoy[[#This Row],[G+V ajus PM Q1]])</f>
        <v>-851660.1441639699</v>
      </c>
      <c r="AW142" s="94">
        <f ca="1">IF(DatosHoy[[#This Row],[G+V ajus PM Q1]]=DatosHoy[[#This Row],[CT ajus PM Q1]],-1,DatosHoy[[#This Row],[G+V ajus PM Q1]]-DatosHoy[[#This Row],[CT ajus PM Q1]])</f>
        <v>-646421.98231638223</v>
      </c>
      <c r="AX142" s="94">
        <f ca="1">IF($BN142=$BN143,-1,DatosHoy[[#This Row],[G ajus PMd]]-BR143)</f>
        <v>-11744618.22744783</v>
      </c>
      <c r="AY142" s="94">
        <f ca="1">IF($BN142=$BN143,-1,DatosHoy[[#This Row],[G+V ajus PM Md]]-BS143)</f>
        <v>-12126946.887164526</v>
      </c>
      <c r="AZ142" s="94">
        <f ca="1">IF($BN142=$BN143,-1,DatosHoy[[#This Row],[CT ajus PM Md]]-BT143)</f>
        <v>-12412273.728322931</v>
      </c>
      <c r="BA142" s="94">
        <f ca="1">IF(DatosHoy[[#This Row],[G ajus PMd]]=DatosHoy[[#This Row],[G+V ajus PM Md]],-1,DatosHoy[[#This Row],[G ajus PMd]]-DatosHoy[[#This Row],[G+V ajus PM Md]])</f>
        <v>-1000618.8667898476</v>
      </c>
      <c r="BB142" s="94">
        <f ca="1">IF(DatosHoy[[#This Row],[G+V ajus PM Md]]=DatosHoy[[#This Row],[CT ajus PM Md]],-1,DatosHoy[[#This Row],[G+V ajus PM Md]]-DatosHoy[[#This Row],[CT ajus PM Md]])</f>
        <v>-649199.86225540936</v>
      </c>
      <c r="BC142" s="94">
        <f ca="1">IF($BN142=$BN143,-1,DatosHoy[[#This Row],[G ajus PM Q3]]-BU143)</f>
        <v>-17607911.605896711</v>
      </c>
      <c r="BD142" s="94">
        <f ca="1">IF($BN142=$BN143,-1,DatosHoy[[#This Row],[G+V ajus PM Q3]]-BV143)</f>
        <v>-19286029.905670978</v>
      </c>
      <c r="BE142" s="94">
        <f ca="1">IF($BN142=$BN143,-1,DatosHoy[[#This Row],[CT ajus PM Q3]]-BW143)</f>
        <v>-22403971.15279685</v>
      </c>
      <c r="BF142" s="94">
        <f ca="1">IF(DatosHoy[[#This Row],[G ajus PM Q3]]=DatosHoy[[#This Row],[G+V ajus PM Q3]],-1,DatosHoy[[#This Row],[G ajus PM Q3]]-DatosHoy[[#This Row],[G+V ajus PM Q3]])</f>
        <v>-1210111.6584062949</v>
      </c>
      <c r="BG142" s="94">
        <f ca="1">IF(DatosHoy[[#This Row],[G+V ajus PM Q3]]=DatosHoy[[#This Row],[CT ajus PM Q3]],-1,DatosHoy[[#This Row],[G+V ajus PM Q3]]-DatosHoy[[#This Row],[CT ajus PM Q3]])</f>
        <v>-1615163.1044058055</v>
      </c>
      <c r="BH142" s="94">
        <f ca="1">IF(DatosHoy[[#This Row],[G ajus PM Q1]]=DatosHoy[[#This Row],[G ajus PMd]],-1,DatosHoy[[#This Row],[G ajus PM Q1]]-DatosHoy[[#This Row],[G ajus PMd]])</f>
        <v>-3282100.0988460518</v>
      </c>
      <c r="BI142" s="94">
        <f ca="1">IF(DatosHoy[[#This Row],[G+V ajus PM Q1]]=DatosHoy[[#This Row],[G+V ajus PM Md]],-1,DatosHoy[[#This Row],[G+V ajus PM Q1]]-DatosHoy[[#This Row],[G+V ajus PM Md]])</f>
        <v>-3431058.8214719296</v>
      </c>
      <c r="BJ142" s="94">
        <f ca="1">IF(DatosHoy[[#This Row],[CT ajus PM Q1]]=DatosHoy[[#This Row],[CT ajus PM Md]],-1,DatosHoy[[#This Row],[CT ajus PM Q1]]-DatosHoy[[#This Row],[CT ajus PM Md]])</f>
        <v>-3433836.7014109567</v>
      </c>
      <c r="BK142" s="94">
        <f ca="1">IF(DatosHoy[[#This Row],[G ajus PMd]]=DatosHoy[[#This Row],[G ajus PM Q3]],-1,DatosHoy[[#This Row],[G ajus PMd]]-DatosHoy[[#This Row],[G ajus PM Q3]])</f>
        <v>-3679359.0595031232</v>
      </c>
      <c r="BL142" s="94">
        <f ca="1">IF(DatosHoy[[#This Row],[G+V ajus PM Md]]=DatosHoy[[#This Row],[G+V ajus PM Q3]],-1,DatosHoy[[#This Row],[G+V ajus PM Md]]-DatosHoy[[#This Row],[G+V ajus PM Q3]])</f>
        <v>-3888851.8511195704</v>
      </c>
      <c r="BM142" s="94">
        <f ca="1">IF(DatosHoy[[#This Row],[CT ajus PM Md]]=DatosHoy[[#This Row],[CT ajus PM Q3]],-1,DatosHoy[[#This Row],[CT ajus PM Md]]-DatosHoy[[#This Row],[CT ajus PM Q3]])</f>
        <v>-4854815.0932699665</v>
      </c>
      <c r="BN142" s="74">
        <v>762</v>
      </c>
      <c r="BO142" s="94">
        <f ca="1">IFERROR(VLOOKUP($BN142,'Regresion Q1'!$T$6:$V$10,2,1)*$BN142+VLOOKUP($BN142,'Regresion Q1'!$T$6:$V$10,3,1),VLOOKUP(MIN(DatosHoy[Puntos]),'Regresion Q1'!$T$6:$V$10,2,1)*$BN142+VLOOKUP(MIN(DatosHoy[Puntos]),'Regresion Q1'!$T$6:$V$10,3,1))</f>
        <v>16198548.368523452</v>
      </c>
      <c r="BP142" s="94">
        <f ca="1">IFERROR(VLOOKUP($BN142,'Regresion Q1'!$W$6:$Y$10,2,1)*$BN142+VLOOKUP($BN142,'Regresion Q1'!$W$6:$Y$10,3,1),VLOOKUP(MIN(DatosHoy[Puntos]),'Regresion Q1'!$W$6:$Y$10,2,1)*$BN142+VLOOKUP(MIN(DatosHoy[Puntos]),'Regresion Q1'!$W$6:$Y$10,3,1))</f>
        <v>17050208.512687422</v>
      </c>
      <c r="BQ142" s="94">
        <f ca="1">IFERROR(VLOOKUP($BN142,'Regresion Q1'!$Z$6:$AB$10,2,1)*$BN142+VLOOKUP($BN142,'Regresion Q1'!$Z$6:$AB$10,3,1),VLOOKUP(MIN(DatosHoy[Puntos]),'Regresion Q1'!$Z$6:$AB$10,2,1)*$BN142+VLOOKUP(MIN(DatosHoy[Puntos]),'Regresion Q1'!$Z$6:$AB$10,3,1))</f>
        <v>17696630.495003805</v>
      </c>
      <c r="BR142" s="94">
        <f ca="1">IFERROR(VLOOKUP($BN142,'Regresion Md'!$T$6:$V$10,2,1)*$BN142+VLOOKUP($BN142,'Regresion Md'!$T$6:$V$10,3,1),VLOOKUP(MIN(DatosHoy[Puntos]),'Regresion Md'!$T$6:$V$10,2,1)*$BN142+VLOOKUP(MIN(DatosHoy[Puntos]),'Regresion Md'!$T$6:$V$10,3,1))</f>
        <v>19480648.467369504</v>
      </c>
      <c r="BS142" s="94">
        <f ca="1">IFERROR(VLOOKUP($BN142,'Regresion Md'!$W$6:$Y$10,2,1)*$BN142+VLOOKUP($BN142,'Regresion Md'!$W$6:$Y$10,3,1),VLOOKUP(MIN(DatosHoy[Puntos]),'Regresion Md'!$W$6:$Y$10,2,1)*$BN142+VLOOKUP(MIN(DatosHoy[Puntos]),'Regresion Md'!$W$6:$Y$10,3,1))</f>
        <v>20481267.334159352</v>
      </c>
      <c r="BT142" s="94">
        <f ca="1">IFERROR(VLOOKUP($BN142,'Regresion Md'!$Z$6:$AB$10,2,1)*$BN142+VLOOKUP($BN142,'Regresion Md'!$Z$6:$AB$10,3,1),VLOOKUP(MIN(DatosHoy[Puntos]),'Regresion Md'!$Z$6:$AB$10,2,1)*$BN142+VLOOKUP(MIN(DatosHoy[Puntos]),'Regresion Md'!$Z$6:$AB$10,3,1))</f>
        <v>21130467.196414761</v>
      </c>
      <c r="BU142" s="94">
        <f ca="1">IFERROR(VLOOKUP($BN142,'Regresion Q3'!$T$6:$V$10,2,1)*$BN142+VLOOKUP($BN142,'Regresion Q3'!$T$6:$V$10,3,1),VLOOKUP(MIN(DatosHoy[Puntos]),'Regresion Q3'!$T$6:$V$10,2,1)*$BN142+VLOOKUP(MIN(DatosHoy[Puntos]),'Regresion Q3'!$T$6:$V$10,3,1))</f>
        <v>23160007.526872627</v>
      </c>
      <c r="BV142" s="94">
        <f ca="1">IFERROR(VLOOKUP($BN142,'Regresion Q3'!$W$6:$Y$10,2,1)*$BN142+VLOOKUP($BN142,'Regresion Q3'!$W$6:$Y$10,3,1),VLOOKUP(MIN(DatosHoy[Puntos]),'Regresion Q3'!$W$6:$Y$10,2,1)*$BN142+VLOOKUP(MIN(DatosHoy[Puntos]),'Regresion Q3'!$W$6:$Y$10,3,1))</f>
        <v>24370119.185278922</v>
      </c>
      <c r="BW142" s="94">
        <f ca="1">IFERROR(VLOOKUP($BN142,'Regresion Q3'!$Z$6:$AB$10,2,1)*$BN142+VLOOKUP($BN142,'Regresion Q3'!$Z$6:$AB$10,3,1),VLOOKUP(MIN(DatosHoy[Puntos]),'Regresion Q3'!$Z$6:$AB$10,2,1)*$BN142+VLOOKUP(MIN(DatosHoy[Puntos]),'Regresion Q3'!$Z$6:$AB$10,3,1))</f>
        <v>25985282.289684728</v>
      </c>
      <c r="BX142" s="96">
        <f ca="1">DatosHoy[[#This Row],[CT Actual]]/DatosHoy[[#This Row],[CT ajus PM Md]]</f>
        <v>0.76824327494066658</v>
      </c>
      <c r="BY142" s="136" t="str">
        <f>VLOOKUP(DatosHoy[[#This Row],[Cargo Valorado]],Estadísticos[[Cargo]:[Nivel]],2,FALSE)</f>
        <v>Gerencia Alta</v>
      </c>
      <c r="BZ142" s="96">
        <f>(DatosHoy[[#This Row],[G+V Actual]]-DatosHoy[[#This Row],[G Actual]])/DatosHoy[[#This Row],[CT Actual]]</f>
        <v>0</v>
      </c>
      <c r="CA142" s="96">
        <f>(DatosHoy[[#This Row],[CT Actual]]-DatosHoy[[#This Row],[G+V Actual]])/DatosHoy[[#This Row],[CT Actual]]</f>
        <v>0</v>
      </c>
      <c r="CB142" s="139" t="s">
        <v>255</v>
      </c>
    </row>
    <row r="143" spans="2:80" x14ac:dyDescent="0.25">
      <c r="B143" s="73">
        <f t="shared" si="67"/>
        <v>138</v>
      </c>
      <c r="C143" s="74">
        <v>20579917</v>
      </c>
      <c r="D143" s="74">
        <v>30950076</v>
      </c>
      <c r="E143" s="74">
        <v>31500076</v>
      </c>
      <c r="F143" s="94">
        <f>VLOOKUP(DatosHoy[[#This Row],[Cargo Valorado]],Estadísticos[],3,0)</f>
        <v>19935766.320184797</v>
      </c>
      <c r="G143" s="94">
        <f>VLOOKUP(DatosHoy[[#This Row],[Cargo Valorado]],Estadísticos[],4,0)</f>
        <v>23151703.887415349</v>
      </c>
      <c r="H143" s="94">
        <f>VLOOKUP(DatosHoy[[#This Row],[Cargo Valorado]],Estadísticos[],5,0)</f>
        <v>23224441.810480155</v>
      </c>
      <c r="I143" s="94">
        <f>VLOOKUP(DatosHoy[[#This Row],[Cargo Valorado]],Estadísticos[],6,0)</f>
        <v>28258995.728983115</v>
      </c>
      <c r="J143" s="94">
        <f>VLOOKUP(DatosHoy[[#This Row],[Cargo Valorado]],Estadísticos[],7,0)</f>
        <v>29592402.330384724</v>
      </c>
      <c r="K143" s="94">
        <f>VLOOKUP(DatosHoy[[#This Row],[Cargo Valorado]],Estadísticos[],8,0)</f>
        <v>29592402.330384724</v>
      </c>
      <c r="L143" s="94">
        <f>VLOOKUP(DatosHoy[[#This Row],[Cargo Valorado]],Estadísticos[],9,0)</f>
        <v>43671446.628107026</v>
      </c>
      <c r="M143" s="94">
        <f>VLOOKUP(DatosHoy[[#This Row],[Cargo Valorado]],Estadísticos[],10,0)</f>
        <v>43816267.832929052</v>
      </c>
      <c r="N143" s="94">
        <f>VLOOKUP(DatosHoy[[#This Row],[Cargo Valorado]],Estadísticos[],11,0)</f>
        <v>51972290.670185283</v>
      </c>
      <c r="O143" s="75" t="s">
        <v>198</v>
      </c>
      <c r="P143" s="75">
        <v>1025</v>
      </c>
      <c r="Q143" s="95" t="str">
        <f t="shared" si="68"/>
        <v>$P$143</v>
      </c>
      <c r="R143" s="95" t="str">
        <f t="shared" si="69"/>
        <v>$F$143</v>
      </c>
      <c r="S143" s="95" t="str">
        <f t="shared" si="70"/>
        <v>$G$143</v>
      </c>
      <c r="T143" s="95" t="str">
        <f t="shared" si="71"/>
        <v>$H$143</v>
      </c>
      <c r="U143" s="95" t="str">
        <f t="shared" si="72"/>
        <v>$I$143</v>
      </c>
      <c r="V143" s="95" t="str">
        <f t="shared" si="73"/>
        <v>$J$143</v>
      </c>
      <c r="W143" s="95" t="str">
        <f t="shared" si="74"/>
        <v>$K$143</v>
      </c>
      <c r="X143" s="95" t="str">
        <f t="shared" si="75"/>
        <v>$L$143</v>
      </c>
      <c r="Y143" s="95" t="str">
        <f t="shared" si="76"/>
        <v>$M$143</v>
      </c>
      <c r="Z143" s="95" t="str">
        <f t="shared" si="77"/>
        <v>$N$143</v>
      </c>
      <c r="AA143" s="94">
        <f ca="1">VLOOKUP($P143,'Regresion Q1'!$E$6:$I$10,4,1)*$P143+VLOOKUP($P143,'Regresion Q1'!$E$6:$I$10,5,1)</f>
        <v>21738235.243349515</v>
      </c>
      <c r="AB143" s="94">
        <f ca="1">VLOOKUP($P143,'Regresion Q1'!$J$6:$N$10,4,1)*$P143+VLOOKUP($P143,'Regresion Q1'!$J$6:$N$10,5,1)</f>
        <v>24656570.567866758</v>
      </c>
      <c r="AC143" s="94">
        <f ca="1">VLOOKUP($P143,'Regresion Q1'!$O$6:$S$10,4,1)*$P143+VLOOKUP($P143,'Regresion Q1'!$O$6:$S$10,5,1)</f>
        <v>24890846.200610206</v>
      </c>
      <c r="AD143" s="94">
        <f ca="1">VLOOKUP($P143,'Regresion Md'!$E$6:$I$10,4,1)*$P143+VLOOKUP($P143,'Regresion Md'!$E$6:$I$10,5,1)</f>
        <v>27176272.715881124</v>
      </c>
      <c r="AE143" s="94">
        <f ca="1">VLOOKUP($P143,'Regresion Md'!$J$6:$N$10,4,1)*$P143+VLOOKUP($P143,'Regresion Md'!$J$6:$N$10,5,1)</f>
        <v>31669657.811565813</v>
      </c>
      <c r="AF143" s="94">
        <f ca="1">VLOOKUP($P143,'Regresion Md'!$O$6:$S$10,4,1)*$P143+VLOOKUP($P143,'Regresion Md'!$O$6:$S$10,5,1)</f>
        <v>31880277.080035701</v>
      </c>
      <c r="AG143" s="94">
        <f ca="1">VLOOKUP($P143,'Regresion Q3'!$E$6:$I$10,4,1)*$P143+VLOOKUP($P143,'Regresion Q3'!$E$6:$I$10,5,1)</f>
        <v>40463263.166923366</v>
      </c>
      <c r="AH143" s="94">
        <f ca="1">VLOOKUP($P143,'Regresion Q3'!$J$6:$N$10,4,1)*$P143+VLOOKUP($P143,'Regresion Q3'!$J$6:$N$10,5,1)</f>
        <v>45073081.900346138</v>
      </c>
      <c r="AI143" s="94">
        <f ca="1">VLOOKUP($P143,'Regresion Q3'!$O$6:$S$10,4,1)*$P143+VLOOKUP($P143,'Regresion Q3'!$O$6:$S$10,5,1)</f>
        <v>50035259.486360535</v>
      </c>
      <c r="AJ143" s="94">
        <f ca="1">VLOOKUP($P143,'Regresion Q1'!$T$6:$V$10,2,1)*$P143+VLOOKUP($P143,'Regresion Q1'!$T$6:$V$10,3,1)</f>
        <v>24292625.790066142</v>
      </c>
      <c r="AK143" s="94">
        <f ca="1">VLOOKUP($P143,'Regresion Q1'!$W$6:$Y$10,2,1)*$P143+VLOOKUP($P143,'Regresion Q1'!$W$6:$Y$10,3,1)</f>
        <v>25639889.677820209</v>
      </c>
      <c r="AL143" s="94">
        <f ca="1">VLOOKUP($P143,'Regresion Q1'!$Z$6:$AB$10,2,1)*$P143+VLOOKUP($P143,'Regresion Q1'!$Z$6:$AB$10,3,1)</f>
        <v>26562425.177740674</v>
      </c>
      <c r="AM143" s="94">
        <f ca="1">VLOOKUP($P143,'Regresion Md'!$T$6:$V$10,2,1)*$P143+VLOOKUP($P143,'Regresion Md'!$T$6:$V$10,3,1)</f>
        <v>32088136.605405338</v>
      </c>
      <c r="AN143" s="94">
        <f ca="1">VLOOKUP($P143,'Regresion Md'!$W$6:$Y$10,2,1)*$P143+VLOOKUP($P143,'Regresion Md'!$W$6:$Y$10,3,1)</f>
        <v>33499173.584462501</v>
      </c>
      <c r="AO143" s="94">
        <f ca="1">VLOOKUP($P143,'Regresion Md'!$Z$6:$AB$10,2,1)*$P143+VLOOKUP($P143,'Regresion Md'!$Z$6:$AB$10,3,1)</f>
        <v>34454663.076206319</v>
      </c>
      <c r="AP143" s="94">
        <f ca="1">VLOOKUP($P143,'Regresion Q3'!$T$6:$V$10,2,1)*$P143+VLOOKUP($P143,'Regresion Q3'!$T$6:$V$10,3,1)</f>
        <v>42061561.618100531</v>
      </c>
      <c r="AQ143" s="94">
        <f ca="1">VLOOKUP($P143,'Regresion Q3'!$W$6:$Y$10,2,1)*$P143+VLOOKUP($P143,'Regresion Q3'!$W$6:$Y$10,3,1)</f>
        <v>45073081.900346138</v>
      </c>
      <c r="AR143" s="94">
        <f ca="1">VLOOKUP($P143,'Regresion Q3'!$Z$6:$AB$10,2,1)*$P143+VLOOKUP($P143,'Regresion Q3'!$Z$6:$AB$10,3,1)</f>
        <v>50035259.486360535</v>
      </c>
      <c r="AS143" s="94">
        <f>IF($BN143=$BN144,-1,DatosHoy[[#This Row],[G ajus PM Q1]]-BO144)</f>
        <v>-1</v>
      </c>
      <c r="AT143" s="94">
        <f>IF($BN143=$BN144,-1,DatosHoy[[#This Row],[G+V ajus PM Q1]]-BP144)</f>
        <v>-1</v>
      </c>
      <c r="AU143" s="94">
        <f>IF($BN143=$BN144,-1,DatosHoy[[#This Row],[CT ajus PM Q1]]-BQ144)</f>
        <v>-1</v>
      </c>
      <c r="AV143" s="94">
        <f ca="1">IF(DatosHoy[[#This Row],[G ajus PM Q1]]=DatosHoy[[#This Row],[G+V ajus PM Q1]],-1,DatosHoy[[#This Row],[G ajus PM Q1]]-DatosHoy[[#This Row],[G+V ajus PM Q1]])</f>
        <v>-1313344.2399037927</v>
      </c>
      <c r="AW143" s="94">
        <f ca="1">IF(DatosHoy[[#This Row],[G+V ajus PM Q1]]=DatosHoy[[#This Row],[CT ajus PM Q1]],-1,DatosHoy[[#This Row],[G+V ajus PM Q1]]-DatosHoy[[#This Row],[CT ajus PM Q1]])</f>
        <v>-903637.99681447819</v>
      </c>
      <c r="AX143" s="94">
        <f>IF($BN143=$BN144,-1,DatosHoy[[#This Row],[G ajus PMd]]-BR144)</f>
        <v>-1</v>
      </c>
      <c r="AY143" s="94">
        <f>IF($BN143=$BN144,-1,DatosHoy[[#This Row],[G+V ajus PM Md]]-BS144)</f>
        <v>-1</v>
      </c>
      <c r="AZ143" s="94">
        <f>IF($BN143=$BN144,-1,DatosHoy[[#This Row],[CT ajus PM Md]]-BT144)</f>
        <v>-1</v>
      </c>
      <c r="BA143" s="94">
        <f ca="1">IF(DatosHoy[[#This Row],[G ajus PMd]]=DatosHoy[[#This Row],[G+V ajus PM Md]],-1,DatosHoy[[#This Row],[G ajus PMd]]-DatosHoy[[#This Row],[G+V ajus PM Md]])</f>
        <v>-1382947.5265065432</v>
      </c>
      <c r="BB143" s="94">
        <f ca="1">IF(DatosHoy[[#This Row],[G+V ajus PM Md]]=DatosHoy[[#This Row],[CT ajus PM Md]],-1,DatosHoy[[#This Row],[G+V ajus PM Md]]-DatosHoy[[#This Row],[CT ajus PM Md]])</f>
        <v>-934526.70341381431</v>
      </c>
      <c r="BC143" s="94">
        <f>IF($BN143=$BN144,-1,DatosHoy[[#This Row],[G ajus PM Q3]]-BU144)</f>
        <v>-1</v>
      </c>
      <c r="BD143" s="94">
        <f>IF($BN143=$BN144,-1,DatosHoy[[#This Row],[G+V ajus PM Q3]]-BV144)</f>
        <v>-1</v>
      </c>
      <c r="BE143" s="94">
        <f>IF($BN143=$BN144,-1,DatosHoy[[#This Row],[CT ajus PM Q3]]-BW144)</f>
        <v>-1</v>
      </c>
      <c r="BF143" s="94">
        <f ca="1">IF(DatosHoy[[#This Row],[G ajus PM Q3]]=DatosHoy[[#This Row],[G+V ajus PM Q3]],-1,DatosHoy[[#This Row],[G ajus PM Q3]]-DatosHoy[[#This Row],[G+V ajus PM Q3]])</f>
        <v>-2888229.9581805617</v>
      </c>
      <c r="BG143" s="94">
        <f ca="1">IF(DatosHoy[[#This Row],[G+V ajus PM Q3]]=DatosHoy[[#This Row],[CT ajus PM Q3]],-1,DatosHoy[[#This Row],[G+V ajus PM Q3]]-DatosHoy[[#This Row],[CT ajus PM Q3]])</f>
        <v>-4733104.3515316769</v>
      </c>
      <c r="BH143" s="94">
        <f ca="1">IF(DatosHoy[[#This Row],[G ajus PM Q1]]=DatosHoy[[#This Row],[G ajus PMd]],-1,DatosHoy[[#This Row],[G ajus PM Q1]]-DatosHoy[[#This Row],[G ajus PMd]])</f>
        <v>-7486608.1807503104</v>
      </c>
      <c r="BI143" s="94">
        <f ca="1">IF(DatosHoy[[#This Row],[G+V ajus PM Q1]]=DatosHoy[[#This Row],[G+V ajus PM Md]],-1,DatosHoy[[#This Row],[G+V ajus PM Q1]]-DatosHoy[[#This Row],[G+V ajus PM Md]])</f>
        <v>-7556211.4673530608</v>
      </c>
      <c r="BJ143" s="94">
        <f ca="1">IF(DatosHoy[[#This Row],[CT ajus PM Q1]]=DatosHoy[[#This Row],[CT ajus PM Md]],-1,DatosHoy[[#This Row],[CT ajus PM Q1]]-DatosHoy[[#This Row],[CT ajus PM Md]])</f>
        <v>-7587100.173952397</v>
      </c>
      <c r="BK143" s="94">
        <f ca="1">IF(DatosHoy[[#This Row],[G ajus PMd]]=DatosHoy[[#This Row],[G ajus PM Q3]],-1,DatosHoy[[#This Row],[G ajus PMd]]-DatosHoy[[#This Row],[G ajus PM Q3]])</f>
        <v>-9542652.4379520044</v>
      </c>
      <c r="BL143" s="94">
        <f ca="1">IF(DatosHoy[[#This Row],[G+V ajus PM Md]]=DatosHoy[[#This Row],[G+V ajus PM Q3]],-1,DatosHoy[[#This Row],[G+V ajus PM Md]]-DatosHoy[[#This Row],[G+V ajus PM Q3]])</f>
        <v>-11047934.869626023</v>
      </c>
      <c r="BM143" s="94">
        <f ca="1">IF(DatosHoy[[#This Row],[CT ajus PM Md]]=DatosHoy[[#This Row],[CT ajus PM Q3]],-1,DatosHoy[[#This Row],[CT ajus PM Md]]-DatosHoy[[#This Row],[CT ajus PM Q3]])</f>
        <v>-14846512.517743886</v>
      </c>
      <c r="BN143" s="74">
        <v>1007</v>
      </c>
      <c r="BO143" s="94">
        <f ca="1">IFERROR(VLOOKUP($BN143,'Regresion Q1'!$T$6:$V$10,2,1)*$BN143+VLOOKUP($BN143,'Regresion Q1'!$T$6:$V$10,3,1),VLOOKUP(MIN(DatosHoy[Puntos]),'Regresion Q1'!$T$6:$V$10,2,1)*$BN143+VLOOKUP(MIN(DatosHoy[Puntos]),'Regresion Q1'!$T$6:$V$10,3,1))</f>
        <v>23738658.514067024</v>
      </c>
      <c r="BP143" s="94">
        <f ca="1">IFERROR(VLOOKUP($BN143,'Regresion Q1'!$W$6:$Y$10,2,1)*$BN143+VLOOKUP($BN143,'Regresion Q1'!$W$6:$Y$10,3,1),VLOOKUP(MIN(DatosHoy[Puntos]),'Regresion Q1'!$W$6:$Y$10,2,1)*$BN143+VLOOKUP(MIN(DatosHoy[Puntos]),'Regresion Q1'!$W$6:$Y$10,3,1))</f>
        <v>25052002.753970817</v>
      </c>
      <c r="BQ143" s="94">
        <f ca="1">IFERROR(VLOOKUP($BN143,'Regresion Q1'!$Z$6:$AB$10,2,1)*$BN143+VLOOKUP($BN143,'Regresion Q1'!$Z$6:$AB$10,3,1),VLOOKUP(MIN(DatosHoy[Puntos]),'Regresion Q1'!$Z$6:$AB$10,2,1)*$BN143+VLOOKUP(MIN(DatosHoy[Puntos]),'Regresion Q1'!$Z$6:$AB$10,3,1))</f>
        <v>25955640.750785295</v>
      </c>
      <c r="BR143" s="94">
        <f ca="1">IFERROR(VLOOKUP($BN143,'Regresion Md'!$T$6:$V$10,2,1)*$BN143+VLOOKUP($BN143,'Regresion Md'!$T$6:$V$10,3,1),VLOOKUP(MIN(DatosHoy[Puntos]),'Regresion Md'!$T$6:$V$10,2,1)*$BN143+VLOOKUP(MIN(DatosHoy[Puntos]),'Regresion Md'!$T$6:$V$10,3,1))</f>
        <v>31225266.694817334</v>
      </c>
      <c r="BS143" s="94">
        <f ca="1">IFERROR(VLOOKUP($BN143,'Regresion Md'!$W$6:$Y$10,2,1)*$BN143+VLOOKUP($BN143,'Regresion Md'!$W$6:$Y$10,3,1),VLOOKUP(MIN(DatosHoy[Puntos]),'Regresion Md'!$W$6:$Y$10,2,1)*$BN143+VLOOKUP(MIN(DatosHoy[Puntos]),'Regresion Md'!$W$6:$Y$10,3,1))</f>
        <v>32608214.221323878</v>
      </c>
      <c r="BT143" s="94">
        <f ca="1">IFERROR(VLOOKUP($BN143,'Regresion Md'!$Z$6:$AB$10,2,1)*$BN143+VLOOKUP($BN143,'Regresion Md'!$Z$6:$AB$10,3,1),VLOOKUP(MIN(DatosHoy[Puntos]),'Regresion Md'!$Z$6:$AB$10,2,1)*$BN143+VLOOKUP(MIN(DatosHoy[Puntos]),'Regresion Md'!$Z$6:$AB$10,3,1))</f>
        <v>33542740.924737692</v>
      </c>
      <c r="BU143" s="94">
        <f ca="1">IFERROR(VLOOKUP($BN143,'Regresion Q3'!$T$6:$V$10,2,1)*$BN143+VLOOKUP($BN143,'Regresion Q3'!$T$6:$V$10,3,1),VLOOKUP(MIN(DatosHoy[Puntos]),'Regresion Q3'!$T$6:$V$10,2,1)*$BN143+VLOOKUP(MIN(DatosHoy[Puntos]),'Regresion Q3'!$T$6:$V$10,3,1))</f>
        <v>40767919.132769339</v>
      </c>
      <c r="BV143" s="94">
        <f ca="1">IFERROR(VLOOKUP($BN143,'Regresion Q3'!$W$6:$Y$10,2,1)*$BN143+VLOOKUP($BN143,'Regresion Q3'!$W$6:$Y$10,3,1),VLOOKUP(MIN(DatosHoy[Puntos]),'Regresion Q3'!$W$6:$Y$10,2,1)*$BN143+VLOOKUP(MIN(DatosHoy[Puntos]),'Regresion Q3'!$W$6:$Y$10,3,1))</f>
        <v>43656149.0909499</v>
      </c>
      <c r="BW143" s="94">
        <f ca="1">IFERROR(VLOOKUP($BN143,'Regresion Q3'!$Z$6:$AB$10,2,1)*$BN143+VLOOKUP($BN143,'Regresion Q3'!$Z$6:$AB$10,3,1),VLOOKUP(MIN(DatosHoy[Puntos]),'Regresion Q3'!$Z$6:$AB$10,2,1)*$BN143+VLOOKUP(MIN(DatosHoy[Puntos]),'Regresion Q3'!$Z$6:$AB$10,3,1))</f>
        <v>48389253.442481577</v>
      </c>
      <c r="BX143" s="96">
        <f ca="1">DatosHoy[[#This Row],[CT Actual]]/DatosHoy[[#This Row],[CT ajus PM Md]]</f>
        <v>0.93910262344627804</v>
      </c>
      <c r="BY143" s="136" t="str">
        <f>VLOOKUP(DatosHoy[[#This Row],[Cargo Valorado]],Estadísticos[[Cargo]:[Nivel]],2,FALSE)</f>
        <v>Gerencia Alta</v>
      </c>
      <c r="BZ143" s="96">
        <f>(DatosHoy[[#This Row],[G+V Actual]]-DatosHoy[[#This Row],[G Actual]])/DatosHoy[[#This Row],[CT Actual]]</f>
        <v>0.32921060253949863</v>
      </c>
      <c r="CA143" s="96">
        <f>(DatosHoy[[#This Row],[CT Actual]]-DatosHoy[[#This Row],[G+V Actual]])/DatosHoy[[#This Row],[CT Actual]]</f>
        <v>1.7460275333938877E-2</v>
      </c>
      <c r="CB143" s="139" t="s">
        <v>255</v>
      </c>
    </row>
    <row r="144" spans="2:80" x14ac:dyDescent="0.25">
      <c r="B144" s="73">
        <f t="shared" si="67"/>
        <v>139</v>
      </c>
      <c r="C144" s="74">
        <v>25412333</v>
      </c>
      <c r="D144" s="74">
        <v>31834025</v>
      </c>
      <c r="E144" s="74">
        <v>32484025</v>
      </c>
      <c r="F144" s="94">
        <f>VLOOKUP(DatosHoy[[#This Row],[Cargo Valorado]],Estadísticos[],3,0)</f>
        <v>24912687.400363691</v>
      </c>
      <c r="G144" s="94">
        <f>VLOOKUP(DatosHoy[[#This Row],[Cargo Valorado]],Estadísticos[],4,0)</f>
        <v>30241101.94729666</v>
      </c>
      <c r="H144" s="94">
        <f>VLOOKUP(DatosHoy[[#This Row],[Cargo Valorado]],Estadísticos[],5,0)</f>
        <v>30375289.816006526</v>
      </c>
      <c r="I144" s="94">
        <f>VLOOKUP(DatosHoy[[#This Row],[Cargo Valorado]],Estadísticos[],6,0)</f>
        <v>28723795.184341554</v>
      </c>
      <c r="J144" s="94">
        <f>VLOOKUP(DatosHoy[[#This Row],[Cargo Valorado]],Estadísticos[],7,0)</f>
        <v>36346833.608587988</v>
      </c>
      <c r="K144" s="94">
        <f>VLOOKUP(DatosHoy[[#This Row],[Cargo Valorado]],Estadísticos[],8,0)</f>
        <v>36346833.608587988</v>
      </c>
      <c r="L144" s="94">
        <f>VLOOKUP(DatosHoy[[#This Row],[Cargo Valorado]],Estadísticos[],9,0)</f>
        <v>37336199.481008917</v>
      </c>
      <c r="M144" s="94">
        <f>VLOOKUP(DatosHoy[[#This Row],[Cargo Valorado]],Estadísticos[],10,0)</f>
        <v>46970146.518377833</v>
      </c>
      <c r="N144" s="94">
        <f>VLOOKUP(DatosHoy[[#This Row],[Cargo Valorado]],Estadísticos[],11,0)</f>
        <v>49898745.275908403</v>
      </c>
      <c r="O144" s="75" t="s">
        <v>197</v>
      </c>
      <c r="P144" s="75">
        <v>1048</v>
      </c>
      <c r="Q144" s="95" t="str">
        <f t="shared" si="68"/>
        <v>$P$144</v>
      </c>
      <c r="R144" s="95" t="str">
        <f t="shared" si="69"/>
        <v>$F$144</v>
      </c>
      <c r="S144" s="95" t="str">
        <f t="shared" si="70"/>
        <v>$G$144</v>
      </c>
      <c r="T144" s="95" t="str">
        <f t="shared" si="71"/>
        <v>$H$144</v>
      </c>
      <c r="U144" s="95" t="str">
        <f t="shared" si="72"/>
        <v>$I$144</v>
      </c>
      <c r="V144" s="95" t="str">
        <f t="shared" si="73"/>
        <v>$J$144</v>
      </c>
      <c r="W144" s="95" t="str">
        <f t="shared" si="74"/>
        <v>$K$144</v>
      </c>
      <c r="X144" s="95" t="str">
        <f t="shared" si="75"/>
        <v>$L$144</v>
      </c>
      <c r="Y144" s="95" t="str">
        <f t="shared" si="76"/>
        <v>$M$144</v>
      </c>
      <c r="Z144" s="95" t="str">
        <f t="shared" si="77"/>
        <v>$N$144</v>
      </c>
      <c r="AA144" s="94">
        <f ca="1">VLOOKUP($P144,'Regresion Q1'!$E$6:$I$10,4,1)*$P144+VLOOKUP($P144,'Regresion Q1'!$E$6:$I$10,5,1)</f>
        <v>22352678.53036052</v>
      </c>
      <c r="AB144" s="94">
        <f ca="1">VLOOKUP($P144,'Regresion Q1'!$J$6:$N$10,4,1)*$P144+VLOOKUP($P144,'Regresion Q1'!$J$6:$N$10,5,1)</f>
        <v>25371803.390319366</v>
      </c>
      <c r="AC144" s="94">
        <f ca="1">VLOOKUP($P144,'Regresion Q1'!$O$6:$S$10,4,1)*$P144+VLOOKUP($P144,'Regresion Q1'!$O$6:$S$10,5,1)</f>
        <v>25605058.937602907</v>
      </c>
      <c r="AD144" s="94">
        <f ca="1">VLOOKUP($P144,'Regresion Md'!$E$6:$I$10,4,1)*$P144+VLOOKUP($P144,'Regresion Md'!$E$6:$I$10,5,1)</f>
        <v>28013634.18349696</v>
      </c>
      <c r="AE144" s="94">
        <f ca="1">VLOOKUP($P144,'Regresion Md'!$J$6:$N$10,4,1)*$P144+VLOOKUP($P144,'Regresion Md'!$J$6:$N$10,5,1)</f>
        <v>32709329.213502813</v>
      </c>
      <c r="AF144" s="94">
        <f ca="1">VLOOKUP($P144,'Regresion Md'!$O$6:$S$10,4,1)*$P144+VLOOKUP($P144,'Regresion Md'!$O$6:$S$10,5,1)</f>
        <v>32906518.269090861</v>
      </c>
      <c r="AG144" s="94">
        <f ca="1">VLOOKUP($P144,'Regresion Q3'!$E$6:$I$10,4,1)*$P144+VLOOKUP($P144,'Regresion Q3'!$E$6:$I$10,5,1)</f>
        <v>42022711.691961713</v>
      </c>
      <c r="AH144" s="94">
        <f ca="1">VLOOKUP($P144,'Regresion Q3'!$J$6:$N$10,4,1)*$P144+VLOOKUP($P144,'Regresion Q3'!$J$6:$N$10,5,1)</f>
        <v>46883607.15679688</v>
      </c>
      <c r="AI144" s="94">
        <f ca="1">VLOOKUP($P144,'Regresion Q3'!$O$6:$S$10,4,1)*$P144+VLOOKUP($P144,'Regresion Q3'!$O$6:$S$10,5,1)</f>
        <v>52138489.431316972</v>
      </c>
      <c r="AJ144" s="94">
        <f ca="1">VLOOKUP($P144,'Regresion Q1'!$T$6:$V$10,2,1)*$P144+VLOOKUP($P144,'Regresion Q1'!$T$6:$V$10,3,1)</f>
        <v>25000472.864953905</v>
      </c>
      <c r="AK144" s="94">
        <f ca="1">VLOOKUP($P144,'Regresion Q1'!$W$6:$Y$10,2,1)*$P144+VLOOKUP($P144,'Regresion Q1'!$W$6:$Y$10,3,1)</f>
        <v>26391078.524961103</v>
      </c>
      <c r="AL144" s="94">
        <f ca="1">VLOOKUP($P144,'Regresion Q1'!$Z$6:$AB$10,2,1)*$P144+VLOOKUP($P144,'Regresion Q1'!$Z$6:$AB$10,3,1)</f>
        <v>27337760.834405873</v>
      </c>
      <c r="AM144" s="94">
        <f ca="1">VLOOKUP($P144,'Regresion Md'!$T$6:$V$10,2,1)*$P144+VLOOKUP($P144,'Regresion Md'!$T$6:$V$10,3,1)</f>
        <v>33190692.602267787</v>
      </c>
      <c r="AN144" s="94">
        <f ca="1">VLOOKUP($P144,'Regresion Md'!$W$6:$Y$10,2,1)*$P144+VLOOKUP($P144,'Regresion Md'!$W$6:$Y$10,3,1)</f>
        <v>34637621.659584068</v>
      </c>
      <c r="AO144" s="94">
        <f ca="1">VLOOKUP($P144,'Regresion Md'!$Z$6:$AB$10,2,1)*$P144+VLOOKUP($P144,'Regresion Md'!$Z$6:$AB$10,3,1)</f>
        <v>35619896.936416224</v>
      </c>
      <c r="AP144" s="94">
        <f ca="1">VLOOKUP($P144,'Regresion Q3'!$T$6:$V$10,2,1)*$P144+VLOOKUP($P144,'Regresion Q3'!$T$6:$V$10,3,1)</f>
        <v>43714549.238245942</v>
      </c>
      <c r="AQ144" s="94">
        <f ca="1">VLOOKUP($P144,'Regresion Q3'!$W$6:$Y$10,2,1)*$P144+VLOOKUP($P144,'Regresion Q3'!$W$6:$Y$10,3,1)</f>
        <v>46883607.15679688</v>
      </c>
      <c r="AR144" s="94">
        <f ca="1">VLOOKUP($P144,'Regresion Q3'!$Z$6:$AB$10,2,1)*$P144+VLOOKUP($P144,'Regresion Q3'!$Z$6:$AB$10,3,1)</f>
        <v>52138489.431316972</v>
      </c>
      <c r="AS144" s="94" t="e">
        <f>IF($BN144=#REF!,-1,DatosHoy[[#This Row],[G ajus PM Q1]]-#REF!)</f>
        <v>#REF!</v>
      </c>
      <c r="AT144" s="94" t="e">
        <f>IF($BN144=#REF!,-1,DatosHoy[[#This Row],[G+V ajus PM Q1]]-#REF!)</f>
        <v>#REF!</v>
      </c>
      <c r="AU144" s="94" t="e">
        <f>IF($BN144=#REF!,-1,DatosHoy[[#This Row],[CT ajus PM Q1]]-#REF!)</f>
        <v>#REF!</v>
      </c>
      <c r="AV144" s="94">
        <f ca="1">IF(DatosHoy[[#This Row],[G ajus PM Q1]]=DatosHoy[[#This Row],[G+V ajus PM Q1]],-1,DatosHoy[[#This Row],[G ajus PM Q1]]-DatosHoy[[#This Row],[G+V ajus PM Q1]])</f>
        <v>-1313344.2399037927</v>
      </c>
      <c r="AW144" s="94">
        <f ca="1">IF(DatosHoy[[#This Row],[G+V ajus PM Q1]]=DatosHoy[[#This Row],[CT ajus PM Q1]],-1,DatosHoy[[#This Row],[G+V ajus PM Q1]]-DatosHoy[[#This Row],[CT ajus PM Q1]])</f>
        <v>-903637.99681447819</v>
      </c>
      <c r="AX144" s="94" t="e">
        <f>IF($BN144=#REF!,-1,DatosHoy[[#This Row],[G ajus PMd]]-#REF!)</f>
        <v>#REF!</v>
      </c>
      <c r="AY144" s="94" t="e">
        <f>IF($BN144=#REF!,-1,DatosHoy[[#This Row],[G+V ajus PM Md]]-#REF!)</f>
        <v>#REF!</v>
      </c>
      <c r="AZ144" s="94" t="e">
        <f>IF($BN144=#REF!,-1,DatosHoy[[#This Row],[CT ajus PM Md]]-#REF!)</f>
        <v>#REF!</v>
      </c>
      <c r="BA144" s="94">
        <f ca="1">IF(DatosHoy[[#This Row],[G ajus PMd]]=DatosHoy[[#This Row],[G+V ajus PM Md]],-1,DatosHoy[[#This Row],[G ajus PMd]]-DatosHoy[[#This Row],[G+V ajus PM Md]])</f>
        <v>-1382947.5265065432</v>
      </c>
      <c r="BB144" s="94">
        <f ca="1">IF(DatosHoy[[#This Row],[G+V ajus PM Md]]=DatosHoy[[#This Row],[CT ajus PM Md]],-1,DatosHoy[[#This Row],[G+V ajus PM Md]]-DatosHoy[[#This Row],[CT ajus PM Md]])</f>
        <v>-934526.70341381431</v>
      </c>
      <c r="BC144" s="94" t="e">
        <f>IF($BN144=#REF!,-1,DatosHoy[[#This Row],[G ajus PM Q3]]-#REF!)</f>
        <v>#REF!</v>
      </c>
      <c r="BD144" s="94" t="e">
        <f>IF($BN144=#REF!,-1,DatosHoy[[#This Row],[G+V ajus PM Q3]]-#REF!)</f>
        <v>#REF!</v>
      </c>
      <c r="BE144" s="94" t="e">
        <f>IF($BN144=#REF!,-1,DatosHoy[[#This Row],[CT ajus PM Q3]]-#REF!)</f>
        <v>#REF!</v>
      </c>
      <c r="BF144" s="94">
        <f ca="1">IF(DatosHoy[[#This Row],[G ajus PM Q3]]=DatosHoy[[#This Row],[G+V ajus PM Q3]],-1,DatosHoy[[#This Row],[G ajus PM Q3]]-DatosHoy[[#This Row],[G+V ajus PM Q3]])</f>
        <v>-2888229.9581805617</v>
      </c>
      <c r="BG144" s="94">
        <f ca="1">IF(DatosHoy[[#This Row],[G+V ajus PM Q3]]=DatosHoy[[#This Row],[CT ajus PM Q3]],-1,DatosHoy[[#This Row],[G+V ajus PM Q3]]-DatosHoy[[#This Row],[CT ajus PM Q3]])</f>
        <v>-4733104.3515316769</v>
      </c>
      <c r="BH144" s="94">
        <f ca="1">IF(DatosHoy[[#This Row],[G ajus PM Q1]]=DatosHoy[[#This Row],[G ajus PMd]],-1,DatosHoy[[#This Row],[G ajus PM Q1]]-DatosHoy[[#This Row],[G ajus PMd]])</f>
        <v>-7486608.1807503104</v>
      </c>
      <c r="BI144" s="94">
        <f ca="1">IF(DatosHoy[[#This Row],[G+V ajus PM Q1]]=DatosHoy[[#This Row],[G+V ajus PM Md]],-1,DatosHoy[[#This Row],[G+V ajus PM Q1]]-DatosHoy[[#This Row],[G+V ajus PM Md]])</f>
        <v>-7556211.4673530608</v>
      </c>
      <c r="BJ144" s="94">
        <f ca="1">IF(DatosHoy[[#This Row],[CT ajus PM Q1]]=DatosHoy[[#This Row],[CT ajus PM Md]],-1,DatosHoy[[#This Row],[CT ajus PM Q1]]-DatosHoy[[#This Row],[CT ajus PM Md]])</f>
        <v>-7587100.173952397</v>
      </c>
      <c r="BK144" s="94">
        <f ca="1">IF(DatosHoy[[#This Row],[G ajus PMd]]=DatosHoy[[#This Row],[G ajus PM Q3]],-1,DatosHoy[[#This Row],[G ajus PMd]]-DatosHoy[[#This Row],[G ajus PM Q3]])</f>
        <v>-9542652.4379520044</v>
      </c>
      <c r="BL144" s="94">
        <f ca="1">IF(DatosHoy[[#This Row],[G+V ajus PM Md]]=DatosHoy[[#This Row],[G+V ajus PM Q3]],-1,DatosHoy[[#This Row],[G+V ajus PM Md]]-DatosHoy[[#This Row],[G+V ajus PM Q3]])</f>
        <v>-11047934.869626023</v>
      </c>
      <c r="BM144" s="94">
        <f ca="1">IF(DatosHoy[[#This Row],[CT ajus PM Md]]=DatosHoy[[#This Row],[CT ajus PM Q3]],-1,DatosHoy[[#This Row],[CT ajus PM Md]]-DatosHoy[[#This Row],[CT ajus PM Q3]])</f>
        <v>-14846512.517743886</v>
      </c>
      <c r="BN144" s="74">
        <v>1007</v>
      </c>
      <c r="BO144" s="94">
        <f ca="1">IFERROR(VLOOKUP($BN144,'Regresion Q1'!$T$6:$V$10,2,1)*$BN144+VLOOKUP($BN144,'Regresion Q1'!$T$6:$V$10,3,1),VLOOKUP(MIN(DatosHoy[Puntos]),'Regresion Q1'!$T$6:$V$10,2,1)*$BN144+VLOOKUP(MIN(DatosHoy[Puntos]),'Regresion Q1'!$T$6:$V$10,3,1))</f>
        <v>23738658.514067024</v>
      </c>
      <c r="BP144" s="94">
        <f ca="1">IFERROR(VLOOKUP($BN144,'Regresion Q1'!$W$6:$Y$10,2,1)*$BN144+VLOOKUP($BN144,'Regresion Q1'!$W$6:$Y$10,3,1),VLOOKUP(MIN(DatosHoy[Puntos]),'Regresion Q1'!$W$6:$Y$10,2,1)*$BN144+VLOOKUP(MIN(DatosHoy[Puntos]),'Regresion Q1'!$W$6:$Y$10,3,1))</f>
        <v>25052002.753970817</v>
      </c>
      <c r="BQ144" s="94">
        <f ca="1">IFERROR(VLOOKUP($BN144,'Regresion Q1'!$Z$6:$AB$10,2,1)*$BN144+VLOOKUP($BN144,'Regresion Q1'!$Z$6:$AB$10,3,1),VLOOKUP(MIN(DatosHoy[Puntos]),'Regresion Q1'!$Z$6:$AB$10,2,1)*$BN144+VLOOKUP(MIN(DatosHoy[Puntos]),'Regresion Q1'!$Z$6:$AB$10,3,1))</f>
        <v>25955640.750785295</v>
      </c>
      <c r="BR144" s="94">
        <f ca="1">IFERROR(VLOOKUP($BN144,'Regresion Md'!$T$6:$V$10,2,1)*$BN144+VLOOKUP($BN144,'Regresion Md'!$T$6:$V$10,3,1),VLOOKUP(MIN(DatosHoy[Puntos]),'Regresion Md'!$T$6:$V$10,2,1)*$BN144+VLOOKUP(MIN(DatosHoy[Puntos]),'Regresion Md'!$T$6:$V$10,3,1))</f>
        <v>31225266.694817334</v>
      </c>
      <c r="BS144" s="94">
        <f ca="1">IFERROR(VLOOKUP($BN144,'Regresion Md'!$W$6:$Y$10,2,1)*$BN144+VLOOKUP($BN144,'Regresion Md'!$W$6:$Y$10,3,1),VLOOKUP(MIN(DatosHoy[Puntos]),'Regresion Md'!$W$6:$Y$10,2,1)*$BN144+VLOOKUP(MIN(DatosHoy[Puntos]),'Regresion Md'!$W$6:$Y$10,3,1))</f>
        <v>32608214.221323878</v>
      </c>
      <c r="BT144" s="94">
        <f ca="1">IFERROR(VLOOKUP($BN144,'Regresion Md'!$Z$6:$AB$10,2,1)*$BN144+VLOOKUP($BN144,'Regresion Md'!$Z$6:$AB$10,3,1),VLOOKUP(MIN(DatosHoy[Puntos]),'Regresion Md'!$Z$6:$AB$10,2,1)*$BN144+VLOOKUP(MIN(DatosHoy[Puntos]),'Regresion Md'!$Z$6:$AB$10,3,1))</f>
        <v>33542740.924737692</v>
      </c>
      <c r="BU144" s="94">
        <f ca="1">IFERROR(VLOOKUP($BN144,'Regresion Q3'!$T$6:$V$10,2,1)*$BN144+VLOOKUP($BN144,'Regresion Q3'!$T$6:$V$10,3,1),VLOOKUP(MIN(DatosHoy[Puntos]),'Regresion Q3'!$T$6:$V$10,2,1)*$BN144+VLOOKUP(MIN(DatosHoy[Puntos]),'Regresion Q3'!$T$6:$V$10,3,1))</f>
        <v>40767919.132769339</v>
      </c>
      <c r="BV144" s="94">
        <f ca="1">IFERROR(VLOOKUP($BN144,'Regresion Q3'!$W$6:$Y$10,2,1)*$BN144+VLOOKUP($BN144,'Regresion Q3'!$W$6:$Y$10,3,1),VLOOKUP(MIN(DatosHoy[Puntos]),'Regresion Q3'!$W$6:$Y$10,2,1)*$BN144+VLOOKUP(MIN(DatosHoy[Puntos]),'Regresion Q3'!$W$6:$Y$10,3,1))</f>
        <v>43656149.0909499</v>
      </c>
      <c r="BW144" s="94">
        <f ca="1">IFERROR(VLOOKUP($BN144,'Regresion Q3'!$Z$6:$AB$10,2,1)*$BN144+VLOOKUP($BN144,'Regresion Q3'!$Z$6:$AB$10,3,1),VLOOKUP(MIN(DatosHoy[Puntos]),'Regresion Q3'!$Z$6:$AB$10,2,1)*$BN144+VLOOKUP(MIN(DatosHoy[Puntos]),'Regresion Q3'!$Z$6:$AB$10,3,1))</f>
        <v>48389253.442481577</v>
      </c>
      <c r="BX144" s="96">
        <f ca="1">DatosHoy[[#This Row],[CT Actual]]/DatosHoy[[#This Row],[CT ajus PM Md]]</f>
        <v>0.96843680940942745</v>
      </c>
      <c r="BY144" s="136" t="str">
        <f>VLOOKUP(DatosHoy[[#This Row],[Cargo Valorado]],Estadísticos[[Cargo]:[Nivel]],2,FALSE)</f>
        <v>Gerencia Alta</v>
      </c>
      <c r="BZ144" s="96">
        <f>(DatosHoy[[#This Row],[G+V Actual]]-DatosHoy[[#This Row],[G Actual]])/DatosHoy[[#This Row],[CT Actual]]</f>
        <v>0.19768769418198637</v>
      </c>
      <c r="CA144" s="96">
        <f>(DatosHoy[[#This Row],[CT Actual]]-DatosHoy[[#This Row],[G+V Actual]])/DatosHoy[[#This Row],[CT Actual]]</f>
        <v>2.0009835603808333E-2</v>
      </c>
      <c r="CB144" s="139" t="s">
        <v>256</v>
      </c>
    </row>
    <row r="145" spans="2:80" x14ac:dyDescent="0.25">
      <c r="B145" s="78" t="s">
        <v>105</v>
      </c>
      <c r="C145" s="79"/>
      <c r="D145" s="79"/>
      <c r="E145" s="79"/>
      <c r="F145" s="97">
        <f>SUBTOTAL(109,DatosHoy[G Q1])</f>
        <v>721482575.68527234</v>
      </c>
      <c r="G145" s="97">
        <f>SUBTOTAL(109,DatosHoy[G+V Q1])</f>
        <v>761613726.75445676</v>
      </c>
      <c r="H145" s="97">
        <f>SUBTOTAL(109,DatosHoy[CT Q1])</f>
        <v>788933801.64517438</v>
      </c>
      <c r="I145" s="97">
        <f>SUBTOTAL(109,DatosHoy[G Md])</f>
        <v>874992708.5160116</v>
      </c>
      <c r="J145" s="97">
        <f>SUBTOTAL(109,DatosHoy[G+V Md])</f>
        <v>913137509.83314931</v>
      </c>
      <c r="K145" s="97">
        <f>SUBTOTAL(109,DatosHoy[CT Md])</f>
        <v>939032832.81670642</v>
      </c>
      <c r="L145" s="97">
        <f>SUBTOTAL(109,DatosHoy[G Q3])</f>
        <v>1049764069.1282924</v>
      </c>
      <c r="M145" s="97">
        <f>SUBTOTAL(109,DatosHoy[G+V Q3])</f>
        <v>1085212077.2401795</v>
      </c>
      <c r="N145" s="97">
        <f>SUBTOTAL(109,DatosHoy[CT Q3])</f>
        <v>1123259414.9525568</v>
      </c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97">
        <f ca="1">SUBTOTAL(109,DatosHoy[G ajus PM Q1])</f>
        <v>722929450.35014808</v>
      </c>
      <c r="BP145" s="97">
        <f ca="1">SUBTOTAL(109,DatosHoy[G+V ajus PM Q1])</f>
        <v>752358392.04539955</v>
      </c>
      <c r="BQ145" s="97">
        <f ca="1">SUBTOTAL(109,DatosHoy[CT ajus PM Q1])</f>
        <v>783881480.63892555</v>
      </c>
      <c r="BR145" s="97">
        <f ca="1">SUBTOTAL(109,DatosHoy[G ajus PMd])</f>
        <v>877482116.37196529</v>
      </c>
      <c r="BS145" s="97">
        <f ca="1">SUBTOTAL(109,DatosHoy[G+V ajus PM Md])</f>
        <v>916957012.29078531</v>
      </c>
      <c r="BT145" s="97">
        <f ca="1">SUBTOTAL(109,DatosHoy[CT ajus PM Md])</f>
        <v>956972276.85677862</v>
      </c>
      <c r="BU145" s="97">
        <f ca="1">SUBTOTAL(109,DatosHoy[G ajus PM Q3])</f>
        <v>1054234831.2846209</v>
      </c>
      <c r="BV145" s="97">
        <f ca="1">SUBTOTAL(109,DatosHoy[G+V ajus PM Q3])</f>
        <v>1087508319.0355055</v>
      </c>
      <c r="BW145" s="97">
        <f ca="1">SUBTOTAL(109,DatosHoy[CT ajus PM Q3])</f>
        <v>1119667529.3710279</v>
      </c>
      <c r="BX145" s="98">
        <f ca="1">SUBTOTAL(109,DatosHoy[Posicion. Md])</f>
        <v>109.98043558541075</v>
      </c>
      <c r="BY145" s="99"/>
      <c r="BZ145" s="126"/>
      <c r="CA145" s="126"/>
      <c r="CB145" s="140"/>
    </row>
  </sheetData>
  <mergeCells count="6">
    <mergeCell ref="BK4:BM4"/>
    <mergeCell ref="B2:E3"/>
    <mergeCell ref="AS4:AW4"/>
    <mergeCell ref="AX4:BB4"/>
    <mergeCell ref="BC4:BG4"/>
    <mergeCell ref="BH4:BJ4"/>
  </mergeCells>
  <phoneticPr fontId="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AA84"/>
  <sheetViews>
    <sheetView showGridLines="0"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P8" sqref="P8"/>
    </sheetView>
  </sheetViews>
  <sheetFormatPr baseColWidth="10" defaultColWidth="0" defaultRowHeight="13.8" x14ac:dyDescent="0.25"/>
  <cols>
    <col min="1" max="1" width="1.59765625" style="12" customWidth="1"/>
    <col min="2" max="2" width="40.69921875" style="6" customWidth="1"/>
    <col min="3" max="3" width="17.3984375" style="6" customWidth="1"/>
    <col min="4" max="12" width="11.5" style="10" customWidth="1"/>
    <col min="13" max="19" width="11.5" style="12" customWidth="1"/>
    <col min="20" max="20" width="24.19921875" style="12" bestFit="1" customWidth="1"/>
    <col min="21" max="23" width="11" style="12" customWidth="1"/>
    <col min="24" max="24" width="26.19921875" style="12" customWidth="1"/>
    <col min="25" max="27" width="0" style="12" hidden="1" customWidth="1"/>
    <col min="28" max="16384" width="11" style="12" hidden="1"/>
  </cols>
  <sheetData>
    <row r="1" spans="2:24" x14ac:dyDescent="0.25">
      <c r="T1" s="145" t="s">
        <v>255</v>
      </c>
      <c r="U1" s="146"/>
      <c r="V1" s="146"/>
      <c r="W1" s="147"/>
    </row>
    <row r="2" spans="2:24" x14ac:dyDescent="0.25">
      <c r="B2" s="85" t="s">
        <v>106</v>
      </c>
      <c r="C2" s="86" t="s">
        <v>102</v>
      </c>
      <c r="D2" s="87" t="s">
        <v>107</v>
      </c>
      <c r="E2" s="87" t="s">
        <v>32</v>
      </c>
      <c r="F2" s="87" t="s">
        <v>33</v>
      </c>
      <c r="G2" s="87" t="s">
        <v>108</v>
      </c>
      <c r="H2" s="87" t="s">
        <v>35</v>
      </c>
      <c r="I2" s="87" t="s">
        <v>36</v>
      </c>
      <c r="J2" s="87" t="s">
        <v>37</v>
      </c>
      <c r="K2" s="87" t="s">
        <v>38</v>
      </c>
      <c r="L2" s="87" t="s">
        <v>39</v>
      </c>
      <c r="M2" s="86" t="s">
        <v>109</v>
      </c>
      <c r="N2" s="86" t="s">
        <v>110</v>
      </c>
      <c r="O2" s="88" t="s">
        <v>111</v>
      </c>
      <c r="P2" s="86" t="s">
        <v>254</v>
      </c>
      <c r="Q2" s="86"/>
      <c r="R2" s="86"/>
      <c r="S2" s="86"/>
      <c r="T2" s="118" t="s">
        <v>102</v>
      </c>
      <c r="U2" s="119" t="s">
        <v>112</v>
      </c>
      <c r="V2" s="119" t="s">
        <v>109</v>
      </c>
      <c r="W2" s="119" t="s">
        <v>110</v>
      </c>
    </row>
    <row r="3" spans="2:24" x14ac:dyDescent="0.25">
      <c r="B3" s="73" t="s">
        <v>197</v>
      </c>
      <c r="C3" s="75" t="s">
        <v>114</v>
      </c>
      <c r="D3" s="74">
        <v>24912687.400363691</v>
      </c>
      <c r="E3" s="74">
        <v>30241101.94729666</v>
      </c>
      <c r="F3" s="74">
        <v>30375289.816006526</v>
      </c>
      <c r="G3" s="74">
        <v>28723795.184341554</v>
      </c>
      <c r="H3" s="74">
        <v>36346833.608587988</v>
      </c>
      <c r="I3" s="74">
        <v>36346833.608587988</v>
      </c>
      <c r="J3" s="74">
        <v>37336199.481008917</v>
      </c>
      <c r="K3" s="74">
        <v>46970146.518377833</v>
      </c>
      <c r="L3" s="74">
        <v>49898745.275908403</v>
      </c>
      <c r="M3" s="100">
        <f>(Estadísticos[[#This Row],[G+V Md]]-Estadísticos[[#This Row],[GMd]])/Estadísticos[[#This Row],[CT Md]]</f>
        <v>0.20973046803299178</v>
      </c>
      <c r="N3" s="100">
        <f>(Estadísticos[[#This Row],[CT Md]]-Estadísticos[[#This Row],[G+V Md]])/Estadísticos[[#This Row],[CT Md]]</f>
        <v>0</v>
      </c>
      <c r="O3" s="76">
        <v>18</v>
      </c>
      <c r="P3" s="117" t="s">
        <v>256</v>
      </c>
      <c r="Q3" s="117"/>
      <c r="R3" s="117"/>
      <c r="S3" s="117"/>
      <c r="T3" s="75" t="s">
        <v>118</v>
      </c>
      <c r="U3" s="120">
        <f t="shared" ref="U3" si="0">IFERROR(1-(V3+W3),"")</f>
        <v>0.9467005946534951</v>
      </c>
      <c r="V3" s="120">
        <f>IFERROR(AVERAGEIFS(Estadísticos[Variable],Estadísticos[Nivel],$T3,Estadísticos[Tipo de Cargo],$T$1),"")</f>
        <v>6.8590726599535587E-3</v>
      </c>
      <c r="W3" s="120">
        <f>IFERROR(AVERAGEIFS(Estadísticos[Beneficios],Estadísticos[Nivel],$T3,Estadísticos[Tipo de Cargo],$T$1),"")</f>
        <v>4.6440332686551351E-2</v>
      </c>
      <c r="X3" s="83"/>
    </row>
    <row r="4" spans="2:24" x14ac:dyDescent="0.25">
      <c r="B4" s="73" t="s">
        <v>198</v>
      </c>
      <c r="C4" s="75" t="s">
        <v>114</v>
      </c>
      <c r="D4" s="74">
        <v>19935766.320184797</v>
      </c>
      <c r="E4" s="74">
        <v>23151703.887415349</v>
      </c>
      <c r="F4" s="74">
        <v>23224441.810480155</v>
      </c>
      <c r="G4" s="74">
        <v>28258995.728983115</v>
      </c>
      <c r="H4" s="74">
        <v>29592402.330384724</v>
      </c>
      <c r="I4" s="74">
        <v>29592402.330384724</v>
      </c>
      <c r="J4" s="74">
        <v>43671446.628107026</v>
      </c>
      <c r="K4" s="74">
        <v>43816267.832929052</v>
      </c>
      <c r="L4" s="74">
        <v>51972290.670185283</v>
      </c>
      <c r="M4" s="100">
        <f>(Estadísticos[[#This Row],[G+V Md]]-Estadísticos[[#This Row],[GMd]])/Estadísticos[[#This Row],[CT Md]]</f>
        <v>4.5059085994937985E-2</v>
      </c>
      <c r="N4" s="100">
        <f>(Estadísticos[[#This Row],[CT Md]]-Estadísticos[[#This Row],[G+V Md]])/Estadísticos[[#This Row],[CT Md]]</f>
        <v>0</v>
      </c>
      <c r="O4" s="76">
        <v>18</v>
      </c>
      <c r="P4" s="117" t="s">
        <v>255</v>
      </c>
      <c r="Q4" s="117"/>
      <c r="R4" s="117"/>
      <c r="S4" s="117"/>
      <c r="T4" s="75" t="s">
        <v>253</v>
      </c>
      <c r="U4" s="120">
        <f>IFERROR(1-(V4+W4),"")</f>
        <v>1</v>
      </c>
      <c r="V4" s="120">
        <f>IFERROR(AVERAGEIFS(DatosHoy[% Variable],DatosHoy[Nivel],Estadísticos!T3,DatosHoy[Tipo de Cargo],$T$1),"")</f>
        <v>0</v>
      </c>
      <c r="W4" s="120">
        <f>IFERROR(AVERAGEIFS(DatosHoy[% Beneficios],DatosHoy[Nivel],Estadísticos!T3,DatosHoy[Tipo de Cargo],$T$1),"")</f>
        <v>0</v>
      </c>
    </row>
    <row r="5" spans="2:24" x14ac:dyDescent="0.25">
      <c r="B5" s="73" t="s">
        <v>199</v>
      </c>
      <c r="C5" s="75" t="s">
        <v>114</v>
      </c>
      <c r="D5" s="74">
        <v>17174427.338327128</v>
      </c>
      <c r="E5" s="74">
        <v>18196243.986316849</v>
      </c>
      <c r="F5" s="74">
        <v>19075636.432581395</v>
      </c>
      <c r="G5" s="74">
        <v>17516854.676654257</v>
      </c>
      <c r="H5" s="74">
        <v>19560487.972633697</v>
      </c>
      <c r="I5" s="74">
        <v>20546052.865162794</v>
      </c>
      <c r="J5" s="74">
        <v>31668176.125996534</v>
      </c>
      <c r="K5" s="74">
        <v>32689992.773986254</v>
      </c>
      <c r="L5" s="74">
        <v>33290248.854745716</v>
      </c>
      <c r="M5" s="100">
        <f>(Estadísticos[[#This Row],[G+V Md]]-Estadísticos[[#This Row],[GMd]])/Estadísticos[[#This Row],[CT Md]]</f>
        <v>9.9465980613948346E-2</v>
      </c>
      <c r="N5" s="100">
        <f>(Estadísticos[[#This Row],[CT Md]]-Estadísticos[[#This Row],[G+V Md]])/Estadísticos[[#This Row],[CT Md]]</f>
        <v>4.796857571607769E-2</v>
      </c>
      <c r="O5" s="76">
        <v>16</v>
      </c>
      <c r="P5" s="117" t="s">
        <v>255</v>
      </c>
      <c r="Q5" s="117"/>
      <c r="R5" s="117"/>
      <c r="S5" s="117"/>
      <c r="T5" s="129"/>
      <c r="U5" s="130"/>
      <c r="V5" s="130"/>
      <c r="W5" s="130"/>
    </row>
    <row r="6" spans="2:24" x14ac:dyDescent="0.25">
      <c r="B6" s="73" t="s">
        <v>165</v>
      </c>
      <c r="C6" s="75" t="s">
        <v>245</v>
      </c>
      <c r="D6" s="74">
        <v>9064311.7587320898</v>
      </c>
      <c r="E6" s="74">
        <v>9064311.7587320898</v>
      </c>
      <c r="F6" s="74">
        <v>9171785.3932269998</v>
      </c>
      <c r="G6" s="74">
        <v>11152849.963923501</v>
      </c>
      <c r="H6" s="74">
        <v>13152849.963923501</v>
      </c>
      <c r="I6" s="74">
        <v>14367797.2329133</v>
      </c>
      <c r="J6" s="74">
        <v>12393137.887216808</v>
      </c>
      <c r="K6" s="74">
        <v>12393137.887216808</v>
      </c>
      <c r="L6" s="74">
        <v>12549103.470421586</v>
      </c>
      <c r="M6" s="100">
        <f>(Estadísticos[[#This Row],[G+V Md]]-Estadísticos[[#This Row],[GMd]])/Estadísticos[[#This Row],[CT Md]]</f>
        <v>0.13920018271266124</v>
      </c>
      <c r="N6" s="100">
        <f>(Estadísticos[[#This Row],[CT Md]]-Estadísticos[[#This Row],[G+V Md]])/Estadísticos[[#This Row],[CT Md]]</f>
        <v>8.4560440914814447E-2</v>
      </c>
      <c r="O6" s="76">
        <v>15</v>
      </c>
      <c r="P6" s="117" t="s">
        <v>256</v>
      </c>
      <c r="Q6" s="117"/>
      <c r="R6" s="117"/>
      <c r="S6" s="117"/>
      <c r="T6" s="75" t="s">
        <v>117</v>
      </c>
      <c r="U6" s="120">
        <f t="shared" ref="U6" si="1">IFERROR(1-(V6+W6),"")</f>
        <v>0.93043368778497126</v>
      </c>
      <c r="V6" s="120">
        <f>IFERROR(AVERAGEIFS(Estadísticos[Variable],Estadísticos[Nivel],$T6,Estadísticos[Tipo de Cargo],$T$1),"")</f>
        <v>1.7329458161025896E-2</v>
      </c>
      <c r="W6" s="120">
        <f>IFERROR(AVERAGEIFS(Estadísticos[Beneficios],Estadísticos[Nivel],$T6,Estadísticos[Tipo de Cargo],$T$1),"")</f>
        <v>5.2236854054002808E-2</v>
      </c>
    </row>
    <row r="7" spans="2:24" x14ac:dyDescent="0.25">
      <c r="B7" s="73" t="s">
        <v>166</v>
      </c>
      <c r="C7" s="75" t="s">
        <v>245</v>
      </c>
      <c r="D7" s="74">
        <v>11183326.617778357</v>
      </c>
      <c r="E7" s="74">
        <v>11616812.110685024</v>
      </c>
      <c r="F7" s="74">
        <v>11702508.030685026</v>
      </c>
      <c r="G7" s="74">
        <v>12108601.3401764</v>
      </c>
      <c r="H7" s="74">
        <v>14146964.165989773</v>
      </c>
      <c r="I7" s="74">
        <v>14146964.165989773</v>
      </c>
      <c r="J7" s="74">
        <v>13900586.376402466</v>
      </c>
      <c r="K7" s="74">
        <v>15159466.740966458</v>
      </c>
      <c r="L7" s="74">
        <v>15352636.295461368</v>
      </c>
      <c r="M7" s="100">
        <f>(Estadísticos[[#This Row],[G+V Md]]-Estadísticos[[#This Row],[GMd]])/Estadísticos[[#This Row],[CT Md]]</f>
        <v>0.14408482285646351</v>
      </c>
      <c r="N7" s="100">
        <f>(Estadísticos[[#This Row],[CT Md]]-Estadísticos[[#This Row],[G+V Md]])/Estadísticos[[#This Row],[CT Md]]</f>
        <v>0</v>
      </c>
      <c r="O7" s="76">
        <v>15</v>
      </c>
      <c r="P7" s="117" t="s">
        <v>256</v>
      </c>
      <c r="Q7" s="117"/>
      <c r="R7" s="117"/>
      <c r="S7" s="117"/>
      <c r="T7" s="75" t="s">
        <v>252</v>
      </c>
      <c r="U7" s="120">
        <f>IFERROR(1-(V7+W7),"")</f>
        <v>1</v>
      </c>
      <c r="V7" s="120">
        <f>IFERROR(AVERAGEIFS(DatosHoy[% Variable],DatosHoy[Nivel],Estadísticos!T6,DatosHoy[Tipo de Cargo],$T$1),"")</f>
        <v>0</v>
      </c>
      <c r="W7" s="120">
        <f>IFERROR(AVERAGEIFS(DatosHoy[% Beneficios],DatosHoy[Nivel],Estadísticos!T6,DatosHoy[Tipo de Cargo],$T$1),"")</f>
        <v>0</v>
      </c>
    </row>
    <row r="8" spans="2:24" x14ac:dyDescent="0.25">
      <c r="B8" s="73" t="s">
        <v>167</v>
      </c>
      <c r="C8" s="75" t="s">
        <v>245</v>
      </c>
      <c r="D8" s="74">
        <v>9837641.0790272821</v>
      </c>
      <c r="E8" s="74">
        <v>10909654.265600676</v>
      </c>
      <c r="F8" s="74">
        <v>10987951.108250968</v>
      </c>
      <c r="G8" s="74">
        <v>9554005.5577224996</v>
      </c>
      <c r="H8" s="74">
        <v>11696022.2645061</v>
      </c>
      <c r="I8" s="74">
        <v>11731686.529795032</v>
      </c>
      <c r="J8" s="74">
        <v>11111141.41413936</v>
      </c>
      <c r="K8" s="74">
        <v>11943267.095084628</v>
      </c>
      <c r="L8" s="74">
        <v>12132802.385078812</v>
      </c>
      <c r="M8" s="100">
        <f>(Estadísticos[[#This Row],[G+V Md]]-Estadísticos[[#This Row],[GMd]])/Estadísticos[[#This Row],[CT Md]]</f>
        <v>0.18258386817134159</v>
      </c>
      <c r="N8" s="100">
        <f>(Estadísticos[[#This Row],[CT Md]]-Estadísticos[[#This Row],[G+V Md]])/Estadísticos[[#This Row],[CT Md]]</f>
        <v>3.0399947354845793E-3</v>
      </c>
      <c r="O8" s="76">
        <v>15</v>
      </c>
      <c r="P8" s="117" t="s">
        <v>256</v>
      </c>
      <c r="Q8" s="117"/>
      <c r="R8" s="117"/>
      <c r="S8" s="117"/>
      <c r="T8" s="129"/>
      <c r="U8" s="130"/>
      <c r="V8" s="130"/>
      <c r="W8" s="130"/>
    </row>
    <row r="9" spans="2:24" x14ac:dyDescent="0.25">
      <c r="B9" s="73" t="s">
        <v>168</v>
      </c>
      <c r="C9" s="75" t="s">
        <v>245</v>
      </c>
      <c r="D9" s="74">
        <v>10009337.65674226</v>
      </c>
      <c r="E9" s="74">
        <v>10650999.629968666</v>
      </c>
      <c r="F9" s="74">
        <v>10938115.6963863</v>
      </c>
      <c r="G9" s="74">
        <v>12140182.216130758</v>
      </c>
      <c r="H9" s="74">
        <v>12140182.216130758</v>
      </c>
      <c r="I9" s="74">
        <v>12714414.34896603</v>
      </c>
      <c r="J9" s="74">
        <v>12427298.282548394</v>
      </c>
      <c r="K9" s="74">
        <v>12427298.282548394</v>
      </c>
      <c r="L9" s="74">
        <v>13252693.154205717</v>
      </c>
      <c r="M9" s="100">
        <f>(Estadísticos[[#This Row],[G+V Md]]-Estadísticos[[#This Row],[GMd]])/Estadísticos[[#This Row],[CT Md]]</f>
        <v>0</v>
      </c>
      <c r="N9" s="100">
        <f>(Estadísticos[[#This Row],[CT Md]]-Estadísticos[[#This Row],[G+V Md]])/Estadísticos[[#This Row],[CT Md]]</f>
        <v>4.516386811650281E-2</v>
      </c>
      <c r="O9" s="76">
        <v>15</v>
      </c>
      <c r="P9" s="117" t="s">
        <v>255</v>
      </c>
      <c r="Q9" s="117"/>
      <c r="R9" s="117"/>
      <c r="S9" s="117"/>
      <c r="T9" s="75" t="s">
        <v>116</v>
      </c>
      <c r="U9" s="120">
        <f t="shared" ref="U9" si="2">IFERROR(1-(V9+W9),"")</f>
        <v>0.9450291145546148</v>
      </c>
      <c r="V9" s="120">
        <f>IFERROR(AVERAGEIFS(Estadísticos[Variable],Estadísticos[Nivel],$T9,Estadísticos[Tipo de Cargo],$T$1),"")</f>
        <v>2.664343499801607E-2</v>
      </c>
      <c r="W9" s="120">
        <f>IFERROR(AVERAGEIFS(Estadísticos[Beneficios],Estadísticos[Nivel],$T9,Estadísticos[Tipo de Cargo],$T$1),"")</f>
        <v>2.8327450447369121E-2</v>
      </c>
    </row>
    <row r="10" spans="2:24" x14ac:dyDescent="0.25">
      <c r="B10" s="73" t="s">
        <v>169</v>
      </c>
      <c r="C10" s="75" t="s">
        <v>245</v>
      </c>
      <c r="D10" s="74">
        <v>12282632.902368892</v>
      </c>
      <c r="E10" s="74">
        <v>12823886.902368892</v>
      </c>
      <c r="F10" s="74">
        <v>12872378.85107876</v>
      </c>
      <c r="G10" s="74">
        <v>18247245.855728436</v>
      </c>
      <c r="H10" s="74">
        <v>18247245.855728436</v>
      </c>
      <c r="I10" s="74">
        <v>18247245.855728436</v>
      </c>
      <c r="J10" s="74">
        <v>23627690.216688022</v>
      </c>
      <c r="K10" s="74">
        <v>25555752.453955505</v>
      </c>
      <c r="L10" s="74">
        <v>25920113.734356325</v>
      </c>
      <c r="M10" s="100">
        <f>(Estadísticos[[#This Row],[G+V Md]]-Estadísticos[[#This Row],[GMd]])/Estadísticos[[#This Row],[CT Md]]</f>
        <v>0</v>
      </c>
      <c r="N10" s="100">
        <f>(Estadísticos[[#This Row],[CT Md]]-Estadísticos[[#This Row],[G+V Md]])/Estadísticos[[#This Row],[CT Md]]</f>
        <v>0</v>
      </c>
      <c r="O10" s="76">
        <v>15</v>
      </c>
      <c r="P10" s="117" t="s">
        <v>255</v>
      </c>
      <c r="Q10" s="117"/>
      <c r="R10" s="117"/>
      <c r="S10" s="117"/>
      <c r="T10" s="75" t="s">
        <v>251</v>
      </c>
      <c r="U10" s="120">
        <f>IFERROR(1-(V10+W10),"")</f>
        <v>0.99525841631104794</v>
      </c>
      <c r="V10" s="120">
        <f>IFERROR(AVERAGEIFS(DatosHoy[% Variable],DatosHoy[Nivel],Estadísticos!T9,DatosHoy[Tipo de Cargo],$T$1),"")</f>
        <v>4.7415836889521086E-3</v>
      </c>
      <c r="W10" s="120">
        <f>IFERROR(AVERAGEIFS(DatosHoy[% Beneficios],DatosHoy[Nivel],Estadísticos!T9,DatosHoy[Tipo de Cargo],$T$1),"")</f>
        <v>0</v>
      </c>
    </row>
    <row r="11" spans="2:24" x14ac:dyDescent="0.25">
      <c r="B11" s="73" t="s">
        <v>170</v>
      </c>
      <c r="C11" s="75" t="s">
        <v>245</v>
      </c>
      <c r="D11" s="74">
        <v>16490668.956858592</v>
      </c>
      <c r="E11" s="74">
        <v>18359027.37121582</v>
      </c>
      <c r="F11" s="74">
        <v>19418115.291018426</v>
      </c>
      <c r="G11" s="74">
        <v>17778800</v>
      </c>
      <c r="H11" s="74">
        <v>19840889.319400001</v>
      </c>
      <c r="I11" s="74">
        <v>20289128.986066669</v>
      </c>
      <c r="J11" s="74">
        <v>18395708.0277</v>
      </c>
      <c r="K11" s="74">
        <v>20948633.009094283</v>
      </c>
      <c r="L11" s="74">
        <v>21284812.759094283</v>
      </c>
      <c r="M11" s="100">
        <f>(Estadísticos[[#This Row],[G+V Md]]-Estadísticos[[#This Row],[GMd]])/Estadísticos[[#This Row],[CT Md]]</f>
        <v>0.1016351821123577</v>
      </c>
      <c r="N11" s="100">
        <f>(Estadísticos[[#This Row],[CT Md]]-Estadísticos[[#This Row],[G+V Md]])/Estadísticos[[#This Row],[CT Md]]</f>
        <v>2.2092602741817624E-2</v>
      </c>
      <c r="O11" s="76">
        <v>15</v>
      </c>
      <c r="P11" s="117" t="s">
        <v>255</v>
      </c>
      <c r="Q11" s="117"/>
      <c r="R11" s="117"/>
      <c r="S11" s="117"/>
      <c r="T11" s="129"/>
      <c r="U11" s="130"/>
      <c r="V11" s="130"/>
      <c r="W11" s="130"/>
    </row>
    <row r="12" spans="2:24" x14ac:dyDescent="0.25">
      <c r="B12" s="73" t="s">
        <v>171</v>
      </c>
      <c r="C12" s="75" t="s">
        <v>245</v>
      </c>
      <c r="D12" s="74">
        <v>10154825.901792649</v>
      </c>
      <c r="E12" s="74">
        <v>11948038.548060769</v>
      </c>
      <c r="F12" s="74">
        <v>12001775.365308225</v>
      </c>
      <c r="G12" s="74">
        <v>12754249.187308952</v>
      </c>
      <c r="H12" s="74">
        <v>13949724.284821033</v>
      </c>
      <c r="I12" s="74">
        <v>14057197.919315942</v>
      </c>
      <c r="J12" s="74">
        <v>15353672.472825255</v>
      </c>
      <c r="K12" s="74">
        <v>15951410.021581296</v>
      </c>
      <c r="L12" s="74">
        <v>16112620.47332366</v>
      </c>
      <c r="M12" s="100">
        <f>(Estadísticos[[#This Row],[G+V Md]]-Estadísticos[[#This Row],[GMd]])/Estadísticos[[#This Row],[CT Md]]</f>
        <v>8.5043627070896077E-2</v>
      </c>
      <c r="N12" s="100">
        <f>(Estadísticos[[#This Row],[CT Md]]-Estadísticos[[#This Row],[G+V Md]])/Estadísticos[[#This Row],[CT Md]]</f>
        <v>7.6454521812792465E-3</v>
      </c>
      <c r="O12" s="76">
        <v>15</v>
      </c>
      <c r="P12" s="117" t="s">
        <v>255</v>
      </c>
      <c r="Q12" s="117"/>
      <c r="R12" s="117"/>
      <c r="S12" s="117"/>
      <c r="T12" s="75" t="s">
        <v>115</v>
      </c>
      <c r="U12" s="120">
        <f t="shared" ref="U12" si="3">IFERROR(1-(V12+W12),"")</f>
        <v>0.96314961689732581</v>
      </c>
      <c r="V12" s="120">
        <f>IFERROR(AVERAGEIFS(Estadísticos[Variable],Estadísticos[Nivel],$T12,Estadísticos[Tipo de Cargo],$T$1),"")</f>
        <v>2.2076466983330122E-2</v>
      </c>
      <c r="W12" s="120">
        <f>IFERROR(AVERAGEIFS(Estadísticos[Beneficios],Estadísticos[Nivel],$T12,Estadísticos[Tipo de Cargo],$T$1),"")</f>
        <v>1.4773916119344073E-2</v>
      </c>
    </row>
    <row r="13" spans="2:24" x14ac:dyDescent="0.25">
      <c r="B13" s="73" t="s">
        <v>172</v>
      </c>
      <c r="C13" s="75" t="s">
        <v>245</v>
      </c>
      <c r="D13" s="74">
        <v>7638879.0130332895</v>
      </c>
      <c r="E13" s="74">
        <v>7638879.0130332895</v>
      </c>
      <c r="F13" s="74">
        <v>8275696.282195285</v>
      </c>
      <c r="G13" s="74">
        <v>8995213.3732673731</v>
      </c>
      <c r="H13" s="74">
        <v>8995213.3732673731</v>
      </c>
      <c r="I13" s="74">
        <v>9443453.039934041</v>
      </c>
      <c r="J13" s="74">
        <v>11438976.36727182</v>
      </c>
      <c r="K13" s="74">
        <v>11438976.36727182</v>
      </c>
      <c r="L13" s="74">
        <v>11663096.200605154</v>
      </c>
      <c r="M13" s="100">
        <f>(Estadísticos[[#This Row],[G+V Md]]-Estadísticos[[#This Row],[GMd]])/Estadísticos[[#This Row],[CT Md]]</f>
        <v>0</v>
      </c>
      <c r="N13" s="100">
        <f>(Estadísticos[[#This Row],[CT Md]]-Estadísticos[[#This Row],[G+V Md]])/Estadísticos[[#This Row],[CT Md]]</f>
        <v>4.7465653164279267E-2</v>
      </c>
      <c r="O13" s="76">
        <v>14</v>
      </c>
      <c r="P13" s="117" t="s">
        <v>255</v>
      </c>
      <c r="Q13" s="117"/>
      <c r="R13" s="117"/>
      <c r="S13" s="117"/>
      <c r="T13" s="75" t="s">
        <v>250</v>
      </c>
      <c r="U13" s="120">
        <f>IFERROR(1-(V13+W13),"")</f>
        <v>1</v>
      </c>
      <c r="V13" s="120">
        <f>IFERROR(AVERAGEIFS(DatosHoy[% Variable],DatosHoy[Nivel],Estadísticos!T12,DatosHoy[Tipo de Cargo],$T$1),"")</f>
        <v>0</v>
      </c>
      <c r="W13" s="120">
        <f>IFERROR(AVERAGEIFS(DatosHoy[% Beneficios],DatosHoy[Nivel],Estadísticos!T12,DatosHoy[Tipo de Cargo],$T$1),"")</f>
        <v>0</v>
      </c>
    </row>
    <row r="14" spans="2:24" x14ac:dyDescent="0.25">
      <c r="B14" s="73" t="s">
        <v>173</v>
      </c>
      <c r="C14" s="75" t="s">
        <v>245</v>
      </c>
      <c r="D14" s="74">
        <v>13541502.625078993</v>
      </c>
      <c r="E14" s="74">
        <v>14437104.648177864</v>
      </c>
      <c r="F14" s="74">
        <v>14608496.488177864</v>
      </c>
      <c r="G14" s="74">
        <v>16003189.103999831</v>
      </c>
      <c r="H14" s="74">
        <v>16003189.103999831</v>
      </c>
      <c r="I14" s="74">
        <v>16100173.001419567</v>
      </c>
      <c r="J14" s="74">
        <v>17575322.843019895</v>
      </c>
      <c r="K14" s="74">
        <v>17575322.843019895</v>
      </c>
      <c r="L14" s="74">
        <v>17575322.843019895</v>
      </c>
      <c r="M14" s="100">
        <f>(Estadísticos[[#This Row],[G+V Md]]-Estadísticos[[#This Row],[GMd]])/Estadísticos[[#This Row],[CT Md]]</f>
        <v>0</v>
      </c>
      <c r="N14" s="100">
        <f>(Estadísticos[[#This Row],[CT Md]]-Estadísticos[[#This Row],[G+V Md]])/Estadísticos[[#This Row],[CT Md]]</f>
        <v>6.0237798321287998E-3</v>
      </c>
      <c r="O14" s="76">
        <v>14</v>
      </c>
      <c r="P14" s="117" t="s">
        <v>255</v>
      </c>
      <c r="Q14" s="117"/>
      <c r="R14" s="117"/>
      <c r="S14" s="117"/>
      <c r="T14" s="129"/>
      <c r="U14" s="130"/>
      <c r="V14" s="130"/>
      <c r="W14" s="130"/>
    </row>
    <row r="15" spans="2:24" x14ac:dyDescent="0.25">
      <c r="B15" s="73" t="s">
        <v>174</v>
      </c>
      <c r="C15" s="75" t="s">
        <v>245</v>
      </c>
      <c r="D15" s="74">
        <v>8818300.3196819462</v>
      </c>
      <c r="E15" s="74">
        <v>8818300.3196819462</v>
      </c>
      <c r="F15" s="74">
        <v>8930360.2363486122</v>
      </c>
      <c r="G15" s="74">
        <v>10001206.488248259</v>
      </c>
      <c r="H15" s="74">
        <v>10257182.070085574</v>
      </c>
      <c r="I15" s="74">
        <v>10257182.070085574</v>
      </c>
      <c r="J15" s="74">
        <v>10393093.531889772</v>
      </c>
      <c r="K15" s="74">
        <v>11085599.58270457</v>
      </c>
      <c r="L15" s="74">
        <v>11185060.695003442</v>
      </c>
      <c r="M15" s="100">
        <f>(Estadísticos[[#This Row],[G+V Md]]-Estadísticos[[#This Row],[GMd]])/Estadísticos[[#This Row],[CT Md]]</f>
        <v>2.4955741263855673E-2</v>
      </c>
      <c r="N15" s="100">
        <f>(Estadísticos[[#This Row],[CT Md]]-Estadísticos[[#This Row],[G+V Md]])/Estadísticos[[#This Row],[CT Md]]</f>
        <v>0</v>
      </c>
      <c r="O15" s="76">
        <v>14</v>
      </c>
      <c r="P15" s="117" t="s">
        <v>255</v>
      </c>
      <c r="Q15" s="117"/>
      <c r="R15" s="117"/>
      <c r="S15" s="117"/>
      <c r="T15" s="75" t="s">
        <v>114</v>
      </c>
      <c r="U15" s="120">
        <f t="shared" ref="U15" si="4">IFERROR(1-(V15+W15),"")</f>
        <v>0.90375317883751793</v>
      </c>
      <c r="V15" s="120">
        <f>IFERROR(AVERAGEIFS(Estadísticos[Variable],Estadísticos[Nivel],$T15,Estadísticos[Tipo de Cargo],$T$1),"")</f>
        <v>7.2262533304443169E-2</v>
      </c>
      <c r="W15" s="120">
        <f>IFERROR(AVERAGEIFS(Estadísticos[Beneficios],Estadísticos[Nivel],$T15,Estadísticos[Tipo de Cargo],$T$1),"")</f>
        <v>2.3984287858038845E-2</v>
      </c>
    </row>
    <row r="16" spans="2:24" x14ac:dyDescent="0.25">
      <c r="B16" s="73" t="s">
        <v>200</v>
      </c>
      <c r="C16" s="75" t="s">
        <v>245</v>
      </c>
      <c r="D16" s="74">
        <v>8135767.6471057618</v>
      </c>
      <c r="E16" s="74">
        <v>8135767.6471057618</v>
      </c>
      <c r="F16" s="74">
        <v>8135767.6471057618</v>
      </c>
      <c r="G16" s="74">
        <v>10615685.105411233</v>
      </c>
      <c r="H16" s="74">
        <v>10967892.0683979</v>
      </c>
      <c r="I16" s="74">
        <v>11053587.9883979</v>
      </c>
      <c r="J16" s="74">
        <v>11295437.80088737</v>
      </c>
      <c r="K16" s="74">
        <v>11471541.282380704</v>
      </c>
      <c r="L16" s="74">
        <v>11850568.992380705</v>
      </c>
      <c r="M16" s="100">
        <f>(Estadísticos[[#This Row],[G+V Md]]-Estadísticos[[#This Row],[GMd]])/Estadísticos[[#This Row],[CT Md]]</f>
        <v>3.1863587041271235E-2</v>
      </c>
      <c r="N16" s="100">
        <f>(Estadísticos[[#This Row],[CT Md]]-Estadísticos[[#This Row],[G+V Md]])/Estadísticos[[#This Row],[CT Md]]</f>
        <v>7.7527695161017703E-3</v>
      </c>
      <c r="O16" s="76">
        <v>14</v>
      </c>
      <c r="P16" s="117" t="s">
        <v>255</v>
      </c>
      <c r="Q16" s="117"/>
      <c r="R16" s="117"/>
      <c r="S16" s="117"/>
      <c r="T16" s="75" t="s">
        <v>249</v>
      </c>
      <c r="U16" s="120">
        <f>IFERROR(1-(V16+W16),"")</f>
        <v>0.82666456106328123</v>
      </c>
      <c r="V16" s="120">
        <f>IFERROR(AVERAGEIFS(DatosHoy[% Variable],DatosHoy[Nivel],Estadísticos!T15,DatosHoy[Tipo de Cargo],$T$1),"")</f>
        <v>0.16460530126974932</v>
      </c>
      <c r="W16" s="120">
        <f>IFERROR(AVERAGEIFS(DatosHoy[% Beneficios],DatosHoy[Nivel],Estadísticos!T15,DatosHoy[Tipo de Cargo],$T$1),"")</f>
        <v>8.7301376669694387E-3</v>
      </c>
    </row>
    <row r="17" spans="2:23" x14ac:dyDescent="0.25">
      <c r="B17" s="73" t="s">
        <v>201</v>
      </c>
      <c r="C17" s="75" t="s">
        <v>245</v>
      </c>
      <c r="D17" s="74">
        <v>17011523.869877264</v>
      </c>
      <c r="E17" s="74">
        <v>17011523.869877264</v>
      </c>
      <c r="F17" s="74">
        <v>17343117.337705508</v>
      </c>
      <c r="G17" s="74">
        <v>17778800</v>
      </c>
      <c r="H17" s="74">
        <v>17778800</v>
      </c>
      <c r="I17" s="74">
        <v>18227039.666666668</v>
      </c>
      <c r="J17" s="74">
        <v>17778800</v>
      </c>
      <c r="K17" s="74">
        <v>20413052.109956708</v>
      </c>
      <c r="L17" s="74">
        <v>21523927.551620603</v>
      </c>
      <c r="M17" s="100">
        <f>(Estadísticos[[#This Row],[G+V Md]]-Estadísticos[[#This Row],[GMd]])/Estadísticos[[#This Row],[CT Md]]</f>
        <v>0</v>
      </c>
      <c r="N17" s="100">
        <f>(Estadísticos[[#This Row],[CT Md]]-Estadísticos[[#This Row],[G+V Md]])/Estadísticos[[#This Row],[CT Md]]</f>
        <v>2.4592016853203089E-2</v>
      </c>
      <c r="O17" s="76">
        <v>14</v>
      </c>
      <c r="P17" s="117" t="s">
        <v>255</v>
      </c>
      <c r="Q17" s="117"/>
      <c r="R17" s="117"/>
      <c r="S17" s="117"/>
      <c r="T17" s="129"/>
      <c r="U17" s="130"/>
      <c r="V17" s="130"/>
      <c r="W17" s="130"/>
    </row>
    <row r="18" spans="2:23" x14ac:dyDescent="0.25">
      <c r="B18" s="73" t="s">
        <v>202</v>
      </c>
      <c r="C18" s="75" t="s">
        <v>245</v>
      </c>
      <c r="D18" s="74">
        <v>5848630.997348831</v>
      </c>
      <c r="E18" s="74">
        <v>5848630.997348831</v>
      </c>
      <c r="F18" s="74">
        <v>6761390.5552907893</v>
      </c>
      <c r="G18" s="74">
        <v>10862727.516268702</v>
      </c>
      <c r="H18" s="74">
        <v>10862727.516268702</v>
      </c>
      <c r="I18" s="74">
        <v>10862727.516268702</v>
      </c>
      <c r="J18" s="74">
        <v>10862727.516268702</v>
      </c>
      <c r="K18" s="74">
        <v>11163953.311192865</v>
      </c>
      <c r="L18" s="74">
        <v>11163953.311192865</v>
      </c>
      <c r="M18" s="100">
        <f>(Estadísticos[[#This Row],[G+V Md]]-Estadísticos[[#This Row],[GMd]])/Estadísticos[[#This Row],[CT Md]]</f>
        <v>0</v>
      </c>
      <c r="N18" s="100">
        <f>(Estadísticos[[#This Row],[CT Md]]-Estadísticos[[#This Row],[G+V Md]])/Estadísticos[[#This Row],[CT Md]]</f>
        <v>0</v>
      </c>
      <c r="O18" s="76">
        <v>14</v>
      </c>
      <c r="P18" s="117" t="s">
        <v>255</v>
      </c>
      <c r="Q18" s="117"/>
      <c r="R18" s="117"/>
      <c r="S18" s="117"/>
      <c r="T18" s="75" t="s">
        <v>113</v>
      </c>
      <c r="U18" s="120" t="str">
        <f>IFERROR(1-(V18+W18),"")</f>
        <v/>
      </c>
      <c r="V18" s="120" t="str">
        <f>IFERROR(AVERAGEIFS(Estadísticos[Variable],Estadísticos[Nivel],$T18,Estadísticos[Tipo de Cargo],$T$1),"")</f>
        <v/>
      </c>
      <c r="W18" s="120" t="str">
        <f>IFERROR(AVERAGEIFS(Estadísticos[Beneficios],Estadísticos[Nivel],$T18,Estadísticos[Tipo de Cargo],$T$1),"")</f>
        <v/>
      </c>
    </row>
    <row r="19" spans="2:23" x14ac:dyDescent="0.25">
      <c r="B19" s="73" t="s">
        <v>203</v>
      </c>
      <c r="C19" s="75" t="s">
        <v>245</v>
      </c>
      <c r="D19" s="74">
        <v>7817306.5755178053</v>
      </c>
      <c r="E19" s="74">
        <v>9090663.8788953517</v>
      </c>
      <c r="F19" s="74">
        <v>9090663.8788953517</v>
      </c>
      <c r="G19" s="74">
        <v>9255301.5050651543</v>
      </c>
      <c r="H19" s="74">
        <v>9255301.5050651543</v>
      </c>
      <c r="I19" s="74">
        <v>9255301.5050651543</v>
      </c>
      <c r="J19" s="74">
        <v>15874219.091816194</v>
      </c>
      <c r="K19" s="74">
        <v>15874219.091816194</v>
      </c>
      <c r="L19" s="74">
        <v>16413851.941469857</v>
      </c>
      <c r="M19" s="100">
        <f>(Estadísticos[[#This Row],[G+V Md]]-Estadísticos[[#This Row],[GMd]])/Estadísticos[[#This Row],[CT Md]]</f>
        <v>0</v>
      </c>
      <c r="N19" s="100">
        <f>(Estadísticos[[#This Row],[CT Md]]-Estadísticos[[#This Row],[G+V Md]])/Estadísticos[[#This Row],[CT Md]]</f>
        <v>0</v>
      </c>
      <c r="O19" s="76">
        <v>14</v>
      </c>
      <c r="P19" s="117" t="s">
        <v>255</v>
      </c>
      <c r="Q19" s="117"/>
      <c r="R19" s="117"/>
      <c r="S19" s="117"/>
      <c r="T19" s="75" t="s">
        <v>248</v>
      </c>
      <c r="U19" s="120" t="str">
        <f>IFERROR(1-(V19+W19),"")</f>
        <v/>
      </c>
      <c r="V19" s="120" t="str">
        <f>IFERROR(AVERAGEIFS(DatosHoy[% Variable],DatosHoy[Nivel],Estadísticos!T18,DatosHoy[Tipo de Cargo],$T$1),"")</f>
        <v/>
      </c>
      <c r="W19" s="120" t="str">
        <f>IFERROR(AVERAGEIFS(DatosHoy[% Beneficios],DatosHoy[Nivel],Estadísticos!T18,DatosHoy[Tipo de Cargo],$T$1),"")</f>
        <v/>
      </c>
    </row>
    <row r="20" spans="2:23" x14ac:dyDescent="0.25">
      <c r="B20" s="73" t="s">
        <v>175</v>
      </c>
      <c r="C20" s="75" t="s">
        <v>245</v>
      </c>
      <c r="D20" s="74">
        <v>11445439.07559894</v>
      </c>
      <c r="E20" s="74">
        <v>12202412.557432273</v>
      </c>
      <c r="F20" s="74">
        <v>12373804.397432273</v>
      </c>
      <c r="G20" s="74">
        <v>13962648.121607447</v>
      </c>
      <c r="H20" s="74">
        <v>15094833.840940781</v>
      </c>
      <c r="I20" s="74">
        <v>15266225.680940781</v>
      </c>
      <c r="J20" s="74">
        <v>18232392.566129252</v>
      </c>
      <c r="K20" s="74">
        <v>19370769.485522427</v>
      </c>
      <c r="L20" s="74">
        <v>19708073.268205587</v>
      </c>
      <c r="M20" s="100">
        <f>(Estadísticos[[#This Row],[G+V Md]]-Estadísticos[[#This Row],[GMd]])/Estadísticos[[#This Row],[CT Md]]</f>
        <v>7.4162778868572504E-2</v>
      </c>
      <c r="N20" s="100">
        <f>(Estadísticos[[#This Row],[CT Md]]-Estadísticos[[#This Row],[G+V Md]])/Estadísticos[[#This Row],[CT Md]]</f>
        <v>1.122686403188544E-2</v>
      </c>
      <c r="O20" s="76">
        <v>14</v>
      </c>
      <c r="P20" s="117" t="s">
        <v>255</v>
      </c>
      <c r="Q20" s="117"/>
      <c r="R20" s="117"/>
      <c r="S20" s="117"/>
      <c r="T20" s="84"/>
      <c r="U20" s="84"/>
      <c r="V20" s="84"/>
      <c r="W20" s="84"/>
    </row>
    <row r="21" spans="2:23" x14ac:dyDescent="0.25">
      <c r="B21" s="73" t="s">
        <v>176</v>
      </c>
      <c r="C21" s="75" t="s">
        <v>245</v>
      </c>
      <c r="D21" s="74">
        <v>6669086.6326892562</v>
      </c>
      <c r="E21" s="74">
        <v>9539194.3620580547</v>
      </c>
      <c r="F21" s="74">
        <v>9539194.3620580547</v>
      </c>
      <c r="G21" s="74">
        <v>9366504.6545416918</v>
      </c>
      <c r="H21" s="74">
        <v>9711884.0695744175</v>
      </c>
      <c r="I21" s="74">
        <v>9711884.0695744175</v>
      </c>
      <c r="J21" s="74">
        <v>13885389.910557877</v>
      </c>
      <c r="K21" s="74">
        <v>14058079.618074238</v>
      </c>
      <c r="L21" s="74">
        <v>14058079.618074238</v>
      </c>
      <c r="M21" s="100">
        <f>(Estadísticos[[#This Row],[G+V Md]]-Estadísticos[[#This Row],[GMd]])/Estadísticos[[#This Row],[CT Md]]</f>
        <v>3.5562555376328804E-2</v>
      </c>
      <c r="N21" s="100">
        <f>(Estadísticos[[#This Row],[CT Md]]-Estadísticos[[#This Row],[G+V Md]])/Estadísticos[[#This Row],[CT Md]]</f>
        <v>0</v>
      </c>
      <c r="O21" s="76">
        <v>13</v>
      </c>
      <c r="P21" s="117" t="s">
        <v>255</v>
      </c>
      <c r="Q21" s="117"/>
      <c r="R21" s="117"/>
      <c r="S21" s="117"/>
      <c r="T21" s="84"/>
      <c r="U21" s="84"/>
      <c r="V21" s="84"/>
      <c r="W21" s="84"/>
    </row>
    <row r="22" spans="2:23" x14ac:dyDescent="0.25">
      <c r="B22" s="73" t="s">
        <v>177</v>
      </c>
      <c r="C22" s="75" t="s">
        <v>245</v>
      </c>
      <c r="D22" s="74">
        <v>7327691.6599250007</v>
      </c>
      <c r="E22" s="74">
        <v>7327691.6599250007</v>
      </c>
      <c r="F22" s="74">
        <v>7775931.3265916668</v>
      </c>
      <c r="G22" s="74">
        <v>7891360.2491500005</v>
      </c>
      <c r="H22" s="74">
        <v>7891360.2491500005</v>
      </c>
      <c r="I22" s="74">
        <v>8339599.9158166666</v>
      </c>
      <c r="J22" s="74">
        <v>7922240.1350950003</v>
      </c>
      <c r="K22" s="74">
        <v>8185240.1350950003</v>
      </c>
      <c r="L22" s="74">
        <v>8495055.8884283341</v>
      </c>
      <c r="M22" s="100">
        <f>(Estadísticos[[#This Row],[G+V Md]]-Estadísticos[[#This Row],[GMd]])/Estadísticos[[#This Row],[CT Md]]</f>
        <v>0</v>
      </c>
      <c r="N22" s="100">
        <f>(Estadísticos[[#This Row],[CT Md]]-Estadísticos[[#This Row],[G+V Md]])/Estadísticos[[#This Row],[CT Md]]</f>
        <v>5.374834178993964E-2</v>
      </c>
      <c r="O22" s="76">
        <v>13</v>
      </c>
      <c r="P22" s="117" t="s">
        <v>255</v>
      </c>
      <c r="Q22" s="117"/>
      <c r="R22" s="117"/>
      <c r="S22" s="117"/>
      <c r="T22" s="84"/>
      <c r="U22" s="84"/>
      <c r="V22" s="84"/>
      <c r="W22" s="84"/>
    </row>
    <row r="23" spans="2:23" x14ac:dyDescent="0.25">
      <c r="B23" s="73" t="s">
        <v>204</v>
      </c>
      <c r="C23" s="75" t="s">
        <v>245</v>
      </c>
      <c r="D23" s="74">
        <v>6707642.0343261445</v>
      </c>
      <c r="E23" s="74">
        <v>6999907.0963261444</v>
      </c>
      <c r="F23" s="74">
        <v>7128450.9763261443</v>
      </c>
      <c r="G23" s="74">
        <v>9790097.8582304716</v>
      </c>
      <c r="H23" s="74">
        <v>9790097.8582304716</v>
      </c>
      <c r="I23" s="74">
        <v>9790097.8582304716</v>
      </c>
      <c r="J23" s="74">
        <v>10897293.18106135</v>
      </c>
      <c r="K23" s="74">
        <v>10897293.18106135</v>
      </c>
      <c r="L23" s="74">
        <v>11025837.061061349</v>
      </c>
      <c r="M23" s="100">
        <f>(Estadísticos[[#This Row],[G+V Md]]-Estadísticos[[#This Row],[GMd]])/Estadísticos[[#This Row],[CT Md]]</f>
        <v>0</v>
      </c>
      <c r="N23" s="100">
        <f>(Estadísticos[[#This Row],[CT Md]]-Estadísticos[[#This Row],[G+V Md]])/Estadísticos[[#This Row],[CT Md]]</f>
        <v>0</v>
      </c>
      <c r="O23" s="76">
        <v>13</v>
      </c>
      <c r="P23" s="117" t="s">
        <v>255</v>
      </c>
      <c r="Q23" s="117"/>
      <c r="R23" s="117"/>
      <c r="S23" s="117"/>
      <c r="T23" s="84"/>
      <c r="U23" s="84"/>
      <c r="V23" s="84"/>
      <c r="W23" s="84"/>
    </row>
    <row r="24" spans="2:23" x14ac:dyDescent="0.25">
      <c r="B24" s="73" t="s">
        <v>205</v>
      </c>
      <c r="C24" s="75" t="s">
        <v>245</v>
      </c>
      <c r="D24" s="74">
        <v>5117463.8017358016</v>
      </c>
      <c r="E24" s="74">
        <v>5210458.4625664577</v>
      </c>
      <c r="F24" s="74">
        <v>5307992.6984704584</v>
      </c>
      <c r="G24" s="74">
        <v>6028214.6390756508</v>
      </c>
      <c r="H24" s="74">
        <v>6028214.6390756508</v>
      </c>
      <c r="I24" s="74">
        <v>6093237.4630116513</v>
      </c>
      <c r="J24" s="74">
        <v>8549973.796363337</v>
      </c>
      <c r="K24" s="74">
        <v>8549973.796363337</v>
      </c>
      <c r="L24" s="74">
        <v>8603710.6136107929</v>
      </c>
      <c r="M24" s="100">
        <f>(Estadísticos[[#This Row],[G+V Md]]-Estadísticos[[#This Row],[GMd]])/Estadísticos[[#This Row],[CT Md]]</f>
        <v>0</v>
      </c>
      <c r="N24" s="100">
        <f>(Estadísticos[[#This Row],[CT Md]]-Estadísticos[[#This Row],[G+V Md]])/Estadísticos[[#This Row],[CT Md]]</f>
        <v>1.0671309682367475E-2</v>
      </c>
      <c r="O24" s="76">
        <v>13</v>
      </c>
      <c r="P24" s="117" t="s">
        <v>255</v>
      </c>
      <c r="Q24" s="117"/>
      <c r="R24" s="117"/>
      <c r="S24" s="117"/>
      <c r="T24" s="84"/>
      <c r="U24" s="84"/>
      <c r="V24" s="84"/>
      <c r="W24" s="84"/>
    </row>
    <row r="25" spans="2:23" x14ac:dyDescent="0.25">
      <c r="B25" s="73" t="s">
        <v>206</v>
      </c>
      <c r="C25" s="75" t="s">
        <v>116</v>
      </c>
      <c r="D25" s="74">
        <v>6593638.837202874</v>
      </c>
      <c r="E25" s="74">
        <v>7661125.8002321031</v>
      </c>
      <c r="F25" s="74">
        <v>7791311.8021346414</v>
      </c>
      <c r="G25" s="74">
        <v>7998336.4295532797</v>
      </c>
      <c r="H25" s="74">
        <v>8352893.2749650944</v>
      </c>
      <c r="I25" s="74">
        <v>8511018.9810945094</v>
      </c>
      <c r="J25" s="74">
        <v>9831142.6420283653</v>
      </c>
      <c r="K25" s="74">
        <v>10205573.898593187</v>
      </c>
      <c r="L25" s="74">
        <v>10205573.898593187</v>
      </c>
      <c r="M25" s="100">
        <f>(Estadísticos[[#This Row],[G+V Md]]-Estadísticos[[#This Row],[GMd]])/Estadísticos[[#This Row],[CT Md]]</f>
        <v>4.165856593662761E-2</v>
      </c>
      <c r="N25" s="100">
        <f>(Estadísticos[[#This Row],[CT Md]]-Estadísticos[[#This Row],[G+V Md]])/Estadísticos[[#This Row],[CT Md]]</f>
        <v>1.8578939429069415E-2</v>
      </c>
      <c r="O25" s="76">
        <v>12</v>
      </c>
      <c r="P25" s="117" t="s">
        <v>255</v>
      </c>
      <c r="Q25" s="117"/>
      <c r="R25" s="117"/>
      <c r="S25" s="117"/>
      <c r="T25" s="84"/>
      <c r="U25" s="84"/>
      <c r="V25" s="84"/>
      <c r="W25" s="84"/>
    </row>
    <row r="26" spans="2:23" x14ac:dyDescent="0.25">
      <c r="B26" s="73" t="s">
        <v>207</v>
      </c>
      <c r="C26" s="75" t="s">
        <v>116</v>
      </c>
      <c r="D26" s="74">
        <v>9766738.1928795483</v>
      </c>
      <c r="E26" s="74">
        <v>10340566.239685345</v>
      </c>
      <c r="F26" s="74">
        <v>10413304.162750147</v>
      </c>
      <c r="G26" s="74">
        <v>10336679.107291687</v>
      </c>
      <c r="H26" s="74">
        <v>11484335.200903285</v>
      </c>
      <c r="I26" s="74">
        <v>11532827.149613153</v>
      </c>
      <c r="J26" s="74">
        <v>10906620.021703828</v>
      </c>
      <c r="K26" s="74">
        <v>12628104.162121225</v>
      </c>
      <c r="L26" s="74">
        <v>12652350.136476159</v>
      </c>
      <c r="M26" s="100">
        <f>(Estadísticos[[#This Row],[G+V Md]]-Estadísticos[[#This Row],[GMd]])/Estadísticos[[#This Row],[CT Md]]</f>
        <v>9.9512121245144469E-2</v>
      </c>
      <c r="N26" s="100">
        <f>(Estadísticos[[#This Row],[CT Md]]-Estadísticos[[#This Row],[G+V Md]])/Estadísticos[[#This Row],[CT Md]]</f>
        <v>4.2046887619827432E-3</v>
      </c>
      <c r="O26" s="76">
        <v>12</v>
      </c>
      <c r="P26" s="117" t="s">
        <v>255</v>
      </c>
      <c r="Q26" s="117"/>
      <c r="R26" s="117"/>
      <c r="S26" s="117"/>
      <c r="T26" s="84"/>
      <c r="U26" s="84"/>
      <c r="V26" s="84"/>
      <c r="W26" s="84"/>
    </row>
    <row r="27" spans="2:23" x14ac:dyDescent="0.25">
      <c r="B27" s="73" t="s">
        <v>178</v>
      </c>
      <c r="C27" s="75" t="s">
        <v>116</v>
      </c>
      <c r="D27" s="74">
        <v>4555720.0082650594</v>
      </c>
      <c r="E27" s="74">
        <v>5275565.4472220251</v>
      </c>
      <c r="F27" s="74">
        <v>5563417.1828379286</v>
      </c>
      <c r="G27" s="74">
        <v>4858025.4813414905</v>
      </c>
      <c r="H27" s="74">
        <v>5337922.4406461343</v>
      </c>
      <c r="I27" s="74">
        <v>5664197.9381815065</v>
      </c>
      <c r="J27" s="74">
        <v>5160330.9544179216</v>
      </c>
      <c r="K27" s="74">
        <v>5400279.4340702426</v>
      </c>
      <c r="L27" s="74">
        <v>5764978.6935250834</v>
      </c>
      <c r="M27" s="100">
        <f>(Estadísticos[[#This Row],[G+V Md]]-Estadísticos[[#This Row],[GMd]])/Estadísticos[[#This Row],[CT Md]]</f>
        <v>8.4724609652097535E-2</v>
      </c>
      <c r="N27" s="100">
        <f>(Estadísticos[[#This Row],[CT Md]]-Estadísticos[[#This Row],[G+V Md]])/Estadísticos[[#This Row],[CT Md]]</f>
        <v>5.7603124236884115E-2</v>
      </c>
      <c r="O27" s="76">
        <v>12</v>
      </c>
      <c r="P27" s="117" t="s">
        <v>255</v>
      </c>
      <c r="Q27" s="117"/>
      <c r="R27" s="117"/>
      <c r="S27" s="117"/>
      <c r="T27" s="84"/>
      <c r="U27" s="84"/>
      <c r="V27" s="84"/>
      <c r="W27" s="84"/>
    </row>
    <row r="28" spans="2:23" x14ac:dyDescent="0.25">
      <c r="B28" s="73" t="s">
        <v>179</v>
      </c>
      <c r="C28" s="75" t="s">
        <v>116</v>
      </c>
      <c r="D28" s="74">
        <v>8844460.6453180443</v>
      </c>
      <c r="E28" s="74">
        <v>9472505.9603180438</v>
      </c>
      <c r="F28" s="74">
        <v>9643897.8003180437</v>
      </c>
      <c r="G28" s="74">
        <v>11358224.498688214</v>
      </c>
      <c r="H28" s="74">
        <v>11776921.37535488</v>
      </c>
      <c r="I28" s="74">
        <v>11948313.21535488</v>
      </c>
      <c r="J28" s="74">
        <v>13871988.352058383</v>
      </c>
      <c r="K28" s="74">
        <v>14081336.790391717</v>
      </c>
      <c r="L28" s="74">
        <v>14252728.630391717</v>
      </c>
      <c r="M28" s="100">
        <f>(Estadísticos[[#This Row],[G+V Md]]-Estadísticos[[#This Row],[GMd]])/Estadísticos[[#This Row],[CT Md]]</f>
        <v>3.504234188710386E-2</v>
      </c>
      <c r="N28" s="100">
        <f>(Estadísticos[[#This Row],[CT Md]]-Estadísticos[[#This Row],[G+V Md]])/Estadísticos[[#This Row],[CT Md]]</f>
        <v>1.4344438157157005E-2</v>
      </c>
      <c r="O28" s="76">
        <v>12</v>
      </c>
      <c r="P28" s="117" t="s">
        <v>256</v>
      </c>
      <c r="Q28" s="117"/>
      <c r="R28" s="117"/>
      <c r="S28" s="117"/>
      <c r="T28" s="84"/>
      <c r="U28" s="84"/>
      <c r="V28" s="84"/>
      <c r="W28" s="84"/>
    </row>
    <row r="29" spans="2:23" x14ac:dyDescent="0.25">
      <c r="B29" s="73" t="s">
        <v>208</v>
      </c>
      <c r="C29" s="75" t="s">
        <v>116</v>
      </c>
      <c r="D29" s="74">
        <v>4693403.3534964928</v>
      </c>
      <c r="E29" s="74">
        <v>5787243.7617022572</v>
      </c>
      <c r="F29" s="74">
        <v>5787243.7617022572</v>
      </c>
      <c r="G29" s="74">
        <v>5476936.559702686</v>
      </c>
      <c r="H29" s="74">
        <v>5819445.257345072</v>
      </c>
      <c r="I29" s="74">
        <v>5819445.257345072</v>
      </c>
      <c r="J29" s="74">
        <v>7505157.3600000003</v>
      </c>
      <c r="K29" s="74">
        <v>7505157.3600000003</v>
      </c>
      <c r="L29" s="74">
        <v>7953397.0266666664</v>
      </c>
      <c r="M29" s="100">
        <f>(Estadísticos[[#This Row],[G+V Md]]-Estadísticos[[#This Row],[GMd]])/Estadísticos[[#This Row],[CT Md]]</f>
        <v>5.8855901635999602E-2</v>
      </c>
      <c r="N29" s="100">
        <f>(Estadísticos[[#This Row],[CT Md]]-Estadísticos[[#This Row],[G+V Md]])/Estadísticos[[#This Row],[CT Md]]</f>
        <v>0</v>
      </c>
      <c r="O29" s="76">
        <v>12</v>
      </c>
      <c r="P29" s="117" t="s">
        <v>255</v>
      </c>
      <c r="Q29" s="117"/>
      <c r="R29" s="117"/>
      <c r="S29" s="117"/>
      <c r="T29" s="84"/>
      <c r="U29" s="84"/>
      <c r="V29" s="84"/>
      <c r="W29" s="84"/>
    </row>
    <row r="30" spans="2:23" x14ac:dyDescent="0.25">
      <c r="B30" s="73" t="s">
        <v>209</v>
      </c>
      <c r="C30" s="75" t="s">
        <v>116</v>
      </c>
      <c r="D30" s="74">
        <v>6699561.9990374036</v>
      </c>
      <c r="E30" s="74">
        <v>6699561.9990374036</v>
      </c>
      <c r="F30" s="74">
        <v>6699561.9990374036</v>
      </c>
      <c r="G30" s="74">
        <v>10687967.952967066</v>
      </c>
      <c r="H30" s="74">
        <v>11166717.238259573</v>
      </c>
      <c r="I30" s="74">
        <v>11229202.785150416</v>
      </c>
      <c r="J30" s="74">
        <v>15289230.673820298</v>
      </c>
      <c r="K30" s="74">
        <v>15528605.316466551</v>
      </c>
      <c r="L30" s="74">
        <v>15594663.649575708</v>
      </c>
      <c r="M30" s="100">
        <f>(Estadísticos[[#This Row],[G+V Md]]-Estadísticos[[#This Row],[GMd]])/Estadísticos[[#This Row],[CT Md]]</f>
        <v>4.2634307568619918E-2</v>
      </c>
      <c r="N30" s="100">
        <f>(Estadísticos[[#This Row],[CT Md]]-Estadísticos[[#This Row],[G+V Md]])/Estadísticos[[#This Row],[CT Md]]</f>
        <v>5.5645577060443709E-3</v>
      </c>
      <c r="O30" s="76">
        <v>12</v>
      </c>
      <c r="P30" s="117" t="s">
        <v>255</v>
      </c>
      <c r="Q30" s="117"/>
      <c r="R30" s="117"/>
      <c r="S30" s="117"/>
      <c r="T30" s="84"/>
      <c r="U30" s="84"/>
      <c r="V30" s="84"/>
      <c r="W30" s="84"/>
    </row>
    <row r="31" spans="2:23" x14ac:dyDescent="0.25">
      <c r="B31" s="73" t="s">
        <v>210</v>
      </c>
      <c r="C31" s="75" t="s">
        <v>116</v>
      </c>
      <c r="D31" s="74">
        <v>7257293.1421752218</v>
      </c>
      <c r="E31" s="74">
        <v>7257293.1421752218</v>
      </c>
      <c r="F31" s="74">
        <v>7658710.3318975521</v>
      </c>
      <c r="G31" s="74">
        <v>7498179.3457229109</v>
      </c>
      <c r="H31" s="74">
        <v>8441723.0736918561</v>
      </c>
      <c r="I31" s="74">
        <v>8854420.5095205195</v>
      </c>
      <c r="J31" s="74">
        <v>9127564.5410233494</v>
      </c>
      <c r="K31" s="74">
        <v>9630067.4910050165</v>
      </c>
      <c r="L31" s="74">
        <v>9630067.4910050165</v>
      </c>
      <c r="M31" s="100">
        <f>(Estadísticos[[#This Row],[G+V Md]]-Estadísticos[[#This Row],[GMd]])/Estadísticos[[#This Row],[CT Md]]</f>
        <v>0.10656188363252239</v>
      </c>
      <c r="N31" s="100">
        <f>(Estadísticos[[#This Row],[CT Md]]-Estadísticos[[#This Row],[G+V Md]])/Estadísticos[[#This Row],[CT Md]]</f>
        <v>4.6609197675321568E-2</v>
      </c>
      <c r="O31" s="76">
        <v>12</v>
      </c>
      <c r="P31" s="117" t="s">
        <v>255</v>
      </c>
      <c r="Q31" s="117"/>
      <c r="R31" s="117"/>
      <c r="S31" s="117"/>
      <c r="T31" s="84"/>
      <c r="U31" s="84"/>
      <c r="V31" s="84"/>
      <c r="W31" s="84"/>
    </row>
    <row r="32" spans="2:23" x14ac:dyDescent="0.25">
      <c r="B32" s="73" t="s">
        <v>211</v>
      </c>
      <c r="C32" s="75" t="s">
        <v>116</v>
      </c>
      <c r="D32" s="74">
        <v>5110824.4104303624</v>
      </c>
      <c r="E32" s="74">
        <v>5110824.4104303624</v>
      </c>
      <c r="F32" s="74">
        <v>5229150.9557439778</v>
      </c>
      <c r="G32" s="74">
        <v>5229150.9557439778</v>
      </c>
      <c r="H32" s="74">
        <v>5229150.9557439778</v>
      </c>
      <c r="I32" s="74">
        <v>5580112.8306619748</v>
      </c>
      <c r="J32" s="74">
        <v>6458923.2035587672</v>
      </c>
      <c r="K32" s="74">
        <v>6458923.2035587672</v>
      </c>
      <c r="L32" s="74">
        <v>6458923.2035587672</v>
      </c>
      <c r="M32" s="100">
        <f>(Estadísticos[[#This Row],[G+V Md]]-Estadísticos[[#This Row],[GMd]])/Estadísticos[[#This Row],[CT Md]]</f>
        <v>0</v>
      </c>
      <c r="N32" s="100">
        <f>(Estadísticos[[#This Row],[CT Md]]-Estadísticos[[#This Row],[G+V Md]])/Estadísticos[[#This Row],[CT Md]]</f>
        <v>6.2895121580608268E-2</v>
      </c>
      <c r="O32" s="76">
        <v>12</v>
      </c>
      <c r="P32" s="117" t="s">
        <v>255</v>
      </c>
      <c r="Q32" s="117"/>
      <c r="R32" s="117"/>
      <c r="S32" s="117"/>
      <c r="T32" s="84"/>
      <c r="U32" s="84"/>
      <c r="V32" s="84"/>
      <c r="W32" s="84"/>
    </row>
    <row r="33" spans="2:23" x14ac:dyDescent="0.25">
      <c r="B33" s="73" t="s">
        <v>212</v>
      </c>
      <c r="C33" s="75" t="s">
        <v>116</v>
      </c>
      <c r="D33" s="74">
        <v>4486683.5068420637</v>
      </c>
      <c r="E33" s="74">
        <v>4486683.5068420637</v>
      </c>
      <c r="F33" s="74">
        <v>4510929.4811969977</v>
      </c>
      <c r="G33" s="74">
        <v>5674853.869003037</v>
      </c>
      <c r="H33" s="74">
        <v>5674853.869003037</v>
      </c>
      <c r="I33" s="74">
        <v>5723345.8177129049</v>
      </c>
      <c r="J33" s="74">
        <v>6863024.2311640102</v>
      </c>
      <c r="K33" s="74">
        <v>6863024.2311640102</v>
      </c>
      <c r="L33" s="74">
        <v>6935762.1542288121</v>
      </c>
      <c r="M33" s="100">
        <f>(Estadísticos[[#This Row],[G+V Md]]-Estadísticos[[#This Row],[GMd]])/Estadísticos[[#This Row],[CT Md]]</f>
        <v>0</v>
      </c>
      <c r="N33" s="100">
        <f>(Estadísticos[[#This Row],[CT Md]]-Estadísticos[[#This Row],[G+V Md]])/Estadísticos[[#This Row],[CT Md]]</f>
        <v>8.4726574724512567E-3</v>
      </c>
      <c r="O33" s="76">
        <v>12</v>
      </c>
      <c r="P33" s="117" t="s">
        <v>255</v>
      </c>
      <c r="Q33" s="117"/>
      <c r="R33" s="117"/>
      <c r="S33" s="117"/>
      <c r="T33" s="84"/>
      <c r="U33" s="84"/>
      <c r="V33" s="84"/>
      <c r="W33" s="84"/>
    </row>
    <row r="34" spans="2:23" x14ac:dyDescent="0.25">
      <c r="B34" s="73" t="s">
        <v>213</v>
      </c>
      <c r="C34" s="75" t="s">
        <v>116</v>
      </c>
      <c r="D34" s="74">
        <v>2876032.7161361109</v>
      </c>
      <c r="E34" s="74">
        <v>6357207.1744830152</v>
      </c>
      <c r="F34" s="74">
        <v>6357207.1744830152</v>
      </c>
      <c r="G34" s="74">
        <v>6234953.4956079246</v>
      </c>
      <c r="H34" s="74">
        <v>7622779.5756527856</v>
      </c>
      <c r="I34" s="74">
        <v>7622779.5756527856</v>
      </c>
      <c r="J34" s="74">
        <v>6903926.118474748</v>
      </c>
      <c r="K34" s="74">
        <v>8900090.0442762207</v>
      </c>
      <c r="L34" s="74">
        <v>8900090.0442762207</v>
      </c>
      <c r="M34" s="100">
        <f>(Estadísticos[[#This Row],[G+V Md]]-Estadísticos[[#This Row],[GMd]])/Estadísticos[[#This Row],[CT Md]]</f>
        <v>0.18206299503629722</v>
      </c>
      <c r="N34" s="100">
        <f>(Estadísticos[[#This Row],[CT Md]]-Estadísticos[[#This Row],[G+V Md]])/Estadísticos[[#This Row],[CT Md]]</f>
        <v>0</v>
      </c>
      <c r="O34" s="76">
        <v>12</v>
      </c>
      <c r="P34" s="117" t="s">
        <v>256</v>
      </c>
      <c r="Q34" s="117"/>
      <c r="R34" s="117"/>
      <c r="S34" s="117"/>
      <c r="T34" s="84"/>
      <c r="U34" s="84"/>
      <c r="V34" s="84"/>
      <c r="W34" s="84"/>
    </row>
    <row r="35" spans="2:23" x14ac:dyDescent="0.25">
      <c r="B35" s="73" t="s">
        <v>214</v>
      </c>
      <c r="C35" s="75" t="s">
        <v>116</v>
      </c>
      <c r="D35" s="74">
        <v>4776375.2219249532</v>
      </c>
      <c r="E35" s="74">
        <v>4776375.2219249532</v>
      </c>
      <c r="F35" s="74">
        <v>5395421.3756679464</v>
      </c>
      <c r="G35" s="74">
        <v>5049030.7868568338</v>
      </c>
      <c r="H35" s="74">
        <v>5049030.7868568338</v>
      </c>
      <c r="I35" s="74">
        <v>5461728.2226854963</v>
      </c>
      <c r="J35" s="74">
        <v>5321686.3517887145</v>
      </c>
      <c r="K35" s="74">
        <v>5321686.3517887145</v>
      </c>
      <c r="L35" s="74">
        <v>5528035.0697030462</v>
      </c>
      <c r="M35" s="100">
        <f>(Estadísticos[[#This Row],[G+V Md]]-Estadísticos[[#This Row],[GMd]])/Estadísticos[[#This Row],[CT Md]]</f>
        <v>0</v>
      </c>
      <c r="N35" s="100">
        <f>(Estadísticos[[#This Row],[CT Md]]-Estadísticos[[#This Row],[G+V Md]])/Estadísticos[[#This Row],[CT Md]]</f>
        <v>7.5561693845275557E-2</v>
      </c>
      <c r="O35" s="76">
        <v>12</v>
      </c>
      <c r="P35" s="117" t="s">
        <v>255</v>
      </c>
      <c r="Q35" s="117"/>
      <c r="R35" s="117"/>
      <c r="S35" s="117"/>
      <c r="T35" s="84"/>
      <c r="U35" s="84"/>
      <c r="V35" s="84"/>
      <c r="W35" s="84"/>
    </row>
    <row r="36" spans="2:23" x14ac:dyDescent="0.25">
      <c r="B36" s="73" t="s">
        <v>180</v>
      </c>
      <c r="C36" s="75" t="s">
        <v>116</v>
      </c>
      <c r="D36" s="74">
        <v>8823685.2648116369</v>
      </c>
      <c r="E36" s="74">
        <v>8823685.2648116369</v>
      </c>
      <c r="F36" s="74">
        <v>8896423.1878764387</v>
      </c>
      <c r="G36" s="74">
        <v>9806965.2786221374</v>
      </c>
      <c r="H36" s="74">
        <v>9806965.2786221374</v>
      </c>
      <c r="I36" s="74">
        <v>9855457.2273320053</v>
      </c>
      <c r="J36" s="74">
        <v>10790245.29243264</v>
      </c>
      <c r="K36" s="74">
        <v>10790245.29243264</v>
      </c>
      <c r="L36" s="74">
        <v>10814491.266787574</v>
      </c>
      <c r="M36" s="100">
        <f>(Estadísticos[[#This Row],[G+V Md]]-Estadísticos[[#This Row],[GMd]])/Estadísticos[[#This Row],[CT Md]]</f>
        <v>0</v>
      </c>
      <c r="N36" s="100">
        <f>(Estadísticos[[#This Row],[CT Md]]-Estadísticos[[#This Row],[G+V Md]])/Estadísticos[[#This Row],[CT Md]]</f>
        <v>4.9203144604378002E-3</v>
      </c>
      <c r="O36" s="76">
        <v>11</v>
      </c>
      <c r="P36" s="117" t="s">
        <v>255</v>
      </c>
      <c r="Q36" s="117"/>
      <c r="R36" s="117"/>
      <c r="S36" s="117"/>
      <c r="T36" s="84"/>
      <c r="U36" s="84"/>
      <c r="V36" s="84"/>
      <c r="W36" s="84"/>
    </row>
    <row r="37" spans="2:23" x14ac:dyDescent="0.25">
      <c r="B37" s="73" t="s">
        <v>215</v>
      </c>
      <c r="C37" s="75" t="s">
        <v>116</v>
      </c>
      <c r="D37" s="74">
        <v>6141314.4315406894</v>
      </c>
      <c r="E37" s="74">
        <v>6337832.1806617863</v>
      </c>
      <c r="F37" s="74">
        <v>6499042.6324041523</v>
      </c>
      <c r="G37" s="74">
        <v>7363195.8646999886</v>
      </c>
      <c r="H37" s="74">
        <v>7363195.8646999886</v>
      </c>
      <c r="I37" s="74">
        <v>7706482.7505402174</v>
      </c>
      <c r="J37" s="74">
        <v>8326990.4881251771</v>
      </c>
      <c r="K37" s="74">
        <v>8326990.4881251771</v>
      </c>
      <c r="L37" s="74">
        <v>8415432.5803668499</v>
      </c>
      <c r="M37" s="100">
        <f>(Estadísticos[[#This Row],[G+V Md]]-Estadísticos[[#This Row],[GMd]])/Estadísticos[[#This Row],[CT Md]]</f>
        <v>0</v>
      </c>
      <c r="N37" s="100">
        <f>(Estadísticos[[#This Row],[CT Md]]-Estadísticos[[#This Row],[G+V Md]])/Estadísticos[[#This Row],[CT Md]]</f>
        <v>4.454520913787352E-2</v>
      </c>
      <c r="O37" s="76">
        <v>11</v>
      </c>
      <c r="P37" s="117" t="s">
        <v>255</v>
      </c>
      <c r="Q37" s="117"/>
      <c r="R37" s="117"/>
      <c r="S37" s="117"/>
      <c r="T37" s="84"/>
      <c r="U37" s="84"/>
      <c r="V37" s="84"/>
      <c r="W37" s="84"/>
    </row>
    <row r="38" spans="2:23" x14ac:dyDescent="0.25">
      <c r="B38" s="73" t="s">
        <v>216</v>
      </c>
      <c r="C38" s="75" t="s">
        <v>116</v>
      </c>
      <c r="D38" s="74">
        <v>9139836.976786565</v>
      </c>
      <c r="E38" s="74">
        <v>9139836.976786565</v>
      </c>
      <c r="F38" s="74">
        <v>9139836.976786565</v>
      </c>
      <c r="G38" s="74">
        <v>14453402.931129888</v>
      </c>
      <c r="H38" s="74">
        <v>14453402.931129888</v>
      </c>
      <c r="I38" s="74">
        <v>14595287.277824191</v>
      </c>
      <c r="J38" s="74">
        <v>15582840.257710904</v>
      </c>
      <c r="K38" s="74">
        <v>15582840.257710904</v>
      </c>
      <c r="L38" s="74">
        <v>15780582.170601029</v>
      </c>
      <c r="M38" s="100">
        <f>(Estadísticos[[#This Row],[G+V Md]]-Estadísticos[[#This Row],[GMd]])/Estadísticos[[#This Row],[CT Md]]</f>
        <v>0</v>
      </c>
      <c r="N38" s="100">
        <f>(Estadísticos[[#This Row],[CT Md]]-Estadísticos[[#This Row],[G+V Md]])/Estadísticos[[#This Row],[CT Md]]</f>
        <v>9.7212438503954703E-3</v>
      </c>
      <c r="O38" s="76">
        <v>11</v>
      </c>
      <c r="P38" s="117" t="s">
        <v>255</v>
      </c>
      <c r="Q38" s="117"/>
      <c r="R38" s="117"/>
      <c r="S38" s="117"/>
      <c r="T38" s="84"/>
      <c r="U38" s="84"/>
      <c r="V38" s="84"/>
      <c r="W38" s="84"/>
    </row>
    <row r="39" spans="2:23" x14ac:dyDescent="0.25">
      <c r="B39" s="73" t="s">
        <v>217</v>
      </c>
      <c r="C39" s="75" t="s">
        <v>116</v>
      </c>
      <c r="D39" s="74">
        <v>4748059.2373626102</v>
      </c>
      <c r="E39" s="74">
        <v>4748059.2373626102</v>
      </c>
      <c r="F39" s="74">
        <v>4748059.2373626102</v>
      </c>
      <c r="G39" s="74">
        <v>5028031.1143415952</v>
      </c>
      <c r="H39" s="74">
        <v>5028031.1143415952</v>
      </c>
      <c r="I39" s="74">
        <v>5028031.1143415952</v>
      </c>
      <c r="J39" s="74">
        <v>5229150.9557439778</v>
      </c>
      <c r="K39" s="74">
        <v>5229150.9557439778</v>
      </c>
      <c r="L39" s="74">
        <v>5229150.9557439778</v>
      </c>
      <c r="M39" s="100">
        <f>(Estadísticos[[#This Row],[G+V Md]]-Estadísticos[[#This Row],[GMd]])/Estadísticos[[#This Row],[CT Md]]</f>
        <v>0</v>
      </c>
      <c r="N39" s="100">
        <f>(Estadísticos[[#This Row],[CT Md]]-Estadísticos[[#This Row],[G+V Md]])/Estadísticos[[#This Row],[CT Md]]</f>
        <v>0</v>
      </c>
      <c r="O39" s="76">
        <v>11</v>
      </c>
      <c r="P39" s="117" t="s">
        <v>255</v>
      </c>
      <c r="Q39" s="117"/>
      <c r="R39" s="117"/>
      <c r="S39" s="117"/>
      <c r="T39" s="84"/>
      <c r="U39" s="84"/>
      <c r="V39" s="84"/>
      <c r="W39" s="84"/>
    </row>
    <row r="40" spans="2:23" x14ac:dyDescent="0.25">
      <c r="B40" s="73" t="s">
        <v>218</v>
      </c>
      <c r="C40" s="75" t="s">
        <v>116</v>
      </c>
      <c r="D40" s="74">
        <v>3973139.1203397582</v>
      </c>
      <c r="E40" s="74">
        <v>4202670.339062077</v>
      </c>
      <c r="F40" s="74">
        <v>4202670.339062077</v>
      </c>
      <c r="G40" s="74">
        <v>3978541.1245202036</v>
      </c>
      <c r="H40" s="74">
        <v>4437603.5619648416</v>
      </c>
      <c r="I40" s="74">
        <v>4437603.5619648416</v>
      </c>
      <c r="J40" s="74">
        <v>7516496.2536878735</v>
      </c>
      <c r="K40" s="74">
        <v>8111584.7261671675</v>
      </c>
      <c r="L40" s="74">
        <v>8197280.6461671675</v>
      </c>
      <c r="M40" s="100">
        <f>(Estadísticos[[#This Row],[G+V Md]]-Estadísticos[[#This Row],[GMd]])/Estadísticos[[#This Row],[CT Md]]</f>
        <v>0.10344827586206878</v>
      </c>
      <c r="N40" s="100">
        <f>(Estadísticos[[#This Row],[CT Md]]-Estadísticos[[#This Row],[G+V Md]])/Estadísticos[[#This Row],[CT Md]]</f>
        <v>0</v>
      </c>
      <c r="O40" s="76">
        <v>11</v>
      </c>
      <c r="P40" s="117" t="s">
        <v>255</v>
      </c>
      <c r="Q40" s="117"/>
      <c r="R40" s="117"/>
      <c r="S40" s="117"/>
      <c r="T40" s="84"/>
      <c r="U40" s="84"/>
      <c r="V40" s="84"/>
      <c r="W40" s="84"/>
    </row>
    <row r="41" spans="2:23" x14ac:dyDescent="0.25">
      <c r="B41" s="73" t="s">
        <v>181</v>
      </c>
      <c r="C41" s="75" t="s">
        <v>116</v>
      </c>
      <c r="D41" s="74">
        <v>6627727.8833570667</v>
      </c>
      <c r="E41" s="74">
        <v>6627727.8833570667</v>
      </c>
      <c r="F41" s="74">
        <v>6842675.1523468886</v>
      </c>
      <c r="G41" s="74">
        <v>8144631.3562837709</v>
      </c>
      <c r="H41" s="74">
        <v>8144631.3562837709</v>
      </c>
      <c r="I41" s="74">
        <v>8359578.6252735928</v>
      </c>
      <c r="J41" s="74">
        <v>10498310.864404365</v>
      </c>
      <c r="K41" s="74">
        <v>10498310.864404365</v>
      </c>
      <c r="L41" s="74">
        <v>10654276.447609143</v>
      </c>
      <c r="M41" s="100">
        <f>(Estadísticos[[#This Row],[G+V Md]]-Estadísticos[[#This Row],[GMd]])/Estadísticos[[#This Row],[CT Md]]</f>
        <v>0</v>
      </c>
      <c r="N41" s="100">
        <f>(Estadísticos[[#This Row],[CT Md]]-Estadísticos[[#This Row],[G+V Md]])/Estadísticos[[#This Row],[CT Md]]</f>
        <v>2.5712691826352323E-2</v>
      </c>
      <c r="O41" s="76">
        <v>11</v>
      </c>
      <c r="P41" s="117" t="s">
        <v>255</v>
      </c>
      <c r="Q41" s="117"/>
      <c r="R41" s="117"/>
      <c r="S41" s="117"/>
      <c r="T41" s="84"/>
      <c r="U41" s="84"/>
      <c r="V41" s="84"/>
      <c r="W41" s="84"/>
    </row>
    <row r="42" spans="2:23" x14ac:dyDescent="0.25">
      <c r="B42" s="73" t="s">
        <v>219</v>
      </c>
      <c r="C42" s="75" t="s">
        <v>116</v>
      </c>
      <c r="D42" s="74">
        <v>4323880.0237393137</v>
      </c>
      <c r="E42" s="74">
        <v>4637119.9775271146</v>
      </c>
      <c r="F42" s="74">
        <v>4965716.6673576972</v>
      </c>
      <c r="G42" s="74">
        <v>6376952.8007502453</v>
      </c>
      <c r="H42" s="74">
        <v>7037865.2358247805</v>
      </c>
      <c r="I42" s="74">
        <v>7123561.1558247805</v>
      </c>
      <c r="J42" s="74">
        <v>8365763.6354173692</v>
      </c>
      <c r="K42" s="74">
        <v>8947221.599380793</v>
      </c>
      <c r="L42" s="74">
        <v>8947221.599380793</v>
      </c>
      <c r="M42" s="100">
        <f>(Estadísticos[[#This Row],[G+V Md]]-Estadísticos[[#This Row],[GMd]])/Estadísticos[[#This Row],[CT Md]]</f>
        <v>9.2778375957946468E-2</v>
      </c>
      <c r="N42" s="100">
        <f>(Estadísticos[[#This Row],[CT Md]]-Estadísticos[[#This Row],[G+V Md]])/Estadísticos[[#This Row],[CT Md]]</f>
        <v>1.2029926903895287E-2</v>
      </c>
      <c r="O42" s="76">
        <v>11</v>
      </c>
      <c r="P42" s="117" t="s">
        <v>255</v>
      </c>
      <c r="Q42" s="117"/>
      <c r="R42" s="117"/>
      <c r="S42" s="117"/>
      <c r="T42" s="84"/>
      <c r="U42" s="84"/>
      <c r="V42" s="84"/>
      <c r="W42" s="84"/>
    </row>
    <row r="43" spans="2:23" x14ac:dyDescent="0.25">
      <c r="B43" s="73" t="s">
        <v>220</v>
      </c>
      <c r="C43" s="75" t="s">
        <v>116</v>
      </c>
      <c r="D43" s="74">
        <v>5329547.8609580165</v>
      </c>
      <c r="E43" s="74">
        <v>5329547.8609580165</v>
      </c>
      <c r="F43" s="74">
        <v>5544495.1299478374</v>
      </c>
      <c r="G43" s="74">
        <v>5655981.2152625928</v>
      </c>
      <c r="H43" s="74">
        <v>5655981.2152625928</v>
      </c>
      <c r="I43" s="74">
        <v>5870928.4842524137</v>
      </c>
      <c r="J43" s="74">
        <v>8186702.1493943632</v>
      </c>
      <c r="K43" s="74">
        <v>8186702.1493943632</v>
      </c>
      <c r="L43" s="74">
        <v>8518295.6172226071</v>
      </c>
      <c r="M43" s="100">
        <f>(Estadísticos[[#This Row],[G+V Md]]-Estadísticos[[#This Row],[GMd]])/Estadísticos[[#This Row],[CT Md]]</f>
        <v>0</v>
      </c>
      <c r="N43" s="100">
        <f>(Estadísticos[[#This Row],[CT Md]]-Estadísticos[[#This Row],[G+V Md]])/Estadísticos[[#This Row],[CT Md]]</f>
        <v>3.6612142281476232E-2</v>
      </c>
      <c r="O43" s="76">
        <v>11</v>
      </c>
      <c r="P43" s="117" t="s">
        <v>255</v>
      </c>
      <c r="Q43" s="117"/>
      <c r="R43" s="117"/>
      <c r="S43" s="117"/>
      <c r="T43" s="84"/>
      <c r="U43" s="84"/>
      <c r="V43" s="84"/>
      <c r="W43" s="84"/>
    </row>
    <row r="44" spans="2:23" x14ac:dyDescent="0.25">
      <c r="B44" s="73" t="s">
        <v>221</v>
      </c>
      <c r="C44" s="75" t="s">
        <v>116</v>
      </c>
      <c r="D44" s="74">
        <v>5183427.5804098146</v>
      </c>
      <c r="E44" s="74">
        <v>5536285.9137431486</v>
      </c>
      <c r="F44" s="74">
        <v>5707677.7537431484</v>
      </c>
      <c r="G44" s="74">
        <v>5584691.0583113227</v>
      </c>
      <c r="H44" s="74">
        <v>5937549.3916446567</v>
      </c>
      <c r="I44" s="74">
        <v>6108941.2316446565</v>
      </c>
      <c r="J44" s="74">
        <v>5985954.5362128299</v>
      </c>
      <c r="K44" s="74">
        <v>6338812.8695461638</v>
      </c>
      <c r="L44" s="74">
        <v>6510204.7095461637</v>
      </c>
      <c r="M44" s="100">
        <f>(Estadísticos[[#This Row],[G+V Md]]-Estadísticos[[#This Row],[GMd]])/Estadísticos[[#This Row],[CT Md]]</f>
        <v>5.7760963799341869E-2</v>
      </c>
      <c r="N44" s="100">
        <f>(Estadísticos[[#This Row],[CT Md]]-Estadísticos[[#This Row],[G+V Md]])/Estadísticos[[#This Row],[CT Md]]</f>
        <v>2.8055899295966469E-2</v>
      </c>
      <c r="O44" s="76">
        <v>11</v>
      </c>
      <c r="P44" s="117" t="s">
        <v>255</v>
      </c>
      <c r="Q44" s="117"/>
      <c r="R44" s="117"/>
      <c r="S44" s="117"/>
      <c r="T44" s="84"/>
      <c r="U44" s="84"/>
      <c r="V44" s="84"/>
      <c r="W44" s="84"/>
    </row>
    <row r="45" spans="2:23" x14ac:dyDescent="0.25">
      <c r="B45" s="73" t="s">
        <v>182</v>
      </c>
      <c r="C45" s="75" t="s">
        <v>116</v>
      </c>
      <c r="D45" s="74">
        <v>6970677.4485671744</v>
      </c>
      <c r="E45" s="74">
        <v>6970677.4485671744</v>
      </c>
      <c r="F45" s="74">
        <v>6970677.4485671744</v>
      </c>
      <c r="G45" s="74">
        <v>7075571.5455171503</v>
      </c>
      <c r="H45" s="74">
        <v>7075571.5455171503</v>
      </c>
      <c r="I45" s="74">
        <v>7075571.5455171503</v>
      </c>
      <c r="J45" s="74">
        <v>7180465.6424671253</v>
      </c>
      <c r="K45" s="74">
        <v>7180465.6424671253</v>
      </c>
      <c r="L45" s="74">
        <v>7180465.6424671253</v>
      </c>
      <c r="M45" s="100">
        <f>(Estadísticos[[#This Row],[G+V Md]]-Estadísticos[[#This Row],[GMd]])/Estadísticos[[#This Row],[CT Md]]</f>
        <v>0</v>
      </c>
      <c r="N45" s="100">
        <f>(Estadísticos[[#This Row],[CT Md]]-Estadísticos[[#This Row],[G+V Md]])/Estadísticos[[#This Row],[CT Md]]</f>
        <v>0</v>
      </c>
      <c r="O45" s="76">
        <v>11</v>
      </c>
      <c r="P45" s="117" t="s">
        <v>255</v>
      </c>
      <c r="Q45" s="117"/>
      <c r="R45" s="117"/>
      <c r="S45" s="117"/>
      <c r="T45" s="84"/>
      <c r="U45" s="84"/>
      <c r="V45" s="84"/>
      <c r="W45" s="84"/>
    </row>
    <row r="46" spans="2:23" x14ac:dyDescent="0.25">
      <c r="B46" s="73" t="s">
        <v>222</v>
      </c>
      <c r="C46" s="75" t="s">
        <v>116</v>
      </c>
      <c r="D46" s="74">
        <v>4555720.0082650594</v>
      </c>
      <c r="E46" s="74">
        <v>5275565.4472220251</v>
      </c>
      <c r="F46" s="74">
        <v>5563417.1828379286</v>
      </c>
      <c r="G46" s="74">
        <v>4858025.4813414905</v>
      </c>
      <c r="H46" s="74">
        <v>5337922.4406461343</v>
      </c>
      <c r="I46" s="74">
        <v>5664197.9381815065</v>
      </c>
      <c r="J46" s="74">
        <v>5160330.9544179216</v>
      </c>
      <c r="K46" s="74">
        <v>5400279.4340702426</v>
      </c>
      <c r="L46" s="74">
        <v>5764978.6935250834</v>
      </c>
      <c r="M46" s="100">
        <f>(Estadísticos[[#This Row],[G+V Md]]-Estadísticos[[#This Row],[GMd]])/Estadísticos[[#This Row],[CT Md]]</f>
        <v>8.4724609652097535E-2</v>
      </c>
      <c r="N46" s="100">
        <f>(Estadísticos[[#This Row],[CT Md]]-Estadísticos[[#This Row],[G+V Md]])/Estadísticos[[#This Row],[CT Md]]</f>
        <v>5.7603124236884115E-2</v>
      </c>
      <c r="O46" s="76">
        <v>11</v>
      </c>
      <c r="P46" s="117" t="s">
        <v>255</v>
      </c>
      <c r="Q46" s="117"/>
      <c r="R46" s="117"/>
      <c r="S46" s="117"/>
      <c r="T46" s="84"/>
      <c r="U46" s="84"/>
      <c r="V46" s="84"/>
      <c r="W46" s="84"/>
    </row>
    <row r="47" spans="2:23" x14ac:dyDescent="0.25">
      <c r="B47" s="73" t="s">
        <v>223</v>
      </c>
      <c r="C47" s="75" t="s">
        <v>116</v>
      </c>
      <c r="D47" s="74">
        <v>3176389.918037992</v>
      </c>
      <c r="E47" s="74">
        <v>3217176.6705407999</v>
      </c>
      <c r="F47" s="74">
        <v>3217176.6705407999</v>
      </c>
      <c r="G47" s="74">
        <v>5103250.5785902003</v>
      </c>
      <c r="H47" s="74">
        <v>5103250.5785902003</v>
      </c>
      <c r="I47" s="74">
        <v>5551490.2452568673</v>
      </c>
      <c r="J47" s="74">
        <v>5307930.7692693109</v>
      </c>
      <c r="K47" s="74">
        <v>5984579.1676180903</v>
      </c>
      <c r="L47" s="74">
        <v>5984579.1676180903</v>
      </c>
      <c r="M47" s="100">
        <f>(Estadísticos[[#This Row],[G+V Md]]-Estadísticos[[#This Row],[GMd]])/Estadísticos[[#This Row],[CT Md]]</f>
        <v>0</v>
      </c>
      <c r="N47" s="100">
        <f>(Estadísticos[[#This Row],[CT Md]]-Estadísticos[[#This Row],[G+V Md]])/Estadísticos[[#This Row],[CT Md]]</f>
        <v>8.0742223594761436E-2</v>
      </c>
      <c r="O47" s="76">
        <v>11</v>
      </c>
      <c r="P47" s="117" t="s">
        <v>255</v>
      </c>
      <c r="Q47" s="117"/>
      <c r="R47" s="117"/>
      <c r="S47" s="117"/>
      <c r="T47" s="84"/>
      <c r="U47" s="84"/>
      <c r="V47" s="84"/>
      <c r="W47" s="84"/>
    </row>
    <row r="48" spans="2:23" x14ac:dyDescent="0.25">
      <c r="B48" s="73" t="s">
        <v>224</v>
      </c>
      <c r="C48" s="75" t="s">
        <v>116</v>
      </c>
      <c r="D48" s="74">
        <v>3550768.261869824</v>
      </c>
      <c r="E48" s="74">
        <v>3550768.261869824</v>
      </c>
      <c r="F48" s="74">
        <v>3647752.1592895593</v>
      </c>
      <c r="G48" s="74">
        <v>3792027.0558809019</v>
      </c>
      <c r="H48" s="74">
        <v>3792027.0558809019</v>
      </c>
      <c r="I48" s="74">
        <v>3889010.9533006372</v>
      </c>
      <c r="J48" s="74">
        <v>5107748.4964371044</v>
      </c>
      <c r="K48" s="74">
        <v>5107748.4964371044</v>
      </c>
      <c r="L48" s="74">
        <v>5241936.3651469722</v>
      </c>
      <c r="M48" s="100">
        <f>(Estadísticos[[#This Row],[G+V Md]]-Estadísticos[[#This Row],[GMd]])/Estadísticos[[#This Row],[CT Md]]</f>
        <v>0</v>
      </c>
      <c r="N48" s="100">
        <f>(Estadísticos[[#This Row],[CT Md]]-Estadísticos[[#This Row],[G+V Md]])/Estadísticos[[#This Row],[CT Md]]</f>
        <v>2.4937933727706335E-2</v>
      </c>
      <c r="O48" s="76">
        <v>10</v>
      </c>
      <c r="P48" s="117" t="s">
        <v>255</v>
      </c>
      <c r="Q48" s="117"/>
      <c r="R48" s="117"/>
      <c r="S48" s="117"/>
      <c r="T48" s="84"/>
      <c r="U48" s="84"/>
      <c r="V48" s="84"/>
      <c r="W48" s="84"/>
    </row>
    <row r="49" spans="2:23" x14ac:dyDescent="0.25">
      <c r="B49" s="73" t="s">
        <v>183</v>
      </c>
      <c r="C49" s="75" t="s">
        <v>116</v>
      </c>
      <c r="D49" s="74">
        <v>3698274.0635119099</v>
      </c>
      <c r="E49" s="74">
        <v>3698274.0635119099</v>
      </c>
      <c r="F49" s="74">
        <v>3698274.0635119099</v>
      </c>
      <c r="G49" s="74">
        <v>4390309.3698837655</v>
      </c>
      <c r="H49" s="74">
        <v>4390309.3698837655</v>
      </c>
      <c r="I49" s="74">
        <v>4390309.3698837655</v>
      </c>
      <c r="J49" s="74">
        <v>5082344.676255621</v>
      </c>
      <c r="K49" s="74">
        <v>5082344.676255621</v>
      </c>
      <c r="L49" s="74">
        <v>5082344.676255621</v>
      </c>
      <c r="M49" s="100">
        <f>(Estadísticos[[#This Row],[G+V Md]]-Estadísticos[[#This Row],[GMd]])/Estadísticos[[#This Row],[CT Md]]</f>
        <v>0</v>
      </c>
      <c r="N49" s="100">
        <f>(Estadísticos[[#This Row],[CT Md]]-Estadísticos[[#This Row],[G+V Md]])/Estadísticos[[#This Row],[CT Md]]</f>
        <v>0</v>
      </c>
      <c r="O49" s="76">
        <v>10</v>
      </c>
      <c r="P49" s="117" t="s">
        <v>255</v>
      </c>
      <c r="Q49" s="117"/>
      <c r="R49" s="117"/>
      <c r="S49" s="117"/>
      <c r="T49" s="84"/>
      <c r="U49" s="84"/>
      <c r="V49" s="84"/>
      <c r="W49" s="84"/>
    </row>
    <row r="50" spans="2:23" x14ac:dyDescent="0.25">
      <c r="B50" s="73" t="s">
        <v>184</v>
      </c>
      <c r="C50" s="75" t="s">
        <v>116</v>
      </c>
      <c r="D50" s="74">
        <v>2893059.0824304693</v>
      </c>
      <c r="E50" s="74">
        <v>2893059.0824304693</v>
      </c>
      <c r="F50" s="74">
        <v>3027246.9511403376</v>
      </c>
      <c r="G50" s="74">
        <v>3838866.1513602757</v>
      </c>
      <c r="H50" s="74">
        <v>3838866.1513602757</v>
      </c>
      <c r="I50" s="74">
        <v>3935850.0487800115</v>
      </c>
      <c r="J50" s="74">
        <v>4279221.5375945857</v>
      </c>
      <c r="K50" s="74">
        <v>4686464.1450651828</v>
      </c>
      <c r="L50" s="74">
        <v>4734956.0937750507</v>
      </c>
      <c r="M50" s="100">
        <f>(Estadísticos[[#This Row],[G+V Md]]-Estadísticos[[#This Row],[GMd]])/Estadísticos[[#This Row],[CT Md]]</f>
        <v>0</v>
      </c>
      <c r="N50" s="100">
        <f>(Estadísticos[[#This Row],[CT Md]]-Estadísticos[[#This Row],[G+V Md]])/Estadísticos[[#This Row],[CT Md]]</f>
        <v>2.464115660346301E-2</v>
      </c>
      <c r="O50" s="76">
        <v>9</v>
      </c>
      <c r="P50" s="117" t="s">
        <v>255</v>
      </c>
      <c r="Q50" s="117"/>
      <c r="R50" s="117"/>
      <c r="S50" s="117"/>
      <c r="T50" s="84"/>
      <c r="U50" s="84"/>
      <c r="V50" s="84"/>
      <c r="W50" s="84"/>
    </row>
    <row r="51" spans="2:23" x14ac:dyDescent="0.25">
      <c r="B51" s="73" t="s">
        <v>185</v>
      </c>
      <c r="C51" s="75" t="s">
        <v>116</v>
      </c>
      <c r="D51" s="74">
        <v>4420865.4880325198</v>
      </c>
      <c r="E51" s="74">
        <v>4458565.3987954687</v>
      </c>
      <c r="F51" s="74">
        <v>4458565.3987954687</v>
      </c>
      <c r="G51" s="74">
        <v>5232627.0840681223</v>
      </c>
      <c r="H51" s="74">
        <v>5232627.0840681223</v>
      </c>
      <c r="I51" s="74">
        <v>5456746.9174014553</v>
      </c>
      <c r="J51" s="74">
        <v>5467827.3392980844</v>
      </c>
      <c r="K51" s="74">
        <v>5742966.4111805288</v>
      </c>
      <c r="L51" s="74">
        <v>6079146.1611805279</v>
      </c>
      <c r="M51" s="100">
        <f>(Estadísticos[[#This Row],[G+V Md]]-Estadísticos[[#This Row],[GMd]])/Estadísticos[[#This Row],[CT Md]]</f>
        <v>0</v>
      </c>
      <c r="N51" s="100">
        <f>(Estadísticos[[#This Row],[CT Md]]-Estadísticos[[#This Row],[G+V Md]])/Estadísticos[[#This Row],[CT Md]]</f>
        <v>4.1072059365373795E-2</v>
      </c>
      <c r="O51" s="76">
        <v>9</v>
      </c>
      <c r="P51" s="117" t="s">
        <v>255</v>
      </c>
      <c r="Q51" s="117"/>
      <c r="R51" s="117"/>
      <c r="S51" s="117"/>
      <c r="T51" s="84"/>
      <c r="U51" s="84"/>
      <c r="V51" s="84"/>
      <c r="W51" s="84"/>
    </row>
    <row r="52" spans="2:23" x14ac:dyDescent="0.25">
      <c r="B52" s="78" t="s">
        <v>225</v>
      </c>
      <c r="C52" s="79" t="s">
        <v>116</v>
      </c>
      <c r="D52" s="80">
        <v>6814358.9495310942</v>
      </c>
      <c r="E52" s="80">
        <v>6814358.9495310942</v>
      </c>
      <c r="F52" s="80">
        <v>6814358.9495310942</v>
      </c>
      <c r="G52" s="80">
        <v>6947973.8713549823</v>
      </c>
      <c r="H52" s="80">
        <v>6947973.8713549823</v>
      </c>
      <c r="I52" s="80">
        <v>6947973.8713549823</v>
      </c>
      <c r="J52" s="80">
        <v>8381750.1204119092</v>
      </c>
      <c r="K52" s="80">
        <v>8381750.1204119092</v>
      </c>
      <c r="L52" s="80">
        <v>8381750.1204119092</v>
      </c>
      <c r="M52" s="101">
        <f>(Estadísticos[[#This Row],[G+V Md]]-Estadísticos[[#This Row],[GMd]])/Estadísticos[[#This Row],[CT Md]]</f>
        <v>0</v>
      </c>
      <c r="N52" s="101">
        <f>(Estadísticos[[#This Row],[CT Md]]-Estadísticos[[#This Row],[G+V Md]])/Estadísticos[[#This Row],[CT Md]]</f>
        <v>0</v>
      </c>
      <c r="O52" s="89">
        <v>9</v>
      </c>
      <c r="P52" s="117" t="s">
        <v>255</v>
      </c>
      <c r="Q52" s="117"/>
      <c r="R52" s="117"/>
      <c r="S52" s="117"/>
      <c r="T52" s="84"/>
      <c r="U52" s="84"/>
      <c r="V52" s="84"/>
      <c r="W52" s="84"/>
    </row>
    <row r="53" spans="2:23" x14ac:dyDescent="0.25">
      <c r="B53" s="73" t="s">
        <v>186</v>
      </c>
      <c r="C53" s="75" t="s">
        <v>116</v>
      </c>
      <c r="D53" s="74">
        <v>3142602.7597583551</v>
      </c>
      <c r="E53" s="74">
        <v>3142602.7597583551</v>
      </c>
      <c r="F53" s="74">
        <v>3251381.1371966386</v>
      </c>
      <c r="G53" s="74">
        <v>3376519.076098023</v>
      </c>
      <c r="H53" s="74">
        <v>3376519.076098023</v>
      </c>
      <c r="I53" s="74">
        <v>3652099.5971458582</v>
      </c>
      <c r="J53" s="74">
        <v>3767425.0183632309</v>
      </c>
      <c r="K53" s="74">
        <v>3767425.0183632309</v>
      </c>
      <c r="L53" s="74">
        <v>4103604.7683632313</v>
      </c>
      <c r="M53" s="100">
        <f>(Estadísticos[[#This Row],[G+V Md]]-Estadísticos[[#This Row],[GMd]])/Estadísticos[[#This Row],[CT Md]]</f>
        <v>0</v>
      </c>
      <c r="N53" s="100">
        <f>(Estadísticos[[#This Row],[CT Md]]-Estadísticos[[#This Row],[G+V Md]])/Estadísticos[[#This Row],[CT Md]]</f>
        <v>7.5458106691067076E-2</v>
      </c>
      <c r="O53" s="76">
        <v>9</v>
      </c>
      <c r="P53" s="117" t="s">
        <v>255</v>
      </c>
      <c r="Q53" s="117"/>
      <c r="R53" s="117"/>
      <c r="S53" s="117"/>
      <c r="T53" s="84"/>
      <c r="U53" s="84"/>
      <c r="V53" s="84"/>
      <c r="W53" s="84"/>
    </row>
    <row r="54" spans="2:23" x14ac:dyDescent="0.25">
      <c r="B54" s="73" t="s">
        <v>226</v>
      </c>
      <c r="C54" s="75" t="s">
        <v>116</v>
      </c>
      <c r="D54" s="74">
        <v>4089566.5803085933</v>
      </c>
      <c r="E54" s="74">
        <v>4089566.5803085933</v>
      </c>
      <c r="F54" s="74">
        <v>4645322.3801100645</v>
      </c>
      <c r="G54" s="74">
        <v>4772117.8965846505</v>
      </c>
      <c r="H54" s="74">
        <v>4772117.8965846505</v>
      </c>
      <c r="I54" s="74">
        <v>5164372.9384717913</v>
      </c>
      <c r="J54" s="74">
        <v>5494490.178075688</v>
      </c>
      <c r="K54" s="74">
        <v>5494490.178075688</v>
      </c>
      <c r="L54" s="74">
        <v>5665882.0180756878</v>
      </c>
      <c r="M54" s="100">
        <f>(Estadísticos[[#This Row],[G+V Md]]-Estadísticos[[#This Row],[GMd]])/Estadísticos[[#This Row],[CT Md]]</f>
        <v>0</v>
      </c>
      <c r="N54" s="100">
        <f>(Estadísticos[[#This Row],[CT Md]]-Estadísticos[[#This Row],[G+V Md]])/Estadísticos[[#This Row],[CT Md]]</f>
        <v>7.5954050290414243E-2</v>
      </c>
      <c r="O54" s="76">
        <v>9</v>
      </c>
      <c r="P54" s="117" t="s">
        <v>255</v>
      </c>
      <c r="Q54" s="117"/>
      <c r="R54" s="117"/>
      <c r="S54" s="117"/>
      <c r="T54" s="84"/>
      <c r="U54" s="84"/>
      <c r="V54" s="84"/>
      <c r="W54" s="84"/>
    </row>
    <row r="55" spans="2:23" x14ac:dyDescent="0.25">
      <c r="B55" s="73" t="s">
        <v>187</v>
      </c>
      <c r="C55" s="75" t="s">
        <v>116</v>
      </c>
      <c r="D55" s="74">
        <v>2362963.493793983</v>
      </c>
      <c r="E55" s="74">
        <v>2362963.493793983</v>
      </c>
      <c r="F55" s="74">
        <v>2362963.493793983</v>
      </c>
      <c r="G55" s="74">
        <v>2362963.493793983</v>
      </c>
      <c r="H55" s="74">
        <v>2362963.493793983</v>
      </c>
      <c r="I55" s="74">
        <v>2362963.493793983</v>
      </c>
      <c r="J55" s="74">
        <v>2362963.493793983</v>
      </c>
      <c r="K55" s="74">
        <v>2362963.493793983</v>
      </c>
      <c r="L55" s="74">
        <v>2362963.493793983</v>
      </c>
      <c r="M55" s="100">
        <f>(Estadísticos[[#This Row],[G+V Md]]-Estadísticos[[#This Row],[GMd]])/Estadísticos[[#This Row],[CT Md]]</f>
        <v>0</v>
      </c>
      <c r="N55" s="100">
        <f>(Estadísticos[[#This Row],[CT Md]]-Estadísticos[[#This Row],[G+V Md]])/Estadísticos[[#This Row],[CT Md]]</f>
        <v>0</v>
      </c>
      <c r="O55" s="76">
        <v>9</v>
      </c>
      <c r="P55" s="117" t="s">
        <v>255</v>
      </c>
      <c r="Q55" s="117"/>
      <c r="R55" s="117"/>
      <c r="S55" s="117"/>
    </row>
    <row r="56" spans="2:23" x14ac:dyDescent="0.25">
      <c r="B56" s="73" t="s">
        <v>188</v>
      </c>
      <c r="C56" s="75" t="s">
        <v>117</v>
      </c>
      <c r="D56" s="74">
        <v>2386543.0617605187</v>
      </c>
      <c r="E56" s="74">
        <v>2661693.8242140524</v>
      </c>
      <c r="F56" s="74">
        <v>2661693.8242140524</v>
      </c>
      <c r="G56" s="74">
        <v>2775633.7474348932</v>
      </c>
      <c r="H56" s="74">
        <v>2883129.1322692675</v>
      </c>
      <c r="I56" s="74">
        <v>2914083.4406770347</v>
      </c>
      <c r="J56" s="74">
        <v>3774492.5735761314</v>
      </c>
      <c r="K56" s="74">
        <v>3774492.5735761314</v>
      </c>
      <c r="L56" s="74">
        <v>3822984.5222859988</v>
      </c>
      <c r="M56" s="100">
        <f>(Estadísticos[[#This Row],[G+V Md]]-Estadísticos[[#This Row],[GMd]])/Estadísticos[[#This Row],[CT Md]]</f>
        <v>3.6888231590719203E-2</v>
      </c>
      <c r="N56" s="100">
        <f>(Estadísticos[[#This Row],[CT Md]]-Estadísticos[[#This Row],[G+V Md]])/Estadísticos[[#This Row],[CT Md]]</f>
        <v>1.0622313683844116E-2</v>
      </c>
      <c r="O56" s="76">
        <v>8</v>
      </c>
      <c r="P56" s="117" t="s">
        <v>255</v>
      </c>
      <c r="Q56" s="117"/>
      <c r="R56" s="117"/>
      <c r="S56" s="117"/>
    </row>
    <row r="57" spans="2:23" x14ac:dyDescent="0.25">
      <c r="B57" s="73" t="s">
        <v>189</v>
      </c>
      <c r="C57" s="75" t="s">
        <v>117</v>
      </c>
      <c r="D57" s="74">
        <v>2359458.5156745845</v>
      </c>
      <c r="E57" s="74">
        <v>2373076.4993133405</v>
      </c>
      <c r="F57" s="74">
        <v>2597196.332646674</v>
      </c>
      <c r="G57" s="74">
        <v>2796009.0432593538</v>
      </c>
      <c r="H57" s="74">
        <v>2796009.0432593538</v>
      </c>
      <c r="I57" s="74">
        <v>3244248.7099260204</v>
      </c>
      <c r="J57" s="74">
        <v>2801035.9228258505</v>
      </c>
      <c r="K57" s="74">
        <v>2801035.9228258505</v>
      </c>
      <c r="L57" s="74">
        <v>3840218.3110036342</v>
      </c>
      <c r="M57" s="100">
        <f>(Estadísticos[[#This Row],[G+V Md]]-Estadísticos[[#This Row],[GMd]])/Estadísticos[[#This Row],[CT Md]]</f>
        <v>0</v>
      </c>
      <c r="N57" s="100">
        <f>(Estadísticos[[#This Row],[CT Md]]-Estadísticos[[#This Row],[G+V Md]])/Estadísticos[[#This Row],[CT Md]]</f>
        <v>0.13816439698203281</v>
      </c>
      <c r="O57" s="76">
        <v>8</v>
      </c>
      <c r="P57" s="117" t="s">
        <v>255</v>
      </c>
      <c r="Q57" s="117"/>
      <c r="R57" s="117"/>
      <c r="S57" s="117"/>
    </row>
    <row r="58" spans="2:23" x14ac:dyDescent="0.25">
      <c r="B58" s="73" t="s">
        <v>227</v>
      </c>
      <c r="C58" s="75" t="s">
        <v>117</v>
      </c>
      <c r="D58" s="74">
        <v>2851592.5360258492</v>
      </c>
      <c r="E58" s="74">
        <v>2851592.5360258492</v>
      </c>
      <c r="F58" s="74">
        <v>2929047.7961641597</v>
      </c>
      <c r="G58" s="74">
        <v>3471743.5312153441</v>
      </c>
      <c r="H58" s="74">
        <v>3471743.5312153441</v>
      </c>
      <c r="I58" s="74">
        <v>3557439.4512153445</v>
      </c>
      <c r="J58" s="74">
        <v>4085695.37002273</v>
      </c>
      <c r="K58" s="74">
        <v>4177164.0820844108</v>
      </c>
      <c r="L58" s="74">
        <v>4220012.0420844108</v>
      </c>
      <c r="M58" s="100">
        <f>(Estadísticos[[#This Row],[G+V Md]]-Estadísticos[[#This Row],[GMd]])/Estadísticos[[#This Row],[CT Md]]</f>
        <v>0</v>
      </c>
      <c r="N58" s="100">
        <f>(Estadísticos[[#This Row],[CT Md]]-Estadísticos[[#This Row],[G+V Md]])/Estadísticos[[#This Row],[CT Md]]</f>
        <v>2.4089213934680938E-2</v>
      </c>
      <c r="O58" s="76">
        <v>8</v>
      </c>
      <c r="P58" s="117" t="s">
        <v>255</v>
      </c>
      <c r="Q58" s="117"/>
      <c r="R58" s="117"/>
      <c r="S58" s="117"/>
    </row>
    <row r="59" spans="2:23" x14ac:dyDescent="0.25">
      <c r="B59" s="73" t="s">
        <v>228</v>
      </c>
      <c r="C59" s="75" t="s">
        <v>117</v>
      </c>
      <c r="D59" s="74">
        <v>3438704.400144909</v>
      </c>
      <c r="E59" s="74">
        <v>3438704.400144909</v>
      </c>
      <c r="F59" s="74">
        <v>3438704.400144909</v>
      </c>
      <c r="G59" s="74">
        <v>3520668.1743876603</v>
      </c>
      <c r="H59" s="74">
        <v>3520668.1743876603</v>
      </c>
      <c r="I59" s="74">
        <v>3617652.0718073961</v>
      </c>
      <c r="J59" s="74">
        <v>5848630.997348831</v>
      </c>
      <c r="K59" s="74">
        <v>5848630.997348831</v>
      </c>
      <c r="L59" s="74">
        <v>5848630.997348831</v>
      </c>
      <c r="M59" s="100">
        <f>(Estadísticos[[#This Row],[G+V Md]]-Estadísticos[[#This Row],[GMd]])/Estadísticos[[#This Row],[CT Md]]</f>
        <v>0</v>
      </c>
      <c r="N59" s="100">
        <f>(Estadísticos[[#This Row],[CT Md]]-Estadísticos[[#This Row],[G+V Md]])/Estadísticos[[#This Row],[CT Md]]</f>
        <v>2.6808519861690895E-2</v>
      </c>
      <c r="O59" s="76">
        <v>8</v>
      </c>
      <c r="P59" s="117" t="s">
        <v>255</v>
      </c>
      <c r="Q59" s="117"/>
      <c r="R59" s="117"/>
      <c r="S59" s="117"/>
    </row>
    <row r="60" spans="2:23" x14ac:dyDescent="0.25">
      <c r="B60" s="73" t="s">
        <v>229</v>
      </c>
      <c r="C60" s="75" t="s">
        <v>117</v>
      </c>
      <c r="D60" s="74">
        <v>4613092.9458434805</v>
      </c>
      <c r="E60" s="74">
        <v>4812785.1061318982</v>
      </c>
      <c r="F60" s="74">
        <v>4812785.1061318982</v>
      </c>
      <c r="G60" s="74">
        <v>5438773.2770206826</v>
      </c>
      <c r="H60" s="74">
        <v>5438773.2770206826</v>
      </c>
      <c r="I60" s="74">
        <v>5438773.2770206826</v>
      </c>
      <c r="J60" s="74">
        <v>6401802.7050787518</v>
      </c>
      <c r="K60" s="74">
        <v>6401802.7050787518</v>
      </c>
      <c r="L60" s="74">
        <v>6584083.4023262067</v>
      </c>
      <c r="M60" s="100">
        <f>(Estadísticos[[#This Row],[G+V Md]]-Estadísticos[[#This Row],[GMd]])/Estadísticos[[#This Row],[CT Md]]</f>
        <v>0</v>
      </c>
      <c r="N60" s="100">
        <f>(Estadísticos[[#This Row],[CT Md]]-Estadísticos[[#This Row],[G+V Md]])/Estadísticos[[#This Row],[CT Md]]</f>
        <v>0</v>
      </c>
      <c r="O60" s="76">
        <v>8</v>
      </c>
      <c r="P60" s="117" t="s">
        <v>255</v>
      </c>
      <c r="Q60" s="117"/>
      <c r="R60" s="117"/>
      <c r="S60" s="117"/>
      <c r="T60" s="145" t="s">
        <v>256</v>
      </c>
      <c r="U60" s="146"/>
      <c r="V60" s="146"/>
      <c r="W60" s="147"/>
    </row>
    <row r="61" spans="2:23" x14ac:dyDescent="0.25">
      <c r="B61" s="73" t="s">
        <v>230</v>
      </c>
      <c r="C61" s="75" t="s">
        <v>117</v>
      </c>
      <c r="D61" s="74">
        <v>2877402.8716230621</v>
      </c>
      <c r="E61" s="74">
        <v>2877402.8716230621</v>
      </c>
      <c r="F61" s="74">
        <v>2974386.7690427979</v>
      </c>
      <c r="G61" s="74">
        <v>3381759.9558421723</v>
      </c>
      <c r="H61" s="74">
        <v>3978541.1245202031</v>
      </c>
      <c r="I61" s="74">
        <v>3978541.1245202031</v>
      </c>
      <c r="J61" s="74">
        <v>5224188.2690781383</v>
      </c>
      <c r="K61" s="74">
        <v>5224188.2690781383</v>
      </c>
      <c r="L61" s="74">
        <v>5224188.2690781383</v>
      </c>
      <c r="M61" s="100">
        <f>(Estadísticos[[#This Row],[G+V Md]]-Estadísticos[[#This Row],[GMd]])/Estadísticos[[#This Row],[CT Md]]</f>
        <v>0.15000000000000011</v>
      </c>
      <c r="N61" s="100">
        <f>(Estadísticos[[#This Row],[CT Md]]-Estadísticos[[#This Row],[G+V Md]])/Estadísticos[[#This Row],[CT Md]]</f>
        <v>0</v>
      </c>
      <c r="O61" s="76">
        <v>8</v>
      </c>
      <c r="P61" s="117" t="s">
        <v>255</v>
      </c>
      <c r="Q61" s="117"/>
      <c r="R61" s="117"/>
      <c r="S61" s="117"/>
      <c r="T61" s="118" t="s">
        <v>102</v>
      </c>
      <c r="U61" s="119" t="s">
        <v>112</v>
      </c>
      <c r="V61" s="119" t="s">
        <v>109</v>
      </c>
      <c r="W61" s="119" t="s">
        <v>110</v>
      </c>
    </row>
    <row r="62" spans="2:23" x14ac:dyDescent="0.25">
      <c r="B62" s="73" t="s">
        <v>190</v>
      </c>
      <c r="C62" s="75" t="s">
        <v>117</v>
      </c>
      <c r="D62" s="74">
        <v>3391274.6087575429</v>
      </c>
      <c r="E62" s="74">
        <v>3391274.6087575429</v>
      </c>
      <c r="F62" s="74">
        <v>3503334.5254242094</v>
      </c>
      <c r="G62" s="74">
        <v>3590013.7245299509</v>
      </c>
      <c r="H62" s="74">
        <v>3590013.7245299509</v>
      </c>
      <c r="I62" s="74">
        <v>3590013.7245299509</v>
      </c>
      <c r="J62" s="74">
        <v>4036608.4526601988</v>
      </c>
      <c r="K62" s="74">
        <v>4036608.4526601988</v>
      </c>
      <c r="L62" s="74">
        <v>4079456.4126601988</v>
      </c>
      <c r="M62" s="100">
        <f>(Estadísticos[[#This Row],[G+V Md]]-Estadísticos[[#This Row],[GMd]])/Estadísticos[[#This Row],[CT Md]]</f>
        <v>0</v>
      </c>
      <c r="N62" s="100">
        <f>(Estadísticos[[#This Row],[CT Md]]-Estadísticos[[#This Row],[G+V Md]])/Estadísticos[[#This Row],[CT Md]]</f>
        <v>0</v>
      </c>
      <c r="O62" s="76">
        <v>8</v>
      </c>
      <c r="P62" s="117" t="s">
        <v>255</v>
      </c>
      <c r="Q62" s="117"/>
      <c r="R62" s="117"/>
      <c r="S62" s="117"/>
      <c r="T62" s="75" t="s">
        <v>118</v>
      </c>
      <c r="U62" s="120" t="str">
        <f>IFERROR(1-(V62+W62),"")</f>
        <v/>
      </c>
      <c r="V62" s="120" t="str">
        <f>IFERROR(AVERAGEIFS(Estadísticos[Variable],Estadísticos[Nivel],$T62,Estadísticos[Tipo de Cargo],$T$60),"")</f>
        <v/>
      </c>
      <c r="W62" s="120" t="str">
        <f>IFERROR(AVERAGEIFS(Estadísticos[Beneficios],Estadísticos[Nivel],$T62,Estadísticos[Tipo de Cargo],$T$60),"")</f>
        <v/>
      </c>
    </row>
    <row r="63" spans="2:23" x14ac:dyDescent="0.25">
      <c r="B63" s="73" t="s">
        <v>231</v>
      </c>
      <c r="C63" s="75" t="s">
        <v>117</v>
      </c>
      <c r="D63" s="74">
        <v>2909190.0089251348</v>
      </c>
      <c r="E63" s="74">
        <v>3009624.0569083979</v>
      </c>
      <c r="F63" s="74">
        <v>3052472.0169083979</v>
      </c>
      <c r="G63" s="74">
        <v>3454832.914039013</v>
      </c>
      <c r="H63" s="74">
        <v>3521788.9460278549</v>
      </c>
      <c r="I63" s="74">
        <v>3607484.8660278548</v>
      </c>
      <c r="J63" s="74">
        <v>4000475.8191528907</v>
      </c>
      <c r="K63" s="74">
        <v>4033953.8351473119</v>
      </c>
      <c r="L63" s="74">
        <v>4162497.7151473118</v>
      </c>
      <c r="M63" s="100">
        <f>(Estadísticos[[#This Row],[G+V Md]]-Estadísticos[[#This Row],[GMd]])/Estadísticos[[#This Row],[CT Md]]</f>
        <v>1.8560308490653817E-2</v>
      </c>
      <c r="N63" s="100">
        <f>(Estadísticos[[#This Row],[CT Md]]-Estadísticos[[#This Row],[G+V Md]])/Estadísticos[[#This Row],[CT Md]]</f>
        <v>2.3755032434649784E-2</v>
      </c>
      <c r="O63" s="76">
        <v>7</v>
      </c>
      <c r="P63" s="117" t="s">
        <v>255</v>
      </c>
      <c r="Q63" s="117"/>
      <c r="R63" s="117"/>
      <c r="S63" s="117"/>
      <c r="T63" s="75" t="s">
        <v>253</v>
      </c>
      <c r="U63" s="120" t="str">
        <f>IFERROR(1-(V63+W63),"")</f>
        <v/>
      </c>
      <c r="V63" s="120" t="str">
        <f>IFERROR(AVERAGEIFS(DatosHoy[% Variable],DatosHoy[Nivel],Estadísticos!T62,DatosHoy[Tipo de Cargo],$T$60),"")</f>
        <v/>
      </c>
      <c r="W63" s="120">
        <f>IFERROR(AVERAGEIF(DatosHoy[Nivel],Estadísticos!T62,DatosHoy[% Beneficios]),"")</f>
        <v>0</v>
      </c>
    </row>
    <row r="64" spans="2:23" x14ac:dyDescent="0.25">
      <c r="B64" s="73" t="s">
        <v>232</v>
      </c>
      <c r="C64" s="75" t="s">
        <v>117</v>
      </c>
      <c r="D64" s="74">
        <v>2768889.3520500613</v>
      </c>
      <c r="E64" s="74">
        <v>2768889.3520500613</v>
      </c>
      <c r="F64" s="74">
        <v>2811737.3120500613</v>
      </c>
      <c r="G64" s="74">
        <v>3361299.1427889634</v>
      </c>
      <c r="H64" s="74">
        <v>3361299.1427889634</v>
      </c>
      <c r="I64" s="74">
        <v>3446995.0627889633</v>
      </c>
      <c r="J64" s="74">
        <v>3953708.9335278659</v>
      </c>
      <c r="K64" s="74">
        <v>3953708.9335278659</v>
      </c>
      <c r="L64" s="74">
        <v>4082252.8135278658</v>
      </c>
      <c r="M64" s="100">
        <f>(Estadísticos[[#This Row],[G+V Md]]-Estadísticos[[#This Row],[GMd]])/Estadísticos[[#This Row],[CT Md]]</f>
        <v>0</v>
      </c>
      <c r="N64" s="100">
        <f>(Estadísticos[[#This Row],[CT Md]]-Estadísticos[[#This Row],[G+V Md]])/Estadísticos[[#This Row],[CT Md]]</f>
        <v>2.4861050984698357E-2</v>
      </c>
      <c r="O64" s="76">
        <v>7</v>
      </c>
      <c r="P64" s="117" t="s">
        <v>255</v>
      </c>
      <c r="Q64" s="117"/>
      <c r="R64" s="117"/>
      <c r="S64" s="117"/>
      <c r="T64" s="129"/>
      <c r="U64" s="130"/>
      <c r="V64" s="130"/>
      <c r="W64" s="130"/>
    </row>
    <row r="65" spans="2:23" x14ac:dyDescent="0.25">
      <c r="B65" s="73" t="s">
        <v>191</v>
      </c>
      <c r="C65" s="75" t="s">
        <v>117</v>
      </c>
      <c r="D65" s="74">
        <v>2238424.0712353392</v>
      </c>
      <c r="E65" s="74">
        <v>2238424.0712353392</v>
      </c>
      <c r="F65" s="74">
        <v>2423221.910966808</v>
      </c>
      <c r="G65" s="74">
        <v>2256696.8897124487</v>
      </c>
      <c r="H65" s="74">
        <v>2256696.8897124487</v>
      </c>
      <c r="I65" s="74">
        <v>2529308.6717556501</v>
      </c>
      <c r="J65" s="74">
        <v>2274969.7081895582</v>
      </c>
      <c r="K65" s="74">
        <v>2274969.7081895582</v>
      </c>
      <c r="L65" s="74">
        <v>2635395.4325444922</v>
      </c>
      <c r="M65" s="100">
        <f>(Estadísticos[[#This Row],[G+V Md]]-Estadísticos[[#This Row],[GMd]])/Estadísticos[[#This Row],[CT Md]]</f>
        <v>0</v>
      </c>
      <c r="N65" s="100">
        <f>(Estadísticos[[#This Row],[CT Md]]-Estadísticos[[#This Row],[G+V Md]])/Estadísticos[[#This Row],[CT Md]]</f>
        <v>0.10778114394949487</v>
      </c>
      <c r="O65" s="76">
        <v>7</v>
      </c>
      <c r="P65" s="117" t="s">
        <v>255</v>
      </c>
      <c r="Q65" s="117"/>
      <c r="R65" s="117"/>
      <c r="S65" s="117"/>
      <c r="T65" s="75" t="s">
        <v>117</v>
      </c>
      <c r="U65" s="120" t="str">
        <f t="shared" ref="U65" si="5">IFERROR(1-(V65+W65),"")</f>
        <v/>
      </c>
      <c r="V65" s="120" t="str">
        <f>IFERROR(AVERAGEIFS(Estadísticos[Variable],Estadísticos[Nivel],$T65,Estadísticos[Tipo de Cargo],$T$60),"")</f>
        <v/>
      </c>
      <c r="W65" s="120" t="str">
        <f>IFERROR(AVERAGEIFS(Estadísticos[Beneficios],Estadísticos[Nivel],$T65,Estadísticos[Tipo de Cargo],$T$60),"")</f>
        <v/>
      </c>
    </row>
    <row r="66" spans="2:23" x14ac:dyDescent="0.25">
      <c r="B66" s="73" t="s">
        <v>233</v>
      </c>
      <c r="C66" s="75" t="s">
        <v>117</v>
      </c>
      <c r="D66" s="74">
        <v>3120235.4912739173</v>
      </c>
      <c r="E66" s="74">
        <v>3293376.5100142946</v>
      </c>
      <c r="F66" s="74">
        <v>3293376.5100142946</v>
      </c>
      <c r="G66" s="74">
        <v>3733030.7272733762</v>
      </c>
      <c r="H66" s="74">
        <v>3848458.0731002949</v>
      </c>
      <c r="I66" s="74">
        <v>3848458.0731002949</v>
      </c>
      <c r="J66" s="74">
        <v>4345825.9632728351</v>
      </c>
      <c r="K66" s="74">
        <v>4403539.6361862943</v>
      </c>
      <c r="L66" s="74">
        <v>4403539.6361862943</v>
      </c>
      <c r="M66" s="100">
        <f>(Estadísticos[[#This Row],[G+V Md]]-Estadísticos[[#This Row],[GMd]])/Estadísticos[[#This Row],[CT Md]]</f>
        <v>2.9993141054004299E-2</v>
      </c>
      <c r="N66" s="100">
        <f>(Estadísticos[[#This Row],[CT Md]]-Estadísticos[[#This Row],[G+V Md]])/Estadísticos[[#This Row],[CT Md]]</f>
        <v>0</v>
      </c>
      <c r="O66" s="76">
        <v>7</v>
      </c>
      <c r="P66" s="117" t="s">
        <v>255</v>
      </c>
      <c r="Q66" s="117"/>
      <c r="R66" s="117"/>
      <c r="S66" s="117"/>
      <c r="T66" s="75" t="s">
        <v>252</v>
      </c>
      <c r="U66" s="120" t="str">
        <f>IFERROR(1-(V66+W66),"")</f>
        <v/>
      </c>
      <c r="V66" s="120" t="str">
        <f>IFERROR(AVERAGEIFS(DatosHoy[% Variable],DatosHoy[Nivel],Estadísticos!T65,DatosHoy[Tipo de Cargo],$T$60),"")</f>
        <v/>
      </c>
      <c r="W66" s="120">
        <f>IFERROR(AVERAGEIF(DatosHoy[Nivel],Estadísticos!T65,DatosHoy[% Beneficios]),"")</f>
        <v>0</v>
      </c>
    </row>
    <row r="67" spans="2:23" x14ac:dyDescent="0.25">
      <c r="B67" s="73" t="s">
        <v>192</v>
      </c>
      <c r="C67" s="75" t="s">
        <v>117</v>
      </c>
      <c r="D67" s="74">
        <v>2531723.3723986163</v>
      </c>
      <c r="E67" s="74">
        <v>2675164.6201695842</v>
      </c>
      <c r="F67" s="74">
        <v>4170241.9186288402</v>
      </c>
      <c r="G67" s="74">
        <v>3722002.2519621733</v>
      </c>
      <c r="H67" s="74">
        <v>3722002.2519621733</v>
      </c>
      <c r="I67" s="74">
        <v>5210961.3162598293</v>
      </c>
      <c r="J67" s="74">
        <v>5210961.3162598293</v>
      </c>
      <c r="K67" s="74">
        <v>5210961.3162598293</v>
      </c>
      <c r="L67" s="74">
        <v>5566797.2993800184</v>
      </c>
      <c r="M67" s="100">
        <f>(Estadísticos[[#This Row],[G+V Md]]-Estadísticos[[#This Row],[GMd]])/Estadísticos[[#This Row],[CT Md]]</f>
        <v>0</v>
      </c>
      <c r="N67" s="100">
        <f>(Estadísticos[[#This Row],[CT Md]]-Estadísticos[[#This Row],[G+V Md]])/Estadísticos[[#This Row],[CT Md]]</f>
        <v>0.28573596577115973</v>
      </c>
      <c r="O67" s="76">
        <v>7</v>
      </c>
      <c r="P67" s="117" t="s">
        <v>255</v>
      </c>
      <c r="Q67" s="117"/>
      <c r="R67" s="117"/>
      <c r="S67" s="117"/>
      <c r="T67" s="129"/>
      <c r="U67" s="130"/>
      <c r="V67" s="130"/>
      <c r="W67" s="130"/>
    </row>
    <row r="68" spans="2:23" x14ac:dyDescent="0.25">
      <c r="B68" s="73" t="s">
        <v>234</v>
      </c>
      <c r="C68" s="75" t="s">
        <v>117</v>
      </c>
      <c r="D68" s="74">
        <v>3627046.5636700778</v>
      </c>
      <c r="E68" s="74">
        <v>3671626.6565600848</v>
      </c>
      <c r="F68" s="74">
        <v>4007806.4065600852</v>
      </c>
      <c r="G68" s="74">
        <v>4298452.993536382</v>
      </c>
      <c r="H68" s="74">
        <v>4298452.993536382</v>
      </c>
      <c r="I68" s="74">
        <v>4522572.826869715</v>
      </c>
      <c r="J68" s="74">
        <v>5062310.4776455481</v>
      </c>
      <c r="K68" s="74">
        <v>5062310.4776455481</v>
      </c>
      <c r="L68" s="74">
        <v>5062310.4776455481</v>
      </c>
      <c r="M68" s="100">
        <f>(Estadísticos[[#This Row],[G+V Md]]-Estadísticos[[#This Row],[GMd]])/Estadísticos[[#This Row],[CT Md]]</f>
        <v>0</v>
      </c>
      <c r="N68" s="100">
        <f>(Estadísticos[[#This Row],[CT Md]]-Estadísticos[[#This Row],[G+V Md]])/Estadísticos[[#This Row],[CT Md]]</f>
        <v>4.955582627697714E-2</v>
      </c>
      <c r="O68" s="76">
        <v>7</v>
      </c>
      <c r="P68" s="117" t="s">
        <v>255</v>
      </c>
      <c r="Q68" s="117"/>
      <c r="R68" s="117"/>
      <c r="S68" s="117"/>
      <c r="T68" s="75" t="s">
        <v>116</v>
      </c>
      <c r="U68" s="120">
        <f t="shared" ref="U68" si="6">IFERROR(1-(V68+W68),"")</f>
        <v>0.88427511245972101</v>
      </c>
      <c r="V68" s="120">
        <f>IFERROR(AVERAGEIFS(Estadísticos[Variable],Estadísticos[Nivel],$T68,Estadísticos[Tipo de Cargo],$T$60),"")</f>
        <v>0.10855266846170054</v>
      </c>
      <c r="W68" s="120">
        <f>IFERROR(AVERAGEIFS(Estadísticos[Beneficios],Estadísticos[Nivel],$T68,Estadísticos[Tipo de Cargo],$T$60),"")</f>
        <v>7.1722190785785027E-3</v>
      </c>
    </row>
    <row r="69" spans="2:23" x14ac:dyDescent="0.25">
      <c r="B69" s="73" t="s">
        <v>193</v>
      </c>
      <c r="C69" s="75" t="s">
        <v>117</v>
      </c>
      <c r="D69" s="74">
        <v>2035260.2221480156</v>
      </c>
      <c r="E69" s="74">
        <v>2060651.9477591687</v>
      </c>
      <c r="F69" s="74">
        <v>2060651.9477591687</v>
      </c>
      <c r="G69" s="74">
        <v>2575869.6996486955</v>
      </c>
      <c r="H69" s="74">
        <v>2575869.6996486955</v>
      </c>
      <c r="I69" s="74">
        <v>2690265.7971229656</v>
      </c>
      <c r="J69" s="74">
        <v>3997013.4801944345</v>
      </c>
      <c r="K69" s="74">
        <v>3997013.4801944345</v>
      </c>
      <c r="L69" s="74">
        <v>4222344.4436532948</v>
      </c>
      <c r="M69" s="100">
        <f>(Estadísticos[[#This Row],[G+V Md]]-Estadísticos[[#This Row],[GMd]])/Estadísticos[[#This Row],[CT Md]]</f>
        <v>0</v>
      </c>
      <c r="N69" s="100">
        <f>(Estadísticos[[#This Row],[CT Md]]-Estadísticos[[#This Row],[G+V Md]])/Estadísticos[[#This Row],[CT Md]]</f>
        <v>4.2522228694505927E-2</v>
      </c>
      <c r="O69" s="76">
        <v>7</v>
      </c>
      <c r="P69" s="117" t="s">
        <v>255</v>
      </c>
      <c r="Q69" s="117"/>
      <c r="R69" s="117"/>
      <c r="S69" s="117"/>
      <c r="T69" s="75" t="s">
        <v>251</v>
      </c>
      <c r="U69" s="120">
        <f>IFERROR(1-(V69+W69),"")</f>
        <v>0.58381040005452189</v>
      </c>
      <c r="V69" s="120">
        <f>IFERROR(AVERAGEIFS(DatosHoy[% Variable],DatosHoy[Nivel],Estadísticos!T68,DatosHoy[Tipo de Cargo],$T$60),"")</f>
        <v>0.41618959994547811</v>
      </c>
      <c r="W69" s="120">
        <f>IFERROR(AVERAGEIF(DatosHoy[Nivel],Estadísticos!T68,DatosHoy[% Beneficios]),"")</f>
        <v>0</v>
      </c>
    </row>
    <row r="70" spans="2:23" x14ac:dyDescent="0.25">
      <c r="B70" s="73" t="s">
        <v>235</v>
      </c>
      <c r="C70" s="75" t="s">
        <v>117</v>
      </c>
      <c r="D70" s="74">
        <v>3027637.6350595648</v>
      </c>
      <c r="E70" s="74">
        <v>3027637.6350595648</v>
      </c>
      <c r="F70" s="74">
        <v>3027637.6350595648</v>
      </c>
      <c r="G70" s="74">
        <v>3164659.8900880129</v>
      </c>
      <c r="H70" s="74">
        <v>3164659.8900880129</v>
      </c>
      <c r="I70" s="74">
        <v>3164659.8900880129</v>
      </c>
      <c r="J70" s="74">
        <v>3301682.145116461</v>
      </c>
      <c r="K70" s="74">
        <v>3301682.145116461</v>
      </c>
      <c r="L70" s="74">
        <v>3301682.145116461</v>
      </c>
      <c r="M70" s="100">
        <f>(Estadísticos[[#This Row],[G+V Md]]-Estadísticos[[#This Row],[GMd]])/Estadísticos[[#This Row],[CT Md]]</f>
        <v>0</v>
      </c>
      <c r="N70" s="100">
        <f>(Estadísticos[[#This Row],[CT Md]]-Estadísticos[[#This Row],[G+V Md]])/Estadísticos[[#This Row],[CT Md]]</f>
        <v>0</v>
      </c>
      <c r="O70" s="76">
        <v>7</v>
      </c>
      <c r="P70" s="117" t="s">
        <v>255</v>
      </c>
      <c r="Q70" s="117"/>
      <c r="R70" s="117"/>
      <c r="S70" s="117"/>
      <c r="T70" s="129"/>
      <c r="U70" s="130"/>
      <c r="V70" s="130"/>
      <c r="W70" s="130"/>
    </row>
    <row r="71" spans="2:23" x14ac:dyDescent="0.25">
      <c r="B71" s="73" t="s">
        <v>236</v>
      </c>
      <c r="C71" s="75" t="s">
        <v>117</v>
      </c>
      <c r="D71" s="74">
        <v>2672266.4310655463</v>
      </c>
      <c r="E71" s="74">
        <v>2672266.4310655463</v>
      </c>
      <c r="F71" s="74">
        <v>3408344.0373264486</v>
      </c>
      <c r="G71" s="74">
        <v>3218969.4440750172</v>
      </c>
      <c r="H71" s="74">
        <v>3218969.4440750172</v>
      </c>
      <c r="I71" s="74">
        <v>4092166.7819472561</v>
      </c>
      <c r="J71" s="74">
        <v>5266912.2552505052</v>
      </c>
      <c r="K71" s="74">
        <v>5266912.2552505052</v>
      </c>
      <c r="L71" s="74">
        <v>5952690.5724646263</v>
      </c>
      <c r="M71" s="100">
        <f>(Estadísticos[[#This Row],[G+V Md]]-Estadísticos[[#This Row],[GMd]])/Estadísticos[[#This Row],[CT Md]]</f>
        <v>0</v>
      </c>
      <c r="N71" s="100">
        <f>(Estadísticos[[#This Row],[CT Md]]-Estadísticos[[#This Row],[G+V Md]])/Estadísticos[[#This Row],[CT Md]]</f>
        <v>0.21338263673034563</v>
      </c>
      <c r="O71" s="76">
        <v>7</v>
      </c>
      <c r="P71" s="117" t="s">
        <v>255</v>
      </c>
      <c r="Q71" s="117"/>
      <c r="R71" s="117"/>
      <c r="S71" s="117"/>
      <c r="T71" s="75" t="s">
        <v>115</v>
      </c>
      <c r="U71" s="120">
        <f t="shared" ref="U71" si="7">IFERROR(1-(V71+W71),"")</f>
        <v>0.81551023020307822</v>
      </c>
      <c r="V71" s="120">
        <f>IFERROR(AVERAGEIFS(Estadísticos[Variable],Estadísticos[Nivel],$T71,Estadísticos[Tipo de Cargo],$T$60),"")</f>
        <v>0.15528962458015544</v>
      </c>
      <c r="W71" s="120">
        <f>IFERROR(AVERAGEIFS(Estadísticos[Beneficios],Estadísticos[Nivel],$T71,Estadísticos[Tipo de Cargo],$T$60),"")</f>
        <v>2.9200145216766341E-2</v>
      </c>
    </row>
    <row r="72" spans="2:23" x14ac:dyDescent="0.25">
      <c r="B72" s="73" t="s">
        <v>194</v>
      </c>
      <c r="C72" s="75" t="s">
        <v>117</v>
      </c>
      <c r="D72" s="74">
        <v>3713356.6071760627</v>
      </c>
      <c r="E72" s="74">
        <v>3713356.6071760627</v>
      </c>
      <c r="F72" s="74">
        <v>3713356.6071760627</v>
      </c>
      <c r="G72" s="74">
        <v>3786166.7522921348</v>
      </c>
      <c r="H72" s="74">
        <v>3786166.7522921348</v>
      </c>
      <c r="I72" s="74">
        <v>3786166.7522921348</v>
      </c>
      <c r="J72" s="74">
        <v>4141467.2604893362</v>
      </c>
      <c r="K72" s="74">
        <v>4141467.2604893362</v>
      </c>
      <c r="L72" s="74">
        <v>4141467.2604893362</v>
      </c>
      <c r="M72" s="100">
        <f>(Estadísticos[[#This Row],[G+V Md]]-Estadísticos[[#This Row],[GMd]])/Estadísticos[[#This Row],[CT Md]]</f>
        <v>0</v>
      </c>
      <c r="N72" s="100">
        <f>(Estadísticos[[#This Row],[CT Md]]-Estadísticos[[#This Row],[G+V Md]])/Estadísticos[[#This Row],[CT Md]]</f>
        <v>0</v>
      </c>
      <c r="O72" s="76">
        <v>7</v>
      </c>
      <c r="P72" s="117" t="s">
        <v>255</v>
      </c>
      <c r="Q72" s="117"/>
      <c r="R72" s="117"/>
      <c r="S72" s="117"/>
      <c r="T72" s="75" t="s">
        <v>250</v>
      </c>
      <c r="U72" s="120">
        <f>IFERROR(1-(V72+W72),"")</f>
        <v>0.72527327034281897</v>
      </c>
      <c r="V72" s="120">
        <f>IFERROR(AVERAGEIFS(DatosHoy[% Variable],DatosHoy[Nivel],Estadísticos!T71,DatosHoy[Tipo de Cargo],$T$60),"")</f>
        <v>0.27472672965718103</v>
      </c>
      <c r="W72" s="120">
        <f>IFERROR(AVERAGEIF(DatosHoy[Nivel],Estadísticos!T71,DatosHoy[% Beneficios]),"")</f>
        <v>0</v>
      </c>
    </row>
    <row r="73" spans="2:23" x14ac:dyDescent="0.25">
      <c r="B73" s="73" t="s">
        <v>237</v>
      </c>
      <c r="C73" s="75" t="s">
        <v>117</v>
      </c>
      <c r="D73" s="74">
        <v>2127852.5029787393</v>
      </c>
      <c r="E73" s="74">
        <v>2127852.5029787393</v>
      </c>
      <c r="F73" s="74">
        <v>2127852.5029787393</v>
      </c>
      <c r="G73" s="74">
        <v>2169575.1819974277</v>
      </c>
      <c r="H73" s="74">
        <v>2169575.1819974277</v>
      </c>
      <c r="I73" s="74">
        <v>2169575.1819974277</v>
      </c>
      <c r="J73" s="74">
        <v>3249907.4660816966</v>
      </c>
      <c r="K73" s="74">
        <v>3249907.4660816966</v>
      </c>
      <c r="L73" s="74">
        <v>3249907.4660816966</v>
      </c>
      <c r="M73" s="100">
        <f>(Estadísticos[[#This Row],[G+V Md]]-Estadísticos[[#This Row],[GMd]])/Estadísticos[[#This Row],[CT Md]]</f>
        <v>0</v>
      </c>
      <c r="N73" s="100">
        <f>(Estadísticos[[#This Row],[CT Md]]-Estadísticos[[#This Row],[G+V Md]])/Estadísticos[[#This Row],[CT Md]]</f>
        <v>0</v>
      </c>
      <c r="O73" s="76">
        <v>7</v>
      </c>
      <c r="P73" s="117" t="s">
        <v>255</v>
      </c>
      <c r="Q73" s="117"/>
      <c r="R73" s="117"/>
      <c r="S73" s="117"/>
      <c r="T73" s="129"/>
      <c r="U73" s="130"/>
      <c r="V73" s="130"/>
      <c r="W73" s="130"/>
    </row>
    <row r="74" spans="2:23" x14ac:dyDescent="0.25">
      <c r="B74" s="73" t="s">
        <v>238</v>
      </c>
      <c r="C74" s="75" t="s">
        <v>117</v>
      </c>
      <c r="D74" s="74">
        <v>1993781.0346164661</v>
      </c>
      <c r="E74" s="74">
        <v>1993781.0346164661</v>
      </c>
      <c r="F74" s="74">
        <v>2809424.3817369542</v>
      </c>
      <c r="G74" s="74">
        <v>2647560.6093187998</v>
      </c>
      <c r="H74" s="74">
        <v>2775174.6215375336</v>
      </c>
      <c r="I74" s="74">
        <v>3236364.006076064</v>
      </c>
      <c r="J74" s="74">
        <v>3423352.1999761853</v>
      </c>
      <c r="K74" s="74">
        <v>3517586.3769204821</v>
      </c>
      <c r="L74" s="74">
        <v>3719201.4552458585</v>
      </c>
      <c r="M74" s="100">
        <f>(Estadísticos[[#This Row],[G+V Md]]-Estadísticos[[#This Row],[GMd]])/Estadísticos[[#This Row],[CT Md]]</f>
        <v>3.9431291405771021E-2</v>
      </c>
      <c r="N74" s="100">
        <f>(Estadísticos[[#This Row],[CT Md]]-Estadísticos[[#This Row],[G+V Md]])/Estadísticos[[#This Row],[CT Md]]</f>
        <v>0.1425023216401731</v>
      </c>
      <c r="O74" s="76">
        <v>7</v>
      </c>
      <c r="P74" s="117" t="s">
        <v>255</v>
      </c>
      <c r="Q74" s="117"/>
      <c r="R74" s="117"/>
      <c r="S74" s="117"/>
      <c r="T74" s="75" t="s">
        <v>114</v>
      </c>
      <c r="U74" s="120">
        <f t="shared" ref="U74" si="8">IFERROR(1-(V74+W74),"")</f>
        <v>0.79026953196700822</v>
      </c>
      <c r="V74" s="120">
        <f>IFERROR(AVERAGEIFS(Estadísticos[Variable],Estadísticos[Nivel],$T74,Estadísticos[Tipo de Cargo],$T$60),"")</f>
        <v>0.20973046803299178</v>
      </c>
      <c r="W74" s="120">
        <f>IFERROR(AVERAGEIFS(Estadísticos[Beneficios],Estadísticos[Nivel],$T74,Estadísticos[Tipo de Cargo],$T$60),"")</f>
        <v>0</v>
      </c>
    </row>
    <row r="75" spans="2:23" x14ac:dyDescent="0.25">
      <c r="B75" s="73" t="s">
        <v>239</v>
      </c>
      <c r="C75" s="75" t="s">
        <v>117</v>
      </c>
      <c r="D75" s="74">
        <v>3711718.1983558233</v>
      </c>
      <c r="E75" s="74">
        <v>3711718.1983558233</v>
      </c>
      <c r="F75" s="74">
        <v>3808702.0957755586</v>
      </c>
      <c r="G75" s="74">
        <v>3711718.1983558233</v>
      </c>
      <c r="H75" s="74">
        <v>3711718.1983558233</v>
      </c>
      <c r="I75" s="74">
        <v>3808702.0957755586</v>
      </c>
      <c r="J75" s="74">
        <v>3711718.1983558233</v>
      </c>
      <c r="K75" s="74">
        <v>3711718.1983558233</v>
      </c>
      <c r="L75" s="74">
        <v>3808702.0957755586</v>
      </c>
      <c r="M75" s="100">
        <f>(Estadísticos[[#This Row],[G+V Md]]-Estadísticos[[#This Row],[GMd]])/Estadísticos[[#This Row],[CT Md]]</f>
        <v>0</v>
      </c>
      <c r="N75" s="100">
        <f>(Estadísticos[[#This Row],[CT Md]]-Estadísticos[[#This Row],[G+V Md]])/Estadísticos[[#This Row],[CT Md]]</f>
        <v>2.5463765603328626E-2</v>
      </c>
      <c r="O75" s="76">
        <v>7</v>
      </c>
      <c r="P75" s="117" t="s">
        <v>255</v>
      </c>
      <c r="Q75" s="117"/>
      <c r="R75" s="117"/>
      <c r="S75" s="117"/>
      <c r="T75" s="75" t="s">
        <v>249</v>
      </c>
      <c r="U75" s="120">
        <f>IFERROR(1-(V75+W75),"")</f>
        <v>0.78982226883876461</v>
      </c>
      <c r="V75" s="120">
        <f>IFERROR(AVERAGEIFS(DatosHoy[% Variable],DatosHoy[Nivel],Estadísticos!T74,DatosHoy[Tipo de Cargo],$T$60),"")</f>
        <v>0.19768769418198637</v>
      </c>
      <c r="W75" s="120">
        <f>IFERROR(AVERAGEIF(DatosHoy[Nivel],Estadísticos!T74,DatosHoy[% Beneficios]),"")</f>
        <v>1.2490036979249072E-2</v>
      </c>
    </row>
    <row r="76" spans="2:23" x14ac:dyDescent="0.25">
      <c r="B76" s="73" t="s">
        <v>195</v>
      </c>
      <c r="C76" s="75" t="s">
        <v>117</v>
      </c>
      <c r="D76" s="74">
        <v>2038242.9928654672</v>
      </c>
      <c r="E76" s="74">
        <v>2067113.7578606559</v>
      </c>
      <c r="F76" s="74">
        <v>2067113.7578606559</v>
      </c>
      <c r="G76" s="74">
        <v>2367827.1476484928</v>
      </c>
      <c r="H76" s="74">
        <v>2382437.6686204169</v>
      </c>
      <c r="I76" s="74">
        <v>2489715.3956425395</v>
      </c>
      <c r="J76" s="74">
        <v>2798608.1728554582</v>
      </c>
      <c r="K76" s="74">
        <v>2798608.1728554582</v>
      </c>
      <c r="L76" s="74">
        <v>2959524.7633886426</v>
      </c>
      <c r="M76" s="100">
        <f>(Estadísticos[[#This Row],[G+V Md]]-Estadísticos[[#This Row],[GMd]])/Estadísticos[[#This Row],[CT Md]]</f>
        <v>5.8683498513505475E-3</v>
      </c>
      <c r="N76" s="100">
        <f>(Estadísticos[[#This Row],[CT Md]]-Estadísticos[[#This Row],[G+V Md]])/Estadísticos[[#This Row],[CT Md]]</f>
        <v>4.3088349459491783E-2</v>
      </c>
      <c r="O76" s="76">
        <v>6</v>
      </c>
      <c r="P76" s="117" t="s">
        <v>255</v>
      </c>
      <c r="Q76" s="117"/>
      <c r="R76" s="117"/>
      <c r="S76" s="117"/>
      <c r="T76" s="129"/>
      <c r="U76" s="130"/>
      <c r="V76" s="130"/>
      <c r="W76" s="130"/>
    </row>
    <row r="77" spans="2:23" x14ac:dyDescent="0.25">
      <c r="B77" s="73" t="s">
        <v>240</v>
      </c>
      <c r="C77" s="75" t="s">
        <v>117</v>
      </c>
      <c r="D77" s="74">
        <v>2104912.9808767801</v>
      </c>
      <c r="E77" s="74">
        <v>2467274.724345916</v>
      </c>
      <c r="F77" s="74">
        <v>2493290.1318597868</v>
      </c>
      <c r="G77" s="74">
        <v>2238837.3660477223</v>
      </c>
      <c r="H77" s="74">
        <v>2604586.9158314327</v>
      </c>
      <c r="I77" s="74">
        <v>2705935.171174543</v>
      </c>
      <c r="J77" s="74">
        <v>2466322.9815507103</v>
      </c>
      <c r="K77" s="74">
        <v>2808062.3592790142</v>
      </c>
      <c r="L77" s="74">
        <v>2934069.3347798092</v>
      </c>
      <c r="M77" s="100">
        <f>(Estadísticos[[#This Row],[G+V Md]]-Estadísticos[[#This Row],[GMd]])/Estadísticos[[#This Row],[CT Md]]</f>
        <v>0.13516567347212258</v>
      </c>
      <c r="N77" s="100">
        <f>(Estadísticos[[#This Row],[CT Md]]-Estadísticos[[#This Row],[G+V Md]])/Estadísticos[[#This Row],[CT Md]]</f>
        <v>3.7454058923044674E-2</v>
      </c>
      <c r="O77" s="76">
        <v>6</v>
      </c>
      <c r="P77" s="117" t="s">
        <v>255</v>
      </c>
      <c r="Q77" s="117"/>
      <c r="R77" s="117"/>
      <c r="S77" s="117"/>
      <c r="T77" s="75" t="s">
        <v>113</v>
      </c>
      <c r="U77" s="120" t="str">
        <f t="shared" ref="U77" si="9">IFERROR(1-(V77+W77),"")</f>
        <v/>
      </c>
      <c r="V77" s="120" t="str">
        <f>IFERROR(AVERAGEIFS(Estadísticos[Variable],Estadísticos[Nivel],$T77,Estadísticos[Tipo de Cargo],$T$60),"")</f>
        <v/>
      </c>
      <c r="W77" s="120" t="str">
        <f>IFERROR(AVERAGEIFS(Estadísticos[Beneficios],Estadísticos[Nivel],$T77,Estadísticos[Tipo de Cargo],$T$60),"")</f>
        <v/>
      </c>
    </row>
    <row r="78" spans="2:23" x14ac:dyDescent="0.25">
      <c r="B78" s="73" t="s">
        <v>241</v>
      </c>
      <c r="C78" s="75" t="s">
        <v>117</v>
      </c>
      <c r="D78" s="74">
        <v>3246516.5749886646</v>
      </c>
      <c r="E78" s="74">
        <v>3246516.5749886646</v>
      </c>
      <c r="F78" s="74">
        <v>3358576.4916553311</v>
      </c>
      <c r="G78" s="74">
        <v>3646844.6489131674</v>
      </c>
      <c r="H78" s="74">
        <v>3646844.6489131674</v>
      </c>
      <c r="I78" s="74">
        <v>3870964.4822465004</v>
      </c>
      <c r="J78" s="74">
        <v>4047172.7228376707</v>
      </c>
      <c r="K78" s="74">
        <v>4047172.7228376707</v>
      </c>
      <c r="L78" s="74">
        <v>4383352.4728376698</v>
      </c>
      <c r="M78" s="100">
        <f>(Estadísticos[[#This Row],[G+V Md]]-Estadísticos[[#This Row],[GMd]])/Estadísticos[[#This Row],[CT Md]]</f>
        <v>0</v>
      </c>
      <c r="N78" s="100">
        <f>(Estadísticos[[#This Row],[CT Md]]-Estadísticos[[#This Row],[G+V Md]])/Estadísticos[[#This Row],[CT Md]]</f>
        <v>5.7897672365948935E-2</v>
      </c>
      <c r="O78" s="76">
        <v>6</v>
      </c>
      <c r="P78" s="117" t="s">
        <v>255</v>
      </c>
      <c r="Q78" s="117"/>
      <c r="R78" s="117"/>
      <c r="S78" s="117"/>
      <c r="T78" s="75" t="s">
        <v>248</v>
      </c>
      <c r="U78" s="120" t="str">
        <f>IFERROR(1-(V78+W78),"")</f>
        <v/>
      </c>
      <c r="V78" s="120" t="str">
        <f>IFERROR(AVERAGEIFS(DatosHoy[% Variable],DatosHoy[Nivel],Estadísticos!T77,DatosHoy[Tipo de Cargo],$T$60),"")</f>
        <v/>
      </c>
      <c r="W78" s="120" t="str">
        <f>IFERROR(AVERAGEIF(DatosHoy[Nivel],Estadísticos!T77,DatosHoy[% Beneficios]),"")</f>
        <v/>
      </c>
    </row>
    <row r="79" spans="2:23" x14ac:dyDescent="0.25">
      <c r="B79" s="73" t="s">
        <v>242</v>
      </c>
      <c r="C79" s="75" t="s">
        <v>117</v>
      </c>
      <c r="D79" s="74">
        <v>2638660.5002269493</v>
      </c>
      <c r="E79" s="74">
        <v>2638660.5002269493</v>
      </c>
      <c r="F79" s="74">
        <v>2721443.0767407464</v>
      </c>
      <c r="G79" s="74">
        <v>4297469.9864633391</v>
      </c>
      <c r="H79" s="74">
        <v>4297469.9864633391</v>
      </c>
      <c r="I79" s="74">
        <v>4297469.9864633391</v>
      </c>
      <c r="J79" s="74">
        <v>5022767.9353671987</v>
      </c>
      <c r="K79" s="74">
        <v>5042069.0103157777</v>
      </c>
      <c r="L79" s="74">
        <v>5271007.9182385728</v>
      </c>
      <c r="M79" s="100">
        <f>(Estadísticos[[#This Row],[G+V Md]]-Estadísticos[[#This Row],[GMd]])/Estadísticos[[#This Row],[CT Md]]</f>
        <v>0</v>
      </c>
      <c r="N79" s="100">
        <f>(Estadísticos[[#This Row],[CT Md]]-Estadísticos[[#This Row],[G+V Md]])/Estadísticos[[#This Row],[CT Md]]</f>
        <v>0</v>
      </c>
      <c r="O79" s="76">
        <v>6</v>
      </c>
      <c r="P79" s="117" t="s">
        <v>255</v>
      </c>
      <c r="Q79" s="117"/>
      <c r="R79" s="117"/>
      <c r="S79" s="117"/>
    </row>
    <row r="80" spans="2:23" x14ac:dyDescent="0.25">
      <c r="B80" s="73" t="s">
        <v>243</v>
      </c>
      <c r="C80" s="75" t="s">
        <v>118</v>
      </c>
      <c r="D80" s="74">
        <v>1674373.3382850783</v>
      </c>
      <c r="E80" s="74">
        <v>1674373.3382850783</v>
      </c>
      <c r="F80" s="74">
        <v>1674373.3382850783</v>
      </c>
      <c r="G80" s="74">
        <v>1756982.5298798177</v>
      </c>
      <c r="H80" s="74">
        <v>1806547.4919228402</v>
      </c>
      <c r="I80" s="74">
        <v>1806547.4919228402</v>
      </c>
      <c r="J80" s="74">
        <v>2284331.3275407897</v>
      </c>
      <c r="K80" s="74">
        <v>2385325.0637786104</v>
      </c>
      <c r="L80" s="74">
        <v>2840782.1646548053</v>
      </c>
      <c r="M80" s="100">
        <f>(Estadísticos[[#This Row],[G+V Md]]-Estadísticos[[#This Row],[GMd]])/Estadísticos[[#This Row],[CT Md]]</f>
        <v>2.7436290639814235E-2</v>
      </c>
      <c r="N80" s="100">
        <f>(Estadísticos[[#This Row],[CT Md]]-Estadísticos[[#This Row],[G+V Md]])/Estadísticos[[#This Row],[CT Md]]</f>
        <v>0</v>
      </c>
      <c r="O80" s="76">
        <v>5</v>
      </c>
      <c r="P80" s="117" t="s">
        <v>255</v>
      </c>
      <c r="Q80" s="117"/>
      <c r="R80" s="117"/>
      <c r="S80" s="117"/>
    </row>
    <row r="81" spans="2:19" x14ac:dyDescent="0.25">
      <c r="B81" s="73" t="s">
        <v>196</v>
      </c>
      <c r="C81" s="75" t="s">
        <v>118</v>
      </c>
      <c r="D81" s="74">
        <v>2347597.6473008865</v>
      </c>
      <c r="E81" s="74">
        <v>2347597.6473008865</v>
      </c>
      <c r="F81" s="74">
        <v>2389603.8773794952</v>
      </c>
      <c r="G81" s="74">
        <v>2666611.168049898</v>
      </c>
      <c r="H81" s="74">
        <v>2666611.168049898</v>
      </c>
      <c r="I81" s="74">
        <v>2837797.7431476107</v>
      </c>
      <c r="J81" s="74">
        <v>2989654.3122690506</v>
      </c>
      <c r="K81" s="74">
        <v>2989654.3122690506</v>
      </c>
      <c r="L81" s="74">
        <v>3612751.0159480553</v>
      </c>
      <c r="M81" s="100">
        <f>(Estadísticos[[#This Row],[G+V Md]]-Estadísticos[[#This Row],[GMd]])/Estadísticos[[#This Row],[CT Md]]</f>
        <v>0</v>
      </c>
      <c r="N81" s="100">
        <f>(Estadísticos[[#This Row],[CT Md]]-Estadísticos[[#This Row],[G+V Md]])/Estadísticos[[#This Row],[CT Md]]</f>
        <v>6.0323740658077003E-2</v>
      </c>
      <c r="O81" s="76">
        <v>4</v>
      </c>
      <c r="P81" s="117" t="s">
        <v>255</v>
      </c>
      <c r="Q81" s="117"/>
      <c r="R81" s="117"/>
      <c r="S81" s="117"/>
    </row>
    <row r="82" spans="2:19" x14ac:dyDescent="0.25">
      <c r="B82" s="73" t="s">
        <v>244</v>
      </c>
      <c r="C82" s="75" t="s">
        <v>118</v>
      </c>
      <c r="D82" s="74">
        <v>3037807.1940716701</v>
      </c>
      <c r="E82" s="74">
        <v>3037807.1940716701</v>
      </c>
      <c r="F82" s="74">
        <v>3486046.860738337</v>
      </c>
      <c r="G82" s="74">
        <v>3125168.1638867408</v>
      </c>
      <c r="H82" s="74">
        <v>3125168.1638867408</v>
      </c>
      <c r="I82" s="74">
        <v>3573407.8305534073</v>
      </c>
      <c r="J82" s="74">
        <v>3161730.4761106502</v>
      </c>
      <c r="K82" s="74">
        <v>3161730.4761106502</v>
      </c>
      <c r="L82" s="74">
        <v>3609970.1427773172</v>
      </c>
      <c r="M82" s="100">
        <f>(Estadísticos[[#This Row],[G+V Md]]-Estadísticos[[#This Row],[GMd]])/Estadísticos[[#This Row],[CT Md]]</f>
        <v>0</v>
      </c>
      <c r="N82" s="100">
        <f>(Estadísticos[[#This Row],[CT Md]]-Estadísticos[[#This Row],[G+V Md]])/Estadísticos[[#This Row],[CT Md]]</f>
        <v>0.12543759008812841</v>
      </c>
      <c r="O82" s="76">
        <v>4</v>
      </c>
      <c r="P82" s="117" t="s">
        <v>255</v>
      </c>
      <c r="Q82" s="117"/>
      <c r="R82" s="117"/>
      <c r="S82" s="117"/>
    </row>
    <row r="83" spans="2:19" x14ac:dyDescent="0.25">
      <c r="B83" s="134" t="s">
        <v>246</v>
      </c>
      <c r="C83" s="135" t="s">
        <v>118</v>
      </c>
      <c r="D83" s="80">
        <f>1423500*1.17666666</f>
        <v>1674984.9905099999</v>
      </c>
      <c r="E83" s="80">
        <f>1423500*1.17666666</f>
        <v>1674984.9905099999</v>
      </c>
      <c r="F83" s="80">
        <f>1423500*1.17666666</f>
        <v>1674984.9905099999</v>
      </c>
      <c r="G83" s="80">
        <f>+Estadísticos[[#This Row],[CT Q1]]*1.2</f>
        <v>2009981.9886119999</v>
      </c>
      <c r="H83" s="80">
        <f>+Estadísticos[[#This Row],[CT Q1]]*1.2</f>
        <v>2009981.9886119999</v>
      </c>
      <c r="I83" s="80">
        <f>+Estadísticos[[#This Row],[CT Q1]]*1.2</f>
        <v>2009981.9886119999</v>
      </c>
      <c r="J83" s="80">
        <f>+Estadísticos[[#This Row],[CT Md]]*1.2</f>
        <v>2411978.3863343997</v>
      </c>
      <c r="K83" s="80">
        <f>+Estadísticos[[#This Row],[CT Md]]*1.2</f>
        <v>2411978.3863343997</v>
      </c>
      <c r="L83" s="80">
        <f>+Estadísticos[[#This Row],[CT Md]]*1.2</f>
        <v>2411978.3863343997</v>
      </c>
      <c r="M83" s="101">
        <f>(Estadísticos[[#This Row],[G+V Md]]-Estadísticos[[#This Row],[GMd]])/Estadísticos[[#This Row],[CT Md]]</f>
        <v>0</v>
      </c>
      <c r="N83" s="101">
        <f>(Estadísticos[[#This Row],[CT Md]]-Estadísticos[[#This Row],[G+V Md]])/Estadísticos[[#This Row],[CT Md]]</f>
        <v>0</v>
      </c>
      <c r="O83" s="89">
        <v>1</v>
      </c>
      <c r="P83" s="117" t="s">
        <v>255</v>
      </c>
      <c r="Q83" s="117"/>
      <c r="R83" s="117"/>
      <c r="S83" s="117"/>
    </row>
    <row r="84" spans="2:19" x14ac:dyDescent="0.25">
      <c r="Q84" s="117"/>
      <c r="R84" s="117"/>
      <c r="S84" s="117"/>
    </row>
  </sheetData>
  <mergeCells count="2">
    <mergeCell ref="T60:W60"/>
    <mergeCell ref="T1:W1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B1:AF2188"/>
  <sheetViews>
    <sheetView showGridLines="0" topLeftCell="A10" zoomScale="70" zoomScaleNormal="70" workbookViewId="0">
      <selection activeCell="A41" sqref="A41"/>
    </sheetView>
  </sheetViews>
  <sheetFormatPr baseColWidth="10" defaultColWidth="11" defaultRowHeight="13.8" x14ac:dyDescent="0.25"/>
  <cols>
    <col min="1" max="1" width="1.59765625" style="5" customWidth="1"/>
    <col min="2" max="2" width="10.3984375" style="5" customWidth="1"/>
    <col min="3" max="5" width="10.3984375" style="6" customWidth="1"/>
    <col min="6" max="7" width="19.69921875" style="6" customWidth="1"/>
    <col min="8" max="8" width="20.19921875" style="6" customWidth="1"/>
    <col min="9" max="9" width="19.69921875" style="5" customWidth="1"/>
    <col min="10" max="10" width="10.3984375" style="5" customWidth="1"/>
    <col min="11" max="13" width="19.69921875" style="5" customWidth="1"/>
    <col min="14" max="14" width="19.69921875" style="7" customWidth="1"/>
    <col min="15" max="15" width="10.3984375" style="7" customWidth="1"/>
    <col min="16" max="16" width="19.69921875" style="7" customWidth="1"/>
    <col min="17" max="19" width="19.69921875" style="6" customWidth="1"/>
    <col min="20" max="20" width="10.3984375" style="6" customWidth="1"/>
    <col min="21" max="21" width="19.69921875" style="6" customWidth="1"/>
    <col min="22" max="22" width="19.69921875" style="5" customWidth="1"/>
    <col min="23" max="23" width="10.3984375" style="5" customWidth="1"/>
    <col min="24" max="25" width="19.69921875" style="5" customWidth="1"/>
    <col min="26" max="26" width="10.3984375" style="5" customWidth="1"/>
    <col min="27" max="31" width="19.69921875" style="5" customWidth="1"/>
    <col min="32" max="32" width="12.3984375" style="5" bestFit="1" customWidth="1"/>
    <col min="33" max="16384" width="11" style="5"/>
  </cols>
  <sheetData>
    <row r="1" spans="2:32" s="2" customFormat="1" x14ac:dyDescent="0.25">
      <c r="C1" s="1"/>
      <c r="D1" s="1"/>
      <c r="E1" s="1"/>
      <c r="F1" s="1"/>
      <c r="G1" s="1"/>
      <c r="M1" s="3"/>
      <c r="N1" s="3"/>
      <c r="O1" s="3"/>
    </row>
    <row r="2" spans="2:32" s="2" customFormat="1" x14ac:dyDescent="0.25">
      <c r="C2" s="1"/>
      <c r="D2" s="13" t="s">
        <v>119</v>
      </c>
      <c r="E2" s="14" t="s">
        <v>120</v>
      </c>
      <c r="F2" s="1"/>
      <c r="G2" s="1"/>
      <c r="M2" s="3"/>
      <c r="N2" s="3"/>
      <c r="O2" s="3"/>
    </row>
    <row r="3" spans="2:32" s="2" customFormat="1" x14ac:dyDescent="0.25">
      <c r="B3" s="13" t="s">
        <v>121</v>
      </c>
      <c r="C3" s="15">
        <f>$D$40</f>
        <v>831</v>
      </c>
      <c r="D3" s="15">
        <f>IFERROR(VLOOKUP($C3,Duplas[],4,0),"")</f>
        <v>217</v>
      </c>
      <c r="E3" s="15">
        <f>IFERROR(VLOOKUP($C3,Duplas[],5,0),"")</f>
        <v>599</v>
      </c>
      <c r="F3" s="1"/>
      <c r="G3" s="1"/>
      <c r="M3" s="3"/>
      <c r="N3" s="3"/>
      <c r="O3" s="3"/>
    </row>
    <row r="4" spans="2:32" s="2" customFormat="1" x14ac:dyDescent="0.25"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2:32" s="2" customFormat="1" x14ac:dyDescent="0.25">
      <c r="C5" s="1"/>
      <c r="D5" s="1"/>
      <c r="E5" s="155" t="s">
        <v>122</v>
      </c>
      <c r="F5" s="155"/>
      <c r="G5" s="155"/>
      <c r="H5" s="155"/>
      <c r="I5" s="155"/>
      <c r="J5" s="154" t="s">
        <v>123</v>
      </c>
      <c r="K5" s="154"/>
      <c r="L5" s="154"/>
      <c r="M5" s="154"/>
      <c r="N5" s="154"/>
      <c r="O5" s="153" t="s">
        <v>124</v>
      </c>
      <c r="P5" s="153"/>
      <c r="Q5" s="153"/>
      <c r="R5" s="153"/>
      <c r="S5" s="153"/>
      <c r="T5" s="150" t="s">
        <v>125</v>
      </c>
      <c r="U5" s="150"/>
      <c r="V5" s="150"/>
      <c r="W5" s="150" t="s">
        <v>126</v>
      </c>
      <c r="X5" s="150"/>
      <c r="Y5" s="150"/>
      <c r="Z5" s="150" t="s">
        <v>127</v>
      </c>
      <c r="AA5" s="150"/>
      <c r="AB5" s="150"/>
      <c r="AC5" s="150" t="s">
        <v>128</v>
      </c>
      <c r="AD5" s="150"/>
      <c r="AE5" s="150"/>
    </row>
    <row r="6" spans="2:32" s="2" customFormat="1" x14ac:dyDescent="0.25">
      <c r="B6" s="16" t="s">
        <v>129</v>
      </c>
      <c r="C6" s="156" t="s">
        <v>41</v>
      </c>
      <c r="D6" s="157"/>
      <c r="E6" s="17" t="s">
        <v>130</v>
      </c>
      <c r="F6" s="17" t="s">
        <v>131</v>
      </c>
      <c r="G6" s="17" t="s">
        <v>132</v>
      </c>
      <c r="H6" s="17" t="s">
        <v>133</v>
      </c>
      <c r="I6" s="17" t="s">
        <v>134</v>
      </c>
      <c r="J6" s="18" t="s">
        <v>130</v>
      </c>
      <c r="K6" s="18" t="s">
        <v>131</v>
      </c>
      <c r="L6" s="18" t="s">
        <v>132</v>
      </c>
      <c r="M6" s="18" t="s">
        <v>133</v>
      </c>
      <c r="N6" s="18" t="s">
        <v>134</v>
      </c>
      <c r="O6" s="19" t="s">
        <v>130</v>
      </c>
      <c r="P6" s="19" t="s">
        <v>131</v>
      </c>
      <c r="Q6" s="19" t="s">
        <v>132</v>
      </c>
      <c r="R6" s="19" t="s">
        <v>133</v>
      </c>
      <c r="S6" s="19" t="s">
        <v>134</v>
      </c>
      <c r="T6" s="13" t="s">
        <v>130</v>
      </c>
      <c r="U6" s="13" t="s">
        <v>133</v>
      </c>
      <c r="V6" s="13" t="s">
        <v>134</v>
      </c>
      <c r="W6" s="13" t="s">
        <v>130</v>
      </c>
      <c r="X6" s="13" t="s">
        <v>133</v>
      </c>
      <c r="Y6" s="13" t="s">
        <v>134</v>
      </c>
      <c r="Z6" s="13" t="s">
        <v>130</v>
      </c>
      <c r="AA6" s="13" t="s">
        <v>133</v>
      </c>
      <c r="AB6" s="13" t="s">
        <v>134</v>
      </c>
      <c r="AC6" s="13" t="s">
        <v>135</v>
      </c>
      <c r="AD6" s="13" t="s">
        <v>136</v>
      </c>
      <c r="AE6" s="13" t="s">
        <v>137</v>
      </c>
    </row>
    <row r="7" spans="2:32" s="2" customFormat="1" x14ac:dyDescent="0.25">
      <c r="B7" s="16">
        <v>1</v>
      </c>
      <c r="C7" s="20">
        <f>MIN(DatosHoy[Puntos])</f>
        <v>94</v>
      </c>
      <c r="D7" s="15">
        <f>C8</f>
        <v>217</v>
      </c>
      <c r="E7" s="15">
        <f>$C7</f>
        <v>94</v>
      </c>
      <c r="F7" s="21" t="str">
        <f>IFERROR("Datos!"&amp;CONCATENATE(VLOOKUP($C7,DatosHoy[[#Headers],[#Data],[Puntos]:[CTq3 colum]],6,IF(COUNTIF(DatosHoy[Puntos],$C7)&lt;=1,0,1)),":",VLOOKUP($D7,DatosHoy[[#Headers],[#Data],[Puntos]:[CTq3 colum]],6,IF(COUNTIF(DatosHoy[Puntos],$D7)&lt;=1,0,1))),"")</f>
        <v>Datos!$I$6:$I$39</v>
      </c>
      <c r="G7" s="21" t="str">
        <f>IFERROR("Datos!"&amp;CONCATENATE(VLOOKUP($C7,DatosHoy[[#Headers],[#Data],[Puntos]:[CTq3 colum]],2,IF(COUNTIF(DatosHoy[Puntos],$C7)&lt;=1,0,1)),":",VLOOKUP($D7,DatosHoy[[#Headers],[#Data],[Puntos]:[CTq3 colum]],2,IF(COUNTIF(DatosHoy[Puntos],$D7)&lt;=1,0,1))),"")</f>
        <v>Datos!$P$6:$P$39</v>
      </c>
      <c r="H7" s="22">
        <f ca="1">IFERROR(SLOPE(INDIRECT(F7),INDIRECT($G7)),H6)</f>
        <v>13705.731308644952</v>
      </c>
      <c r="I7" s="22">
        <f ca="1">IFERROR(INTERCEPT(INDIRECT(F7),INDIRECT($G7)),I6)</f>
        <v>164561.57514712121</v>
      </c>
      <c r="J7" s="15">
        <f>$C7</f>
        <v>94</v>
      </c>
      <c r="K7" s="21" t="str">
        <f>IFERROR("Datos!"&amp;CONCATENATE(VLOOKUP($C7,DatosHoy[[#Headers],[#Data],[Puntos]:[CTq3 colum]],7,IF(COUNTIF(DatosHoy[Puntos],$C7)&lt;=1,0,1)),":",VLOOKUP($D7,DatosHoy[[#Headers],[#Data],[Puntos]:[CTq3 colum]],7,IF(COUNTIF(DatosHoy[Puntos],$D7)&lt;=1,0,1))),"")</f>
        <v>Datos!$J$6:$J$39</v>
      </c>
      <c r="L7" s="21" t="str">
        <f>IFERROR("Datos!"&amp;CONCATENATE(VLOOKUP($C7,DatosHoy[[#Headers],[#Data],[Puntos]:[CTq3 colum]],2,IF(COUNTIF(DatosHoy[Puntos],$C7)&lt;=1,0,1)),":",VLOOKUP($D7,DatosHoy[[#Headers],[#Data],[Puntos]:[CTq3 colum]],2,IF(COUNTIF(DatosHoy[Puntos],$D7)&lt;=1,0,1))),"")</f>
        <v>Datos!$P$6:$P$39</v>
      </c>
      <c r="M7" s="22">
        <f ca="1">IFERROR(SLOPE(INDIRECT(K7),INDIRECT($G7)),M6)</f>
        <v>14633.524647851342</v>
      </c>
      <c r="N7" s="22">
        <f ca="1">IFERROR(INTERCEPT(INDIRECT(K7),INDIRECT($G7)),N6)</f>
        <v>78523.453537511174</v>
      </c>
      <c r="O7" s="15">
        <f>$C7</f>
        <v>94</v>
      </c>
      <c r="P7" s="21" t="str">
        <f>IFERROR("Datos!"&amp;CONCATENATE(VLOOKUP($C7,DatosHoy[[#Headers],[#Data],[Puntos]:[CTq3 colum]],8,IF(COUNTIF(DatosHoy[Puntos],$C7)&lt;=1,0,1)),":",VLOOKUP($D7,DatosHoy[[#Headers],[#Data],[Puntos]:[CTq3 colum]],8,IF(COUNTIF(DatosHoy[Puntos],$D7)&lt;=1,0,1))),"")</f>
        <v>Datos!$K$6:$K$39</v>
      </c>
      <c r="Q7" s="21" t="str">
        <f>IFERROR("Datos!"&amp;CONCATENATE(VLOOKUP($C7,DatosHoy[[#Headers],[#Data],[Puntos]:[CTq3 colum]],2,IF(COUNTIF(DatosHoy[Puntos],$C7)&lt;=1,0,1)),":",VLOOKUP($D7,DatosHoy[[#Headers],[#Data],[Puntos]:[CTq3 colum]],2,IF(COUNTIF(DatosHoy[Puntos],$D7)&lt;=1,0,1))),"")</f>
        <v>Datos!$P$6:$P$39</v>
      </c>
      <c r="R7" s="22">
        <f ca="1">IFERROR(SLOPE(INDIRECT(P7),INDIRECT($G7)),R6)</f>
        <v>17413.201555215448</v>
      </c>
      <c r="S7" s="22">
        <f ca="1">IFERROR(INTERCEPT(INDIRECT(P7),INDIRECT($G7)),S6)</f>
        <v>-279561.25086749857</v>
      </c>
      <c r="T7" s="15">
        <f>$C7</f>
        <v>94</v>
      </c>
      <c r="U7" s="22">
        <f ca="1">IFERROR((AC8-AC7)/(T8-T7),U6)</f>
        <v>9929.9814450067861</v>
      </c>
      <c r="V7" s="22">
        <f ca="1">IFERROR(AC8-(T8*U7),V6)</f>
        <v>749926.38109636493</v>
      </c>
      <c r="W7" s="15">
        <f>$C7</f>
        <v>94</v>
      </c>
      <c r="X7" s="22">
        <f ca="1">IFERROR((AD8-AD7)/(W8-W7),X6)</f>
        <v>9479.8868409931038</v>
      </c>
      <c r="Y7" s="22">
        <f ca="1">IFERROR(AD8-(W8*X7),Y6)</f>
        <v>865619.71022255649</v>
      </c>
      <c r="Z7" s="15">
        <f>$C7</f>
        <v>94</v>
      </c>
      <c r="AA7" s="22">
        <f ca="1">IFERROR((AE8-AE7)/(Z8-Z7),AA6)</f>
        <v>10648.064578620651</v>
      </c>
      <c r="AB7" s="22">
        <f ca="1">IFERROR(AE8-(Z8*AA7),AB6)</f>
        <v>805629.42153249914</v>
      </c>
      <c r="AC7" s="22">
        <f ca="1">IFERROR(F18,"")</f>
        <v>1683344.6369270028</v>
      </c>
      <c r="AD7" s="22">
        <f ca="1">IFERROR(G18,"")</f>
        <v>1756729.0732759084</v>
      </c>
      <c r="AE7" s="22">
        <f ca="1">IFERROR(H18,"")</f>
        <v>1806547.4919228402</v>
      </c>
    </row>
    <row r="8" spans="2:32" s="2" customFormat="1" x14ac:dyDescent="0.25">
      <c r="B8" s="16">
        <v>2</v>
      </c>
      <c r="C8" s="15">
        <f>D3</f>
        <v>217</v>
      </c>
      <c r="D8" s="15">
        <f>C9</f>
        <v>599</v>
      </c>
      <c r="E8" s="15">
        <f>$C8</f>
        <v>217</v>
      </c>
      <c r="F8" s="21" t="str">
        <f>IFERROR("Datos!"&amp;CONCATENATE(VLOOKUP($C8,DatosHoy[[#Headers],[#Data],[Puntos]:[CTq3 colum]],6,IF(COUNTIF(DatosHoy[Puntos],$C8)&lt;=1,0,1)),":",VLOOKUP($D8,DatosHoy[[#Headers],[#Data],[Puntos]:[CTq3 colum]],6,IF(COUNTIF(DatosHoy[Puntos],$D8)&lt;=1,0,1))),"")</f>
        <v>Datos!$I$39:$I$132</v>
      </c>
      <c r="G8" s="21" t="str">
        <f>IFERROR("Datos!"&amp;CONCATENATE(VLOOKUP($C8,DatosHoy[[#Headers],[#Data],[Puntos]:[CTq3 colum]],2,IF(COUNTIF(DatosHoy[Puntos],$C8)&lt;=1,0,1)),":",VLOOKUP($D8,DatosHoy[[#Headers],[#Data],[Puntos]:[CTq3 colum]],2,IF(COUNTIF(DatosHoy[Puntos],$D8)&lt;=1,0,1))),"")</f>
        <v>Datos!$P$39:$P$132</v>
      </c>
      <c r="H8" s="22">
        <f ca="1">IFERROR(SLOPE(INDIRECT(F8),INDIRECT($G8)),H7)</f>
        <v>25085.934409797341</v>
      </c>
      <c r="I8" s="22">
        <f ca="1">IFERROR(INTERCEPT(INDIRECT(F8),INDIRECT($G8)),I7)</f>
        <v>-2538915.4122631857</v>
      </c>
      <c r="J8" s="15">
        <f>$C8</f>
        <v>217</v>
      </c>
      <c r="K8" s="21" t="str">
        <f>IFERROR("Datos!"&amp;CONCATENATE(VLOOKUP($C8,DatosHoy[[#Headers],[#Data],[Puntos]:[CTq3 colum]],7,IF(COUNTIF(DatosHoy[Puntos],$C8)&lt;=1,0,1)),":",VLOOKUP($D8,DatosHoy[[#Headers],[#Data],[Puntos]:[CTq3 colum]],7,IF(COUNTIF(DatosHoy[Puntos],$D8)&lt;=1,0,1))),"")</f>
        <v>Datos!$J$39:$J$132</v>
      </c>
      <c r="L8" s="21" t="str">
        <f>IFERROR("Datos!"&amp;CONCATENATE(VLOOKUP($C8,DatosHoy[[#Headers],[#Data],[Puntos]:[CTq3 colum]],2,IF(COUNTIF(DatosHoy[Puntos],$C8)&lt;=1,0,1)),":",VLOOKUP($D8,DatosHoy[[#Headers],[#Data],[Puntos]:[CTq3 colum]],2,IF(COUNTIF(DatosHoy[Puntos],$D8)&lt;=1,0,1))),"")</f>
        <v>Datos!$P$39:$P$132</v>
      </c>
      <c r="M8" s="22">
        <f ca="1">IFERROR(SLOPE(INDIRECT(K8),INDIRECT($G8)),M7)</f>
        <v>25936.074355829274</v>
      </c>
      <c r="N8" s="22">
        <f ca="1">IFERROR(INTERCEPT(INDIRECT(K8),INDIRECT($G8)),N7)</f>
        <v>-2705372.9804968927</v>
      </c>
      <c r="O8" s="15">
        <f>$C8</f>
        <v>217</v>
      </c>
      <c r="P8" s="21" t="str">
        <f>IFERROR("Datos!"&amp;CONCATENATE(VLOOKUP($C8,DatosHoy[[#Headers],[#Data],[Puntos]:[CTq3 colum]],8,IF(COUNTIF(DatosHoy[Puntos],$C8)&lt;=1,0,1)),":",VLOOKUP($D8,DatosHoy[[#Headers],[#Data],[Puntos]:[CTq3 colum]],8,IF(COUNTIF(DatosHoy[Puntos],$D8)&lt;=1,0,1))),"")</f>
        <v>Datos!$K$39:$K$132</v>
      </c>
      <c r="Q8" s="21" t="str">
        <f>IFERROR("Datos!"&amp;CONCATENATE(VLOOKUP($C8,DatosHoy[[#Headers],[#Data],[Puntos]:[CTq3 colum]],2,IF(COUNTIF(DatosHoy[Puntos],$C8)&lt;=1,0,1)),":",VLOOKUP($D8,DatosHoy[[#Headers],[#Data],[Puntos]:[CTq3 colum]],2,IF(COUNTIF(DatosHoy[Puntos],$D8)&lt;=1,0,1))),"")</f>
        <v>Datos!$P$39:$P$132</v>
      </c>
      <c r="R8" s="22">
        <f ca="1">IFERROR(SLOPE(INDIRECT(P8),INDIRECT($G8)),R7)</f>
        <v>25813.92021912961</v>
      </c>
      <c r="S8" s="22">
        <f ca="1">IFERROR(INTERCEPT(INDIRECT(P8),INDIRECT($G8)),S7)</f>
        <v>-2485361.2524579447</v>
      </c>
      <c r="T8" s="15">
        <f>$C8</f>
        <v>217</v>
      </c>
      <c r="U8" s="22">
        <f ca="1">IFERROR((AC9-AC8)/(T9-T8),U7)</f>
        <v>22937.564660104046</v>
      </c>
      <c r="V8" s="22">
        <f ca="1">IFERROR(AC9-(T9*U8),V7)</f>
        <v>-2072719.1765797418</v>
      </c>
      <c r="W8" s="15">
        <f>$C8</f>
        <v>217</v>
      </c>
      <c r="X8" s="22">
        <f ca="1">IFERROR((AD9-AD8)/(W9-W8),X7)</f>
        <v>24843.927143447989</v>
      </c>
      <c r="Y8" s="22">
        <f ca="1">IFERROR(AD9-(W9*X8),Y7)</f>
        <v>-2468377.0354101527</v>
      </c>
      <c r="Z8" s="15">
        <f>$C8</f>
        <v>217</v>
      </c>
      <c r="AA8" s="22">
        <f ca="1">IFERROR((AE9-AE8)/(Z9-Z8),AA7)</f>
        <v>25539.911142292436</v>
      </c>
      <c r="AB8" s="22">
        <f ca="1">IFERROR(AE9-(Z9*AA8),AB7)</f>
        <v>-2425901.2827842794</v>
      </c>
      <c r="AC8" s="22">
        <f ca="1">IFERROR(IF(T8=T7,AC7,VLOOKUP($T8,$E$6:$I$10,4,1)*$T8+VLOOKUP($T8,$E$6:$I$10,5,1)),"")</f>
        <v>2904732.3546628375</v>
      </c>
      <c r="AD8" s="22">
        <f ca="1">IFERROR(IF(W8=W7,AD7,VLOOKUP($W8,$J$6:$N$10,4,1)*$W8+VLOOKUP($W8,$J$6:$N$10,5,1)),"")</f>
        <v>2922755.15471806</v>
      </c>
      <c r="AE8" s="22">
        <f ca="1">IFERROR(IF(Z8=Z7,AE7,VLOOKUP($Z8,$O$6:$S$10,4,1)*$Z8+VLOOKUP($Z8,$O$6:$S$10,5,1)),"")</f>
        <v>3116259.4350931803</v>
      </c>
    </row>
    <row r="9" spans="2:32" s="2" customFormat="1" x14ac:dyDescent="0.25">
      <c r="B9" s="16">
        <v>3</v>
      </c>
      <c r="C9" s="15">
        <f>E3</f>
        <v>599</v>
      </c>
      <c r="D9" s="20">
        <f>MAX(DatosHoy[Puntos])</f>
        <v>1048</v>
      </c>
      <c r="E9" s="15">
        <f>$C9</f>
        <v>599</v>
      </c>
      <c r="F9" s="21" t="str">
        <f>IFERROR("Datos!"&amp;CONCATENATE(VLOOKUP($C9,DatosHoy[[#Headers],[#Data],[Puntos]:[CTq3 colum]],6,IF(COUNTIF(DatosHoy[Puntos],$C9)&lt;=1,0,1)),":",VLOOKUP($D9,DatosHoy[[#Headers],[#Data],[Puntos]:[CTq3 colum]],6,IF(COUNTIF(DatosHoy[Puntos],$D9)&lt;=1,0,1))),"")</f>
        <v>Datos!$I$132:$I$144</v>
      </c>
      <c r="G9" s="21" t="str">
        <f>IFERROR("Datos!"&amp;CONCATENATE(VLOOKUP($C9,DatosHoy[[#Headers],[#Data],[Puntos]:[CTq3 colum]],2,IF(COUNTIF(DatosHoy[Puntos],$C9)&lt;=1,0,1)),":",VLOOKUP($D9,DatosHoy[[#Headers],[#Data],[Puntos]:[CTq3 colum]],2,IF(COUNTIF(DatosHoy[Puntos],$D9)&lt;=1,0,1))),"")</f>
        <v>Datos!$P$132:$P$144</v>
      </c>
      <c r="H9" s="22">
        <f ca="1">IFERROR(SLOPE(INDIRECT(F9),INDIRECT($G9)),H8)</f>
        <v>36407.020331123342</v>
      </c>
      <c r="I9" s="22">
        <f ca="1">IFERROR(INTERCEPT(INDIRECT(F9),INDIRECT($G9)),I8)</f>
        <v>-10140923.1235203</v>
      </c>
      <c r="J9" s="15">
        <f>$C9</f>
        <v>599</v>
      </c>
      <c r="K9" s="21" t="str">
        <f>IFERROR("Datos!"&amp;CONCATENATE(VLOOKUP($C9,DatosHoy[[#Headers],[#Data],[Puntos]:[CTq3 colum]],7,IF(COUNTIF(DatosHoy[Puntos],$C9)&lt;=1,0,1)),":",VLOOKUP($D9,DatosHoy[[#Headers],[#Data],[Puntos]:[CTq3 colum]],7,IF(COUNTIF(DatosHoy[Puntos],$D9)&lt;=1,0,1))),"")</f>
        <v>Datos!$J$132:$J$144</v>
      </c>
      <c r="L9" s="21" t="str">
        <f>IFERROR("Datos!"&amp;CONCATENATE(VLOOKUP($C9,DatosHoy[[#Headers],[#Data],[Puntos]:[CTq3 colum]],2,IF(COUNTIF(DatosHoy[Puntos],$C9)&lt;=1,0,1)),":",VLOOKUP($D9,DatosHoy[[#Headers],[#Data],[Puntos]:[CTq3 colum]],2,IF(COUNTIF(DatosHoy[Puntos],$D9)&lt;=1,0,1))),"")</f>
        <v>Datos!$P$132:$P$144</v>
      </c>
      <c r="M9" s="22">
        <f ca="1">IFERROR(SLOPE(INDIRECT(K9),INDIRECT($G9)),M8)</f>
        <v>45203.104432043707</v>
      </c>
      <c r="N9" s="22">
        <f ca="1">IFERROR(INTERCEPT(INDIRECT(K9),INDIRECT($G9)),N8)</f>
        <v>-14663524.231278989</v>
      </c>
      <c r="O9" s="15">
        <f>$C9</f>
        <v>599</v>
      </c>
      <c r="P9" s="21" t="str">
        <f>IFERROR("Datos!"&amp;CONCATENATE(VLOOKUP($C9,DatosHoy[[#Headers],[#Data],[Puntos]:[CTq3 colum]],8,IF(COUNTIF(DatosHoy[Puntos],$C9)&lt;=1,0,1)),":",VLOOKUP($D9,DatosHoy[[#Headers],[#Data],[Puntos]:[CTq3 colum]],8,IF(COUNTIF(DatosHoy[Puntos],$D9)&lt;=1,0,1))),"")</f>
        <v>Datos!$K$132:$K$144</v>
      </c>
      <c r="Q9" s="21" t="str">
        <f>IFERROR("Datos!"&amp;CONCATENATE(VLOOKUP($C9,DatosHoy[[#Headers],[#Data],[Puntos]:[CTq3 colum]],2,IF(COUNTIF(DatosHoy[Puntos],$C9)&lt;=1,0,1)),":",VLOOKUP($D9,DatosHoy[[#Headers],[#Data],[Puntos]:[CTq3 colum]],2,IF(COUNTIF(DatosHoy[Puntos],$D9)&lt;=1,0,1))),"")</f>
        <v>Datos!$P$132:$P$144</v>
      </c>
      <c r="R9" s="22">
        <f ca="1">IFERROR(SLOPE(INDIRECT(P9),INDIRECT($G9)),R8)</f>
        <v>44619.182132832888</v>
      </c>
      <c r="S9" s="22">
        <f ca="1">IFERROR(INTERCEPT(INDIRECT(P9),INDIRECT($G9)),S8)</f>
        <v>-13854384.606118008</v>
      </c>
      <c r="T9" s="15">
        <f>$C9</f>
        <v>599</v>
      </c>
      <c r="U9" s="22">
        <f ca="1">IFERROR((AC10-AC9)/(T10-T9),U8)</f>
        <v>47937.217254889096</v>
      </c>
      <c r="V9" s="22">
        <f ca="1">IFERROR(AC10-(T10*U9),V8)</f>
        <v>-17047511.080855988</v>
      </c>
      <c r="W9" s="15">
        <f>$C9</f>
        <v>599</v>
      </c>
      <c r="X9" s="22">
        <f ca="1">IFERROR((AD10-AD9)/(W10-W9),X8)</f>
        <v>49497.742396589922</v>
      </c>
      <c r="Y9" s="22">
        <f ca="1">IFERROR(AD10-(W10*X9),Y8)</f>
        <v>-17236012.372042172</v>
      </c>
      <c r="Z9" s="15">
        <f>$C9</f>
        <v>599</v>
      </c>
      <c r="AA9" s="22">
        <f ca="1">IFERROR((AE10-AE9)/(Z10-Z9),AA8)</f>
        <v>50662.341748256869</v>
      </c>
      <c r="AB9" s="22">
        <f ca="1">IFERROR(AE10-(Z10*AA9),AB8)</f>
        <v>-17474237.215756975</v>
      </c>
      <c r="AC9" s="22">
        <f ca="1">IFERROR(IF(T9=T10,AC10,VLOOKUP($T9,$E$6:$I$10,4,1)*$T9+VLOOKUP($T9,$E$6:$I$10,5,1)),"")</f>
        <v>11666882.054822583</v>
      </c>
      <c r="AD9" s="22">
        <f ca="1">IFERROR(IF(W9=W10,AD10,VLOOKUP($W9,$J$6:$N$10,4,1)*$W9+VLOOKUP($W9,$J$6:$N$10,5,1)),"")</f>
        <v>12413135.323515192</v>
      </c>
      <c r="AE9" s="22">
        <f ca="1">IFERROR(IF(Z9=Z10,AE10,VLOOKUP($Z9,$O$6:$S$10,4,1)*$Z9+VLOOKUP($Z9,$O$6:$S$10,5,1)),"")</f>
        <v>12872505.49144889</v>
      </c>
    </row>
    <row r="10" spans="2:32" s="2" customFormat="1" x14ac:dyDescent="0.25">
      <c r="B10" s="16">
        <v>4</v>
      </c>
      <c r="C10" s="20">
        <f>D9</f>
        <v>1048</v>
      </c>
      <c r="D10" s="15">
        <v>2623</v>
      </c>
      <c r="E10" s="15">
        <f>$C10</f>
        <v>1048</v>
      </c>
      <c r="F10" s="21" t="str">
        <f>F9</f>
        <v>Datos!$I$132:$I$144</v>
      </c>
      <c r="G10" s="21" t="str">
        <f>G9</f>
        <v>Datos!$P$132:$P$144</v>
      </c>
      <c r="H10" s="22">
        <f ca="1">IFERROR(SLOPE(INDIRECT(F10),INDIRECT($G10)),H9)</f>
        <v>36407.020331123342</v>
      </c>
      <c r="I10" s="22">
        <f ca="1">IFERROR(INTERCEPT(INDIRECT(F10),INDIRECT($G10)),I9)</f>
        <v>-10140923.1235203</v>
      </c>
      <c r="J10" s="15">
        <f>$C10</f>
        <v>1048</v>
      </c>
      <c r="K10" s="21" t="str">
        <f>K9</f>
        <v>Datos!$J$132:$J$144</v>
      </c>
      <c r="L10" s="21" t="str">
        <f>L9</f>
        <v>Datos!$P$132:$P$144</v>
      </c>
      <c r="M10" s="22">
        <f ca="1">IFERROR(SLOPE(INDIRECT(K10),INDIRECT($G10)),M9)</f>
        <v>45203.104432043707</v>
      </c>
      <c r="N10" s="22">
        <f ca="1">IFERROR(INTERCEPT(INDIRECT(K10),INDIRECT($G10)),N9)</f>
        <v>-14663524.231278989</v>
      </c>
      <c r="O10" s="15">
        <f>$C10</f>
        <v>1048</v>
      </c>
      <c r="P10" s="21" t="str">
        <f>P9</f>
        <v>Datos!$K$132:$K$144</v>
      </c>
      <c r="Q10" s="21" t="str">
        <f>Q9</f>
        <v>Datos!$P$132:$P$144</v>
      </c>
      <c r="R10" s="22">
        <f ca="1">IFERROR(SLOPE(INDIRECT(P10),INDIRECT($G10)),R9)</f>
        <v>44619.182132832888</v>
      </c>
      <c r="S10" s="22">
        <f ca="1">IFERROR(INTERCEPT(INDIRECT(P10),INDIRECT($G10)),S9)</f>
        <v>-13854384.606118008</v>
      </c>
      <c r="T10" s="15">
        <f>$C10</f>
        <v>1048</v>
      </c>
      <c r="U10" s="22">
        <f ca="1">U9</f>
        <v>47937.217254889096</v>
      </c>
      <c r="V10" s="22">
        <f ca="1">V9</f>
        <v>-17047511.080855988</v>
      </c>
      <c r="W10" s="15">
        <f>$C10</f>
        <v>1048</v>
      </c>
      <c r="X10" s="22">
        <f ca="1">X9</f>
        <v>49497.742396589922</v>
      </c>
      <c r="Y10" s="22">
        <f ca="1">Y9</f>
        <v>-17236012.372042172</v>
      </c>
      <c r="Z10" s="15">
        <f>$C10</f>
        <v>1048</v>
      </c>
      <c r="AA10" s="22">
        <f ca="1">AA9</f>
        <v>50662.341748256869</v>
      </c>
      <c r="AB10" s="22">
        <f ca="1">AB9</f>
        <v>-17474237.215756975</v>
      </c>
      <c r="AC10" s="22">
        <f ca="1">IFERROR(F23,"")</f>
        <v>33190692.602267787</v>
      </c>
      <c r="AD10" s="22">
        <f ca="1">IFERROR(G23,"")</f>
        <v>34637621.659584068</v>
      </c>
      <c r="AE10" s="22">
        <f ca="1">IFERROR(H23,"")</f>
        <v>35619896.936416224</v>
      </c>
    </row>
    <row r="11" spans="2:32" s="2" customFormat="1" x14ac:dyDescent="0.25">
      <c r="C11" s="1"/>
      <c r="D11" s="1"/>
      <c r="E11" s="1"/>
      <c r="F11" s="1"/>
      <c r="G11" s="1"/>
      <c r="M11" s="3"/>
      <c r="N11" s="3"/>
      <c r="O11" s="3"/>
    </row>
    <row r="12" spans="2:32" s="2" customFormat="1" x14ac:dyDescent="0.25">
      <c r="C12" s="1"/>
      <c r="D12" s="1"/>
      <c r="E12" s="1"/>
      <c r="F12" s="1"/>
      <c r="G12" s="1"/>
      <c r="M12" s="3"/>
      <c r="N12" s="3"/>
      <c r="O12" s="3"/>
    </row>
    <row r="13" spans="2:32" s="2" customFormat="1" x14ac:dyDescent="0.25">
      <c r="C13" s="155" t="s">
        <v>138</v>
      </c>
      <c r="D13" s="155"/>
      <c r="E13" s="155"/>
      <c r="F13" s="155"/>
      <c r="G13" s="155"/>
      <c r="H13" s="155"/>
      <c r="N13" s="3"/>
      <c r="O13" s="3"/>
      <c r="P13" s="3"/>
    </row>
    <row r="14" spans="2:32" s="2" customFormat="1" x14ac:dyDescent="0.25">
      <c r="C14" s="158" t="s">
        <v>139</v>
      </c>
      <c r="D14" s="159"/>
      <c r="E14" s="160"/>
      <c r="F14" s="17" t="s">
        <v>135</v>
      </c>
      <c r="G14" s="17" t="s">
        <v>136</v>
      </c>
      <c r="H14" s="17" t="s">
        <v>137</v>
      </c>
      <c r="N14" s="3"/>
      <c r="O14" s="3"/>
      <c r="P14" s="3"/>
    </row>
    <row r="15" spans="2:32" s="2" customFormat="1" x14ac:dyDescent="0.25">
      <c r="B15" s="151" t="s">
        <v>140</v>
      </c>
      <c r="C15" s="161" t="s">
        <v>141</v>
      </c>
      <c r="D15" s="162"/>
      <c r="E15" s="23">
        <f>MIN(Datos!P6:P144)</f>
        <v>94</v>
      </c>
      <c r="F15" s="24">
        <f ca="1">IFERROR(VLOOKUP($E15,$E$6:$I$10,4,1)*$E15+VLOOKUP($E15,$E$6:$I$10,5,1),"")</f>
        <v>1452900.3181597467</v>
      </c>
      <c r="G15" s="25">
        <f ca="1">IFERROR(VLOOKUP($E15,$J$6:$N$10,4,1)*$E15+VLOOKUP($E15,$J$6:$N$10,5,1),"")</f>
        <v>1454074.7704355372</v>
      </c>
      <c r="H15" s="25">
        <f ca="1">IFERROR(VLOOKUP($E15,$O$6:$S$10,4,1)*$E15+VLOOKUP($E15,$O$6:$S$10,5,1),"")</f>
        <v>1357279.6953227536</v>
      </c>
      <c r="J15" s="1"/>
      <c r="K15" s="1"/>
      <c r="L15" s="1"/>
      <c r="M15" s="1"/>
      <c r="N15" s="3"/>
      <c r="O15" s="3"/>
      <c r="P15" s="3"/>
    </row>
    <row r="16" spans="2:32" s="2" customFormat="1" x14ac:dyDescent="0.25">
      <c r="B16" s="151"/>
      <c r="C16" s="163" t="s">
        <v>142</v>
      </c>
      <c r="D16" s="164"/>
      <c r="E16" s="26"/>
      <c r="F16" s="27">
        <f>IFERROR($H16*Datos!$I$3,"")</f>
        <v>1683344.6369270028</v>
      </c>
      <c r="G16" s="27">
        <f>IFERROR($H16*Datos!$J$3,"")</f>
        <v>1756729.0732759084</v>
      </c>
      <c r="H16" s="27">
        <f>IFERROR(MIN(DatosHoy[CT Md]),"")</f>
        <v>1806547.4919228402</v>
      </c>
      <c r="N16" s="3"/>
      <c r="O16" s="3"/>
      <c r="P16" s="3"/>
    </row>
    <row r="17" spans="2:16" s="2" customFormat="1" x14ac:dyDescent="0.25">
      <c r="B17" s="151"/>
      <c r="C17" s="165" t="s">
        <v>143</v>
      </c>
      <c r="D17" s="166"/>
      <c r="E17" s="28">
        <v>0.1</v>
      </c>
      <c r="F17" s="29">
        <f>IFERROR(F16*(1+$E$17),"")</f>
        <v>1851679.1006197033</v>
      </c>
      <c r="G17" s="29">
        <f>IFERROR(G16*(1+$E$17),"")</f>
        <v>1932401.9806034993</v>
      </c>
      <c r="H17" s="29">
        <f>IFERROR(H16*(1+$E$17),"")</f>
        <v>1987202.2411151244</v>
      </c>
      <c r="N17" s="3"/>
      <c r="O17" s="3"/>
      <c r="P17" s="3"/>
    </row>
    <row r="18" spans="2:16" s="2" customFormat="1" x14ac:dyDescent="0.25">
      <c r="B18" s="152"/>
      <c r="C18" s="167" t="s">
        <v>144</v>
      </c>
      <c r="D18" s="167"/>
      <c r="E18" s="30"/>
      <c r="F18" s="31">
        <f ca="1">IF(F15&gt;F17,F17,IF(F15&lt;F16,F16,F15))</f>
        <v>1683344.6369270028</v>
      </c>
      <c r="G18" s="31">
        <f ca="1">IF(G15&gt;G17,G17,IF(G15&lt;G16,G16,G15))</f>
        <v>1756729.0732759084</v>
      </c>
      <c r="H18" s="31">
        <f ca="1">IF(H15&gt;H17,H17,IF(H15&lt;H16,H16,H15))</f>
        <v>1806547.4919228402</v>
      </c>
      <c r="J18" s="1"/>
      <c r="K18" s="1"/>
      <c r="L18" s="1"/>
      <c r="M18" s="1"/>
      <c r="N18" s="3"/>
      <c r="O18" s="3"/>
      <c r="P18" s="3"/>
    </row>
    <row r="19" spans="2:16" s="2" customFormat="1" x14ac:dyDescent="0.25">
      <c r="B19" s="151" t="s">
        <v>145</v>
      </c>
      <c r="C19" s="168" t="s">
        <v>146</v>
      </c>
      <c r="D19" s="169"/>
      <c r="E19" s="32">
        <f>MAX(Datos!P6:P144)</f>
        <v>1048</v>
      </c>
      <c r="F19" s="33">
        <f ca="1">IFERROR(VLOOKUP($E19,$E$6:$I$10,4,1)*$E19+VLOOKUP($E19,$E$6:$I$10,5,1),"")</f>
        <v>28013634.18349696</v>
      </c>
      <c r="G19" s="34">
        <f ca="1">IFERROR(VLOOKUP($E19,$J$6:$N$10,4,1)*$E19+VLOOKUP($E19,$J$6:$N$10,5,1),"")</f>
        <v>32709329.213502813</v>
      </c>
      <c r="H19" s="34">
        <f ca="1">IFERROR(VLOOKUP($E19,$O$6:$S$10,4,1)*$E19+VLOOKUP($E19,$O$6:$S$10,5,1),"")</f>
        <v>32906518.269090861</v>
      </c>
      <c r="N19" s="3"/>
      <c r="O19" s="3"/>
      <c r="P19" s="3"/>
    </row>
    <row r="20" spans="2:16" s="2" customFormat="1" x14ac:dyDescent="0.25">
      <c r="B20" s="151"/>
      <c r="C20" s="161" t="s">
        <v>147</v>
      </c>
      <c r="D20" s="170"/>
      <c r="E20" s="35"/>
      <c r="F20" s="27">
        <f>IFERROR(F21*(1-$E$21),"")</f>
        <v>33190692.602267787</v>
      </c>
      <c r="G20" s="27">
        <f>IFERROR(G21*(1-$E$21),"")</f>
        <v>34637621.659584068</v>
      </c>
      <c r="H20" s="27">
        <f>IFERROR(H21*(1-$E$21),"")</f>
        <v>35619896.936416224</v>
      </c>
      <c r="N20" s="3"/>
      <c r="O20" s="3"/>
      <c r="P20" s="3"/>
    </row>
    <row r="21" spans="2:16" s="2" customFormat="1" x14ac:dyDescent="0.25">
      <c r="B21" s="151"/>
      <c r="C21" s="161" t="s">
        <v>148</v>
      </c>
      <c r="D21" s="170"/>
      <c r="E21" s="36">
        <v>0.02</v>
      </c>
      <c r="F21" s="27">
        <f>IFERROR($H21*Datos!$I$3,"")</f>
        <v>33868053.675783455</v>
      </c>
      <c r="G21" s="27">
        <f>IFERROR($H21*Datos!$J$3,"")</f>
        <v>35344511.897534765</v>
      </c>
      <c r="H21" s="27">
        <f>IFERROR(MAX(DatosHoy[CT Md]),"")</f>
        <v>36346833.608587988</v>
      </c>
      <c r="N21" s="3"/>
      <c r="O21" s="3"/>
      <c r="P21" s="3"/>
    </row>
    <row r="22" spans="2:16" s="2" customFormat="1" x14ac:dyDescent="0.25">
      <c r="B22" s="151"/>
      <c r="C22" s="165" t="s">
        <v>149</v>
      </c>
      <c r="D22" s="166"/>
      <c r="E22" s="37"/>
      <c r="F22" s="38">
        <f>IFERROR(F21*(1+$E$21),"")</f>
        <v>34545414.749299124</v>
      </c>
      <c r="G22" s="38">
        <f>IFERROR(G21*(1+$E$21),"")</f>
        <v>36051402.135485463</v>
      </c>
      <c r="H22" s="38">
        <f>IFERROR(H21*(1+$E$21),"")</f>
        <v>37073770.280759752</v>
      </c>
      <c r="N22" s="3"/>
      <c r="O22" s="3"/>
      <c r="P22" s="3"/>
    </row>
    <row r="23" spans="2:16" s="2" customFormat="1" x14ac:dyDescent="0.25">
      <c r="B23" s="152"/>
      <c r="C23" s="167" t="s">
        <v>150</v>
      </c>
      <c r="D23" s="167"/>
      <c r="E23" s="32"/>
      <c r="F23" s="39">
        <f ca="1">IF(F19&gt;F22,F22,IF(F19&lt;F20,F20,F19))</f>
        <v>33190692.602267787</v>
      </c>
      <c r="G23" s="39">
        <f ca="1">IF(G19&gt;G22,G22,IF(G19&lt;G20,G20,G19))</f>
        <v>34637621.659584068</v>
      </c>
      <c r="H23" s="39">
        <f ca="1">IF(H19&gt;H22,H22,IF(H19&lt;H20,H20,H19))</f>
        <v>35619896.936416224</v>
      </c>
      <c r="N23" s="3"/>
      <c r="O23" s="3"/>
      <c r="P23" s="3"/>
    </row>
    <row r="24" spans="2:16" s="2" customFormat="1" x14ac:dyDescent="0.25">
      <c r="C24" s="1"/>
      <c r="D24" s="1"/>
      <c r="E24" s="1"/>
      <c r="F24" s="1"/>
      <c r="G24" s="1"/>
      <c r="M24" s="3"/>
      <c r="N24" s="3"/>
      <c r="O24" s="3"/>
    </row>
    <row r="25" spans="2:16" s="2" customFormat="1" x14ac:dyDescent="0.25">
      <c r="C25" s="1"/>
      <c r="D25" s="1"/>
      <c r="E25" s="1"/>
      <c r="F25" s="1"/>
      <c r="G25" s="1"/>
      <c r="M25" s="3"/>
      <c r="N25" s="3"/>
      <c r="O25" s="3"/>
    </row>
    <row r="26" spans="2:16" s="2" customFormat="1" x14ac:dyDescent="0.25">
      <c r="D26" s="171" t="s">
        <v>151</v>
      </c>
      <c r="E26" s="171"/>
      <c r="F26" s="155"/>
      <c r="G26" s="155"/>
      <c r="H26" s="155"/>
      <c r="N26" s="3"/>
      <c r="O26" s="3"/>
      <c r="P26" s="3"/>
    </row>
    <row r="27" spans="2:16" s="2" customFormat="1" x14ac:dyDescent="0.25">
      <c r="D27" s="40"/>
      <c r="E27" s="41"/>
      <c r="F27" s="42" t="s">
        <v>135</v>
      </c>
      <c r="G27" s="42" t="s">
        <v>136</v>
      </c>
      <c r="H27" s="17" t="s">
        <v>137</v>
      </c>
      <c r="N27" s="3"/>
      <c r="O27" s="3"/>
      <c r="P27" s="3"/>
    </row>
    <row r="28" spans="2:16" s="2" customFormat="1" x14ac:dyDescent="0.25">
      <c r="D28" s="156" t="s">
        <v>152</v>
      </c>
      <c r="E28" s="157"/>
      <c r="F28" s="43">
        <f>IFERROR(DatosHoy[[#Totals],[G Md]],"")</f>
        <v>874992708.5160116</v>
      </c>
      <c r="G28" s="43">
        <f>IFERROR(DatosHoy[[#Totals],[G+V Md]],"")</f>
        <v>913137509.83314931</v>
      </c>
      <c r="H28" s="43">
        <f>IFERROR(DatosHoy[[#Totals],[CT Md]],"")</f>
        <v>939032832.81670642</v>
      </c>
      <c r="N28" s="3"/>
      <c r="O28" s="3"/>
      <c r="P28" s="3"/>
    </row>
    <row r="29" spans="2:16" s="2" customFormat="1" x14ac:dyDescent="0.25">
      <c r="D29" s="156" t="s">
        <v>153</v>
      </c>
      <c r="E29" s="172"/>
      <c r="F29" s="43">
        <f ca="1">IFERROR(DatosHoy[[#Totals],[G ajus PMd]],"")</f>
        <v>877482116.37196529</v>
      </c>
      <c r="G29" s="43">
        <f ca="1">IFERROR(DatosHoy[[#Totals],[G+V ajus PM Md]],"")</f>
        <v>916957012.29078531</v>
      </c>
      <c r="H29" s="43">
        <f ca="1">IFERROR(DatosHoy[[#Totals],[CT ajus PM Md]],"")</f>
        <v>956972276.85677862</v>
      </c>
      <c r="N29" s="3"/>
      <c r="O29" s="3"/>
      <c r="P29" s="3"/>
    </row>
    <row r="30" spans="2:16" s="2" customFormat="1" x14ac:dyDescent="0.25">
      <c r="D30" s="44" t="s">
        <v>154</v>
      </c>
      <c r="E30" s="45">
        <f ca="1">SUM(F30:H30)</f>
        <v>2.5748444061559961E-2</v>
      </c>
      <c r="F30" s="46">
        <f ca="1">IFERROR(ABS(1-F28/F29),"")</f>
        <v>2.8369898480055111E-3</v>
      </c>
      <c r="G30" s="47">
        <f ca="1">IFERROR(ABS(1-G28/G29),"")</f>
        <v>4.1654105987956047E-3</v>
      </c>
      <c r="H30" s="47">
        <f ca="1">IFERROR(ABS(1-H28/H29),"")</f>
        <v>1.8746043614758845E-2</v>
      </c>
      <c r="N30" s="3"/>
      <c r="O30" s="3"/>
      <c r="P30" s="3"/>
    </row>
    <row r="31" spans="2:16" s="2" customFormat="1" x14ac:dyDescent="0.25">
      <c r="D31" s="156" t="s">
        <v>155</v>
      </c>
      <c r="E31" s="173"/>
      <c r="F31" s="48">
        <f ca="1">SUMIF(DatosHoy[G ajus PMd],"&lt;0")</f>
        <v>0</v>
      </c>
      <c r="G31" s="48">
        <f ca="1">SUMIF(DatosHoy[G+V ajus PM Md],"&lt;0")</f>
        <v>0</v>
      </c>
      <c r="H31" s="48">
        <f ca="1">SUMIF(DatosHoy[CT ajus PM Md],"&lt;0")</f>
        <v>0</v>
      </c>
      <c r="N31" s="3"/>
      <c r="O31" s="3"/>
      <c r="P31" s="3"/>
    </row>
    <row r="32" spans="2:16" s="2" customFormat="1" x14ac:dyDescent="0.25">
      <c r="C32" s="4"/>
      <c r="D32" s="1"/>
      <c r="E32" s="3"/>
      <c r="F32" s="3"/>
      <c r="G32" s="3"/>
      <c r="M32" s="3"/>
      <c r="N32" s="3"/>
      <c r="O32" s="3"/>
    </row>
    <row r="33" spans="2:21" s="2" customFormat="1" x14ac:dyDescent="0.25">
      <c r="B33" s="156" t="s">
        <v>156</v>
      </c>
      <c r="C33" s="174"/>
      <c r="D33" s="157"/>
      <c r="L33" s="3"/>
      <c r="M33" s="3"/>
      <c r="N33" s="3"/>
    </row>
    <row r="34" spans="2:21" s="2" customFormat="1" x14ac:dyDescent="0.25">
      <c r="B34" s="16">
        <v>2</v>
      </c>
      <c r="C34" s="156" t="s">
        <v>157</v>
      </c>
      <c r="D34" s="174"/>
      <c r="E34" s="45">
        <f ca="1">IF(OR(OR(F30="",G30="",H30=""),AND(F30="",G30="",H30="")),"NO",SUM(F30:H30))</f>
        <v>2.5748444061559961E-2</v>
      </c>
      <c r="L34" s="3"/>
      <c r="M34" s="3"/>
      <c r="N34" s="3"/>
    </row>
    <row r="35" spans="2:21" s="2" customFormat="1" x14ac:dyDescent="0.25">
      <c r="B35" s="16">
        <v>1</v>
      </c>
      <c r="C35" s="156" t="s">
        <v>158</v>
      </c>
      <c r="D35" s="157"/>
      <c r="E35" s="35">
        <f ca="1">COUNTIF(DatosHoy[[V1 Md]:[V5 Md]],"&gt;=0")</f>
        <v>0</v>
      </c>
      <c r="L35" s="3"/>
      <c r="M35" s="3"/>
      <c r="N35" s="3"/>
    </row>
    <row r="36" spans="2:21" s="2" customFormat="1" x14ac:dyDescent="0.25">
      <c r="B36" s="175">
        <v>3</v>
      </c>
      <c r="C36" s="156" t="s">
        <v>159</v>
      </c>
      <c r="D36" s="157"/>
      <c r="E36" s="47">
        <f ca="1">IFERROR(COUNTIFS(DatosHoy[Posicion. Md],"&gt;120%")/COUNT(DatosHoy[Posicion. Md]),"")</f>
        <v>2.1582733812949641E-2</v>
      </c>
      <c r="L36" s="3"/>
      <c r="M36" s="3"/>
      <c r="N36" s="3"/>
    </row>
    <row r="37" spans="2:21" s="2" customFormat="1" x14ac:dyDescent="0.25">
      <c r="B37" s="176">
        <v>3</v>
      </c>
      <c r="C37" s="156" t="s">
        <v>160</v>
      </c>
      <c r="D37" s="157"/>
      <c r="E37" s="47">
        <f ca="1">IFERROR(COUNTIFS(DatosHoy[Posicion. Md],"&gt;=80%",DatosHoy[Posicion. Md],"&lt;=120%")/COUNT(DatosHoy[Posicion. Md]),"")</f>
        <v>0.41726618705035973</v>
      </c>
      <c r="L37" s="3"/>
      <c r="M37" s="3"/>
      <c r="N37" s="3"/>
    </row>
    <row r="38" spans="2:21" s="2" customFormat="1" x14ac:dyDescent="0.25">
      <c r="B38" s="177"/>
      <c r="C38" s="156" t="s">
        <v>161</v>
      </c>
      <c r="D38" s="157"/>
      <c r="E38" s="47">
        <f ca="1">IFERROR(COUNTIFS(DatosHoy[Posicion. Md],"&lt;80%")/COUNT(DatosHoy[Posicion. Md]),"")</f>
        <v>0.5611510791366906</v>
      </c>
      <c r="L38" s="3"/>
      <c r="M38" s="3"/>
      <c r="N38" s="3"/>
    </row>
    <row r="39" spans="2:21" s="2" customFormat="1" x14ac:dyDescent="0.25">
      <c r="C39" s="1"/>
      <c r="D39" s="1"/>
      <c r="F39" s="1"/>
      <c r="G39" s="1"/>
      <c r="M39" s="3"/>
      <c r="N39" s="3"/>
      <c r="O39" s="3"/>
    </row>
    <row r="40" spans="2:21" s="2" customFormat="1" x14ac:dyDescent="0.25">
      <c r="C40" s="49" t="s">
        <v>121</v>
      </c>
      <c r="D40" s="32">
        <v>831</v>
      </c>
      <c r="F40" s="1"/>
      <c r="G40" s="1"/>
      <c r="M40" s="3"/>
      <c r="N40" s="3"/>
      <c r="O40" s="3"/>
    </row>
    <row r="41" spans="2:21" s="2" customFormat="1" x14ac:dyDescent="0.25">
      <c r="C41" s="1"/>
      <c r="D41" s="1"/>
      <c r="E41" s="1"/>
      <c r="F41" s="1"/>
      <c r="G41" s="1"/>
      <c r="M41" s="3"/>
      <c r="N41" s="3"/>
      <c r="O41" s="3"/>
    </row>
    <row r="42" spans="2:21" s="2" customFormat="1" x14ac:dyDescent="0.25">
      <c r="B42" s="1"/>
      <c r="C42" s="50" t="s">
        <v>157</v>
      </c>
      <c r="D42" s="50" t="s">
        <v>158</v>
      </c>
      <c r="E42" s="50" t="s">
        <v>160</v>
      </c>
      <c r="F42" s="1"/>
      <c r="L42" s="3"/>
      <c r="M42" s="3"/>
      <c r="N42" s="3"/>
    </row>
    <row r="43" spans="2:21" s="2" customFormat="1" x14ac:dyDescent="0.25">
      <c r="B43" s="51" t="s">
        <v>162</v>
      </c>
      <c r="C43" s="52">
        <f ca="1">E34</f>
        <v>2.5748444061559961E-2</v>
      </c>
      <c r="D43" s="53">
        <f ca="1">E35</f>
        <v>0</v>
      </c>
      <c r="E43" s="54">
        <f ca="1">E37</f>
        <v>0.41726618705035973</v>
      </c>
      <c r="F43" s="1"/>
      <c r="K43" s="3"/>
      <c r="L43" s="3"/>
      <c r="M43" s="124" t="s">
        <v>163</v>
      </c>
      <c r="N43" s="148">
        <f ca="1">IFERROR(AVERAGE(N45:N68),"")</f>
        <v>0.19210072224000596</v>
      </c>
    </row>
    <row r="44" spans="2:21" ht="14.25" customHeight="1" x14ac:dyDescent="0.25">
      <c r="B44" s="90">
        <v>2126</v>
      </c>
      <c r="C44" s="91">
        <v>9.0890893621885516E-3</v>
      </c>
      <c r="D44" s="92">
        <v>0</v>
      </c>
      <c r="E44" s="93">
        <v>0.25899280575539568</v>
      </c>
      <c r="G44" s="5"/>
      <c r="H44" s="133" t="s">
        <v>164</v>
      </c>
      <c r="K44" s="121">
        <v>1</v>
      </c>
      <c r="L44" s="121">
        <v>94</v>
      </c>
      <c r="M44" s="122">
        <f ca="1">IFERROR(IFERROR(VLOOKUP(L44,'Regresion Md'!$Z$6:$AB$10,2,1)*L44+VLOOKUP(L44,'Regresion Md'!$Z$6:$AB$10,3,1),VLOOKUP(MIN(DatosHoy[Puntos]),'Regresion Md'!$Z$6:$AB$10,2,1)*L44+VLOOKUP(MIN(DatosHoy[Puntos]),'Regresion Md'!$Z$6:$AB$10,3,1)),"")</f>
        <v>1806547.4919228405</v>
      </c>
      <c r="N44" s="149"/>
      <c r="O44" s="10"/>
      <c r="P44" s="6"/>
      <c r="Q44" s="10"/>
      <c r="S44" s="5"/>
      <c r="T44" s="5"/>
      <c r="U44" s="5"/>
    </row>
    <row r="45" spans="2:21" x14ac:dyDescent="0.25">
      <c r="B45" s="90">
        <v>1898</v>
      </c>
      <c r="C45" s="91">
        <v>1.0610377265993454E-2</v>
      </c>
      <c r="D45" s="92">
        <v>0</v>
      </c>
      <c r="E45" s="93">
        <v>0.28776978417266186</v>
      </c>
      <c r="G45" s="5"/>
      <c r="H45" s="132"/>
      <c r="K45" s="121">
        <v>2</v>
      </c>
      <c r="L45" s="121">
        <v>108</v>
      </c>
      <c r="M45" s="122">
        <f ca="1">IFERROR(IFERROR(VLOOKUP(L45,'Regresion Md'!$Z$6:$AB$10,2,1)*L45+VLOOKUP(L45,'Regresion Md'!$Z$6:$AB$10,3,1),VLOOKUP(MIN(DatosHoy[Puntos]),'Regresion Md'!$Z$6:$AB$10,2,1)*L45+VLOOKUP(MIN(DatosHoy[Puntos]),'Regresion Md'!$Z$6:$AB$10,3,1)),"")</f>
        <v>1955620.3960235296</v>
      </c>
      <c r="N45" s="123">
        <f ca="1">IFERROR(M45/M44-1,"")</f>
        <v>8.2518120761951197E-2</v>
      </c>
      <c r="O45" s="10"/>
      <c r="P45" s="8"/>
      <c r="Q45" s="10"/>
      <c r="R45" s="8"/>
      <c r="S45" s="5"/>
      <c r="T45" s="5"/>
      <c r="U45" s="5"/>
    </row>
    <row r="46" spans="2:21" x14ac:dyDescent="0.25">
      <c r="B46" s="90">
        <v>1848</v>
      </c>
      <c r="C46" s="91">
        <v>1.5275499549783911E-2</v>
      </c>
      <c r="D46" s="92">
        <v>0</v>
      </c>
      <c r="E46" s="93">
        <v>0.33812949640287771</v>
      </c>
      <c r="G46" s="5"/>
      <c r="H46" s="132"/>
      <c r="K46" s="121">
        <v>3</v>
      </c>
      <c r="L46" s="121">
        <v>124</v>
      </c>
      <c r="M46" s="122">
        <f ca="1">IFERROR(IFERROR(VLOOKUP(L46,'Regresion Md'!$Z$6:$AB$10,2,1)*L46+VLOOKUP(L46,'Regresion Md'!$Z$6:$AB$10,3,1),VLOOKUP(MIN(DatosHoy[Puntos]),'Regresion Md'!$Z$6:$AB$10,2,1)*L46+VLOOKUP(MIN(DatosHoy[Puntos]),'Regresion Md'!$Z$6:$AB$10,3,1)),"")</f>
        <v>2125989.4292814601</v>
      </c>
      <c r="N46" s="123">
        <f t="shared" ref="N46:N64" ca="1" si="0">IFERROR(M46/M45-1,"")</f>
        <v>8.7117639805941449E-2</v>
      </c>
      <c r="O46" s="10"/>
      <c r="P46" s="8"/>
      <c r="Q46" s="10"/>
      <c r="R46" s="8"/>
      <c r="S46" s="5"/>
      <c r="T46" s="5"/>
      <c r="U46" s="5"/>
    </row>
    <row r="47" spans="2:21" x14ac:dyDescent="0.25">
      <c r="B47" s="90">
        <v>326</v>
      </c>
      <c r="C47" s="91">
        <v>1.5821564264342225E-2</v>
      </c>
      <c r="D47" s="92">
        <v>0</v>
      </c>
      <c r="E47" s="93">
        <v>0.38129496402877699</v>
      </c>
      <c r="G47" s="5"/>
      <c r="H47" s="132"/>
      <c r="K47" s="121">
        <v>4</v>
      </c>
      <c r="L47" s="121">
        <v>143</v>
      </c>
      <c r="M47" s="122">
        <f ca="1">IFERROR(IFERROR(VLOOKUP(L47,'Regresion Md'!$Z$6:$AB$10,2,1)*L47+VLOOKUP(L47,'Regresion Md'!$Z$6:$AB$10,3,1),VLOOKUP(MIN(DatosHoy[Puntos]),'Regresion Md'!$Z$6:$AB$10,2,1)*L47+VLOOKUP(MIN(DatosHoy[Puntos]),'Regresion Md'!$Z$6:$AB$10,3,1)),"")</f>
        <v>2328302.6562752523</v>
      </c>
      <c r="N47" s="123">
        <f t="shared" ca="1" si="0"/>
        <v>9.5161915768400496E-2</v>
      </c>
      <c r="O47" s="10"/>
      <c r="P47" s="8"/>
      <c r="Q47" s="10"/>
      <c r="R47" s="8"/>
      <c r="S47" s="5"/>
      <c r="T47" s="5"/>
      <c r="U47" s="5"/>
    </row>
    <row r="48" spans="2:21" x14ac:dyDescent="0.25">
      <c r="B48" s="90">
        <v>980</v>
      </c>
      <c r="C48" s="91">
        <v>1.597101370140841E-2</v>
      </c>
      <c r="D48" s="92">
        <v>0</v>
      </c>
      <c r="E48" s="93">
        <v>0.37410071942446044</v>
      </c>
      <c r="G48" s="5"/>
      <c r="H48" s="132"/>
      <c r="K48" s="121">
        <v>5</v>
      </c>
      <c r="L48" s="121">
        <v>164</v>
      </c>
      <c r="M48" s="122">
        <f ca="1">IFERROR(IFERROR(VLOOKUP(L48,'Regresion Md'!$Z$6:$AB$10,2,1)*L48+VLOOKUP(L48,'Regresion Md'!$Z$6:$AB$10,3,1),VLOOKUP(MIN(DatosHoy[Puntos]),'Regresion Md'!$Z$6:$AB$10,2,1)*L48+VLOOKUP(MIN(DatosHoy[Puntos]),'Regresion Md'!$Z$6:$AB$10,3,1)),"")</f>
        <v>2551912.012426286</v>
      </c>
      <c r="N48" s="123">
        <f t="shared" ca="1" si="0"/>
        <v>9.6039643105831018E-2</v>
      </c>
      <c r="O48" s="10"/>
      <c r="P48" s="8"/>
      <c r="Q48" s="10"/>
      <c r="R48" s="8"/>
      <c r="S48" s="5"/>
      <c r="T48" s="5"/>
      <c r="U48" s="5"/>
    </row>
    <row r="49" spans="2:24" x14ac:dyDescent="0.25">
      <c r="B49" s="90">
        <v>1712</v>
      </c>
      <c r="C49" s="91">
        <v>1.6262509462528607E-2</v>
      </c>
      <c r="D49" s="92">
        <v>0</v>
      </c>
      <c r="E49" s="93">
        <v>0.33812949640287771</v>
      </c>
      <c r="G49" s="5"/>
      <c r="H49" s="132"/>
      <c r="K49" s="121">
        <v>6</v>
      </c>
      <c r="L49" s="121">
        <v>189</v>
      </c>
      <c r="M49" s="122">
        <f ca="1">IFERROR(IFERROR(VLOOKUP(L49,'Regresion Md'!$Z$6:$AB$10,2,1)*L49+VLOOKUP(L49,'Regresion Md'!$Z$6:$AB$10,3,1),VLOOKUP(MIN(DatosHoy[Puntos]),'Regresion Md'!$Z$6:$AB$10,2,1)*L49+VLOOKUP(MIN(DatosHoy[Puntos]),'Regresion Md'!$Z$6:$AB$10,3,1)),"")</f>
        <v>2818113.6268918021</v>
      </c>
      <c r="N49" s="123">
        <f t="shared" ca="1" si="0"/>
        <v>0.10431457400148325</v>
      </c>
      <c r="O49" s="10"/>
      <c r="P49" s="8"/>
      <c r="Q49" s="10"/>
      <c r="R49" s="8"/>
      <c r="S49" s="5"/>
      <c r="T49" s="5"/>
      <c r="U49" s="5"/>
    </row>
    <row r="50" spans="2:24" x14ac:dyDescent="0.25">
      <c r="B50" s="90">
        <v>931</v>
      </c>
      <c r="C50" s="91">
        <v>1.7410177490043033E-2</v>
      </c>
      <c r="D50" s="92">
        <v>0</v>
      </c>
      <c r="E50" s="93">
        <v>0.37410071942446044</v>
      </c>
      <c r="G50" s="5"/>
      <c r="H50" s="131"/>
      <c r="K50" s="121">
        <v>7</v>
      </c>
      <c r="L50" s="121">
        <v>217</v>
      </c>
      <c r="M50" s="122">
        <f ca="1">IFERROR(IFERROR(VLOOKUP(L50,'Regresion Md'!$Z$6:$AB$10,2,1)*L50+VLOOKUP(L50,'Regresion Md'!$Z$6:$AB$10,3,1),VLOOKUP(MIN(DatosHoy[Puntos]),'Regresion Md'!$Z$6:$AB$10,2,1)*L50+VLOOKUP(MIN(DatosHoy[Puntos]),'Regresion Md'!$Z$6:$AB$10,3,1)),"")</f>
        <v>3116259.4350931793</v>
      </c>
      <c r="N50" s="123">
        <f t="shared" ca="1" si="0"/>
        <v>0.10579623381978842</v>
      </c>
      <c r="O50" s="10"/>
      <c r="P50" s="8"/>
      <c r="Q50" s="10"/>
      <c r="R50" s="8"/>
      <c r="S50" s="5"/>
      <c r="T50" s="5"/>
      <c r="U50" s="5"/>
    </row>
    <row r="51" spans="2:24" x14ac:dyDescent="0.25">
      <c r="B51" s="90">
        <v>830</v>
      </c>
      <c r="C51" s="91">
        <v>1.759710109272894E-2</v>
      </c>
      <c r="D51" s="92">
        <v>0</v>
      </c>
      <c r="E51" s="93">
        <v>0.37410071942446044</v>
      </c>
      <c r="G51" s="5"/>
      <c r="H51" s="5"/>
      <c r="K51" s="121">
        <v>8</v>
      </c>
      <c r="L51" s="121">
        <v>249</v>
      </c>
      <c r="M51" s="122">
        <f ca="1">IFERROR(IFERROR(VLOOKUP(L51,'Regresion Md'!$Z$6:$AB$10,2,1)*L51+VLOOKUP(L51,'Regresion Md'!$Z$6:$AB$10,3,1),VLOOKUP(MIN(DatosHoy[Puntos]),'Regresion Md'!$Z$6:$AB$10,2,1)*L51+VLOOKUP(MIN(DatosHoy[Puntos]),'Regresion Md'!$Z$6:$AB$10,3,1)),"")</f>
        <v>3933536.5916465372</v>
      </c>
      <c r="N51" s="123">
        <f t="shared" ca="1" si="0"/>
        <v>0.26226223251817293</v>
      </c>
      <c r="O51" s="10"/>
      <c r="P51" s="8"/>
      <c r="Q51" s="10"/>
      <c r="R51" s="8"/>
      <c r="S51" s="5"/>
      <c r="T51" s="5"/>
      <c r="U51" s="5"/>
    </row>
    <row r="52" spans="2:24" x14ac:dyDescent="0.25">
      <c r="B52" s="90">
        <v>1904</v>
      </c>
      <c r="C52" s="91">
        <v>1.7622681866837575E-2</v>
      </c>
      <c r="D52" s="92">
        <v>0</v>
      </c>
      <c r="E52" s="93">
        <v>0.30215827338129497</v>
      </c>
      <c r="G52" s="5"/>
      <c r="H52" s="5"/>
      <c r="K52" s="121">
        <v>9</v>
      </c>
      <c r="L52" s="121">
        <v>287</v>
      </c>
      <c r="M52" s="122">
        <f ca="1">IFERROR(IFERROR(VLOOKUP(L52,'Regresion Md'!$Z$6:$AB$10,2,1)*L52+VLOOKUP(L52,'Regresion Md'!$Z$6:$AB$10,3,1),VLOOKUP(MIN(DatosHoy[Puntos]),'Regresion Md'!$Z$6:$AB$10,2,1)*L52+VLOOKUP(MIN(DatosHoy[Puntos]),'Regresion Md'!$Z$6:$AB$10,3,1)),"")</f>
        <v>4904053.2150536496</v>
      </c>
      <c r="N52" s="123">
        <f t="shared" ca="1" si="0"/>
        <v>0.24672876450880166</v>
      </c>
      <c r="O52" s="10"/>
      <c r="P52" s="8"/>
      <c r="Q52" s="10"/>
      <c r="R52" s="8"/>
      <c r="S52" s="5"/>
      <c r="T52" s="5"/>
      <c r="U52" s="5"/>
    </row>
    <row r="53" spans="2:24" x14ac:dyDescent="0.25">
      <c r="B53" s="90">
        <v>1447</v>
      </c>
      <c r="C53" s="91">
        <v>1.8741690336245953E-2</v>
      </c>
      <c r="D53" s="92">
        <v>0</v>
      </c>
      <c r="E53" s="93">
        <v>0.2733812949640288</v>
      </c>
      <c r="G53" s="5"/>
      <c r="H53" s="5"/>
      <c r="K53" s="121">
        <v>10</v>
      </c>
      <c r="L53" s="121">
        <v>330</v>
      </c>
      <c r="M53" s="122">
        <f ca="1">IFERROR(IFERROR(VLOOKUP(L53,'Regresion Md'!$Z$6:$AB$10,2,1)*L53+VLOOKUP(L53,'Regresion Md'!$Z$6:$AB$10,3,1),VLOOKUP(MIN(DatosHoy[Puntos]),'Regresion Md'!$Z$6:$AB$10,2,1)*L53+VLOOKUP(MIN(DatosHoy[Puntos]),'Regresion Md'!$Z$6:$AB$10,3,1)),"")</f>
        <v>6002269.3941722251</v>
      </c>
      <c r="N53" s="123">
        <f t="shared" ca="1" si="0"/>
        <v>0.22394051021866024</v>
      </c>
      <c r="O53" s="10"/>
      <c r="P53" s="8"/>
      <c r="Q53" s="10"/>
      <c r="R53" s="8"/>
      <c r="S53" s="5"/>
      <c r="T53" s="5"/>
      <c r="U53" s="5"/>
    </row>
    <row r="54" spans="2:24" x14ac:dyDescent="0.25">
      <c r="B54" s="90">
        <v>265</v>
      </c>
      <c r="C54" s="91">
        <v>1.8818150356932239E-2</v>
      </c>
      <c r="D54" s="92">
        <v>0</v>
      </c>
      <c r="E54" s="93">
        <v>0.38129496402877699</v>
      </c>
      <c r="G54" s="5"/>
      <c r="H54" s="5"/>
      <c r="K54" s="121">
        <v>11</v>
      </c>
      <c r="L54" s="121">
        <v>379</v>
      </c>
      <c r="M54" s="122">
        <f ca="1">IFERROR(IFERROR(VLOOKUP(L54,'Regresion Md'!$Z$6:$AB$10,2,1)*L54+VLOOKUP(L54,'Regresion Md'!$Z$6:$AB$10,3,1),VLOOKUP(MIN(DatosHoy[Puntos]),'Regresion Md'!$Z$6:$AB$10,2,1)*L54+VLOOKUP(MIN(DatosHoy[Puntos]),'Regresion Md'!$Z$6:$AB$10,3,1)),"")</f>
        <v>7253725.0401445534</v>
      </c>
      <c r="N54" s="123">
        <f t="shared" ca="1" si="0"/>
        <v>0.20849708065209516</v>
      </c>
      <c r="O54" s="10"/>
      <c r="P54" s="8"/>
      <c r="Q54" s="10"/>
      <c r="R54" s="8"/>
      <c r="S54" s="5"/>
      <c r="T54" s="5"/>
      <c r="U54" s="5"/>
      <c r="X54" s="11"/>
    </row>
    <row r="55" spans="2:24" x14ac:dyDescent="0.25">
      <c r="B55" s="90">
        <v>881</v>
      </c>
      <c r="C55" s="91">
        <v>1.884502030769708E-2</v>
      </c>
      <c r="D55" s="92">
        <v>0</v>
      </c>
      <c r="E55" s="93">
        <v>0.37410071942446044</v>
      </c>
      <c r="G55" s="5"/>
      <c r="H55" s="5"/>
      <c r="K55" s="121">
        <v>12</v>
      </c>
      <c r="L55" s="121">
        <v>436</v>
      </c>
      <c r="M55" s="122">
        <f ca="1">IFERROR(IFERROR(VLOOKUP(L55,'Regresion Md'!$Z$6:$AB$10,2,1)*L55+VLOOKUP(L55,'Regresion Md'!$Z$6:$AB$10,3,1),VLOOKUP(MIN(DatosHoy[Puntos]),'Regresion Md'!$Z$6:$AB$10,2,1)*L55+VLOOKUP(MIN(DatosHoy[Puntos]),'Regresion Md'!$Z$6:$AB$10,3,1)),"")</f>
        <v>8709499.975255223</v>
      </c>
      <c r="N55" s="123">
        <f t="shared" ca="1" si="0"/>
        <v>0.20069342676403101</v>
      </c>
      <c r="O55" s="10"/>
      <c r="P55" s="8"/>
      <c r="Q55" s="10"/>
      <c r="R55" s="8"/>
      <c r="S55" s="11"/>
      <c r="T55" s="5"/>
      <c r="U55" s="5"/>
      <c r="X55" s="11"/>
    </row>
    <row r="56" spans="2:24" x14ac:dyDescent="0.25">
      <c r="B56" s="90">
        <v>203</v>
      </c>
      <c r="C56" s="91">
        <v>2.0266931676819144E-2</v>
      </c>
      <c r="D56" s="92">
        <v>0</v>
      </c>
      <c r="E56" s="93">
        <v>0.38129496402877699</v>
      </c>
      <c r="G56" s="5"/>
      <c r="H56" s="5"/>
      <c r="K56" s="121">
        <v>13</v>
      </c>
      <c r="L56" s="121">
        <v>502</v>
      </c>
      <c r="M56" s="122">
        <f ca="1">IFERROR(IFERROR(VLOOKUP(L56,'Regresion Md'!$Z$6:$AB$10,2,1)*L56+VLOOKUP(L56,'Regresion Md'!$Z$6:$AB$10,3,1),VLOOKUP(MIN(DatosHoy[Puntos]),'Regresion Md'!$Z$6:$AB$10,2,1)*L56+VLOOKUP(MIN(DatosHoy[Puntos]),'Regresion Md'!$Z$6:$AB$10,3,1)),"")</f>
        <v>10395134.110646524</v>
      </c>
      <c r="N56" s="123">
        <f t="shared" ca="1" si="0"/>
        <v>0.19353971412600002</v>
      </c>
      <c r="O56" s="10"/>
      <c r="P56" s="8"/>
      <c r="Q56" s="10"/>
      <c r="R56" s="8"/>
      <c r="S56" s="5"/>
      <c r="T56" s="5"/>
      <c r="U56" s="5"/>
    </row>
    <row r="57" spans="2:24" x14ac:dyDescent="0.25">
      <c r="B57" s="90">
        <v>725</v>
      </c>
      <c r="C57" s="91">
        <v>2.0275205585394862E-2</v>
      </c>
      <c r="D57" s="92">
        <v>0</v>
      </c>
      <c r="E57" s="93">
        <v>0.37410071942446044</v>
      </c>
      <c r="G57" s="5"/>
      <c r="H57" s="5"/>
      <c r="K57" s="121">
        <v>14</v>
      </c>
      <c r="L57" s="121">
        <v>577</v>
      </c>
      <c r="M57" s="122">
        <f ca="1">IFERROR(IFERROR(VLOOKUP(L57,'Regresion Md'!$Z$6:$AB$10,2,1)*L57+VLOOKUP(L57,'Regresion Md'!$Z$6:$AB$10,3,1),VLOOKUP(MIN(DatosHoy[Puntos]),'Regresion Md'!$Z$6:$AB$10,2,1)*L57+VLOOKUP(MIN(DatosHoy[Puntos]),'Regresion Md'!$Z$6:$AB$10,3,1)),"")</f>
        <v>12310627.446318457</v>
      </c>
      <c r="N57" s="123">
        <f t="shared" ca="1" si="0"/>
        <v>0.18426826583315714</v>
      </c>
      <c r="O57" s="10"/>
      <c r="P57" s="8"/>
      <c r="Q57" s="10"/>
      <c r="R57" s="8"/>
      <c r="S57" s="5"/>
      <c r="T57" s="5"/>
      <c r="U57" s="5"/>
    </row>
    <row r="58" spans="2:24" x14ac:dyDescent="0.25">
      <c r="B58" s="90">
        <v>778</v>
      </c>
      <c r="C58" s="91">
        <v>2.0363911978061089E-2</v>
      </c>
      <c r="D58" s="92">
        <v>0</v>
      </c>
      <c r="E58" s="93">
        <v>0.37410071942446044</v>
      </c>
      <c r="G58" s="5"/>
      <c r="H58" s="5"/>
      <c r="K58" s="121">
        <v>15</v>
      </c>
      <c r="L58" s="121">
        <v>663</v>
      </c>
      <c r="M58" s="122">
        <f ca="1">IFERROR(IFERROR(VLOOKUP(L58,'Regresion Md'!$Z$6:$AB$10,2,1)*L58+VLOOKUP(L58,'Regresion Md'!$Z$6:$AB$10,3,1),VLOOKUP(MIN(DatosHoy[Puntos]),'Regresion Md'!$Z$6:$AB$10,2,1)*L58+VLOOKUP(MIN(DatosHoy[Puntos]),'Regresion Md'!$Z$6:$AB$10,3,1)),"")</f>
        <v>16114895.363337331</v>
      </c>
      <c r="N58" s="123">
        <f t="shared" ca="1" si="0"/>
        <v>0.30902307243133698</v>
      </c>
      <c r="O58" s="10"/>
      <c r="P58" s="8"/>
      <c r="Q58" s="10"/>
      <c r="R58" s="8"/>
      <c r="S58" s="5"/>
      <c r="T58" s="5"/>
      <c r="U58" s="5"/>
    </row>
    <row r="59" spans="2:24" x14ac:dyDescent="0.25">
      <c r="B59" s="90">
        <v>1847</v>
      </c>
      <c r="C59" s="91">
        <v>2.191200116005132E-2</v>
      </c>
      <c r="D59" s="92">
        <v>0</v>
      </c>
      <c r="E59" s="93">
        <v>0.33812949640287771</v>
      </c>
      <c r="G59" s="5"/>
      <c r="H59" s="5"/>
      <c r="K59" s="121">
        <v>16</v>
      </c>
      <c r="L59" s="121">
        <v>762</v>
      </c>
      <c r="M59" s="122">
        <f ca="1">IFERROR(IFERROR(VLOOKUP(L59,'Regresion Md'!$Z$6:$AB$10,2,1)*L59+VLOOKUP(L59,'Regresion Md'!$Z$6:$AB$10,3,1),VLOOKUP(MIN(DatosHoy[Puntos]),'Regresion Md'!$Z$6:$AB$10,2,1)*L59+VLOOKUP(MIN(DatosHoy[Puntos]),'Regresion Md'!$Z$6:$AB$10,3,1)),"")</f>
        <v>21130467.196414761</v>
      </c>
      <c r="N59" s="123">
        <f t="shared" ca="1" si="0"/>
        <v>0.31123825007813921</v>
      </c>
      <c r="O59" s="10"/>
      <c r="P59" s="8"/>
      <c r="Q59" s="10"/>
      <c r="R59" s="8"/>
      <c r="S59" s="5"/>
      <c r="T59" s="5"/>
      <c r="U59" s="5"/>
    </row>
    <row r="60" spans="2:24" x14ac:dyDescent="0.25">
      <c r="B60" s="90">
        <v>671</v>
      </c>
      <c r="C60" s="91">
        <v>2.2609367567234084E-2</v>
      </c>
      <c r="D60" s="92">
        <v>0</v>
      </c>
      <c r="E60" s="93">
        <v>0.37410071942446044</v>
      </c>
      <c r="G60" s="5"/>
      <c r="H60" s="5"/>
      <c r="K60" s="121">
        <v>17</v>
      </c>
      <c r="L60" s="121">
        <v>876</v>
      </c>
      <c r="M60" s="122">
        <f ca="1">IFERROR(IFERROR(VLOOKUP(L60,'Regresion Md'!$Z$6:$AB$10,2,1)*L60+VLOOKUP(L60,'Regresion Md'!$Z$6:$AB$10,3,1),VLOOKUP(MIN(DatosHoy[Puntos]),'Regresion Md'!$Z$6:$AB$10,2,1)*L60+VLOOKUP(MIN(DatosHoy[Puntos]),'Regresion Md'!$Z$6:$AB$10,3,1)),"")</f>
        <v>26905974.155716039</v>
      </c>
      <c r="N60" s="123">
        <f t="shared" ca="1" si="0"/>
        <v>0.27332604175837716</v>
      </c>
      <c r="O60" s="10"/>
      <c r="P60" s="8"/>
      <c r="Q60" s="10"/>
      <c r="R60" s="8"/>
      <c r="S60" s="5"/>
      <c r="T60" s="5"/>
      <c r="U60" s="5"/>
    </row>
    <row r="61" spans="2:24" x14ac:dyDescent="0.25">
      <c r="B61" s="90">
        <v>1446</v>
      </c>
      <c r="C61" s="91">
        <v>2.2962232370943969E-2</v>
      </c>
      <c r="D61" s="92">
        <v>0</v>
      </c>
      <c r="E61" s="93">
        <v>0.2733812949640288</v>
      </c>
      <c r="G61" s="5"/>
      <c r="H61" s="5"/>
      <c r="K61" s="121">
        <v>18</v>
      </c>
      <c r="L61" s="121">
        <v>1007</v>
      </c>
      <c r="M61" s="122">
        <f ca="1">IFERROR(IFERROR(VLOOKUP(L61,'Regresion Md'!$Z$6:$AB$10,2,1)*L61+VLOOKUP(L61,'Regresion Md'!$Z$6:$AB$10,3,1),VLOOKUP(MIN(DatosHoy[Puntos]),'Regresion Md'!$Z$6:$AB$10,2,1)*L61+VLOOKUP(MIN(DatosHoy[Puntos]),'Regresion Md'!$Z$6:$AB$10,3,1)),"")</f>
        <v>33542740.924737692</v>
      </c>
      <c r="N61" s="123">
        <f t="shared" ca="1" si="0"/>
        <v>0.2466651729690934</v>
      </c>
      <c r="O61" s="10"/>
      <c r="P61" s="8"/>
      <c r="Q61" s="10"/>
      <c r="R61" s="8"/>
      <c r="S61" s="5"/>
      <c r="T61" s="5"/>
      <c r="U61" s="5"/>
    </row>
    <row r="62" spans="2:24" x14ac:dyDescent="0.25">
      <c r="B62" s="90">
        <v>1448</v>
      </c>
      <c r="C62" s="91">
        <v>2.3614061557250543E-2</v>
      </c>
      <c r="D62" s="92">
        <v>0</v>
      </c>
      <c r="E62" s="93">
        <v>0.2805755395683453</v>
      </c>
      <c r="G62" s="5"/>
      <c r="H62" s="5"/>
      <c r="K62" s="121">
        <v>19</v>
      </c>
      <c r="L62" s="121">
        <v>1157</v>
      </c>
      <c r="M62" s="122">
        <f ca="1">IFERROR(IFERROR(VLOOKUP(L62,'Regresion Md'!$Z$6:$AB$10,2,1)*L62+VLOOKUP(L62,'Regresion Md'!$Z$6:$AB$10,3,1),VLOOKUP(MIN(DatosHoy[Puntos]),'Regresion Md'!$Z$6:$AB$10,2,1)*L62+VLOOKUP(MIN(DatosHoy[Puntos]),'Regresion Md'!$Z$6:$AB$10,3,1)),"")</f>
        <v>41142092.186976224</v>
      </c>
      <c r="N62" s="123">
        <f t="shared" ca="1" si="0"/>
        <v>0.22655725360338774</v>
      </c>
      <c r="O62" s="6"/>
      <c r="P62" s="6"/>
      <c r="S62" s="5"/>
      <c r="T62" s="5"/>
      <c r="U62" s="5"/>
    </row>
    <row r="63" spans="2:24" x14ac:dyDescent="0.25">
      <c r="B63" s="90">
        <v>1486</v>
      </c>
      <c r="C63" s="91">
        <v>2.3622292323799532E-2</v>
      </c>
      <c r="D63" s="92">
        <v>0</v>
      </c>
      <c r="E63" s="93">
        <v>0.28776978417266186</v>
      </c>
      <c r="G63" s="5"/>
      <c r="H63" s="5"/>
      <c r="K63" s="121">
        <v>20</v>
      </c>
      <c r="L63" s="121">
        <v>1331</v>
      </c>
      <c r="M63" s="122">
        <f ca="1">IFERROR(IFERROR(VLOOKUP(L63,'Regresion Md'!$Z$6:$AB$10,2,1)*L63+VLOOKUP(L63,'Regresion Md'!$Z$6:$AB$10,3,1),VLOOKUP(MIN(DatosHoy[Puntos]),'Regresion Md'!$Z$6:$AB$10,2,1)*L63+VLOOKUP(MIN(DatosHoy[Puntos]),'Regresion Md'!$Z$6:$AB$10,3,1)),"")</f>
        <v>49957339.651172914</v>
      </c>
      <c r="N63" s="123">
        <f t="shared" ca="1" si="0"/>
        <v>0.21426347070864837</v>
      </c>
      <c r="O63" s="6"/>
      <c r="P63" s="6"/>
      <c r="R63" s="10"/>
      <c r="S63" s="5"/>
      <c r="T63" s="5"/>
      <c r="U63" s="5"/>
    </row>
    <row r="64" spans="2:24" x14ac:dyDescent="0.25">
      <c r="B64" s="90">
        <v>616</v>
      </c>
      <c r="C64" s="91">
        <v>2.4092700512779452E-2</v>
      </c>
      <c r="D64" s="92">
        <v>0</v>
      </c>
      <c r="E64" s="93">
        <v>0.37410071942446044</v>
      </c>
      <c r="G64" s="5"/>
      <c r="H64" s="5"/>
      <c r="K64" s="121">
        <v>21</v>
      </c>
      <c r="L64" s="121">
        <v>1530</v>
      </c>
      <c r="M64" s="122">
        <f ca="1">IFERROR(IFERROR(VLOOKUP(L64,'Regresion Md'!$Z$6:$AB$10,2,1)*L64+VLOOKUP(L64,'Regresion Md'!$Z$6:$AB$10,3,1),VLOOKUP(MIN(DatosHoy[Puntos]),'Regresion Md'!$Z$6:$AB$10,2,1)*L64+VLOOKUP(MIN(DatosHoy[Puntos]),'Regresion Md'!$Z$6:$AB$10,3,1)),"")</f>
        <v>60039145.659076028</v>
      </c>
      <c r="N64" s="123">
        <f t="shared" ca="1" si="0"/>
        <v>0.20180830441131015</v>
      </c>
      <c r="O64" s="6"/>
      <c r="P64" s="6"/>
      <c r="R64" s="10"/>
      <c r="S64" s="5"/>
      <c r="T64" s="5"/>
      <c r="U64" s="5"/>
    </row>
    <row r="65" spans="2:21" x14ac:dyDescent="0.25">
      <c r="B65" s="90">
        <v>1823</v>
      </c>
      <c r="C65" s="91">
        <v>2.4246884266027502E-2</v>
      </c>
      <c r="D65" s="92">
        <v>0</v>
      </c>
      <c r="E65" s="93">
        <v>0.33812949640287771</v>
      </c>
      <c r="G65" s="5"/>
      <c r="H65" s="5"/>
      <c r="K65" s="121">
        <v>22</v>
      </c>
      <c r="L65" s="121">
        <v>1759</v>
      </c>
      <c r="M65" s="122">
        <f ca="1">IFERROR(IFERROR(VLOOKUP(L65,'Regresion Md'!$Z$6:$AB$10,2,1)*L65+VLOOKUP(L65,'Regresion Md'!$Z$6:$AB$10,3,1),VLOOKUP(MIN(DatosHoy[Puntos]),'Regresion Md'!$Z$6:$AB$10,2,1)*L65+VLOOKUP(MIN(DatosHoy[Puntos]),'Regresion Md'!$Z$6:$AB$10,3,1)),"")</f>
        <v>71640821.919426858</v>
      </c>
      <c r="N65" s="123">
        <f t="shared" ref="N65:N68" ca="1" si="1">IFERROR(M65/M64-1,"")</f>
        <v>0.19323519901880926</v>
      </c>
      <c r="O65" s="6"/>
      <c r="P65" s="6"/>
      <c r="S65" s="10"/>
      <c r="T65" s="5"/>
      <c r="U65" s="5"/>
    </row>
    <row r="66" spans="2:21" x14ac:dyDescent="0.25">
      <c r="B66" s="90">
        <v>981</v>
      </c>
      <c r="C66" s="91">
        <v>2.454265868115646E-2</v>
      </c>
      <c r="D66" s="92">
        <v>0</v>
      </c>
      <c r="E66" s="93">
        <v>0.38129496402877699</v>
      </c>
      <c r="G66" s="5"/>
      <c r="H66" s="5"/>
      <c r="K66" s="121">
        <v>23</v>
      </c>
      <c r="L66" s="121">
        <v>2023</v>
      </c>
      <c r="M66" s="122">
        <f ca="1">IFERROR(IFERROR(VLOOKUP(L66,'Regresion Md'!$Z$6:$AB$10,2,1)*L66+VLOOKUP(L66,'Regresion Md'!$Z$6:$AB$10,3,1),VLOOKUP(MIN(DatosHoy[Puntos]),'Regresion Md'!$Z$6:$AB$10,2,1)*L66+VLOOKUP(MIN(DatosHoy[Puntos]),'Regresion Md'!$Z$6:$AB$10,3,1)),"")</f>
        <v>85015680.140966684</v>
      </c>
      <c r="N66" s="123">
        <f t="shared" ca="1" si="1"/>
        <v>0.18669325481193222</v>
      </c>
      <c r="O66" s="6"/>
      <c r="P66" s="6"/>
      <c r="S66" s="10"/>
      <c r="T66" s="5"/>
      <c r="U66" s="5"/>
    </row>
    <row r="67" spans="2:21" x14ac:dyDescent="0.25">
      <c r="B67" s="90">
        <v>882</v>
      </c>
      <c r="C67" s="91">
        <v>2.4684505223390496E-2</v>
      </c>
      <c r="D67" s="92">
        <v>0</v>
      </c>
      <c r="E67" s="93">
        <v>0.41007194244604317</v>
      </c>
      <c r="G67" s="5"/>
      <c r="H67" s="5"/>
      <c r="K67" s="121">
        <v>24</v>
      </c>
      <c r="L67" s="121">
        <v>2326</v>
      </c>
      <c r="M67" s="122">
        <f ca="1">IFERROR(IFERROR(VLOOKUP(L67,'Regresion Md'!$Z$6:$AB$10,2,1)*L67+VLOOKUP(L67,'Regresion Md'!$Z$6:$AB$10,3,1),VLOOKUP(MIN(DatosHoy[Puntos]),'Regresion Md'!$Z$6:$AB$10,2,1)*L67+VLOOKUP(MIN(DatosHoy[Puntos]),'Regresion Md'!$Z$6:$AB$10,3,1)),"")</f>
        <v>100366369.69068849</v>
      </c>
      <c r="N67" s="123">
        <f t="shared" ca="1" si="1"/>
        <v>0.1805630387743582</v>
      </c>
      <c r="O67" s="6"/>
      <c r="P67" s="6"/>
      <c r="S67" s="10"/>
      <c r="T67" s="5"/>
      <c r="U67" s="5"/>
    </row>
    <row r="68" spans="2:21" x14ac:dyDescent="0.25">
      <c r="B68" s="90">
        <v>7</v>
      </c>
      <c r="C68" s="91">
        <v>2.4950144751222703E-2</v>
      </c>
      <c r="D68" s="92">
        <v>0</v>
      </c>
      <c r="E68" s="93">
        <v>0.2805755395683453</v>
      </c>
      <c r="G68" s="5"/>
      <c r="H68" s="5"/>
      <c r="K68" s="121">
        <v>25</v>
      </c>
      <c r="L68" s="121">
        <v>2675</v>
      </c>
      <c r="M68" s="122">
        <f ca="1">IFERROR(IFERROR(VLOOKUP(L68,'Regresion Md'!$Z$6:$AB$10,2,1)*L68+VLOOKUP(L68,'Regresion Md'!$Z$6:$AB$10,3,1),VLOOKUP(MIN(DatosHoy[Puntos]),'Regresion Md'!$Z$6:$AB$10,2,1)*L68+VLOOKUP(MIN(DatosHoy[Puntos]),'Regresion Md'!$Z$6:$AB$10,3,1)),"")</f>
        <v>118047526.96083015</v>
      </c>
      <c r="N68" s="123">
        <f t="shared" ca="1" si="1"/>
        <v>0.17616615331043528</v>
      </c>
      <c r="O68" s="6"/>
      <c r="P68" s="6"/>
      <c r="S68" s="10"/>
      <c r="T68" s="5"/>
      <c r="U68" s="5"/>
    </row>
    <row r="69" spans="2:21" x14ac:dyDescent="0.25">
      <c r="B69" s="90">
        <v>2125</v>
      </c>
      <c r="C69" s="91">
        <v>2.4950144751222703E-2</v>
      </c>
      <c r="D69" s="92">
        <v>0</v>
      </c>
      <c r="E69" s="93">
        <v>0.2805755395683453</v>
      </c>
      <c r="G69" s="5"/>
      <c r="H69" s="5"/>
      <c r="L69" s="7"/>
      <c r="M69" s="12"/>
      <c r="N69" s="6"/>
      <c r="O69" s="6"/>
      <c r="P69" s="6"/>
      <c r="S69" s="10"/>
      <c r="T69" s="5"/>
      <c r="U69" s="5"/>
    </row>
    <row r="70" spans="2:21" x14ac:dyDescent="0.25">
      <c r="B70" s="90">
        <v>1822</v>
      </c>
      <c r="C70" s="91">
        <v>2.5152763366379949E-2</v>
      </c>
      <c r="D70" s="92">
        <v>0</v>
      </c>
      <c r="E70" s="93">
        <v>0.33812949640287771</v>
      </c>
      <c r="G70" s="5"/>
      <c r="H70" s="5"/>
      <c r="L70" s="7"/>
      <c r="M70" s="12"/>
      <c r="N70" s="6"/>
      <c r="O70" s="6"/>
      <c r="P70" s="6"/>
      <c r="S70" s="10"/>
      <c r="T70" s="5"/>
      <c r="U70" s="5"/>
    </row>
    <row r="71" spans="2:21" x14ac:dyDescent="0.25">
      <c r="B71" s="90">
        <v>1450</v>
      </c>
      <c r="C71" s="91">
        <v>2.6986802034835167E-2</v>
      </c>
      <c r="D71" s="92">
        <v>0</v>
      </c>
      <c r="E71" s="93">
        <v>0.35971223021582732</v>
      </c>
      <c r="G71" s="5"/>
      <c r="H71" s="5"/>
      <c r="L71" s="7"/>
      <c r="M71" s="12"/>
      <c r="N71" s="6"/>
      <c r="O71" s="6"/>
      <c r="P71" s="6"/>
      <c r="S71" s="10"/>
      <c r="T71" s="5"/>
      <c r="U71" s="5"/>
    </row>
    <row r="72" spans="2:21" x14ac:dyDescent="0.25">
      <c r="B72" s="90">
        <v>932</v>
      </c>
      <c r="C72" s="91">
        <v>2.8019417032360772E-2</v>
      </c>
      <c r="D72" s="92">
        <v>0</v>
      </c>
      <c r="E72" s="93">
        <v>0.37410071942446044</v>
      </c>
      <c r="G72" s="5"/>
      <c r="H72" s="5"/>
      <c r="L72" s="7"/>
      <c r="M72" s="12"/>
      <c r="N72" s="6"/>
      <c r="O72" s="6"/>
      <c r="P72" s="6"/>
      <c r="S72" s="10"/>
      <c r="T72" s="5"/>
      <c r="U72" s="5"/>
    </row>
    <row r="73" spans="2:21" x14ac:dyDescent="0.25">
      <c r="B73" s="90">
        <v>1999</v>
      </c>
      <c r="C73" s="91">
        <v>2.9006437527271944E-2</v>
      </c>
      <c r="D73" s="92">
        <v>0</v>
      </c>
      <c r="E73" s="93">
        <v>0.28776978417266186</v>
      </c>
      <c r="G73" s="5"/>
      <c r="H73" s="5"/>
      <c r="L73" s="7"/>
      <c r="M73" s="12"/>
      <c r="N73" s="6"/>
      <c r="O73" s="6"/>
      <c r="P73" s="6"/>
      <c r="S73" s="10"/>
      <c r="T73" s="5"/>
      <c r="U73" s="5"/>
    </row>
    <row r="74" spans="2:21" x14ac:dyDescent="0.25">
      <c r="B74" s="90">
        <v>831</v>
      </c>
      <c r="C74" s="91">
        <v>2.9192832830182258E-2</v>
      </c>
      <c r="D74" s="92">
        <v>0</v>
      </c>
      <c r="E74" s="93">
        <v>0.41007194244604317</v>
      </c>
      <c r="G74" s="5"/>
      <c r="H74" s="5"/>
      <c r="L74" s="7"/>
      <c r="M74" s="12"/>
      <c r="N74" s="6"/>
      <c r="O74" s="6"/>
      <c r="P74" s="6"/>
      <c r="S74" s="10"/>
      <c r="T74" s="5"/>
      <c r="U74" s="5"/>
    </row>
    <row r="75" spans="2:21" x14ac:dyDescent="0.25">
      <c r="B75" s="90">
        <v>1918</v>
      </c>
      <c r="C75" s="91">
        <v>2.9627262905380203E-2</v>
      </c>
      <c r="D75" s="92">
        <v>0</v>
      </c>
      <c r="E75" s="93">
        <v>0.29496402877697842</v>
      </c>
      <c r="G75" s="5"/>
      <c r="H75" s="5"/>
      <c r="L75" s="7"/>
      <c r="M75" s="12"/>
      <c r="N75" s="6"/>
      <c r="O75" s="6"/>
      <c r="P75" s="6"/>
      <c r="S75" s="10"/>
      <c r="T75" s="5"/>
      <c r="U75" s="5"/>
    </row>
    <row r="76" spans="2:21" x14ac:dyDescent="0.25">
      <c r="B76" s="90">
        <v>1897</v>
      </c>
      <c r="C76" s="91">
        <v>2.9870179307064482E-2</v>
      </c>
      <c r="D76" s="92">
        <v>0</v>
      </c>
      <c r="E76" s="93">
        <v>0.2733812949640288</v>
      </c>
      <c r="G76" s="5"/>
      <c r="H76" s="5"/>
      <c r="L76" s="7"/>
      <c r="M76" s="12"/>
      <c r="N76" s="6"/>
      <c r="O76" s="6"/>
      <c r="P76" s="6"/>
      <c r="S76" s="10"/>
      <c r="T76" s="5"/>
      <c r="U76" s="5"/>
    </row>
    <row r="77" spans="2:21" x14ac:dyDescent="0.25">
      <c r="B77" s="90">
        <v>1028</v>
      </c>
      <c r="C77" s="91">
        <v>3.0609760293494936E-2</v>
      </c>
      <c r="D77" s="92">
        <v>0</v>
      </c>
      <c r="E77" s="93">
        <v>0.38129496402877699</v>
      </c>
      <c r="G77" s="5"/>
      <c r="H77" s="5"/>
      <c r="L77" s="7"/>
      <c r="M77" s="12"/>
      <c r="O77" s="6"/>
      <c r="P77" s="6"/>
      <c r="T77" s="5"/>
      <c r="U77" s="5"/>
    </row>
    <row r="78" spans="2:21" x14ac:dyDescent="0.25">
      <c r="B78" s="90">
        <v>327</v>
      </c>
      <c r="C78" s="91">
        <v>3.0972585301225597E-2</v>
      </c>
      <c r="D78" s="92">
        <v>0</v>
      </c>
      <c r="E78" s="93">
        <v>0.33812949640287771</v>
      </c>
      <c r="G78" s="5"/>
      <c r="H78" s="5"/>
      <c r="L78" s="7"/>
      <c r="M78" s="12"/>
      <c r="O78" s="6"/>
      <c r="P78" s="6"/>
      <c r="T78" s="5"/>
      <c r="U78" s="5"/>
    </row>
    <row r="79" spans="2:21" x14ac:dyDescent="0.25">
      <c r="B79" s="90">
        <v>1485</v>
      </c>
      <c r="C79" s="91">
        <v>3.1229844108361604E-2</v>
      </c>
      <c r="D79" s="92">
        <v>0</v>
      </c>
      <c r="E79" s="93">
        <v>0.26618705035971224</v>
      </c>
      <c r="G79" s="5"/>
      <c r="H79" s="5"/>
      <c r="L79" s="7"/>
      <c r="M79" s="12"/>
      <c r="O79" s="6"/>
      <c r="P79" s="6"/>
      <c r="T79" s="5"/>
      <c r="U79" s="5"/>
    </row>
    <row r="80" spans="2:21" x14ac:dyDescent="0.25">
      <c r="B80" s="90">
        <v>1029</v>
      </c>
      <c r="C80" s="91">
        <v>3.2444567891472986E-2</v>
      </c>
      <c r="D80" s="92">
        <v>0</v>
      </c>
      <c r="E80" s="93">
        <v>0.41726618705035973</v>
      </c>
      <c r="G80" s="5"/>
      <c r="H80" s="5"/>
      <c r="L80" s="7"/>
      <c r="M80" s="12"/>
      <c r="O80" s="6"/>
      <c r="P80" s="6"/>
      <c r="T80" s="5"/>
      <c r="U80" s="5"/>
    </row>
    <row r="81" spans="2:21" x14ac:dyDescent="0.25">
      <c r="B81" s="90">
        <v>779</v>
      </c>
      <c r="C81" s="91">
        <v>3.2576617457540258E-2</v>
      </c>
      <c r="D81" s="92">
        <v>0</v>
      </c>
      <c r="E81" s="93">
        <v>0.41007194244604317</v>
      </c>
      <c r="G81" s="5"/>
      <c r="H81" s="5"/>
      <c r="L81" s="7"/>
      <c r="M81" s="12"/>
      <c r="O81" s="6"/>
      <c r="P81" s="6"/>
      <c r="T81" s="5"/>
      <c r="U81" s="5"/>
    </row>
    <row r="82" spans="2:21" x14ac:dyDescent="0.25">
      <c r="B82" s="90">
        <v>726</v>
      </c>
      <c r="C82" s="91">
        <v>3.2691532624724462E-2</v>
      </c>
      <c r="D82" s="92">
        <v>0</v>
      </c>
      <c r="E82" s="93">
        <v>0.41007194244604317</v>
      </c>
      <c r="G82" s="5"/>
      <c r="H82" s="5"/>
      <c r="L82" s="7"/>
      <c r="M82" s="12"/>
      <c r="O82" s="6"/>
      <c r="P82" s="6"/>
      <c r="T82" s="5"/>
      <c r="U82" s="5"/>
    </row>
    <row r="83" spans="2:21" x14ac:dyDescent="0.25">
      <c r="B83" s="90">
        <v>1713</v>
      </c>
      <c r="C83" s="91">
        <v>3.3418161020024817E-2</v>
      </c>
      <c r="D83" s="92">
        <v>0</v>
      </c>
      <c r="E83" s="93">
        <v>0.33812949640287771</v>
      </c>
      <c r="G83" s="5"/>
      <c r="H83" s="5"/>
      <c r="L83" s="7"/>
      <c r="M83" s="12"/>
      <c r="O83" s="6"/>
      <c r="P83" s="6"/>
      <c r="T83" s="5"/>
      <c r="U83" s="5"/>
    </row>
    <row r="84" spans="2:21" x14ac:dyDescent="0.25">
      <c r="B84" s="90">
        <v>1122</v>
      </c>
      <c r="C84" s="91">
        <v>3.3498077226194689E-2</v>
      </c>
      <c r="D84" s="92">
        <v>0</v>
      </c>
      <c r="E84" s="93">
        <v>0.38129496402877699</v>
      </c>
      <c r="G84" s="5"/>
      <c r="H84" s="5"/>
      <c r="L84" s="7"/>
      <c r="M84" s="12"/>
      <c r="O84" s="6"/>
      <c r="P84" s="6"/>
      <c r="T84" s="5"/>
      <c r="U84" s="5"/>
    </row>
    <row r="85" spans="2:21" x14ac:dyDescent="0.25">
      <c r="B85" s="90">
        <v>1916</v>
      </c>
      <c r="C85" s="91">
        <v>3.4663068649881112E-2</v>
      </c>
      <c r="D85" s="92">
        <v>0</v>
      </c>
      <c r="E85" s="93">
        <v>0.30935251798561153</v>
      </c>
      <c r="G85" s="5"/>
      <c r="H85" s="5"/>
      <c r="L85" s="7"/>
      <c r="M85" s="12"/>
      <c r="O85" s="6"/>
      <c r="P85" s="6"/>
      <c r="T85" s="5"/>
      <c r="U85" s="5"/>
    </row>
    <row r="86" spans="2:21" x14ac:dyDescent="0.25">
      <c r="B86" s="90">
        <v>1076</v>
      </c>
      <c r="C86" s="91">
        <v>3.5229545123622197E-2</v>
      </c>
      <c r="D86" s="92">
        <v>0</v>
      </c>
      <c r="E86" s="93">
        <v>0.38129496402877699</v>
      </c>
      <c r="G86" s="5"/>
      <c r="H86" s="5"/>
      <c r="L86" s="7"/>
      <c r="M86" s="12"/>
      <c r="O86" s="6"/>
      <c r="P86" s="6"/>
      <c r="T86" s="5"/>
      <c r="U86" s="5"/>
    </row>
    <row r="87" spans="2:21" x14ac:dyDescent="0.25">
      <c r="B87" s="90">
        <v>1941</v>
      </c>
      <c r="C87" s="91">
        <v>3.5480526182043004E-2</v>
      </c>
      <c r="D87" s="92">
        <v>0</v>
      </c>
      <c r="E87" s="93">
        <v>0.29496402877697842</v>
      </c>
      <c r="G87" s="5"/>
      <c r="H87" s="5"/>
      <c r="L87" s="7"/>
      <c r="M87" s="12"/>
      <c r="O87" s="6"/>
      <c r="P87" s="6"/>
      <c r="T87" s="5"/>
      <c r="U87" s="5"/>
    </row>
    <row r="88" spans="2:21" x14ac:dyDescent="0.25">
      <c r="B88" s="90">
        <v>4</v>
      </c>
      <c r="C88" s="91">
        <v>3.6590080033086059E-2</v>
      </c>
      <c r="D88" s="92">
        <v>0</v>
      </c>
      <c r="E88" s="93">
        <v>0.26618705035971224</v>
      </c>
      <c r="G88" s="5"/>
      <c r="H88" s="5"/>
      <c r="L88" s="7"/>
      <c r="M88" s="12"/>
      <c r="O88" s="6"/>
      <c r="P88" s="6"/>
      <c r="T88" s="5"/>
      <c r="U88" s="5"/>
    </row>
    <row r="89" spans="2:21" x14ac:dyDescent="0.25">
      <c r="B89" s="90">
        <v>2140</v>
      </c>
      <c r="C89" s="91">
        <v>3.6590080033086059E-2</v>
      </c>
      <c r="D89" s="92">
        <v>0</v>
      </c>
      <c r="E89" s="93">
        <v>0.26618705035971224</v>
      </c>
      <c r="G89" s="5"/>
      <c r="H89" s="5"/>
      <c r="L89" s="7"/>
      <c r="M89" s="12"/>
      <c r="O89" s="6"/>
      <c r="P89" s="6"/>
      <c r="T89" s="5"/>
      <c r="U89" s="5"/>
    </row>
    <row r="90" spans="2:21" x14ac:dyDescent="0.25">
      <c r="B90" s="90">
        <v>672</v>
      </c>
      <c r="C90" s="91">
        <v>3.6879502592276681E-2</v>
      </c>
      <c r="D90" s="92">
        <v>0</v>
      </c>
      <c r="E90" s="93">
        <v>0.38129496402877699</v>
      </c>
      <c r="G90" s="5"/>
      <c r="H90" s="5"/>
      <c r="L90" s="7"/>
      <c r="M90" s="12"/>
      <c r="O90" s="6"/>
      <c r="P90" s="6"/>
      <c r="T90" s="5"/>
      <c r="U90" s="5"/>
    </row>
    <row r="91" spans="2:21" x14ac:dyDescent="0.25">
      <c r="B91" s="90">
        <v>1522</v>
      </c>
      <c r="C91" s="91">
        <v>3.7094963646371881E-2</v>
      </c>
      <c r="D91" s="92">
        <v>0</v>
      </c>
      <c r="E91" s="93">
        <v>0.26618705035971224</v>
      </c>
      <c r="G91" s="5"/>
      <c r="H91" s="5"/>
      <c r="L91" s="7"/>
      <c r="M91" s="12"/>
      <c r="O91" s="6"/>
      <c r="P91" s="6"/>
      <c r="T91" s="5"/>
      <c r="U91" s="5"/>
    </row>
    <row r="92" spans="2:21" x14ac:dyDescent="0.25">
      <c r="B92" s="90">
        <v>1121</v>
      </c>
      <c r="C92" s="91">
        <v>3.7479710233831787E-2</v>
      </c>
      <c r="D92" s="92">
        <v>0</v>
      </c>
      <c r="E92" s="93">
        <v>0.38129496402877699</v>
      </c>
      <c r="G92" s="5"/>
      <c r="H92" s="5"/>
      <c r="L92" s="7"/>
      <c r="M92" s="12"/>
      <c r="O92" s="6"/>
      <c r="P92" s="6"/>
      <c r="T92" s="5"/>
      <c r="U92" s="5"/>
    </row>
    <row r="93" spans="2:21" x14ac:dyDescent="0.25">
      <c r="B93" s="90">
        <v>1872</v>
      </c>
      <c r="C93" s="91">
        <v>3.8086095519692664E-2</v>
      </c>
      <c r="D93" s="92">
        <v>0</v>
      </c>
      <c r="E93" s="93">
        <v>0.34532374100719426</v>
      </c>
      <c r="G93" s="5"/>
      <c r="H93" s="5"/>
      <c r="L93" s="7"/>
      <c r="M93" s="12"/>
      <c r="O93" s="6"/>
      <c r="P93" s="6"/>
      <c r="T93" s="5"/>
      <c r="U93" s="5"/>
    </row>
    <row r="94" spans="2:21" x14ac:dyDescent="0.25">
      <c r="B94" s="90">
        <v>1254</v>
      </c>
      <c r="C94" s="91">
        <v>3.8291735882409084E-2</v>
      </c>
      <c r="D94" s="92">
        <v>0</v>
      </c>
      <c r="E94" s="93">
        <v>0.37410071942446044</v>
      </c>
      <c r="G94" s="5"/>
      <c r="H94" s="5"/>
      <c r="L94" s="7"/>
      <c r="M94" s="12"/>
      <c r="O94" s="6"/>
      <c r="P94" s="6"/>
      <c r="T94" s="5"/>
      <c r="U94" s="5"/>
    </row>
    <row r="95" spans="2:21" x14ac:dyDescent="0.25">
      <c r="B95" s="90">
        <v>1924</v>
      </c>
      <c r="C95" s="91">
        <v>3.9053518969083045E-2</v>
      </c>
      <c r="D95" s="92">
        <v>0</v>
      </c>
      <c r="E95" s="93">
        <v>0.35251798561151076</v>
      </c>
      <c r="G95" s="5"/>
      <c r="H95" s="5"/>
      <c r="L95" s="7"/>
      <c r="M95" s="12"/>
      <c r="O95" s="6"/>
      <c r="P95" s="6"/>
      <c r="T95" s="5"/>
      <c r="U95" s="5"/>
    </row>
    <row r="96" spans="2:21" x14ac:dyDescent="0.25">
      <c r="B96" s="90">
        <v>266</v>
      </c>
      <c r="C96" s="91">
        <v>4.0163619560897645E-2</v>
      </c>
      <c r="D96" s="92">
        <v>0</v>
      </c>
      <c r="E96" s="93">
        <v>0.33812949640287771</v>
      </c>
      <c r="G96" s="5"/>
      <c r="H96" s="5"/>
      <c r="L96" s="7"/>
      <c r="M96" s="12"/>
      <c r="O96" s="6"/>
      <c r="P96" s="6"/>
      <c r="T96" s="5"/>
      <c r="U96" s="5"/>
    </row>
    <row r="97" spans="2:21" x14ac:dyDescent="0.25">
      <c r="B97" s="90">
        <v>2127</v>
      </c>
      <c r="C97" s="91">
        <v>4.0452192220816641E-2</v>
      </c>
      <c r="D97" s="92">
        <v>0</v>
      </c>
      <c r="E97" s="93">
        <v>0.26618705035971224</v>
      </c>
      <c r="G97" s="5"/>
      <c r="H97" s="5"/>
      <c r="L97" s="7"/>
      <c r="M97" s="12"/>
      <c r="O97" s="6"/>
      <c r="P97" s="6"/>
      <c r="T97" s="5"/>
      <c r="U97" s="5"/>
    </row>
    <row r="98" spans="2:21" x14ac:dyDescent="0.25">
      <c r="B98" s="90">
        <v>1961</v>
      </c>
      <c r="C98" s="91">
        <v>4.0923540498302713E-2</v>
      </c>
      <c r="D98" s="92">
        <v>0</v>
      </c>
      <c r="E98" s="93">
        <v>0.28776978417266186</v>
      </c>
      <c r="G98" s="5"/>
      <c r="H98" s="5"/>
      <c r="L98" s="7"/>
      <c r="M98" s="12"/>
      <c r="O98" s="6"/>
      <c r="P98" s="6"/>
      <c r="T98" s="5"/>
      <c r="U98" s="5"/>
    </row>
    <row r="99" spans="2:21" x14ac:dyDescent="0.25">
      <c r="B99" s="90">
        <v>1075</v>
      </c>
      <c r="C99" s="91">
        <v>4.0931057912288349E-2</v>
      </c>
      <c r="D99" s="92">
        <v>0</v>
      </c>
      <c r="E99" s="93">
        <v>0.38129496402877699</v>
      </c>
      <c r="G99" s="5"/>
      <c r="H99" s="5"/>
      <c r="L99" s="7"/>
      <c r="M99" s="12"/>
      <c r="O99" s="6"/>
      <c r="P99" s="6"/>
      <c r="T99" s="5"/>
      <c r="U99" s="5"/>
    </row>
    <row r="100" spans="2:21" x14ac:dyDescent="0.25">
      <c r="B100" s="90">
        <v>1166</v>
      </c>
      <c r="C100" s="91">
        <v>4.1010143175323255E-2</v>
      </c>
      <c r="D100" s="92">
        <v>0</v>
      </c>
      <c r="E100" s="93">
        <v>0.29496402877697842</v>
      </c>
      <c r="G100" s="5"/>
      <c r="H100" s="5"/>
      <c r="L100" s="7"/>
      <c r="M100" s="12"/>
      <c r="O100" s="6"/>
      <c r="P100" s="6"/>
      <c r="T100" s="5"/>
      <c r="U100" s="5"/>
    </row>
    <row r="101" spans="2:21" x14ac:dyDescent="0.25">
      <c r="B101" s="90">
        <v>1940</v>
      </c>
      <c r="C101" s="91">
        <v>4.1397664892421804E-2</v>
      </c>
      <c r="D101" s="92">
        <v>0</v>
      </c>
      <c r="E101" s="93">
        <v>0.28776978417266186</v>
      </c>
      <c r="G101" s="5"/>
      <c r="H101" s="5"/>
      <c r="L101" s="7"/>
      <c r="M101" s="12"/>
      <c r="O101" s="6"/>
      <c r="P101" s="6"/>
      <c r="T101" s="5"/>
      <c r="U101" s="5"/>
    </row>
    <row r="102" spans="2:21" x14ac:dyDescent="0.25">
      <c r="B102" s="90">
        <v>617</v>
      </c>
      <c r="C102" s="91">
        <v>4.1922641556824347E-2</v>
      </c>
      <c r="D102" s="92">
        <v>0</v>
      </c>
      <c r="E102" s="93">
        <v>0.38129496402877699</v>
      </c>
      <c r="G102" s="5"/>
      <c r="H102" s="5"/>
      <c r="L102" s="7"/>
      <c r="M102" s="12"/>
      <c r="O102" s="6"/>
      <c r="P102" s="6"/>
      <c r="T102" s="5"/>
      <c r="U102" s="5"/>
    </row>
    <row r="103" spans="2:21" x14ac:dyDescent="0.25">
      <c r="B103" s="90">
        <v>2097</v>
      </c>
      <c r="C103" s="91">
        <v>4.2783781759776929E-2</v>
      </c>
      <c r="D103" s="92">
        <v>0</v>
      </c>
      <c r="E103" s="93">
        <v>0.25899280575539568</v>
      </c>
      <c r="G103" s="5"/>
      <c r="H103" s="5"/>
      <c r="L103" s="7"/>
      <c r="M103" s="12"/>
      <c r="O103" s="6"/>
      <c r="P103" s="6"/>
      <c r="T103" s="5"/>
      <c r="U103" s="5"/>
    </row>
    <row r="104" spans="2:21" x14ac:dyDescent="0.25">
      <c r="B104" s="90">
        <v>1167</v>
      </c>
      <c r="C104" s="91">
        <v>4.3634117498736358E-2</v>
      </c>
      <c r="D104" s="92">
        <v>0</v>
      </c>
      <c r="E104" s="93">
        <v>0.37410071942446044</v>
      </c>
      <c r="G104" s="5"/>
      <c r="H104" s="5"/>
      <c r="L104" s="7"/>
      <c r="M104" s="12"/>
      <c r="O104" s="6"/>
      <c r="P104" s="6"/>
      <c r="T104" s="5"/>
      <c r="U104" s="5"/>
    </row>
    <row r="105" spans="2:21" x14ac:dyDescent="0.25">
      <c r="B105" s="90">
        <v>204</v>
      </c>
      <c r="C105" s="91">
        <v>4.444925486971496E-2</v>
      </c>
      <c r="D105" s="92">
        <v>0</v>
      </c>
      <c r="E105" s="93">
        <v>0.33812949640287771</v>
      </c>
      <c r="G105" s="5"/>
      <c r="H105" s="5"/>
      <c r="L105" s="7"/>
      <c r="M105" s="12"/>
      <c r="O105" s="6"/>
      <c r="P105" s="6"/>
      <c r="T105" s="5"/>
      <c r="U105" s="5"/>
    </row>
    <row r="106" spans="2:21" x14ac:dyDescent="0.25">
      <c r="B106" s="90">
        <v>1720</v>
      </c>
      <c r="C106" s="91">
        <v>4.5627208454902313E-2</v>
      </c>
      <c r="D106" s="92">
        <v>0</v>
      </c>
      <c r="E106" s="93">
        <v>0.33093525179856115</v>
      </c>
      <c r="G106" s="5"/>
      <c r="H106" s="5"/>
      <c r="L106" s="7"/>
      <c r="M106" s="12"/>
      <c r="O106" s="6"/>
      <c r="P106" s="6"/>
      <c r="T106" s="5"/>
      <c r="U106" s="5"/>
    </row>
    <row r="107" spans="2:21" x14ac:dyDescent="0.25">
      <c r="B107" s="90">
        <v>1900</v>
      </c>
      <c r="C107" s="91">
        <v>4.6791125406016931E-2</v>
      </c>
      <c r="D107" s="92">
        <v>0</v>
      </c>
      <c r="E107" s="93">
        <v>0.38848920863309355</v>
      </c>
      <c r="G107" s="5"/>
      <c r="H107" s="5"/>
      <c r="L107" s="7"/>
      <c r="M107" s="12"/>
      <c r="O107" s="6"/>
      <c r="P107" s="6"/>
      <c r="T107" s="5"/>
      <c r="U107" s="5"/>
    </row>
    <row r="108" spans="2:21" x14ac:dyDescent="0.25">
      <c r="B108" s="90">
        <v>1797</v>
      </c>
      <c r="C108" s="91">
        <v>4.7146977657596567E-2</v>
      </c>
      <c r="D108" s="92">
        <v>0</v>
      </c>
      <c r="E108" s="93">
        <v>0.33812949640287771</v>
      </c>
      <c r="G108" s="5"/>
      <c r="H108" s="5"/>
      <c r="L108" s="7"/>
      <c r="M108" s="12"/>
      <c r="O108" s="6"/>
      <c r="P108" s="6"/>
      <c r="T108" s="5"/>
      <c r="U108" s="5"/>
    </row>
    <row r="109" spans="2:21" x14ac:dyDescent="0.25">
      <c r="B109" s="90">
        <v>1796</v>
      </c>
      <c r="C109" s="91">
        <v>4.728612944412558E-2</v>
      </c>
      <c r="D109" s="92">
        <v>0</v>
      </c>
      <c r="E109" s="93">
        <v>0.33812949640287771</v>
      </c>
      <c r="G109" s="5"/>
      <c r="H109" s="5"/>
      <c r="L109" s="7"/>
      <c r="M109" s="12"/>
      <c r="O109" s="6"/>
      <c r="P109" s="6"/>
      <c r="T109" s="5"/>
      <c r="U109" s="5"/>
    </row>
    <row r="110" spans="2:21" x14ac:dyDescent="0.25">
      <c r="B110" s="90">
        <v>2132</v>
      </c>
      <c r="C110" s="91">
        <v>4.7446144620191033E-2</v>
      </c>
      <c r="D110" s="92">
        <v>0</v>
      </c>
      <c r="E110" s="93">
        <v>0.20863309352517986</v>
      </c>
      <c r="G110" s="5"/>
      <c r="H110" s="5"/>
      <c r="L110" s="7"/>
      <c r="M110" s="12"/>
      <c r="O110" s="6"/>
      <c r="P110" s="6"/>
      <c r="T110" s="5"/>
      <c r="U110" s="5"/>
    </row>
    <row r="111" spans="2:21" x14ac:dyDescent="0.25">
      <c r="B111" s="90">
        <v>324</v>
      </c>
      <c r="C111" s="91">
        <v>4.7513631700671355E-2</v>
      </c>
      <c r="D111" s="92">
        <v>0</v>
      </c>
      <c r="E111" s="93">
        <v>0.34532374100719426</v>
      </c>
      <c r="G111" s="5"/>
      <c r="H111" s="5"/>
      <c r="L111" s="7"/>
      <c r="M111" s="12"/>
      <c r="O111" s="6"/>
      <c r="P111" s="6"/>
      <c r="T111" s="5"/>
      <c r="U111" s="5"/>
    </row>
    <row r="112" spans="2:21" x14ac:dyDescent="0.25">
      <c r="B112" s="90">
        <v>1901</v>
      </c>
      <c r="C112" s="91">
        <v>4.7715243534083518E-2</v>
      </c>
      <c r="D112" s="92">
        <v>0</v>
      </c>
      <c r="E112" s="93">
        <v>0.29496402877697842</v>
      </c>
      <c r="G112" s="5"/>
      <c r="H112" s="5"/>
      <c r="L112" s="7"/>
      <c r="M112" s="12"/>
      <c r="O112" s="6"/>
      <c r="P112" s="6"/>
      <c r="T112" s="5"/>
      <c r="U112" s="5"/>
    </row>
    <row r="113" spans="2:21" x14ac:dyDescent="0.25">
      <c r="B113" s="90">
        <v>1296</v>
      </c>
      <c r="C113" s="91">
        <v>5.0281631990881315E-2</v>
      </c>
      <c r="D113" s="92">
        <v>0</v>
      </c>
      <c r="E113" s="93">
        <v>0.29496402877697842</v>
      </c>
      <c r="G113" s="5"/>
      <c r="H113" s="5"/>
      <c r="L113" s="7"/>
      <c r="M113" s="12"/>
      <c r="O113" s="6"/>
      <c r="P113" s="6"/>
      <c r="T113" s="5"/>
      <c r="U113" s="5"/>
    </row>
    <row r="114" spans="2:21" x14ac:dyDescent="0.25">
      <c r="B114" s="90">
        <v>6</v>
      </c>
      <c r="C114" s="91">
        <v>5.0608172423816322E-2</v>
      </c>
      <c r="D114" s="92">
        <v>0</v>
      </c>
      <c r="E114" s="93">
        <v>0.25899280575539568</v>
      </c>
      <c r="G114" s="5"/>
      <c r="H114" s="5"/>
      <c r="L114" s="7"/>
      <c r="M114" s="12"/>
      <c r="O114" s="6"/>
      <c r="P114" s="6"/>
      <c r="T114" s="5"/>
      <c r="U114" s="5"/>
    </row>
    <row r="115" spans="2:21" x14ac:dyDescent="0.25">
      <c r="B115" s="90">
        <v>2131</v>
      </c>
      <c r="C115" s="91">
        <v>5.0608172423816322E-2</v>
      </c>
      <c r="D115" s="92">
        <v>0</v>
      </c>
      <c r="E115" s="93">
        <v>0.25899280575539568</v>
      </c>
      <c r="G115" s="5"/>
      <c r="H115" s="5"/>
      <c r="L115" s="7"/>
      <c r="M115" s="12"/>
      <c r="O115" s="6"/>
      <c r="P115" s="6"/>
      <c r="T115" s="5"/>
      <c r="U115" s="5"/>
    </row>
    <row r="116" spans="2:21" x14ac:dyDescent="0.25">
      <c r="B116" s="90">
        <v>1483</v>
      </c>
      <c r="C116" s="91">
        <v>5.3805085580819645E-2</v>
      </c>
      <c r="D116" s="92">
        <v>0</v>
      </c>
      <c r="E116" s="93">
        <v>0.21582733812949639</v>
      </c>
      <c r="G116" s="5"/>
      <c r="H116" s="5"/>
      <c r="L116" s="7"/>
      <c r="M116" s="12"/>
      <c r="O116" s="6"/>
      <c r="P116" s="6"/>
      <c r="T116" s="5"/>
      <c r="U116" s="5"/>
    </row>
    <row r="117" spans="2:21" x14ac:dyDescent="0.25">
      <c r="B117" s="90">
        <v>1871</v>
      </c>
      <c r="C117" s="91">
        <v>5.4972480857727879E-2</v>
      </c>
      <c r="D117" s="92">
        <v>0</v>
      </c>
      <c r="E117" s="93">
        <v>0.34532374100719426</v>
      </c>
      <c r="G117" s="5"/>
      <c r="H117" s="5"/>
      <c r="L117" s="7"/>
      <c r="M117" s="12"/>
      <c r="O117" s="6"/>
      <c r="P117" s="6"/>
      <c r="T117" s="5"/>
      <c r="U117" s="5"/>
    </row>
    <row r="118" spans="2:21" x14ac:dyDescent="0.25">
      <c r="B118" s="90">
        <v>2142</v>
      </c>
      <c r="C118" s="91">
        <v>5.5729503274819403E-2</v>
      </c>
      <c r="D118" s="92">
        <v>0</v>
      </c>
      <c r="E118" s="93">
        <v>0.26618705035971224</v>
      </c>
      <c r="G118" s="5"/>
      <c r="H118" s="5"/>
      <c r="L118" s="7"/>
      <c r="M118" s="12"/>
      <c r="O118" s="6"/>
      <c r="P118" s="6"/>
      <c r="T118" s="5"/>
      <c r="U118" s="5"/>
    </row>
    <row r="119" spans="2:21" x14ac:dyDescent="0.25">
      <c r="B119" s="90">
        <v>263</v>
      </c>
      <c r="C119" s="91">
        <v>5.7306059631711315E-2</v>
      </c>
      <c r="D119" s="92">
        <v>0</v>
      </c>
      <c r="E119" s="93">
        <v>0.34532374100719426</v>
      </c>
      <c r="G119" s="5"/>
      <c r="H119" s="5"/>
      <c r="L119" s="7"/>
      <c r="M119" s="12"/>
      <c r="O119" s="6"/>
      <c r="P119" s="6"/>
      <c r="T119" s="5"/>
      <c r="U119" s="5"/>
    </row>
    <row r="120" spans="2:21" x14ac:dyDescent="0.25">
      <c r="B120" s="90">
        <v>1855</v>
      </c>
      <c r="C120" s="91">
        <v>5.8731832198068989E-2</v>
      </c>
      <c r="D120" s="92">
        <v>0</v>
      </c>
      <c r="E120" s="93">
        <v>0.33812949640287771</v>
      </c>
      <c r="G120" s="5"/>
      <c r="H120" s="5"/>
      <c r="L120" s="7"/>
      <c r="M120" s="12"/>
      <c r="O120" s="6"/>
      <c r="P120" s="6"/>
      <c r="T120" s="5"/>
      <c r="U120" s="5"/>
    </row>
    <row r="121" spans="2:21" x14ac:dyDescent="0.25">
      <c r="B121" s="90">
        <v>1484</v>
      </c>
      <c r="C121" s="91">
        <v>5.9161283712615309E-2</v>
      </c>
      <c r="D121" s="92">
        <v>0</v>
      </c>
      <c r="E121" s="93">
        <v>0.25899280575539568</v>
      </c>
      <c r="G121" s="5"/>
      <c r="H121" s="5"/>
      <c r="L121" s="7"/>
      <c r="M121" s="12"/>
      <c r="O121" s="6"/>
      <c r="P121" s="6"/>
      <c r="T121" s="5"/>
      <c r="U121" s="5"/>
    </row>
    <row r="122" spans="2:21" x14ac:dyDescent="0.25">
      <c r="B122" s="90">
        <v>1377</v>
      </c>
      <c r="C122" s="91">
        <v>5.9992608620918042E-2</v>
      </c>
      <c r="D122" s="92">
        <v>0</v>
      </c>
      <c r="E122" s="93">
        <v>0.29496402877697842</v>
      </c>
      <c r="G122" s="5"/>
      <c r="H122" s="5"/>
      <c r="L122" s="7"/>
      <c r="M122" s="12"/>
      <c r="O122" s="6"/>
      <c r="P122" s="6"/>
      <c r="T122" s="5"/>
      <c r="U122" s="5"/>
    </row>
    <row r="123" spans="2:21" x14ac:dyDescent="0.25">
      <c r="B123" s="90">
        <v>1449</v>
      </c>
      <c r="C123" s="91">
        <v>6.0571480629446395E-2</v>
      </c>
      <c r="D123" s="92">
        <v>0</v>
      </c>
      <c r="E123" s="93">
        <v>0.35971223021582732</v>
      </c>
      <c r="G123" s="5"/>
      <c r="H123" s="5"/>
      <c r="L123" s="7"/>
      <c r="M123" s="12"/>
      <c r="O123" s="6"/>
      <c r="P123" s="6"/>
      <c r="T123" s="5"/>
      <c r="U123" s="5"/>
    </row>
    <row r="124" spans="2:21" x14ac:dyDescent="0.25">
      <c r="B124" s="90">
        <v>1830</v>
      </c>
      <c r="C124" s="91">
        <v>6.1191897940352291E-2</v>
      </c>
      <c r="D124" s="92">
        <v>0</v>
      </c>
      <c r="E124" s="93">
        <v>0.33812949640287771</v>
      </c>
      <c r="G124" s="5"/>
      <c r="H124" s="5"/>
      <c r="L124" s="7"/>
      <c r="M124" s="12"/>
      <c r="O124" s="6"/>
      <c r="P124" s="6"/>
      <c r="T124" s="5"/>
      <c r="U124" s="5"/>
    </row>
    <row r="125" spans="2:21" x14ac:dyDescent="0.25">
      <c r="B125" s="90">
        <v>2135</v>
      </c>
      <c r="C125" s="91">
        <v>6.2520612959225286E-2</v>
      </c>
      <c r="D125" s="92">
        <v>0</v>
      </c>
      <c r="E125" s="93">
        <v>0.28776978417266186</v>
      </c>
      <c r="G125" s="5"/>
      <c r="H125" s="5"/>
      <c r="L125" s="7"/>
      <c r="M125" s="12"/>
      <c r="O125" s="6"/>
      <c r="P125" s="6"/>
      <c r="T125" s="5"/>
      <c r="U125" s="5"/>
    </row>
    <row r="126" spans="2:21" x14ac:dyDescent="0.25">
      <c r="B126" s="90">
        <v>2141</v>
      </c>
      <c r="C126" s="91">
        <v>6.260365571348081E-2</v>
      </c>
      <c r="D126" s="92">
        <v>0</v>
      </c>
      <c r="E126" s="93">
        <v>0.20863309352517986</v>
      </c>
      <c r="G126" s="5"/>
      <c r="H126" s="5"/>
      <c r="L126" s="7"/>
      <c r="M126" s="12"/>
      <c r="O126" s="6"/>
      <c r="P126" s="6"/>
      <c r="T126" s="5"/>
      <c r="U126" s="5"/>
    </row>
    <row r="127" spans="2:21" x14ac:dyDescent="0.25">
      <c r="B127" s="90">
        <v>1557</v>
      </c>
      <c r="C127" s="91">
        <v>6.3138744775691258E-2</v>
      </c>
      <c r="D127" s="92">
        <v>0</v>
      </c>
      <c r="E127" s="93">
        <v>0.21582733812949639</v>
      </c>
      <c r="G127" s="5"/>
      <c r="H127" s="5"/>
      <c r="L127" s="7"/>
      <c r="M127" s="12"/>
      <c r="O127" s="6"/>
      <c r="P127" s="6"/>
      <c r="T127" s="5"/>
      <c r="U127" s="5"/>
    </row>
    <row r="128" spans="2:21" x14ac:dyDescent="0.25">
      <c r="B128" s="90">
        <v>2004</v>
      </c>
      <c r="C128" s="91">
        <v>6.3169390203416942E-2</v>
      </c>
      <c r="D128" s="92">
        <v>0</v>
      </c>
      <c r="E128" s="93">
        <v>0.34532374100719426</v>
      </c>
      <c r="G128" s="5"/>
      <c r="H128" s="5"/>
      <c r="L128" s="7"/>
      <c r="M128" s="12"/>
      <c r="O128" s="6"/>
      <c r="P128" s="6"/>
      <c r="T128" s="5"/>
      <c r="U128" s="5"/>
    </row>
    <row r="129" spans="2:21" x14ac:dyDescent="0.25">
      <c r="B129" s="90">
        <v>880</v>
      </c>
      <c r="C129" s="91">
        <v>6.5636648206680359E-2</v>
      </c>
      <c r="D129" s="92">
        <v>0</v>
      </c>
      <c r="E129" s="93">
        <v>0.38129496402877699</v>
      </c>
      <c r="G129" s="5"/>
      <c r="H129" s="5"/>
      <c r="L129" s="7"/>
      <c r="M129" s="12"/>
      <c r="O129" s="6"/>
      <c r="P129" s="6"/>
      <c r="T129" s="5"/>
      <c r="U129" s="5"/>
    </row>
    <row r="130" spans="2:21" x14ac:dyDescent="0.25">
      <c r="B130" s="90">
        <v>979</v>
      </c>
      <c r="C130" s="91">
        <v>6.6345631743796707E-2</v>
      </c>
      <c r="D130" s="92">
        <v>0</v>
      </c>
      <c r="E130" s="93">
        <v>0.38129496402877699</v>
      </c>
      <c r="G130" s="5"/>
      <c r="H130" s="5"/>
      <c r="L130" s="7"/>
      <c r="M130" s="12"/>
      <c r="O130" s="6"/>
      <c r="P130" s="6"/>
      <c r="T130" s="5"/>
      <c r="U130" s="5"/>
    </row>
    <row r="131" spans="2:21" x14ac:dyDescent="0.25">
      <c r="B131" s="90">
        <v>2133</v>
      </c>
      <c r="C131" s="91">
        <v>6.6995289337571484E-2</v>
      </c>
      <c r="D131" s="92">
        <v>0</v>
      </c>
      <c r="E131" s="93">
        <v>0.20863309352517986</v>
      </c>
      <c r="G131" s="5"/>
      <c r="H131" s="5"/>
      <c r="L131" s="7"/>
      <c r="M131" s="12"/>
      <c r="O131" s="6"/>
      <c r="P131" s="6"/>
      <c r="T131" s="5"/>
      <c r="U131" s="5"/>
    </row>
    <row r="132" spans="2:21" x14ac:dyDescent="0.25">
      <c r="B132" s="90">
        <v>1899</v>
      </c>
      <c r="C132" s="91">
        <v>6.7574535706038663E-2</v>
      </c>
      <c r="D132" s="92">
        <v>0</v>
      </c>
      <c r="E132" s="93">
        <v>0.35251798561151076</v>
      </c>
      <c r="G132" s="5"/>
      <c r="H132" s="5"/>
      <c r="L132" s="7"/>
      <c r="M132" s="12"/>
      <c r="O132" s="6"/>
      <c r="P132" s="6"/>
      <c r="T132" s="5"/>
      <c r="U132" s="5"/>
    </row>
    <row r="133" spans="2:21" x14ac:dyDescent="0.25">
      <c r="B133" s="90">
        <v>1253</v>
      </c>
      <c r="C133" s="91">
        <v>6.9252310151486474E-2</v>
      </c>
      <c r="D133" s="92">
        <v>0</v>
      </c>
      <c r="E133" s="93">
        <v>0.29496402877697842</v>
      </c>
      <c r="G133" s="5"/>
      <c r="H133" s="5"/>
      <c r="L133" s="7"/>
      <c r="M133" s="12"/>
      <c r="O133" s="6"/>
      <c r="P133" s="6"/>
      <c r="T133" s="5"/>
      <c r="U133" s="5"/>
    </row>
    <row r="134" spans="2:21" x14ac:dyDescent="0.25">
      <c r="B134" s="90">
        <v>829</v>
      </c>
      <c r="C134" s="91">
        <v>7.0153961834698353E-2</v>
      </c>
      <c r="D134" s="92">
        <v>0</v>
      </c>
      <c r="E134" s="93">
        <v>0.38129496402877699</v>
      </c>
      <c r="G134" s="5"/>
      <c r="H134" s="5"/>
      <c r="L134" s="7"/>
      <c r="M134" s="12"/>
      <c r="O134" s="6"/>
      <c r="P134" s="6"/>
      <c r="T134" s="5"/>
      <c r="U134" s="5"/>
    </row>
    <row r="135" spans="2:21" x14ac:dyDescent="0.25">
      <c r="B135" s="90">
        <v>1967</v>
      </c>
      <c r="C135" s="91">
        <v>7.1179880445194188E-2</v>
      </c>
      <c r="D135" s="92">
        <v>0</v>
      </c>
      <c r="E135" s="93">
        <v>0.35971223021582732</v>
      </c>
      <c r="G135" s="5"/>
      <c r="H135" s="5"/>
      <c r="L135" s="7"/>
      <c r="M135" s="12"/>
      <c r="O135" s="6"/>
      <c r="P135" s="6"/>
      <c r="T135" s="5"/>
      <c r="U135" s="5"/>
    </row>
    <row r="136" spans="2:21" x14ac:dyDescent="0.25">
      <c r="B136" s="90">
        <v>1521</v>
      </c>
      <c r="C136" s="91">
        <v>7.1288850209600962E-2</v>
      </c>
      <c r="D136" s="92">
        <v>0</v>
      </c>
      <c r="E136" s="93">
        <v>0.20863309352517986</v>
      </c>
      <c r="G136" s="5"/>
      <c r="H136" s="5"/>
      <c r="L136" s="7"/>
      <c r="M136" s="12"/>
      <c r="O136" s="6"/>
      <c r="P136" s="6"/>
      <c r="T136" s="5"/>
      <c r="U136" s="5"/>
    </row>
    <row r="137" spans="2:21" x14ac:dyDescent="0.25">
      <c r="B137" s="90">
        <v>1946</v>
      </c>
      <c r="C137" s="91">
        <v>7.2565762190040628E-2</v>
      </c>
      <c r="D137" s="92">
        <v>0</v>
      </c>
      <c r="E137" s="93">
        <v>0.26618705035971224</v>
      </c>
      <c r="G137" s="5"/>
      <c r="H137" s="5"/>
      <c r="L137" s="7"/>
      <c r="M137" s="12"/>
      <c r="O137" s="6"/>
      <c r="P137" s="6"/>
      <c r="T137" s="5"/>
      <c r="U137" s="5"/>
    </row>
    <row r="138" spans="2:21" x14ac:dyDescent="0.25">
      <c r="B138" s="90">
        <v>1896</v>
      </c>
      <c r="C138" s="91">
        <v>7.2919413543502842E-2</v>
      </c>
      <c r="D138" s="92">
        <v>0</v>
      </c>
      <c r="E138" s="93">
        <v>0.21582733812949639</v>
      </c>
      <c r="G138" s="5"/>
      <c r="H138" s="5"/>
      <c r="L138" s="7"/>
      <c r="M138" s="12"/>
      <c r="O138" s="6"/>
      <c r="P138" s="6"/>
      <c r="T138" s="5"/>
      <c r="U138" s="5"/>
    </row>
    <row r="139" spans="2:21" x14ac:dyDescent="0.25">
      <c r="B139" s="90">
        <v>1329</v>
      </c>
      <c r="C139" s="91">
        <v>7.4491631607222164E-2</v>
      </c>
      <c r="D139" s="92">
        <v>0</v>
      </c>
      <c r="E139" s="93">
        <v>0.38129496402877699</v>
      </c>
      <c r="G139" s="5"/>
      <c r="H139" s="5"/>
      <c r="L139" s="7"/>
      <c r="M139" s="12"/>
      <c r="O139" s="6"/>
      <c r="P139" s="6"/>
      <c r="T139" s="5"/>
      <c r="U139" s="5"/>
    </row>
    <row r="140" spans="2:21" x14ac:dyDescent="0.25">
      <c r="B140" s="90">
        <v>1960</v>
      </c>
      <c r="C140" s="91">
        <v>7.4822065933440651E-2</v>
      </c>
      <c r="D140" s="92">
        <v>0</v>
      </c>
      <c r="E140" s="93">
        <v>0.25899280575539568</v>
      </c>
      <c r="G140" s="5"/>
      <c r="H140" s="5"/>
      <c r="L140" s="7"/>
      <c r="M140" s="12"/>
      <c r="O140" s="6"/>
      <c r="P140" s="6"/>
      <c r="T140" s="5"/>
      <c r="U140" s="5"/>
    </row>
    <row r="141" spans="2:21" x14ac:dyDescent="0.25">
      <c r="B141" s="90">
        <v>1487</v>
      </c>
      <c r="C141" s="91">
        <v>7.5267570301870035E-2</v>
      </c>
      <c r="D141" s="92">
        <v>0</v>
      </c>
      <c r="E141" s="93">
        <v>0.2733812949640288</v>
      </c>
      <c r="G141" s="5"/>
      <c r="H141" s="5"/>
      <c r="L141" s="7"/>
      <c r="M141" s="12"/>
      <c r="O141" s="6"/>
      <c r="P141" s="6"/>
      <c r="T141" s="5"/>
      <c r="U141" s="5"/>
    </row>
    <row r="142" spans="2:21" x14ac:dyDescent="0.25">
      <c r="B142" s="90">
        <v>1416</v>
      </c>
      <c r="C142" s="91">
        <v>7.6286117985477242E-2</v>
      </c>
      <c r="D142" s="92">
        <v>0</v>
      </c>
      <c r="E142" s="93">
        <v>0.29496402877697842</v>
      </c>
      <c r="G142" s="5"/>
      <c r="H142" s="5"/>
      <c r="L142" s="7"/>
      <c r="M142" s="12"/>
      <c r="O142" s="6"/>
      <c r="P142" s="6"/>
      <c r="T142" s="5"/>
      <c r="U142" s="5"/>
    </row>
    <row r="143" spans="2:21" x14ac:dyDescent="0.25">
      <c r="B143" s="90">
        <v>1330</v>
      </c>
      <c r="C143" s="91">
        <v>7.6424203481268993E-2</v>
      </c>
      <c r="D143" s="92">
        <v>0</v>
      </c>
      <c r="E143" s="93">
        <v>0.38129496402877699</v>
      </c>
      <c r="G143" s="5"/>
      <c r="H143" s="5"/>
      <c r="L143" s="7"/>
      <c r="M143" s="12"/>
      <c r="O143" s="6"/>
      <c r="P143" s="6"/>
      <c r="T143" s="5"/>
      <c r="U143" s="5"/>
    </row>
    <row r="144" spans="2:21" x14ac:dyDescent="0.25">
      <c r="B144" s="90">
        <v>930</v>
      </c>
      <c r="C144" s="91">
        <v>7.6639707589040373E-2</v>
      </c>
      <c r="D144" s="92">
        <v>0</v>
      </c>
      <c r="E144" s="93">
        <v>0.38129496402877699</v>
      </c>
      <c r="G144" s="5"/>
      <c r="H144" s="5"/>
      <c r="L144" s="7"/>
      <c r="M144" s="12"/>
      <c r="O144" s="6"/>
      <c r="P144" s="6"/>
      <c r="T144" s="5"/>
      <c r="U144" s="5"/>
    </row>
    <row r="145" spans="2:21" x14ac:dyDescent="0.25">
      <c r="B145" s="90">
        <v>1947</v>
      </c>
      <c r="C145" s="91">
        <v>7.7438061203343622E-2</v>
      </c>
      <c r="D145" s="92">
        <v>0</v>
      </c>
      <c r="E145" s="93">
        <v>0.35971223021582732</v>
      </c>
      <c r="G145" s="5"/>
      <c r="H145" s="5"/>
      <c r="L145" s="7"/>
      <c r="M145" s="12"/>
      <c r="O145" s="6"/>
      <c r="P145" s="6"/>
      <c r="T145" s="5"/>
      <c r="U145" s="5"/>
    </row>
    <row r="146" spans="2:21" x14ac:dyDescent="0.25">
      <c r="B146" s="90">
        <v>1408</v>
      </c>
      <c r="C146" s="91">
        <v>7.7842460185902684E-2</v>
      </c>
      <c r="D146" s="92">
        <v>0</v>
      </c>
      <c r="E146" s="93">
        <v>0.38129496402877699</v>
      </c>
      <c r="G146" s="5"/>
      <c r="H146" s="5"/>
      <c r="L146" s="7"/>
      <c r="M146" s="12"/>
      <c r="O146" s="6"/>
      <c r="P146" s="6"/>
      <c r="T146" s="5"/>
      <c r="U146" s="5"/>
    </row>
    <row r="147" spans="2:21" x14ac:dyDescent="0.25">
      <c r="B147" s="90">
        <v>1962</v>
      </c>
      <c r="C147" s="91">
        <v>7.8825331438922008E-2</v>
      </c>
      <c r="D147" s="92">
        <v>0</v>
      </c>
      <c r="E147" s="93">
        <v>0.38848920863309355</v>
      </c>
      <c r="G147" s="5"/>
      <c r="H147" s="5"/>
      <c r="L147" s="7"/>
      <c r="M147" s="12"/>
      <c r="O147" s="6"/>
      <c r="P147" s="6"/>
      <c r="T147" s="5"/>
      <c r="U147" s="5"/>
    </row>
    <row r="148" spans="2:21" x14ac:dyDescent="0.25">
      <c r="B148" s="90">
        <v>325</v>
      </c>
      <c r="C148" s="91">
        <v>7.9111108343651648E-2</v>
      </c>
      <c r="D148" s="92">
        <v>0</v>
      </c>
      <c r="E148" s="93">
        <v>0.38848920863309355</v>
      </c>
      <c r="G148" s="5"/>
      <c r="H148" s="5"/>
      <c r="L148" s="7"/>
      <c r="M148" s="12"/>
      <c r="O148" s="6"/>
      <c r="P148" s="6"/>
      <c r="T148" s="5"/>
      <c r="U148" s="5"/>
    </row>
    <row r="149" spans="2:21" x14ac:dyDescent="0.25">
      <c r="B149" s="90">
        <v>1295</v>
      </c>
      <c r="C149" s="91">
        <v>7.985102334111327E-2</v>
      </c>
      <c r="D149" s="92">
        <v>0</v>
      </c>
      <c r="E149" s="93">
        <v>0.29496402877697842</v>
      </c>
      <c r="G149" s="5"/>
      <c r="H149" s="5"/>
      <c r="L149" s="7"/>
      <c r="M149" s="12"/>
      <c r="O149" s="6"/>
      <c r="P149" s="6"/>
      <c r="T149" s="5"/>
      <c r="U149" s="5"/>
    </row>
    <row r="150" spans="2:21" x14ac:dyDescent="0.25">
      <c r="B150" s="90">
        <v>777</v>
      </c>
      <c r="C150" s="91">
        <v>8.0336374691222123E-2</v>
      </c>
      <c r="D150" s="92">
        <v>0</v>
      </c>
      <c r="E150" s="93">
        <v>0.38848920863309355</v>
      </c>
      <c r="G150" s="5"/>
      <c r="H150" s="5"/>
      <c r="L150" s="7"/>
      <c r="M150" s="12"/>
      <c r="O150" s="6"/>
      <c r="P150" s="6"/>
      <c r="T150" s="5"/>
      <c r="U150" s="5"/>
    </row>
    <row r="151" spans="2:21" x14ac:dyDescent="0.25">
      <c r="B151" s="90">
        <v>724</v>
      </c>
      <c r="C151" s="91">
        <v>8.1080016657620768E-2</v>
      </c>
      <c r="D151" s="92">
        <v>0</v>
      </c>
      <c r="E151" s="93">
        <v>0.38848920863309355</v>
      </c>
      <c r="G151" s="5"/>
      <c r="H151" s="5"/>
      <c r="L151" s="7"/>
      <c r="M151" s="12"/>
      <c r="O151" s="6"/>
      <c r="P151" s="6"/>
      <c r="T151" s="5"/>
      <c r="U151" s="5"/>
    </row>
    <row r="152" spans="2:21" x14ac:dyDescent="0.25">
      <c r="B152" s="90">
        <v>1925</v>
      </c>
      <c r="C152" s="91">
        <v>8.118765562702901E-2</v>
      </c>
      <c r="D152" s="92">
        <v>0</v>
      </c>
      <c r="E152" s="93">
        <v>0.38848920863309355</v>
      </c>
      <c r="G152" s="5"/>
      <c r="H152" s="5"/>
      <c r="L152" s="7"/>
      <c r="M152" s="12"/>
      <c r="O152" s="6"/>
      <c r="P152" s="6"/>
      <c r="T152" s="5"/>
      <c r="U152" s="5"/>
    </row>
    <row r="153" spans="2:21" x14ac:dyDescent="0.25">
      <c r="B153" s="90">
        <v>1721</v>
      </c>
      <c r="C153" s="91">
        <v>8.1198111994794875E-2</v>
      </c>
      <c r="D153" s="92">
        <v>0</v>
      </c>
      <c r="E153" s="93">
        <v>0.36690647482014388</v>
      </c>
      <c r="G153" s="5"/>
      <c r="H153" s="5"/>
      <c r="L153" s="7"/>
      <c r="M153" s="12"/>
      <c r="O153" s="6"/>
      <c r="P153" s="6"/>
      <c r="T153" s="5"/>
      <c r="U153" s="5"/>
    </row>
    <row r="154" spans="2:21" x14ac:dyDescent="0.25">
      <c r="B154" s="90">
        <v>670</v>
      </c>
      <c r="C154" s="91">
        <v>8.5487301133514437E-2</v>
      </c>
      <c r="D154" s="92">
        <v>0</v>
      </c>
      <c r="E154" s="93">
        <v>0.38848920863309355</v>
      </c>
      <c r="G154" s="5"/>
      <c r="H154" s="5"/>
      <c r="L154" s="7"/>
      <c r="M154" s="12"/>
      <c r="O154" s="6"/>
      <c r="P154" s="6"/>
      <c r="T154" s="5"/>
      <c r="U154" s="5"/>
    </row>
    <row r="155" spans="2:21" x14ac:dyDescent="0.25">
      <c r="B155" s="90">
        <v>264</v>
      </c>
      <c r="C155" s="91">
        <v>8.8451322355533102E-2</v>
      </c>
      <c r="D155" s="92">
        <v>0</v>
      </c>
      <c r="E155" s="93">
        <v>0.38848920863309355</v>
      </c>
      <c r="G155" s="5"/>
      <c r="H155" s="5"/>
      <c r="L155" s="7"/>
      <c r="M155" s="12"/>
      <c r="O155" s="6"/>
      <c r="P155" s="6"/>
      <c r="T155" s="5"/>
      <c r="U155" s="5"/>
    </row>
    <row r="156" spans="2:21" x14ac:dyDescent="0.25">
      <c r="B156" s="90">
        <v>1981</v>
      </c>
      <c r="C156" s="91">
        <v>8.8522248822151317E-2</v>
      </c>
      <c r="D156" s="92">
        <v>0</v>
      </c>
      <c r="E156" s="93">
        <v>0.25899280575539568</v>
      </c>
      <c r="G156" s="5"/>
      <c r="H156" s="5"/>
      <c r="L156" s="7"/>
      <c r="M156" s="12"/>
      <c r="O156" s="6"/>
      <c r="P156" s="6"/>
      <c r="T156" s="5"/>
      <c r="U156" s="5"/>
    </row>
    <row r="157" spans="2:21" x14ac:dyDescent="0.25">
      <c r="B157" s="90">
        <v>1409</v>
      </c>
      <c r="C157" s="91">
        <v>8.8882891726790536E-2</v>
      </c>
      <c r="D157" s="92">
        <v>0</v>
      </c>
      <c r="E157" s="93">
        <v>0.38129496402877699</v>
      </c>
      <c r="G157" s="5"/>
      <c r="H157" s="5"/>
      <c r="L157" s="7"/>
      <c r="M157" s="12"/>
      <c r="O157" s="6"/>
      <c r="P157" s="6"/>
      <c r="T157" s="5"/>
      <c r="U157" s="5"/>
    </row>
    <row r="158" spans="2:21" x14ac:dyDescent="0.25">
      <c r="B158" s="90">
        <v>1804</v>
      </c>
      <c r="C158" s="91">
        <v>8.982945367808326E-2</v>
      </c>
      <c r="D158" s="92">
        <v>0</v>
      </c>
      <c r="E158" s="93">
        <v>0.33812949640287771</v>
      </c>
      <c r="G158" s="5"/>
      <c r="H158" s="5"/>
      <c r="L158" s="7"/>
      <c r="M158" s="12"/>
      <c r="O158" s="6"/>
      <c r="P158" s="6"/>
      <c r="T158" s="5"/>
      <c r="U158" s="5"/>
    </row>
    <row r="159" spans="2:21" x14ac:dyDescent="0.25">
      <c r="B159" s="90">
        <v>1519</v>
      </c>
      <c r="C159" s="91">
        <v>9.0163945063147066E-2</v>
      </c>
      <c r="D159" s="92">
        <v>0</v>
      </c>
      <c r="E159" s="93">
        <v>0.21582733812949639</v>
      </c>
      <c r="G159" s="5"/>
      <c r="H159" s="5"/>
      <c r="L159" s="7"/>
      <c r="M159" s="12"/>
      <c r="O159" s="6"/>
      <c r="P159" s="6"/>
      <c r="T159" s="5"/>
      <c r="U159" s="5"/>
    </row>
    <row r="160" spans="2:21" x14ac:dyDescent="0.25">
      <c r="B160" s="90">
        <v>615</v>
      </c>
      <c r="C160" s="91">
        <v>9.0457286278826654E-2</v>
      </c>
      <c r="D160" s="92">
        <v>0</v>
      </c>
      <c r="E160" s="93">
        <v>0.38848920863309355</v>
      </c>
      <c r="G160" s="5"/>
      <c r="H160" s="5"/>
      <c r="L160" s="7"/>
      <c r="M160" s="12"/>
      <c r="O160" s="6"/>
      <c r="P160" s="6"/>
      <c r="T160" s="5"/>
      <c r="U160" s="5"/>
    </row>
    <row r="161" spans="2:21" x14ac:dyDescent="0.25">
      <c r="B161" s="90">
        <v>1376</v>
      </c>
      <c r="C161" s="91">
        <v>9.1727668528987283E-2</v>
      </c>
      <c r="D161" s="92">
        <v>0</v>
      </c>
      <c r="E161" s="93">
        <v>0.29496402877697842</v>
      </c>
      <c r="G161" s="5"/>
      <c r="H161" s="5"/>
      <c r="L161" s="7"/>
      <c r="M161" s="12"/>
      <c r="O161" s="6"/>
      <c r="P161" s="6"/>
      <c r="T161" s="5"/>
      <c r="U161" s="5"/>
    </row>
    <row r="162" spans="2:21" x14ac:dyDescent="0.25">
      <c r="B162" s="90">
        <v>1917</v>
      </c>
      <c r="C162" s="91">
        <v>9.3858293996626263E-2</v>
      </c>
      <c r="D162" s="92">
        <v>0</v>
      </c>
      <c r="E162" s="93">
        <v>0.23741007194244604</v>
      </c>
      <c r="G162" s="5"/>
      <c r="H162" s="5"/>
      <c r="L162" s="7"/>
      <c r="M162" s="12"/>
      <c r="O162" s="6"/>
      <c r="P162" s="6"/>
      <c r="T162" s="5"/>
      <c r="U162" s="5"/>
    </row>
    <row r="163" spans="2:21" x14ac:dyDescent="0.25">
      <c r="B163" s="90">
        <v>1556</v>
      </c>
      <c r="C163" s="91">
        <v>9.5013167886861205E-2</v>
      </c>
      <c r="D163" s="92">
        <v>0</v>
      </c>
      <c r="E163" s="93">
        <v>0.20863309352517986</v>
      </c>
      <c r="G163" s="5"/>
      <c r="H163" s="5"/>
      <c r="L163" s="7"/>
      <c r="M163" s="12"/>
      <c r="O163" s="6"/>
      <c r="P163" s="6"/>
      <c r="T163" s="5"/>
      <c r="U163" s="5"/>
    </row>
    <row r="164" spans="2:21" x14ac:dyDescent="0.25">
      <c r="B164" s="90">
        <v>1903</v>
      </c>
      <c r="C164" s="91">
        <v>9.5888108773036995E-2</v>
      </c>
      <c r="D164" s="92">
        <v>0</v>
      </c>
      <c r="E164" s="93">
        <v>0.21582733812949639</v>
      </c>
      <c r="G164" s="5"/>
      <c r="H164" s="5"/>
      <c r="L164" s="7"/>
      <c r="M164" s="12"/>
      <c r="O164" s="6"/>
      <c r="P164" s="6"/>
      <c r="T164" s="5"/>
      <c r="U164" s="5"/>
    </row>
    <row r="165" spans="2:21" x14ac:dyDescent="0.25">
      <c r="B165" s="90">
        <v>1719</v>
      </c>
      <c r="C165" s="91">
        <v>9.5897579763342566E-2</v>
      </c>
      <c r="D165" s="92">
        <v>0</v>
      </c>
      <c r="E165" s="93">
        <v>0.33812949640287771</v>
      </c>
      <c r="G165" s="5"/>
      <c r="H165" s="5"/>
      <c r="L165" s="7"/>
      <c r="M165" s="12"/>
      <c r="O165" s="6"/>
      <c r="P165" s="6"/>
      <c r="T165" s="5"/>
      <c r="U165" s="5"/>
    </row>
    <row r="166" spans="2:21" x14ac:dyDescent="0.25">
      <c r="B166" s="90">
        <v>2075</v>
      </c>
      <c r="C166" s="91">
        <v>9.6649556665301617E-2</v>
      </c>
      <c r="D166" s="92">
        <v>0</v>
      </c>
      <c r="E166" s="93">
        <v>0.26618705035971224</v>
      </c>
      <c r="G166" s="5"/>
      <c r="H166" s="5"/>
      <c r="L166" s="7"/>
      <c r="M166" s="12"/>
      <c r="O166" s="6"/>
      <c r="P166" s="6"/>
      <c r="T166" s="5"/>
      <c r="U166" s="5"/>
    </row>
    <row r="167" spans="2:21" x14ac:dyDescent="0.25">
      <c r="B167" s="90">
        <v>1856</v>
      </c>
      <c r="C167" s="91">
        <v>9.6850434912272521E-2</v>
      </c>
      <c r="D167" s="92">
        <v>0</v>
      </c>
      <c r="E167" s="93">
        <v>0.37410071942446044</v>
      </c>
      <c r="G167" s="5"/>
      <c r="H167" s="5"/>
      <c r="L167" s="7"/>
      <c r="M167" s="12"/>
      <c r="O167" s="6"/>
      <c r="P167" s="6"/>
      <c r="T167" s="5"/>
      <c r="U167" s="5"/>
    </row>
    <row r="168" spans="2:21" x14ac:dyDescent="0.25">
      <c r="B168" s="90">
        <v>1520</v>
      </c>
      <c r="C168" s="91">
        <v>9.6900481561845941E-2</v>
      </c>
      <c r="D168" s="92">
        <v>0</v>
      </c>
      <c r="E168" s="93">
        <v>0.20863309352517986</v>
      </c>
      <c r="G168" s="5"/>
      <c r="H168" s="5"/>
      <c r="L168" s="7"/>
      <c r="M168" s="12"/>
      <c r="O168" s="6"/>
      <c r="P168" s="6"/>
      <c r="T168" s="5"/>
      <c r="U168" s="5"/>
    </row>
    <row r="169" spans="2:21" x14ac:dyDescent="0.25">
      <c r="B169" s="90">
        <v>1966</v>
      </c>
      <c r="C169" s="91">
        <v>9.7049110074265421E-2</v>
      </c>
      <c r="D169" s="92">
        <v>0</v>
      </c>
      <c r="E169" s="93">
        <v>0.25899280575539568</v>
      </c>
      <c r="G169" s="5"/>
      <c r="H169" s="5"/>
      <c r="L169" s="7"/>
      <c r="M169" s="12"/>
      <c r="O169" s="6"/>
      <c r="P169" s="6"/>
      <c r="T169" s="5"/>
      <c r="U169" s="5"/>
    </row>
    <row r="170" spans="2:21" x14ac:dyDescent="0.25">
      <c r="B170" s="90">
        <v>1337</v>
      </c>
      <c r="C170" s="91">
        <v>9.801747342892253E-2</v>
      </c>
      <c r="D170" s="92">
        <v>0</v>
      </c>
      <c r="E170" s="93">
        <v>0.29496402877697842</v>
      </c>
      <c r="G170" s="5"/>
      <c r="H170" s="5"/>
      <c r="L170" s="7"/>
      <c r="M170" s="12"/>
      <c r="O170" s="6"/>
      <c r="P170" s="6"/>
      <c r="T170" s="5"/>
      <c r="U170" s="5"/>
    </row>
    <row r="171" spans="2:21" x14ac:dyDescent="0.25">
      <c r="B171" s="90">
        <v>1831</v>
      </c>
      <c r="C171" s="91">
        <v>9.8450955315370736E-2</v>
      </c>
      <c r="D171" s="92">
        <v>0</v>
      </c>
      <c r="E171" s="93">
        <v>0.37410071942446044</v>
      </c>
      <c r="G171" s="5"/>
      <c r="H171" s="5"/>
      <c r="L171" s="7"/>
      <c r="M171" s="12"/>
      <c r="O171" s="6"/>
      <c r="P171" s="6"/>
      <c r="T171" s="5"/>
      <c r="U171" s="5"/>
    </row>
    <row r="172" spans="2:21" x14ac:dyDescent="0.25">
      <c r="B172" s="90">
        <v>202</v>
      </c>
      <c r="C172" s="91">
        <v>9.8599638294652348E-2</v>
      </c>
      <c r="D172" s="92">
        <v>0</v>
      </c>
      <c r="E172" s="93">
        <v>0.38848920863309355</v>
      </c>
      <c r="G172" s="5"/>
      <c r="H172" s="5"/>
      <c r="L172" s="7"/>
      <c r="M172" s="12"/>
      <c r="O172" s="6"/>
      <c r="P172" s="6"/>
      <c r="T172" s="5"/>
      <c r="U172" s="5"/>
    </row>
    <row r="173" spans="2:21" x14ac:dyDescent="0.25">
      <c r="B173" s="90">
        <v>1412</v>
      </c>
      <c r="C173" s="91">
        <v>9.9100551581994267E-2</v>
      </c>
      <c r="D173" s="92">
        <v>0</v>
      </c>
      <c r="E173" s="93">
        <v>0.46762589928057552</v>
      </c>
      <c r="G173" s="5"/>
      <c r="H173" s="5"/>
      <c r="L173" s="7"/>
      <c r="M173" s="12"/>
      <c r="O173" s="6"/>
      <c r="P173" s="6"/>
      <c r="T173" s="5"/>
      <c r="U173" s="5"/>
    </row>
    <row r="174" spans="2:21" x14ac:dyDescent="0.25">
      <c r="B174" s="90">
        <v>1210</v>
      </c>
      <c r="C174" s="91">
        <v>9.9108290757827566E-2</v>
      </c>
      <c r="D174" s="92">
        <v>0</v>
      </c>
      <c r="E174" s="93">
        <v>0.22302158273381295</v>
      </c>
      <c r="G174" s="5"/>
      <c r="H174" s="5"/>
      <c r="L174" s="7"/>
      <c r="M174" s="12"/>
      <c r="O174" s="6"/>
      <c r="P174" s="6"/>
      <c r="T174" s="5"/>
      <c r="U174" s="5"/>
    </row>
    <row r="175" spans="2:21" x14ac:dyDescent="0.25">
      <c r="B175" s="90">
        <v>1165</v>
      </c>
      <c r="C175" s="91">
        <v>0.10027781166414662</v>
      </c>
      <c r="D175" s="92">
        <v>0</v>
      </c>
      <c r="E175" s="93">
        <v>0.30215827338129497</v>
      </c>
      <c r="G175" s="5"/>
      <c r="H175" s="5"/>
      <c r="L175" s="7"/>
      <c r="M175" s="12"/>
      <c r="O175" s="6"/>
      <c r="P175" s="6"/>
      <c r="T175" s="5"/>
      <c r="U175" s="5"/>
    </row>
    <row r="176" spans="2:21" x14ac:dyDescent="0.25">
      <c r="B176" s="90">
        <v>1722</v>
      </c>
      <c r="C176" s="91">
        <v>0.10068574110034723</v>
      </c>
      <c r="D176" s="92">
        <v>0</v>
      </c>
      <c r="E176" s="93">
        <v>0.33812949640287771</v>
      </c>
      <c r="G176" s="5"/>
      <c r="H176" s="5"/>
      <c r="L176" s="7"/>
      <c r="M176" s="12"/>
      <c r="O176" s="6"/>
      <c r="P176" s="6"/>
      <c r="T176" s="5"/>
      <c r="U176" s="5"/>
    </row>
    <row r="177" spans="2:21" x14ac:dyDescent="0.25">
      <c r="B177" s="90">
        <v>1211</v>
      </c>
      <c r="C177" s="91">
        <v>0.1007611130790933</v>
      </c>
      <c r="D177" s="92">
        <v>0</v>
      </c>
      <c r="E177" s="93">
        <v>0.29496402877697842</v>
      </c>
      <c r="G177" s="5"/>
      <c r="H177" s="5"/>
      <c r="L177" s="7"/>
      <c r="M177" s="12"/>
      <c r="O177" s="6"/>
      <c r="P177" s="6"/>
      <c r="T177" s="5"/>
      <c r="U177" s="5"/>
    </row>
    <row r="178" spans="2:21" x14ac:dyDescent="0.25">
      <c r="B178" s="90">
        <v>1369</v>
      </c>
      <c r="C178" s="91">
        <v>0.10088820339397642</v>
      </c>
      <c r="D178" s="92">
        <v>0</v>
      </c>
      <c r="E178" s="93">
        <v>0.38129496402877699</v>
      </c>
      <c r="G178" s="5"/>
      <c r="H178" s="5"/>
      <c r="L178" s="7"/>
      <c r="M178" s="12"/>
      <c r="O178" s="6"/>
      <c r="P178" s="6"/>
      <c r="T178" s="5"/>
      <c r="U178" s="5"/>
    </row>
    <row r="179" spans="2:21" x14ac:dyDescent="0.25">
      <c r="B179" s="90">
        <v>1919</v>
      </c>
      <c r="C179" s="91">
        <v>0.10382217308596786</v>
      </c>
      <c r="D179" s="92">
        <v>0</v>
      </c>
      <c r="E179" s="93">
        <v>0.38848920863309355</v>
      </c>
      <c r="G179" s="5"/>
      <c r="H179" s="5"/>
      <c r="L179" s="7"/>
      <c r="M179" s="12"/>
      <c r="O179" s="6"/>
      <c r="P179" s="6"/>
      <c r="T179" s="5"/>
      <c r="U179" s="5"/>
    </row>
    <row r="180" spans="2:21" x14ac:dyDescent="0.25">
      <c r="B180" s="90">
        <v>1945</v>
      </c>
      <c r="C180" s="91">
        <v>0.10641906238420606</v>
      </c>
      <c r="D180" s="92">
        <v>0</v>
      </c>
      <c r="E180" s="93">
        <v>0.22302158273381295</v>
      </c>
      <c r="G180" s="5"/>
      <c r="H180" s="5"/>
      <c r="L180" s="7"/>
      <c r="M180" s="12"/>
      <c r="O180" s="6"/>
      <c r="P180" s="6"/>
      <c r="T180" s="5"/>
      <c r="U180" s="5"/>
    </row>
    <row r="181" spans="2:21" x14ac:dyDescent="0.25">
      <c r="B181" s="90">
        <v>5</v>
      </c>
      <c r="C181" s="91">
        <v>0.10661809172740067</v>
      </c>
      <c r="D181" s="92">
        <v>0</v>
      </c>
      <c r="E181" s="93">
        <v>0.20863309352517986</v>
      </c>
      <c r="G181" s="5"/>
      <c r="H181" s="5"/>
      <c r="L181" s="7"/>
      <c r="M181" s="12"/>
      <c r="O181" s="6"/>
      <c r="P181" s="6"/>
      <c r="T181" s="5"/>
      <c r="U181" s="5"/>
    </row>
    <row r="182" spans="2:21" x14ac:dyDescent="0.25">
      <c r="B182" s="90">
        <v>2136</v>
      </c>
      <c r="C182" s="91">
        <v>0.10661809172740067</v>
      </c>
      <c r="D182" s="92">
        <v>0</v>
      </c>
      <c r="E182" s="93">
        <v>0.20863309352517986</v>
      </c>
      <c r="G182" s="5"/>
      <c r="H182" s="5"/>
      <c r="L182" s="7"/>
      <c r="M182" s="12"/>
      <c r="O182" s="6"/>
      <c r="P182" s="6"/>
      <c r="T182" s="5"/>
      <c r="U182" s="5"/>
    </row>
    <row r="183" spans="2:21" x14ac:dyDescent="0.25">
      <c r="B183" s="90">
        <v>1741</v>
      </c>
      <c r="C183" s="91">
        <v>0.10683929482192855</v>
      </c>
      <c r="D183" s="92">
        <v>0</v>
      </c>
      <c r="E183" s="93">
        <v>0.48201438848920863</v>
      </c>
      <c r="G183" s="5"/>
      <c r="H183" s="5"/>
      <c r="L183" s="7"/>
      <c r="M183" s="12"/>
      <c r="O183" s="6"/>
      <c r="P183" s="6"/>
      <c r="T183" s="5"/>
      <c r="U183" s="5"/>
    </row>
    <row r="184" spans="2:21" x14ac:dyDescent="0.25">
      <c r="B184" s="90">
        <v>2134</v>
      </c>
      <c r="C184" s="91">
        <v>0.10715496547035319</v>
      </c>
      <c r="D184" s="92">
        <v>0</v>
      </c>
      <c r="E184" s="93">
        <v>0.20863309352517986</v>
      </c>
      <c r="G184" s="5"/>
      <c r="H184" s="5"/>
      <c r="L184" s="7"/>
      <c r="M184" s="12"/>
      <c r="O184" s="6"/>
      <c r="P184" s="6"/>
      <c r="T184" s="5"/>
      <c r="U184" s="5"/>
    </row>
    <row r="185" spans="2:21" x14ac:dyDescent="0.25">
      <c r="B185" s="90">
        <v>1370</v>
      </c>
      <c r="C185" s="91">
        <v>0.10718747325413513</v>
      </c>
      <c r="D185" s="92">
        <v>0</v>
      </c>
      <c r="E185" s="93">
        <v>0.38848920863309355</v>
      </c>
      <c r="G185" s="5"/>
      <c r="H185" s="5"/>
      <c r="L185" s="7"/>
      <c r="M185" s="12"/>
      <c r="O185" s="6"/>
      <c r="P185" s="6"/>
      <c r="T185" s="5"/>
      <c r="U185" s="5"/>
    </row>
    <row r="186" spans="2:21" x14ac:dyDescent="0.25">
      <c r="B186" s="90">
        <v>1591</v>
      </c>
      <c r="C186" s="91">
        <v>0.10736828920916153</v>
      </c>
      <c r="D186" s="92">
        <v>0</v>
      </c>
      <c r="E186" s="93">
        <v>0.20863309352517986</v>
      </c>
      <c r="G186" s="5"/>
      <c r="H186" s="5"/>
      <c r="L186" s="7"/>
      <c r="M186" s="12"/>
      <c r="O186" s="6"/>
      <c r="P186" s="6"/>
      <c r="T186" s="5"/>
      <c r="U186" s="5"/>
    </row>
    <row r="187" spans="2:21" x14ac:dyDescent="0.25">
      <c r="B187" s="90">
        <v>1373</v>
      </c>
      <c r="C187" s="91">
        <v>0.10747182875153749</v>
      </c>
      <c r="D187" s="92">
        <v>0</v>
      </c>
      <c r="E187" s="93">
        <v>0.46762589928057552</v>
      </c>
      <c r="G187" s="5"/>
      <c r="H187" s="5"/>
      <c r="L187" s="7"/>
      <c r="M187" s="12"/>
      <c r="O187" s="6"/>
      <c r="P187" s="6"/>
      <c r="T187" s="5"/>
      <c r="U187" s="5"/>
    </row>
    <row r="188" spans="2:21" x14ac:dyDescent="0.25">
      <c r="B188" s="90">
        <v>1769</v>
      </c>
      <c r="C188" s="91">
        <v>0.108624344603929</v>
      </c>
      <c r="D188" s="92">
        <v>0</v>
      </c>
      <c r="E188" s="93">
        <v>0.40287769784172661</v>
      </c>
      <c r="G188" s="5"/>
      <c r="H188" s="5"/>
      <c r="L188" s="7"/>
      <c r="M188" s="12"/>
      <c r="O188" s="6"/>
      <c r="P188" s="6"/>
      <c r="T188" s="5"/>
      <c r="U188" s="5"/>
    </row>
    <row r="189" spans="2:21" x14ac:dyDescent="0.25">
      <c r="B189" s="90">
        <v>1942</v>
      </c>
      <c r="C189" s="91">
        <v>0.11025800323106649</v>
      </c>
      <c r="D189" s="92">
        <v>0</v>
      </c>
      <c r="E189" s="93">
        <v>0.38848920863309355</v>
      </c>
      <c r="G189" s="5"/>
      <c r="H189" s="5"/>
      <c r="L189" s="7"/>
      <c r="M189" s="12"/>
      <c r="O189" s="6"/>
      <c r="P189" s="6"/>
      <c r="T189" s="5"/>
      <c r="U189" s="5"/>
    </row>
    <row r="190" spans="2:21" x14ac:dyDescent="0.25">
      <c r="B190" s="90">
        <v>2137</v>
      </c>
      <c r="C190" s="91">
        <v>0.11141789806523872</v>
      </c>
      <c r="D190" s="92">
        <v>0</v>
      </c>
      <c r="E190" s="93">
        <v>0.20143884892086331</v>
      </c>
      <c r="G190" s="5"/>
      <c r="H190" s="5"/>
      <c r="L190" s="7"/>
      <c r="M190" s="12"/>
      <c r="O190" s="6"/>
      <c r="P190" s="6"/>
      <c r="T190" s="5"/>
      <c r="U190" s="5"/>
    </row>
    <row r="191" spans="2:21" x14ac:dyDescent="0.25">
      <c r="B191" s="90">
        <v>1554</v>
      </c>
      <c r="C191" s="91">
        <v>0.11175819440424473</v>
      </c>
      <c r="D191" s="92">
        <v>0</v>
      </c>
      <c r="E191" s="93">
        <v>0.20863309352517986</v>
      </c>
      <c r="G191" s="5"/>
      <c r="H191" s="5"/>
      <c r="L191" s="7"/>
      <c r="M191" s="12"/>
      <c r="O191" s="6"/>
      <c r="P191" s="6"/>
      <c r="T191" s="5"/>
      <c r="U191" s="5"/>
    </row>
    <row r="192" spans="2:21" x14ac:dyDescent="0.25">
      <c r="B192" s="90">
        <v>1986</v>
      </c>
      <c r="C192" s="91">
        <v>0.11204591869525926</v>
      </c>
      <c r="D192" s="92">
        <v>0</v>
      </c>
      <c r="E192" s="93">
        <v>0.22302158273381295</v>
      </c>
      <c r="G192" s="5"/>
      <c r="H192" s="5"/>
      <c r="L192" s="7"/>
      <c r="M192" s="12"/>
      <c r="O192" s="6"/>
      <c r="P192" s="6"/>
      <c r="T192" s="5"/>
      <c r="U192" s="5"/>
    </row>
    <row r="193" spans="2:21" x14ac:dyDescent="0.25">
      <c r="B193" s="90">
        <v>1939</v>
      </c>
      <c r="C193" s="91">
        <v>0.11256864888345963</v>
      </c>
      <c r="D193" s="92">
        <v>0</v>
      </c>
      <c r="E193" s="93">
        <v>0.21582733812949639</v>
      </c>
      <c r="G193" s="5"/>
      <c r="H193" s="5"/>
      <c r="L193" s="7"/>
      <c r="M193" s="12"/>
      <c r="O193" s="6"/>
      <c r="P193" s="6"/>
      <c r="T193" s="5"/>
      <c r="U193" s="5"/>
    </row>
    <row r="194" spans="2:21" x14ac:dyDescent="0.25">
      <c r="B194" s="90">
        <v>1879</v>
      </c>
      <c r="C194" s="91">
        <v>0.11321462013568051</v>
      </c>
      <c r="D194" s="92">
        <v>0</v>
      </c>
      <c r="E194" s="93">
        <v>0.34532374100719426</v>
      </c>
      <c r="G194" s="5"/>
      <c r="H194" s="5"/>
      <c r="L194" s="7"/>
      <c r="M194" s="12"/>
      <c r="O194" s="6"/>
      <c r="P194" s="6"/>
      <c r="T194" s="5"/>
      <c r="U194" s="5"/>
    </row>
    <row r="195" spans="2:21" x14ac:dyDescent="0.25">
      <c r="B195" s="90">
        <v>1523</v>
      </c>
      <c r="C195" s="91">
        <v>0.11517202382979053</v>
      </c>
      <c r="D195" s="92">
        <v>0</v>
      </c>
      <c r="E195" s="93">
        <v>0.26618705035971224</v>
      </c>
      <c r="G195" s="5"/>
      <c r="H195" s="5"/>
      <c r="L195" s="7"/>
      <c r="M195" s="12"/>
      <c r="O195" s="6"/>
      <c r="P195" s="6"/>
      <c r="T195" s="5"/>
      <c r="U195" s="5"/>
    </row>
    <row r="196" spans="2:21" x14ac:dyDescent="0.25">
      <c r="B196" s="90">
        <v>1331</v>
      </c>
      <c r="C196" s="91">
        <v>0.11600366468630985</v>
      </c>
      <c r="D196" s="92">
        <v>0</v>
      </c>
      <c r="E196" s="93">
        <v>0.38129496402877699</v>
      </c>
      <c r="G196" s="5"/>
      <c r="H196" s="5"/>
      <c r="L196" s="7"/>
      <c r="M196" s="12"/>
      <c r="O196" s="6"/>
      <c r="P196" s="6"/>
      <c r="T196" s="5"/>
      <c r="U196" s="5"/>
    </row>
    <row r="197" spans="2:21" x14ac:dyDescent="0.25">
      <c r="B197" s="90">
        <v>1943</v>
      </c>
      <c r="C197" s="91">
        <v>0.11605795409788011</v>
      </c>
      <c r="D197" s="92">
        <v>0</v>
      </c>
      <c r="E197" s="93">
        <v>0.40287769784172661</v>
      </c>
      <c r="G197" s="5"/>
      <c r="H197" s="5"/>
      <c r="L197" s="7"/>
      <c r="M197" s="12"/>
      <c r="O197" s="6"/>
      <c r="P197" s="6"/>
      <c r="T197" s="5"/>
      <c r="U197" s="5"/>
    </row>
    <row r="198" spans="2:21" x14ac:dyDescent="0.25">
      <c r="B198" s="90">
        <v>1415</v>
      </c>
      <c r="C198" s="91">
        <v>0.11659739237774436</v>
      </c>
      <c r="D198" s="92">
        <v>0</v>
      </c>
      <c r="E198" s="93">
        <v>0.26618705035971224</v>
      </c>
      <c r="G198" s="5"/>
      <c r="H198" s="5"/>
      <c r="L198" s="7"/>
      <c r="M198" s="12"/>
      <c r="O198" s="6"/>
      <c r="P198" s="6"/>
      <c r="T198" s="5"/>
      <c r="U198" s="5"/>
    </row>
    <row r="199" spans="2:21" x14ac:dyDescent="0.25">
      <c r="B199" s="90">
        <v>1937</v>
      </c>
      <c r="C199" s="91">
        <v>0.11805529680920235</v>
      </c>
      <c r="D199" s="92">
        <v>0</v>
      </c>
      <c r="E199" s="93">
        <v>0.23021582733812951</v>
      </c>
      <c r="G199" s="5"/>
      <c r="H199" s="5"/>
      <c r="L199" s="7"/>
      <c r="M199" s="12"/>
      <c r="O199" s="6"/>
      <c r="P199" s="6"/>
      <c r="T199" s="5"/>
      <c r="U199" s="5"/>
    </row>
    <row r="200" spans="2:21" x14ac:dyDescent="0.25">
      <c r="B200" s="90">
        <v>1894</v>
      </c>
      <c r="C200" s="91">
        <v>0.11866656850985213</v>
      </c>
      <c r="D200" s="92">
        <v>0</v>
      </c>
      <c r="E200" s="93">
        <v>0.23021582733812951</v>
      </c>
      <c r="G200" s="5"/>
      <c r="H200" s="5"/>
      <c r="L200" s="7"/>
      <c r="M200" s="12"/>
      <c r="O200" s="6"/>
      <c r="P200" s="6"/>
      <c r="T200" s="5"/>
      <c r="U200" s="5"/>
    </row>
    <row r="201" spans="2:21" x14ac:dyDescent="0.25">
      <c r="B201" s="90">
        <v>1555</v>
      </c>
      <c r="C201" s="91">
        <v>0.11913872085988764</v>
      </c>
      <c r="D201" s="92">
        <v>0</v>
      </c>
      <c r="E201" s="93">
        <v>0.20863309352517986</v>
      </c>
      <c r="G201" s="5"/>
      <c r="H201" s="5"/>
      <c r="L201" s="7"/>
      <c r="M201" s="12"/>
      <c r="O201" s="6"/>
      <c r="P201" s="6"/>
      <c r="T201" s="5"/>
      <c r="U201" s="5"/>
    </row>
    <row r="202" spans="2:21" x14ac:dyDescent="0.25">
      <c r="B202" s="90">
        <v>1203</v>
      </c>
      <c r="C202" s="91">
        <v>0.11920294060469283</v>
      </c>
      <c r="D202" s="92">
        <v>0</v>
      </c>
      <c r="E202" s="93">
        <v>0.38129496402877699</v>
      </c>
      <c r="G202" s="5"/>
      <c r="H202" s="5"/>
      <c r="L202" s="7"/>
      <c r="M202" s="12"/>
      <c r="O202" s="6"/>
      <c r="P202" s="6"/>
      <c r="T202" s="5"/>
      <c r="U202" s="5"/>
    </row>
    <row r="203" spans="2:21" x14ac:dyDescent="0.25">
      <c r="B203" s="90">
        <v>262</v>
      </c>
      <c r="C203" s="91">
        <v>0.1205100281654421</v>
      </c>
      <c r="D203" s="92">
        <v>0</v>
      </c>
      <c r="E203" s="93">
        <v>0.42446043165467628</v>
      </c>
      <c r="G203" s="5"/>
      <c r="H203" s="5"/>
      <c r="L203" s="7"/>
      <c r="M203" s="12"/>
      <c r="O203" s="6"/>
      <c r="P203" s="6"/>
      <c r="T203" s="5"/>
      <c r="U203" s="5"/>
    </row>
    <row r="204" spans="2:21" x14ac:dyDescent="0.25">
      <c r="B204" s="90">
        <v>1252</v>
      </c>
      <c r="C204" s="91">
        <v>0.1209650292014155</v>
      </c>
      <c r="D204" s="92">
        <v>0</v>
      </c>
      <c r="E204" s="93">
        <v>0.30215827338129497</v>
      </c>
      <c r="G204" s="5"/>
      <c r="H204" s="5"/>
      <c r="L204" s="7"/>
      <c r="M204" s="12"/>
      <c r="O204" s="6"/>
      <c r="P204" s="6"/>
      <c r="T204" s="5"/>
      <c r="U204" s="5"/>
    </row>
    <row r="205" spans="2:21" x14ac:dyDescent="0.25">
      <c r="B205" s="90">
        <v>1336</v>
      </c>
      <c r="C205" s="91">
        <v>0.12288740899899242</v>
      </c>
      <c r="D205" s="92">
        <v>0</v>
      </c>
      <c r="E205" s="93">
        <v>0.26618705035971224</v>
      </c>
      <c r="G205" s="5"/>
      <c r="H205" s="5"/>
      <c r="L205" s="7"/>
      <c r="M205" s="12"/>
      <c r="O205" s="6"/>
      <c r="P205" s="6"/>
      <c r="T205" s="5"/>
      <c r="U205" s="5"/>
    </row>
    <row r="206" spans="2:21" x14ac:dyDescent="0.25">
      <c r="B206" s="90">
        <v>1624</v>
      </c>
      <c r="C206" s="91">
        <v>0.12338519802765213</v>
      </c>
      <c r="D206" s="92">
        <v>0</v>
      </c>
      <c r="E206" s="93">
        <v>0.20143884892086331</v>
      </c>
      <c r="G206" s="5"/>
      <c r="H206" s="5"/>
      <c r="L206" s="7"/>
      <c r="M206" s="12"/>
      <c r="O206" s="6"/>
      <c r="P206" s="6"/>
      <c r="T206" s="5"/>
      <c r="U206" s="5"/>
    </row>
    <row r="207" spans="2:21" x14ac:dyDescent="0.25">
      <c r="B207" s="90">
        <v>1902</v>
      </c>
      <c r="C207" s="91">
        <v>0.12395720667277366</v>
      </c>
      <c r="D207" s="92">
        <v>0</v>
      </c>
      <c r="E207" s="93">
        <v>0.21582733812949639</v>
      </c>
      <c r="G207" s="5"/>
      <c r="H207" s="5"/>
      <c r="L207" s="7"/>
      <c r="M207" s="12"/>
      <c r="O207" s="6"/>
      <c r="P207" s="6"/>
      <c r="T207" s="5"/>
      <c r="U207" s="5"/>
    </row>
    <row r="208" spans="2:21" x14ac:dyDescent="0.25">
      <c r="B208" s="90">
        <v>1288</v>
      </c>
      <c r="C208" s="91">
        <v>0.12431721316642186</v>
      </c>
      <c r="D208" s="92">
        <v>0</v>
      </c>
      <c r="E208" s="93">
        <v>0.38848920863309355</v>
      </c>
      <c r="G208" s="5"/>
      <c r="H208" s="5"/>
      <c r="L208" s="7"/>
      <c r="M208" s="12"/>
      <c r="O208" s="6"/>
      <c r="P208" s="6"/>
      <c r="T208" s="5"/>
      <c r="U208" s="5"/>
    </row>
    <row r="209" spans="2:21" x14ac:dyDescent="0.25">
      <c r="B209" s="90">
        <v>1805</v>
      </c>
      <c r="C209" s="91">
        <v>0.12837182188284224</v>
      </c>
      <c r="D209" s="92">
        <v>0</v>
      </c>
      <c r="E209" s="93">
        <v>0.38129496402877699</v>
      </c>
      <c r="G209" s="5"/>
      <c r="H209" s="5"/>
      <c r="L209" s="7"/>
      <c r="M209" s="12"/>
      <c r="O209" s="6"/>
      <c r="P209" s="6"/>
      <c r="T209" s="5"/>
      <c r="U209" s="5"/>
    </row>
    <row r="210" spans="2:21" x14ac:dyDescent="0.25">
      <c r="B210" s="90">
        <v>1294</v>
      </c>
      <c r="C210" s="91">
        <v>0.12852291133345883</v>
      </c>
      <c r="D210" s="92">
        <v>0</v>
      </c>
      <c r="E210" s="93">
        <v>0.30215827338129497</v>
      </c>
      <c r="G210" s="5"/>
      <c r="H210" s="5"/>
      <c r="L210" s="7"/>
      <c r="M210" s="12"/>
      <c r="O210" s="6"/>
      <c r="P210" s="6"/>
      <c r="T210" s="5"/>
      <c r="U210" s="5"/>
    </row>
    <row r="211" spans="2:21" x14ac:dyDescent="0.25">
      <c r="B211" s="90">
        <v>1829</v>
      </c>
      <c r="C211" s="91">
        <v>0.12919763598538303</v>
      </c>
      <c r="D211" s="92">
        <v>0</v>
      </c>
      <c r="E211" s="93">
        <v>0.40287769784172661</v>
      </c>
      <c r="G211" s="5"/>
      <c r="H211" s="5"/>
      <c r="L211" s="7"/>
      <c r="M211" s="12"/>
      <c r="O211" s="6"/>
      <c r="P211" s="6"/>
      <c r="T211" s="5"/>
      <c r="U211" s="5"/>
    </row>
    <row r="212" spans="2:21" x14ac:dyDescent="0.25">
      <c r="B212" s="90">
        <v>1410</v>
      </c>
      <c r="C212" s="91">
        <v>0.13090440201084763</v>
      </c>
      <c r="D212" s="92">
        <v>0</v>
      </c>
      <c r="E212" s="93">
        <v>0.38848920863309355</v>
      </c>
      <c r="G212" s="5"/>
      <c r="H212" s="5"/>
      <c r="L212" s="7"/>
      <c r="M212" s="12"/>
      <c r="O212" s="6"/>
      <c r="P212" s="6"/>
      <c r="T212" s="5"/>
      <c r="U212" s="5"/>
    </row>
    <row r="213" spans="2:21" x14ac:dyDescent="0.25">
      <c r="B213" s="90">
        <v>323</v>
      </c>
      <c r="C213" s="91">
        <v>0.1311356071841614</v>
      </c>
      <c r="D213" s="92">
        <v>0</v>
      </c>
      <c r="E213" s="93">
        <v>0.43165467625899279</v>
      </c>
      <c r="G213" s="5"/>
      <c r="H213" s="5"/>
      <c r="L213" s="7"/>
      <c r="M213" s="12"/>
      <c r="O213" s="6"/>
      <c r="P213" s="6"/>
      <c r="T213" s="5"/>
      <c r="U213" s="5"/>
    </row>
    <row r="214" spans="2:21" x14ac:dyDescent="0.25">
      <c r="B214" s="90">
        <v>1965</v>
      </c>
      <c r="C214" s="91">
        <v>0.13181196315757016</v>
      </c>
      <c r="D214" s="92">
        <v>0</v>
      </c>
      <c r="E214" s="93">
        <v>0.22302158273381295</v>
      </c>
      <c r="G214" s="5"/>
      <c r="H214" s="5"/>
      <c r="L214" s="7"/>
      <c r="M214" s="12"/>
      <c r="O214" s="6"/>
      <c r="P214" s="6"/>
      <c r="T214" s="5"/>
      <c r="U214" s="5"/>
    </row>
    <row r="215" spans="2:21" x14ac:dyDescent="0.25">
      <c r="B215" s="90">
        <v>1742</v>
      </c>
      <c r="C215" s="91">
        <v>0.1320665145444051</v>
      </c>
      <c r="D215" s="92">
        <v>0</v>
      </c>
      <c r="E215" s="93">
        <v>0.40287769784172661</v>
      </c>
      <c r="G215" s="5"/>
      <c r="H215" s="5"/>
      <c r="L215" s="7"/>
      <c r="M215" s="12"/>
      <c r="O215" s="6"/>
      <c r="P215" s="6"/>
      <c r="T215" s="5"/>
      <c r="U215" s="5"/>
    </row>
    <row r="216" spans="2:21" x14ac:dyDescent="0.25">
      <c r="B216" s="90">
        <v>1770</v>
      </c>
      <c r="C216" s="91">
        <v>0.13346167678507403</v>
      </c>
      <c r="D216" s="92">
        <v>0</v>
      </c>
      <c r="E216" s="93">
        <v>0.34532374100719426</v>
      </c>
      <c r="G216" s="5"/>
      <c r="H216" s="5"/>
      <c r="L216" s="7"/>
      <c r="M216" s="12"/>
      <c r="O216" s="6"/>
      <c r="P216" s="6"/>
      <c r="T216" s="5"/>
      <c r="U216" s="5"/>
    </row>
    <row r="217" spans="2:21" x14ac:dyDescent="0.25">
      <c r="B217" s="90">
        <v>1590</v>
      </c>
      <c r="C217" s="91">
        <v>0.13572488230971635</v>
      </c>
      <c r="D217" s="92">
        <v>0</v>
      </c>
      <c r="E217" s="93">
        <v>0.20143884892086331</v>
      </c>
      <c r="G217" s="5"/>
      <c r="H217" s="5"/>
      <c r="L217" s="7"/>
      <c r="M217" s="12"/>
      <c r="O217" s="6"/>
      <c r="P217" s="6"/>
      <c r="T217" s="5"/>
      <c r="U217" s="5"/>
    </row>
    <row r="218" spans="2:21" x14ac:dyDescent="0.25">
      <c r="B218" s="90">
        <v>2138</v>
      </c>
      <c r="C218" s="91">
        <v>0.13731293401810951</v>
      </c>
      <c r="D218" s="92">
        <v>0</v>
      </c>
      <c r="E218" s="93">
        <v>0.20863309352517986</v>
      </c>
      <c r="G218" s="5"/>
      <c r="H218" s="5"/>
      <c r="L218" s="7"/>
      <c r="M218" s="12"/>
      <c r="O218" s="6"/>
      <c r="P218" s="6"/>
      <c r="T218" s="5"/>
      <c r="U218" s="5"/>
    </row>
    <row r="219" spans="2:21" x14ac:dyDescent="0.25">
      <c r="B219" s="90">
        <v>1375</v>
      </c>
      <c r="C219" s="91">
        <v>0.13823605392063709</v>
      </c>
      <c r="D219" s="92">
        <v>0</v>
      </c>
      <c r="E219" s="93">
        <v>0.30215827338129497</v>
      </c>
      <c r="G219" s="5"/>
      <c r="H219" s="5"/>
      <c r="L219" s="7"/>
      <c r="M219" s="12"/>
      <c r="O219" s="6"/>
      <c r="P219" s="6"/>
      <c r="T219" s="5"/>
      <c r="U219" s="5"/>
    </row>
    <row r="220" spans="2:21" x14ac:dyDescent="0.25">
      <c r="B220" s="90">
        <v>1558</v>
      </c>
      <c r="C220" s="91">
        <v>0.13836388145857281</v>
      </c>
      <c r="D220" s="92">
        <v>0</v>
      </c>
      <c r="E220" s="93">
        <v>0.25899280575539568</v>
      </c>
      <c r="G220" s="5"/>
      <c r="H220" s="5"/>
      <c r="L220" s="7"/>
      <c r="M220" s="12"/>
      <c r="O220" s="6"/>
      <c r="P220" s="6"/>
      <c r="T220" s="5"/>
      <c r="U220" s="5"/>
    </row>
    <row r="221" spans="2:21" x14ac:dyDescent="0.25">
      <c r="B221" s="90">
        <v>1854</v>
      </c>
      <c r="C221" s="91">
        <v>0.13891154732593147</v>
      </c>
      <c r="D221" s="92">
        <v>0</v>
      </c>
      <c r="E221" s="93">
        <v>0.40287769784172661</v>
      </c>
      <c r="G221" s="5"/>
      <c r="H221" s="5"/>
      <c r="L221" s="7"/>
      <c r="M221" s="12"/>
      <c r="O221" s="6"/>
      <c r="P221" s="6"/>
      <c r="T221" s="5"/>
      <c r="U221" s="5"/>
    </row>
    <row r="222" spans="2:21" x14ac:dyDescent="0.25">
      <c r="B222" s="90">
        <v>1923</v>
      </c>
      <c r="C222" s="91">
        <v>0.14180400747351229</v>
      </c>
      <c r="D222" s="92">
        <v>0</v>
      </c>
      <c r="E222" s="93">
        <v>0.37410071942446044</v>
      </c>
      <c r="G222" s="5"/>
      <c r="H222" s="5"/>
      <c r="L222" s="7"/>
      <c r="M222" s="12"/>
      <c r="O222" s="6"/>
      <c r="P222" s="6"/>
      <c r="T222" s="5"/>
      <c r="U222" s="5"/>
    </row>
    <row r="223" spans="2:21" x14ac:dyDescent="0.25">
      <c r="B223" s="90">
        <v>1957</v>
      </c>
      <c r="C223" s="91">
        <v>0.14526306897371466</v>
      </c>
      <c r="D223" s="92">
        <v>0</v>
      </c>
      <c r="E223" s="93">
        <v>0.22302158273381295</v>
      </c>
      <c r="G223" s="5"/>
      <c r="H223" s="5"/>
      <c r="L223" s="7"/>
      <c r="M223" s="12"/>
      <c r="O223" s="6"/>
      <c r="P223" s="6"/>
      <c r="T223" s="5"/>
      <c r="U223" s="5"/>
    </row>
    <row r="224" spans="2:21" x14ac:dyDescent="0.25">
      <c r="B224" s="90">
        <v>1656</v>
      </c>
      <c r="C224" s="91">
        <v>0.14826293318751949</v>
      </c>
      <c r="D224" s="92">
        <v>0</v>
      </c>
      <c r="E224" s="93">
        <v>0.20863309352517986</v>
      </c>
      <c r="G224" s="5"/>
      <c r="H224" s="5"/>
      <c r="L224" s="7"/>
      <c r="M224" s="12"/>
      <c r="O224" s="6"/>
      <c r="P224" s="6"/>
      <c r="T224" s="5"/>
      <c r="U224" s="5"/>
    </row>
    <row r="225" spans="2:21" x14ac:dyDescent="0.25">
      <c r="B225" s="90">
        <v>1371</v>
      </c>
      <c r="C225" s="91">
        <v>0.1491796956538618</v>
      </c>
      <c r="D225" s="92">
        <v>0</v>
      </c>
      <c r="E225" s="93">
        <v>0.38848920863309355</v>
      </c>
      <c r="G225" s="5"/>
      <c r="H225" s="5"/>
      <c r="L225" s="7"/>
      <c r="M225" s="12"/>
      <c r="O225" s="6"/>
      <c r="P225" s="6"/>
      <c r="T225" s="5"/>
      <c r="U225" s="5"/>
    </row>
    <row r="226" spans="2:21" x14ac:dyDescent="0.25">
      <c r="B226" s="90">
        <v>1588</v>
      </c>
      <c r="C226" s="91">
        <v>0.14933017590636388</v>
      </c>
      <c r="D226" s="92">
        <v>0</v>
      </c>
      <c r="E226" s="93">
        <v>0.21582733812949639</v>
      </c>
      <c r="G226" s="5"/>
      <c r="H226" s="5"/>
      <c r="L226" s="7"/>
      <c r="M226" s="12"/>
      <c r="O226" s="6"/>
      <c r="P226" s="6"/>
      <c r="T226" s="5"/>
      <c r="U226" s="5"/>
    </row>
    <row r="227" spans="2:21" x14ac:dyDescent="0.25">
      <c r="B227" s="90">
        <v>1623</v>
      </c>
      <c r="C227" s="91">
        <v>0.15003959693115687</v>
      </c>
      <c r="D227" s="92">
        <v>0</v>
      </c>
      <c r="E227" s="93">
        <v>0.20863309352517986</v>
      </c>
      <c r="G227" s="5"/>
      <c r="H227" s="5"/>
      <c r="L227" s="7"/>
      <c r="M227" s="12"/>
      <c r="O227" s="6"/>
      <c r="P227" s="6"/>
      <c r="T227" s="5"/>
      <c r="U227" s="5"/>
    </row>
    <row r="228" spans="2:21" x14ac:dyDescent="0.25">
      <c r="B228" s="90">
        <v>2098</v>
      </c>
      <c r="C228" s="91">
        <v>0.15040769896887141</v>
      </c>
      <c r="D228" s="92">
        <v>0</v>
      </c>
      <c r="E228" s="93">
        <v>0.38848920863309355</v>
      </c>
      <c r="G228" s="5"/>
      <c r="H228" s="5"/>
      <c r="L228" s="7"/>
      <c r="M228" s="12"/>
      <c r="O228" s="6"/>
      <c r="P228" s="6"/>
      <c r="T228" s="5"/>
      <c r="U228" s="5"/>
    </row>
    <row r="229" spans="2:21" x14ac:dyDescent="0.25">
      <c r="B229" s="90">
        <v>1832</v>
      </c>
      <c r="C229" s="91">
        <v>0.15075735450045191</v>
      </c>
      <c r="D229" s="92">
        <v>0</v>
      </c>
      <c r="E229" s="93">
        <v>0.40287769784172661</v>
      </c>
      <c r="G229" s="5"/>
      <c r="H229" s="5"/>
      <c r="L229" s="7"/>
      <c r="M229" s="12"/>
      <c r="O229" s="6"/>
      <c r="P229" s="6"/>
      <c r="T229" s="5"/>
      <c r="U229" s="5"/>
    </row>
    <row r="230" spans="2:21" x14ac:dyDescent="0.25">
      <c r="B230" s="90">
        <v>1920</v>
      </c>
      <c r="C230" s="91">
        <v>0.15152022212163074</v>
      </c>
      <c r="D230" s="92">
        <v>0</v>
      </c>
      <c r="E230" s="93">
        <v>0.40287769784172661</v>
      </c>
      <c r="G230" s="5"/>
      <c r="H230" s="5"/>
      <c r="L230" s="7"/>
      <c r="M230" s="12"/>
      <c r="O230" s="6"/>
      <c r="P230" s="6"/>
      <c r="T230" s="5"/>
      <c r="U230" s="5"/>
    </row>
    <row r="231" spans="2:21" x14ac:dyDescent="0.25">
      <c r="B231" s="90">
        <v>1246</v>
      </c>
      <c r="C231" s="91">
        <v>0.15161455392784506</v>
      </c>
      <c r="D231" s="92">
        <v>0</v>
      </c>
      <c r="E231" s="93">
        <v>0.38848920863309355</v>
      </c>
      <c r="G231" s="5"/>
      <c r="H231" s="5"/>
      <c r="L231" s="7"/>
      <c r="M231" s="12"/>
      <c r="O231" s="6"/>
      <c r="P231" s="6"/>
      <c r="T231" s="5"/>
      <c r="U231" s="5"/>
    </row>
    <row r="232" spans="2:21" x14ac:dyDescent="0.25">
      <c r="B232" s="90">
        <v>1451</v>
      </c>
      <c r="C232" s="91">
        <v>0.15318569303861429</v>
      </c>
      <c r="D232" s="92">
        <v>0</v>
      </c>
      <c r="E232" s="93">
        <v>0.26618705035971224</v>
      </c>
      <c r="G232" s="5"/>
      <c r="H232" s="5"/>
      <c r="L232" s="7"/>
      <c r="M232" s="12"/>
      <c r="O232" s="6"/>
      <c r="P232" s="6"/>
      <c r="T232" s="5"/>
      <c r="U232" s="5"/>
    </row>
    <row r="233" spans="2:21" x14ac:dyDescent="0.25">
      <c r="B233" s="90">
        <v>1209</v>
      </c>
      <c r="C233" s="91">
        <v>0.15377751813779417</v>
      </c>
      <c r="D233" s="92">
        <v>0</v>
      </c>
      <c r="E233" s="93">
        <v>0.23021582733812951</v>
      </c>
      <c r="G233" s="5"/>
      <c r="H233" s="5"/>
      <c r="L233" s="7"/>
      <c r="M233" s="12"/>
      <c r="O233" s="6"/>
      <c r="P233" s="6"/>
      <c r="T233" s="5"/>
      <c r="U233" s="5"/>
    </row>
    <row r="234" spans="2:21" x14ac:dyDescent="0.25">
      <c r="B234" s="90">
        <v>1959</v>
      </c>
      <c r="C234" s="91">
        <v>0.15401904473368611</v>
      </c>
      <c r="D234" s="92">
        <v>0</v>
      </c>
      <c r="E234" s="93">
        <v>0.20863309352517986</v>
      </c>
      <c r="G234" s="5"/>
      <c r="H234" s="5"/>
      <c r="L234" s="7"/>
      <c r="M234" s="12"/>
      <c r="O234" s="6"/>
      <c r="P234" s="6"/>
      <c r="T234" s="5"/>
      <c r="U234" s="5"/>
    </row>
    <row r="235" spans="2:21" x14ac:dyDescent="0.25">
      <c r="B235" s="90">
        <v>1749</v>
      </c>
      <c r="C235" s="91">
        <v>0.15428637885222618</v>
      </c>
      <c r="D235" s="92">
        <v>0</v>
      </c>
      <c r="E235" s="93">
        <v>0.47482014388489208</v>
      </c>
      <c r="G235" s="5"/>
      <c r="H235" s="5"/>
      <c r="L235" s="7"/>
      <c r="M235" s="12"/>
      <c r="O235" s="6"/>
      <c r="P235" s="6"/>
      <c r="T235" s="5"/>
      <c r="U235" s="5"/>
    </row>
    <row r="236" spans="2:21" x14ac:dyDescent="0.25">
      <c r="B236" s="90">
        <v>1880</v>
      </c>
      <c r="C236" s="91">
        <v>0.15430112236312099</v>
      </c>
      <c r="D236" s="92">
        <v>0</v>
      </c>
      <c r="E236" s="93">
        <v>0.38848920863309355</v>
      </c>
      <c r="G236" s="5"/>
      <c r="H236" s="5"/>
      <c r="L236" s="7"/>
      <c r="M236" s="12"/>
      <c r="O236" s="6"/>
      <c r="P236" s="6"/>
      <c r="T236" s="5"/>
      <c r="U236" s="5"/>
    </row>
    <row r="237" spans="2:21" x14ac:dyDescent="0.25">
      <c r="B237" s="90">
        <v>1803</v>
      </c>
      <c r="C237" s="91">
        <v>0.15438096943956015</v>
      </c>
      <c r="D237" s="92">
        <v>0</v>
      </c>
      <c r="E237" s="93">
        <v>0.48201438848920863</v>
      </c>
      <c r="G237" s="5"/>
      <c r="H237" s="5"/>
      <c r="L237" s="7"/>
      <c r="M237" s="12"/>
      <c r="O237" s="6"/>
      <c r="P237" s="6"/>
      <c r="T237" s="5"/>
      <c r="U237" s="5"/>
    </row>
    <row r="238" spans="2:21" x14ac:dyDescent="0.25">
      <c r="B238" s="90">
        <v>1777</v>
      </c>
      <c r="C238" s="91">
        <v>0.15522538592807011</v>
      </c>
      <c r="D238" s="92">
        <v>0</v>
      </c>
      <c r="E238" s="93">
        <v>0.48201438848920863</v>
      </c>
      <c r="G238" s="5"/>
      <c r="H238" s="5"/>
      <c r="L238" s="7"/>
      <c r="M238" s="12"/>
      <c r="O238" s="6"/>
      <c r="P238" s="6"/>
      <c r="T238" s="5"/>
      <c r="U238" s="5"/>
    </row>
    <row r="239" spans="2:21" x14ac:dyDescent="0.25">
      <c r="B239" s="90">
        <v>1589</v>
      </c>
      <c r="C239" s="91">
        <v>0.15746333053871908</v>
      </c>
      <c r="D239" s="92">
        <v>0</v>
      </c>
      <c r="E239" s="93">
        <v>0.20143884892086331</v>
      </c>
      <c r="G239" s="5"/>
      <c r="H239" s="5"/>
      <c r="L239" s="7"/>
      <c r="M239" s="12"/>
      <c r="O239" s="6"/>
      <c r="P239" s="6"/>
      <c r="T239" s="5"/>
      <c r="U239" s="5"/>
    </row>
    <row r="240" spans="2:21" x14ac:dyDescent="0.25">
      <c r="B240" s="90">
        <v>1414</v>
      </c>
      <c r="C240" s="91">
        <v>0.15986322757927729</v>
      </c>
      <c r="D240" s="92">
        <v>0</v>
      </c>
      <c r="E240" s="93">
        <v>0.2805755395683453</v>
      </c>
      <c r="G240" s="5"/>
      <c r="H240" s="5"/>
      <c r="L240" s="7"/>
      <c r="M240" s="12"/>
      <c r="O240" s="6"/>
      <c r="P240" s="6"/>
      <c r="T240" s="5"/>
      <c r="U240" s="5"/>
    </row>
    <row r="241" spans="2:21" x14ac:dyDescent="0.25">
      <c r="B241" s="90">
        <v>1849</v>
      </c>
      <c r="C241" s="91">
        <v>0.16100015005505908</v>
      </c>
      <c r="D241" s="92">
        <v>0</v>
      </c>
      <c r="E241" s="93">
        <v>0.39568345323741005</v>
      </c>
      <c r="G241" s="5"/>
      <c r="H241" s="5"/>
      <c r="L241" s="7"/>
      <c r="M241" s="12"/>
      <c r="O241" s="6"/>
      <c r="P241" s="6"/>
      <c r="T241" s="5"/>
      <c r="U241" s="5"/>
    </row>
    <row r="242" spans="2:21" x14ac:dyDescent="0.25">
      <c r="B242" s="90">
        <v>1454</v>
      </c>
      <c r="C242" s="91">
        <v>0.16171377169760848</v>
      </c>
      <c r="D242" s="92">
        <v>0</v>
      </c>
      <c r="E242" s="93">
        <v>0.21582733812949639</v>
      </c>
      <c r="G242" s="5"/>
      <c r="H242" s="5"/>
      <c r="L242" s="7"/>
      <c r="M242" s="12"/>
      <c r="O242" s="6"/>
      <c r="P242" s="6"/>
      <c r="T242" s="5"/>
      <c r="U242" s="5"/>
    </row>
    <row r="243" spans="2:21" x14ac:dyDescent="0.25">
      <c r="B243" s="90">
        <v>1621</v>
      </c>
      <c r="C243" s="91">
        <v>0.16274944053099216</v>
      </c>
      <c r="D243" s="92">
        <v>0</v>
      </c>
      <c r="E243" s="93">
        <v>0.21582733812949639</v>
      </c>
      <c r="G243" s="5"/>
      <c r="H243" s="5"/>
      <c r="L243" s="7"/>
      <c r="M243" s="12"/>
      <c r="O243" s="6"/>
      <c r="P243" s="6"/>
      <c r="T243" s="5"/>
      <c r="U243" s="5"/>
    </row>
    <row r="244" spans="2:21" x14ac:dyDescent="0.25">
      <c r="B244" s="90">
        <v>2128</v>
      </c>
      <c r="C244" s="91">
        <v>0.1665252403563956</v>
      </c>
      <c r="D244" s="92">
        <v>0</v>
      </c>
      <c r="E244" s="93">
        <v>0.18705035971223022</v>
      </c>
      <c r="G244" s="5"/>
      <c r="H244" s="5"/>
      <c r="L244" s="7"/>
      <c r="M244" s="12"/>
      <c r="O244" s="6"/>
      <c r="P244" s="6"/>
      <c r="T244" s="5"/>
      <c r="U244" s="5"/>
    </row>
    <row r="245" spans="2:21" x14ac:dyDescent="0.25">
      <c r="B245" s="90">
        <v>1335</v>
      </c>
      <c r="C245" s="91">
        <v>0.16753831577806533</v>
      </c>
      <c r="D245" s="92">
        <v>0</v>
      </c>
      <c r="E245" s="93">
        <v>0.2805755395683453</v>
      </c>
      <c r="G245" s="5"/>
      <c r="H245" s="5"/>
      <c r="L245" s="7"/>
      <c r="M245" s="12"/>
      <c r="O245" s="6"/>
      <c r="P245" s="6"/>
      <c r="T245" s="5"/>
      <c r="U245" s="5"/>
    </row>
    <row r="246" spans="2:21" x14ac:dyDescent="0.25">
      <c r="B246" s="90">
        <v>1857</v>
      </c>
      <c r="C246" s="91">
        <v>0.1683605155213046</v>
      </c>
      <c r="D246" s="92">
        <v>0</v>
      </c>
      <c r="E246" s="93">
        <v>0.48920863309352519</v>
      </c>
      <c r="G246" s="5"/>
      <c r="H246" s="5"/>
      <c r="L246" s="7"/>
      <c r="M246" s="12"/>
      <c r="O246" s="6"/>
      <c r="P246" s="6"/>
      <c r="T246" s="5"/>
      <c r="U246" s="5"/>
    </row>
    <row r="247" spans="2:21" x14ac:dyDescent="0.25">
      <c r="B247" s="90">
        <v>1687</v>
      </c>
      <c r="C247" s="91">
        <v>0.16908874959023734</v>
      </c>
      <c r="D247" s="92">
        <v>0</v>
      </c>
      <c r="E247" s="93">
        <v>0.20863309352517986</v>
      </c>
      <c r="G247" s="5"/>
      <c r="H247" s="5"/>
      <c r="L247" s="7"/>
      <c r="M247" s="12"/>
      <c r="O247" s="6"/>
      <c r="P247" s="6"/>
      <c r="T247" s="5"/>
      <c r="U247" s="5"/>
    </row>
    <row r="248" spans="2:21" x14ac:dyDescent="0.25">
      <c r="B248" s="90">
        <v>1622</v>
      </c>
      <c r="C248" s="91">
        <v>0.17062023772210111</v>
      </c>
      <c r="D248" s="92">
        <v>0</v>
      </c>
      <c r="E248" s="93">
        <v>0.20863309352517986</v>
      </c>
      <c r="G248" s="5"/>
      <c r="H248" s="5"/>
      <c r="L248" s="7"/>
      <c r="M248" s="12"/>
      <c r="O248" s="6"/>
      <c r="P248" s="6"/>
      <c r="T248" s="5"/>
      <c r="U248" s="5"/>
    </row>
    <row r="249" spans="2:21" x14ac:dyDescent="0.25">
      <c r="B249" s="90">
        <v>2074</v>
      </c>
      <c r="C249" s="91">
        <v>0.17158376379196727</v>
      </c>
      <c r="D249" s="92">
        <v>0</v>
      </c>
      <c r="E249" s="93">
        <v>0.20143884892086331</v>
      </c>
      <c r="G249" s="5"/>
      <c r="H249" s="5"/>
      <c r="L249" s="7"/>
      <c r="M249" s="12"/>
      <c r="O249" s="6"/>
      <c r="P249" s="6"/>
      <c r="T249" s="5"/>
      <c r="U249" s="5"/>
    </row>
    <row r="250" spans="2:21" x14ac:dyDescent="0.25">
      <c r="B250" s="90">
        <v>1655</v>
      </c>
      <c r="C250" s="91">
        <v>0.1725585846935217</v>
      </c>
      <c r="D250" s="92">
        <v>0</v>
      </c>
      <c r="E250" s="93">
        <v>0.20863309352517986</v>
      </c>
      <c r="G250" s="5"/>
      <c r="H250" s="5"/>
      <c r="L250" s="7"/>
      <c r="M250" s="12"/>
      <c r="O250" s="6"/>
      <c r="P250" s="6"/>
      <c r="T250" s="5"/>
      <c r="U250" s="5"/>
    </row>
    <row r="251" spans="2:21" x14ac:dyDescent="0.25">
      <c r="B251" s="90">
        <v>1290</v>
      </c>
      <c r="C251" s="91">
        <v>0.17336396350467842</v>
      </c>
      <c r="D251" s="92">
        <v>0</v>
      </c>
      <c r="E251" s="93">
        <v>0.38848920863309355</v>
      </c>
      <c r="G251" s="5"/>
      <c r="H251" s="5"/>
      <c r="L251" s="7"/>
      <c r="M251" s="12"/>
      <c r="O251" s="6"/>
      <c r="P251" s="6"/>
      <c r="T251" s="5"/>
      <c r="U251" s="5"/>
    </row>
    <row r="252" spans="2:21" x14ac:dyDescent="0.25">
      <c r="B252" s="90">
        <v>1332</v>
      </c>
      <c r="C252" s="91">
        <v>0.17545403766912271</v>
      </c>
      <c r="D252" s="92">
        <v>0</v>
      </c>
      <c r="E252" s="93">
        <v>0.39568345323741005</v>
      </c>
      <c r="G252" s="5"/>
      <c r="H252" s="5"/>
      <c r="L252" s="7"/>
      <c r="M252" s="12"/>
      <c r="O252" s="6"/>
      <c r="P252" s="6"/>
      <c r="T252" s="5"/>
      <c r="U252" s="5"/>
    </row>
    <row r="253" spans="2:21" x14ac:dyDescent="0.25">
      <c r="B253" s="90">
        <v>1806</v>
      </c>
      <c r="C253" s="91">
        <v>0.17619393757439772</v>
      </c>
      <c r="D253" s="92">
        <v>0</v>
      </c>
      <c r="E253" s="93">
        <v>0.48920863309352519</v>
      </c>
      <c r="G253" s="5"/>
      <c r="H253" s="5"/>
      <c r="L253" s="7"/>
      <c r="M253" s="12"/>
      <c r="O253" s="6"/>
      <c r="P253" s="6"/>
      <c r="T253" s="5"/>
      <c r="U253" s="5"/>
    </row>
    <row r="254" spans="2:21" x14ac:dyDescent="0.25">
      <c r="B254" s="90">
        <v>1824</v>
      </c>
      <c r="C254" s="91">
        <v>0.17665613442902917</v>
      </c>
      <c r="D254" s="92">
        <v>0</v>
      </c>
      <c r="E254" s="93">
        <v>0.39568345323741005</v>
      </c>
      <c r="G254" s="5"/>
      <c r="H254" s="5"/>
      <c r="L254" s="7"/>
      <c r="M254" s="12"/>
      <c r="O254" s="6"/>
      <c r="P254" s="6"/>
      <c r="T254" s="5"/>
      <c r="U254" s="5"/>
    </row>
    <row r="255" spans="2:21" x14ac:dyDescent="0.25">
      <c r="B255" s="90">
        <v>1592</v>
      </c>
      <c r="C255" s="91">
        <v>0.17777766234579817</v>
      </c>
      <c r="D255" s="92">
        <v>0</v>
      </c>
      <c r="E255" s="93">
        <v>0.20863309352517986</v>
      </c>
      <c r="G255" s="5"/>
      <c r="H255" s="5"/>
      <c r="L255" s="7"/>
      <c r="M255" s="12"/>
      <c r="O255" s="6"/>
      <c r="P255" s="6"/>
      <c r="T255" s="5"/>
      <c r="U255" s="5"/>
    </row>
    <row r="256" spans="2:21" x14ac:dyDescent="0.25">
      <c r="B256" s="90">
        <v>1998</v>
      </c>
      <c r="C256" s="91">
        <v>0.17804663778844643</v>
      </c>
      <c r="D256" s="92">
        <v>0</v>
      </c>
      <c r="E256" s="93">
        <v>0.20143884892086331</v>
      </c>
      <c r="G256" s="5"/>
      <c r="H256" s="5"/>
      <c r="L256" s="7"/>
      <c r="M256" s="12"/>
      <c r="O256" s="6"/>
      <c r="P256" s="6"/>
      <c r="T256" s="5"/>
      <c r="U256" s="5"/>
    </row>
    <row r="257" spans="2:21" x14ac:dyDescent="0.25">
      <c r="B257" s="90">
        <v>1895</v>
      </c>
      <c r="C257" s="91">
        <v>0.18061209829856029</v>
      </c>
      <c r="D257" s="92">
        <v>0</v>
      </c>
      <c r="E257" s="93">
        <v>0.20863309352517986</v>
      </c>
      <c r="G257" s="5"/>
      <c r="H257" s="5"/>
      <c r="L257" s="7"/>
      <c r="M257" s="12"/>
      <c r="O257" s="6"/>
      <c r="P257" s="6"/>
      <c r="T257" s="5"/>
      <c r="U257" s="5"/>
    </row>
    <row r="258" spans="2:21" x14ac:dyDescent="0.25">
      <c r="B258" s="90">
        <v>1453</v>
      </c>
      <c r="C258" s="91">
        <v>0.1810100950046506</v>
      </c>
      <c r="D258" s="92">
        <v>0</v>
      </c>
      <c r="E258" s="93">
        <v>0.20143884892086331</v>
      </c>
      <c r="G258" s="5"/>
      <c r="H258" s="5"/>
      <c r="L258" s="7"/>
      <c r="M258" s="12"/>
      <c r="O258" s="6"/>
      <c r="P258" s="6"/>
      <c r="T258" s="5"/>
      <c r="U258" s="5"/>
    </row>
    <row r="259" spans="2:21" x14ac:dyDescent="0.25">
      <c r="B259" s="90">
        <v>1653</v>
      </c>
      <c r="C259" s="91">
        <v>0.18314804128670892</v>
      </c>
      <c r="D259" s="92">
        <v>0</v>
      </c>
      <c r="E259" s="93">
        <v>0.22302158273381295</v>
      </c>
      <c r="G259" s="5"/>
      <c r="H259" s="5"/>
      <c r="L259" s="7"/>
      <c r="M259" s="12"/>
      <c r="O259" s="6"/>
      <c r="P259" s="6"/>
      <c r="T259" s="5"/>
      <c r="U259" s="5"/>
    </row>
    <row r="260" spans="2:21" x14ac:dyDescent="0.25">
      <c r="B260" s="90">
        <v>2130</v>
      </c>
      <c r="C260" s="91">
        <v>0.18315107398586272</v>
      </c>
      <c r="D260" s="92">
        <v>0</v>
      </c>
      <c r="E260" s="93">
        <v>0.21582733812949639</v>
      </c>
      <c r="G260" s="5"/>
      <c r="H260" s="5"/>
      <c r="L260" s="7"/>
      <c r="M260" s="12"/>
      <c r="O260" s="6"/>
      <c r="P260" s="6"/>
      <c r="T260" s="5"/>
      <c r="U260" s="5"/>
    </row>
    <row r="261" spans="2:21" x14ac:dyDescent="0.25">
      <c r="B261" s="90">
        <v>1488</v>
      </c>
      <c r="C261" s="91">
        <v>0.18973598594208907</v>
      </c>
      <c r="D261" s="92">
        <v>0</v>
      </c>
      <c r="E261" s="93">
        <v>0.22302158273381295</v>
      </c>
      <c r="G261" s="5"/>
      <c r="H261" s="5"/>
      <c r="L261" s="7"/>
      <c r="M261" s="12"/>
      <c r="O261" s="6"/>
      <c r="P261" s="6"/>
      <c r="T261" s="5"/>
      <c r="U261" s="5"/>
    </row>
    <row r="262" spans="2:21" x14ac:dyDescent="0.25">
      <c r="B262" s="90">
        <v>1625</v>
      </c>
      <c r="C262" s="91">
        <v>0.19036732607657636</v>
      </c>
      <c r="D262" s="92">
        <v>0</v>
      </c>
      <c r="E262" s="93">
        <v>0.20863309352517986</v>
      </c>
      <c r="G262" s="5"/>
      <c r="H262" s="5"/>
      <c r="L262" s="7"/>
      <c r="M262" s="12"/>
      <c r="O262" s="6"/>
      <c r="P262" s="6"/>
      <c r="T262" s="5"/>
      <c r="U262" s="5"/>
    </row>
    <row r="263" spans="2:21" x14ac:dyDescent="0.25">
      <c r="B263" s="90">
        <v>1873</v>
      </c>
      <c r="C263" s="91">
        <v>0.19046751142654506</v>
      </c>
      <c r="D263" s="92">
        <v>0</v>
      </c>
      <c r="E263" s="93">
        <v>0.41007194244604317</v>
      </c>
      <c r="G263" s="5"/>
      <c r="H263" s="5"/>
      <c r="L263" s="7"/>
      <c r="M263" s="12"/>
      <c r="O263" s="6"/>
      <c r="P263" s="6"/>
      <c r="T263" s="5"/>
      <c r="U263" s="5"/>
    </row>
    <row r="264" spans="2:21" x14ac:dyDescent="0.25">
      <c r="B264" s="90">
        <v>1654</v>
      </c>
      <c r="C264" s="91">
        <v>0.19185305710452016</v>
      </c>
      <c r="D264" s="92">
        <v>0</v>
      </c>
      <c r="E264" s="93">
        <v>0.21582733812949639</v>
      </c>
      <c r="G264" s="5"/>
      <c r="H264" s="5"/>
      <c r="L264" s="7"/>
      <c r="M264" s="12"/>
      <c r="O264" s="6"/>
      <c r="P264" s="6"/>
      <c r="T264" s="5"/>
      <c r="U264" s="5"/>
    </row>
    <row r="265" spans="2:21" x14ac:dyDescent="0.25">
      <c r="B265" s="90">
        <v>1686</v>
      </c>
      <c r="C265" s="91">
        <v>0.19310691644424527</v>
      </c>
      <c r="D265" s="92">
        <v>0</v>
      </c>
      <c r="E265" s="93">
        <v>0.21582733812949639</v>
      </c>
      <c r="G265" s="5"/>
      <c r="H265" s="5"/>
      <c r="L265" s="7"/>
      <c r="M265" s="12"/>
      <c r="O265" s="6"/>
      <c r="P265" s="6"/>
      <c r="T265" s="5"/>
      <c r="U265" s="5"/>
    </row>
    <row r="266" spans="2:21" x14ac:dyDescent="0.25">
      <c r="B266" s="90">
        <v>1750</v>
      </c>
      <c r="C266" s="91">
        <v>0.19473792925325339</v>
      </c>
      <c r="D266" s="92">
        <v>0</v>
      </c>
      <c r="E266" s="93">
        <v>0.52517985611510787</v>
      </c>
      <c r="G266" s="5"/>
      <c r="H266" s="5"/>
      <c r="L266" s="7"/>
      <c r="M266" s="12"/>
      <c r="O266" s="6"/>
      <c r="P266" s="6"/>
      <c r="T266" s="5"/>
      <c r="U266" s="5"/>
    </row>
    <row r="267" spans="2:21" x14ac:dyDescent="0.25">
      <c r="B267" s="90">
        <v>1778</v>
      </c>
      <c r="C267" s="91">
        <v>0.19484714196214603</v>
      </c>
      <c r="D267" s="92">
        <v>0</v>
      </c>
      <c r="E267" s="93">
        <v>0.52517985611510787</v>
      </c>
      <c r="G267" s="5"/>
      <c r="H267" s="5"/>
      <c r="L267" s="7"/>
      <c r="M267" s="12"/>
      <c r="O267" s="6"/>
      <c r="P267" s="6"/>
      <c r="T267" s="5"/>
      <c r="U267" s="5"/>
    </row>
    <row r="268" spans="2:21" x14ac:dyDescent="0.25">
      <c r="B268" s="90">
        <v>1878</v>
      </c>
      <c r="C268" s="91">
        <v>0.19504246382681911</v>
      </c>
      <c r="D268" s="92">
        <v>0</v>
      </c>
      <c r="E268" s="93">
        <v>0.50359712230215825</v>
      </c>
      <c r="G268" s="5"/>
      <c r="H268" s="5"/>
      <c r="L268" s="7"/>
      <c r="M268" s="12"/>
      <c r="O268" s="6"/>
      <c r="P268" s="6"/>
      <c r="T268" s="5"/>
      <c r="U268" s="5"/>
    </row>
    <row r="269" spans="2:21" x14ac:dyDescent="0.25">
      <c r="B269" s="90">
        <v>1850</v>
      </c>
      <c r="C269" s="91">
        <v>0.1967096905518142</v>
      </c>
      <c r="D269" s="92">
        <v>0</v>
      </c>
      <c r="E269" s="93">
        <v>0.41007194244604317</v>
      </c>
      <c r="G269" s="5"/>
      <c r="H269" s="5"/>
      <c r="L269" s="7"/>
      <c r="M269" s="12"/>
      <c r="O269" s="6"/>
      <c r="P269" s="6"/>
      <c r="T269" s="5"/>
      <c r="U269" s="5"/>
    </row>
    <row r="270" spans="2:21" x14ac:dyDescent="0.25">
      <c r="B270" s="90">
        <v>1980</v>
      </c>
      <c r="C270" s="91">
        <v>0.19931685947130373</v>
      </c>
      <c r="D270" s="92">
        <v>0</v>
      </c>
      <c r="E270" s="93">
        <v>0.21582733812949639</v>
      </c>
      <c r="G270" s="5"/>
      <c r="H270" s="5"/>
      <c r="L270" s="7"/>
      <c r="M270" s="12"/>
      <c r="O270" s="6"/>
      <c r="P270" s="6"/>
      <c r="T270" s="5"/>
      <c r="U270" s="5"/>
    </row>
    <row r="271" spans="2:21" x14ac:dyDescent="0.25">
      <c r="B271" s="90">
        <v>1411</v>
      </c>
      <c r="C271" s="91">
        <v>0.19962876233999238</v>
      </c>
      <c r="D271" s="92">
        <v>0</v>
      </c>
      <c r="E271" s="93">
        <v>0.41007194244604317</v>
      </c>
      <c r="G271" s="5"/>
      <c r="H271" s="5"/>
      <c r="L271" s="7"/>
      <c r="M271" s="12"/>
      <c r="O271" s="6"/>
      <c r="P271" s="6"/>
      <c r="T271" s="5"/>
      <c r="U271" s="5"/>
    </row>
    <row r="272" spans="2:21" x14ac:dyDescent="0.25">
      <c r="B272" s="90">
        <v>1491</v>
      </c>
      <c r="C272" s="91">
        <v>0.19965392458992193</v>
      </c>
      <c r="D272" s="92">
        <v>0</v>
      </c>
      <c r="E272" s="93">
        <v>0.20863309352517986</v>
      </c>
      <c r="G272" s="5"/>
      <c r="H272" s="5"/>
      <c r="L272" s="7"/>
      <c r="M272" s="12"/>
      <c r="O272" s="6"/>
      <c r="P272" s="6"/>
      <c r="T272" s="5"/>
      <c r="U272" s="5"/>
    </row>
    <row r="273" spans="2:21" x14ac:dyDescent="0.25">
      <c r="B273" s="90">
        <v>1718</v>
      </c>
      <c r="C273" s="91">
        <v>0.20096328654708828</v>
      </c>
      <c r="D273" s="92">
        <v>0</v>
      </c>
      <c r="E273" s="93">
        <v>0.46762589928057552</v>
      </c>
      <c r="G273" s="5"/>
      <c r="H273" s="5"/>
      <c r="L273" s="7"/>
      <c r="M273" s="12"/>
      <c r="O273" s="6"/>
      <c r="P273" s="6"/>
      <c r="T273" s="5"/>
      <c r="U273" s="5"/>
    </row>
    <row r="274" spans="2:21" x14ac:dyDescent="0.25">
      <c r="B274" s="90">
        <v>1776</v>
      </c>
      <c r="C274" s="91">
        <v>0.20149791289526808</v>
      </c>
      <c r="D274" s="92">
        <v>0</v>
      </c>
      <c r="E274" s="93">
        <v>0.48920863309352519</v>
      </c>
      <c r="G274" s="5"/>
      <c r="H274" s="5"/>
      <c r="L274" s="7"/>
      <c r="M274" s="12"/>
      <c r="O274" s="6"/>
      <c r="P274" s="6"/>
      <c r="T274" s="5"/>
      <c r="U274" s="5"/>
    </row>
    <row r="275" spans="2:21" x14ac:dyDescent="0.25">
      <c r="B275" s="90">
        <v>1825</v>
      </c>
      <c r="C275" s="91">
        <v>0.2018262850436634</v>
      </c>
      <c r="D275" s="92">
        <v>0</v>
      </c>
      <c r="E275" s="93">
        <v>0.41007194244604317</v>
      </c>
      <c r="G275" s="5"/>
      <c r="H275" s="5"/>
      <c r="L275" s="7"/>
      <c r="M275" s="12"/>
      <c r="O275" s="6"/>
      <c r="P275" s="6"/>
      <c r="T275" s="5"/>
      <c r="U275" s="5"/>
    </row>
    <row r="276" spans="2:21" x14ac:dyDescent="0.25">
      <c r="B276" s="90">
        <v>1684</v>
      </c>
      <c r="C276" s="91">
        <v>0.20342935766127701</v>
      </c>
      <c r="D276" s="92">
        <v>0</v>
      </c>
      <c r="E276" s="93">
        <v>0.23021582733812951</v>
      </c>
      <c r="G276" s="5"/>
      <c r="H276" s="5"/>
      <c r="L276" s="7"/>
      <c r="M276" s="12"/>
      <c r="O276" s="6"/>
      <c r="P276" s="6"/>
      <c r="T276" s="5"/>
      <c r="U276" s="5"/>
    </row>
    <row r="277" spans="2:21" x14ac:dyDescent="0.25">
      <c r="B277" s="90">
        <v>1714</v>
      </c>
      <c r="C277" s="91">
        <v>0.20400689017589624</v>
      </c>
      <c r="D277" s="92">
        <v>0</v>
      </c>
      <c r="E277" s="93">
        <v>0.41007194244604317</v>
      </c>
      <c r="G277" s="5"/>
      <c r="H277" s="5"/>
      <c r="L277" s="7"/>
      <c r="M277" s="12"/>
      <c r="O277" s="6"/>
      <c r="P277" s="6"/>
      <c r="T277" s="5"/>
      <c r="U277" s="5"/>
    </row>
    <row r="278" spans="2:21" x14ac:dyDescent="0.25">
      <c r="B278" s="90">
        <v>1748</v>
      </c>
      <c r="C278" s="91">
        <v>0.20456203337782952</v>
      </c>
      <c r="D278" s="92">
        <v>0</v>
      </c>
      <c r="E278" s="93">
        <v>0.48201438848920863</v>
      </c>
      <c r="G278" s="5"/>
      <c r="H278" s="5"/>
      <c r="L278" s="7"/>
      <c r="M278" s="12"/>
      <c r="O278" s="6"/>
      <c r="P278" s="6"/>
      <c r="T278" s="5"/>
      <c r="U278" s="5"/>
    </row>
    <row r="279" spans="2:21" x14ac:dyDescent="0.25">
      <c r="B279" s="90">
        <v>1715</v>
      </c>
      <c r="C279" s="91">
        <v>0.20578024898604319</v>
      </c>
      <c r="D279" s="92">
        <v>0</v>
      </c>
      <c r="E279" s="93">
        <v>0.40287769784172661</v>
      </c>
      <c r="G279" s="5"/>
      <c r="H279" s="5"/>
      <c r="L279" s="7"/>
      <c r="M279" s="12"/>
      <c r="O279" s="6"/>
      <c r="P279" s="6"/>
      <c r="T279" s="5"/>
      <c r="U279" s="5"/>
    </row>
    <row r="280" spans="2:21" x14ac:dyDescent="0.25">
      <c r="B280" s="90">
        <v>2052</v>
      </c>
      <c r="C280" s="91">
        <v>0.20578309947330087</v>
      </c>
      <c r="D280" s="92">
        <v>0</v>
      </c>
      <c r="E280" s="93">
        <v>0.15107913669064749</v>
      </c>
      <c r="G280" s="5"/>
      <c r="H280" s="5"/>
      <c r="L280" s="7"/>
      <c r="M280" s="12"/>
      <c r="O280" s="6"/>
      <c r="P280" s="6"/>
      <c r="T280" s="5"/>
      <c r="U280" s="5"/>
    </row>
    <row r="281" spans="2:21" x14ac:dyDescent="0.25">
      <c r="B281" s="90">
        <v>1798</v>
      </c>
      <c r="C281" s="91">
        <v>0.20971236555045603</v>
      </c>
      <c r="D281" s="92">
        <v>0</v>
      </c>
      <c r="E281" s="93">
        <v>0.41007194244604317</v>
      </c>
      <c r="G281" s="5"/>
      <c r="H281" s="5"/>
      <c r="L281" s="7"/>
      <c r="M281" s="12"/>
      <c r="O281" s="6"/>
      <c r="P281" s="6"/>
      <c r="T281" s="5"/>
      <c r="U281" s="5"/>
    </row>
    <row r="282" spans="2:21" x14ac:dyDescent="0.25">
      <c r="B282" s="90">
        <v>1994</v>
      </c>
      <c r="C282" s="91">
        <v>0.21095119214180702</v>
      </c>
      <c r="D282" s="92">
        <v>0</v>
      </c>
      <c r="E282" s="93">
        <v>0.15827338129496402</v>
      </c>
      <c r="G282" s="5"/>
      <c r="H282" s="5"/>
      <c r="L282" s="7"/>
      <c r="M282" s="12"/>
      <c r="O282" s="6"/>
      <c r="P282" s="6"/>
      <c r="T282" s="5"/>
      <c r="U282" s="5"/>
    </row>
    <row r="283" spans="2:21" x14ac:dyDescent="0.25">
      <c r="B283" s="90">
        <v>1685</v>
      </c>
      <c r="C283" s="91">
        <v>0.21171380143876517</v>
      </c>
      <c r="D283" s="92">
        <v>0</v>
      </c>
      <c r="E283" s="93">
        <v>0.21582733812949639</v>
      </c>
      <c r="G283" s="5"/>
      <c r="H283" s="5"/>
      <c r="L283" s="7"/>
      <c r="M283" s="12"/>
      <c r="O283" s="6"/>
      <c r="P283" s="6"/>
      <c r="T283" s="5"/>
      <c r="U283" s="5"/>
    </row>
    <row r="284" spans="2:21" x14ac:dyDescent="0.25">
      <c r="B284" s="90">
        <v>1657</v>
      </c>
      <c r="C284" s="91">
        <v>0.21296003736037605</v>
      </c>
      <c r="D284" s="92">
        <v>0</v>
      </c>
      <c r="E284" s="93">
        <v>0.20863309352517986</v>
      </c>
      <c r="G284" s="5"/>
      <c r="H284" s="5"/>
      <c r="L284" s="7"/>
      <c r="M284" s="12"/>
      <c r="O284" s="6"/>
      <c r="P284" s="6"/>
      <c r="T284" s="5"/>
      <c r="U284" s="5"/>
    </row>
    <row r="285" spans="2:21" x14ac:dyDescent="0.25">
      <c r="B285" s="90">
        <v>1490</v>
      </c>
      <c r="C285" s="91">
        <v>0.2131316628358968</v>
      </c>
      <c r="D285" s="92">
        <v>0</v>
      </c>
      <c r="E285" s="93">
        <v>0.15827338129496402</v>
      </c>
      <c r="G285" s="5"/>
      <c r="H285" s="5"/>
      <c r="L285" s="7"/>
      <c r="M285" s="12"/>
      <c r="O285" s="6"/>
      <c r="P285" s="6"/>
      <c r="T285" s="5"/>
      <c r="U285" s="5"/>
    </row>
    <row r="286" spans="2:21" x14ac:dyDescent="0.25">
      <c r="B286" s="90">
        <v>1372</v>
      </c>
      <c r="C286" s="91">
        <v>0.2134780082980432</v>
      </c>
      <c r="D286" s="92">
        <v>0</v>
      </c>
      <c r="E286" s="93">
        <v>0.48920863309352519</v>
      </c>
      <c r="G286" s="5"/>
      <c r="H286" s="5"/>
      <c r="L286" s="7"/>
      <c r="M286" s="12"/>
      <c r="O286" s="6"/>
      <c r="P286" s="6"/>
      <c r="T286" s="5"/>
      <c r="U286" s="5"/>
    </row>
    <row r="287" spans="2:21" x14ac:dyDescent="0.25">
      <c r="B287" s="90">
        <v>1779</v>
      </c>
      <c r="C287" s="91">
        <v>0.21501009287137385</v>
      </c>
      <c r="D287" s="92">
        <v>0</v>
      </c>
      <c r="E287" s="93">
        <v>0.49640287769784175</v>
      </c>
      <c r="G287" s="5"/>
      <c r="H287" s="5"/>
      <c r="L287" s="7"/>
      <c r="M287" s="12"/>
      <c r="O287" s="6"/>
      <c r="P287" s="6"/>
      <c r="T287" s="5"/>
      <c r="U287" s="5"/>
    </row>
    <row r="288" spans="2:21" x14ac:dyDescent="0.25">
      <c r="B288" s="90">
        <v>1452</v>
      </c>
      <c r="C288" s="91">
        <v>0.21721590375362132</v>
      </c>
      <c r="D288" s="92">
        <v>0</v>
      </c>
      <c r="E288" s="93">
        <v>0.20863309352517986</v>
      </c>
      <c r="G288" s="5"/>
      <c r="H288" s="5"/>
      <c r="L288" s="7"/>
      <c r="M288" s="12"/>
      <c r="O288" s="6"/>
      <c r="P288" s="6"/>
      <c r="T288" s="5"/>
      <c r="U288" s="5"/>
    </row>
    <row r="289" spans="2:21" x14ac:dyDescent="0.25">
      <c r="B289" s="90">
        <v>1751</v>
      </c>
      <c r="C289" s="91">
        <v>0.21830867631582418</v>
      </c>
      <c r="D289" s="92">
        <v>0</v>
      </c>
      <c r="E289" s="93">
        <v>0.49640287769784175</v>
      </c>
      <c r="G289" s="5"/>
      <c r="H289" s="5"/>
      <c r="L289" s="7"/>
      <c r="M289" s="12"/>
      <c r="O289" s="6"/>
      <c r="P289" s="6"/>
      <c r="T289" s="5"/>
      <c r="U289" s="5"/>
    </row>
    <row r="290" spans="2:21" x14ac:dyDescent="0.25">
      <c r="B290" s="90">
        <v>1524</v>
      </c>
      <c r="C290" s="91">
        <v>0.22356008159627083</v>
      </c>
      <c r="D290" s="92">
        <v>0</v>
      </c>
      <c r="E290" s="93">
        <v>0.20863309352517986</v>
      </c>
      <c r="G290" s="5"/>
      <c r="H290" s="5"/>
      <c r="L290" s="7"/>
      <c r="M290" s="12"/>
      <c r="O290" s="6"/>
      <c r="P290" s="6"/>
      <c r="T290" s="5"/>
      <c r="U290" s="5"/>
    </row>
    <row r="291" spans="2:21" x14ac:dyDescent="0.25">
      <c r="B291" s="90">
        <v>1926</v>
      </c>
      <c r="C291" s="91">
        <v>0.22508792927857102</v>
      </c>
      <c r="D291" s="92">
        <v>0</v>
      </c>
      <c r="E291" s="93">
        <v>0.50359712230215825</v>
      </c>
      <c r="G291" s="5"/>
      <c r="H291" s="5"/>
      <c r="L291" s="7"/>
      <c r="M291" s="12"/>
      <c r="O291" s="6"/>
      <c r="P291" s="6"/>
      <c r="T291" s="5"/>
      <c r="U291" s="5"/>
    </row>
    <row r="292" spans="2:21" x14ac:dyDescent="0.25">
      <c r="B292" s="90">
        <v>1997</v>
      </c>
      <c r="C292" s="91">
        <v>0.22701425445499746</v>
      </c>
      <c r="D292" s="92">
        <v>0</v>
      </c>
      <c r="E292" s="93">
        <v>0.21582733812949639</v>
      </c>
      <c r="G292" s="5"/>
      <c r="H292" s="5"/>
      <c r="L292" s="7"/>
      <c r="M292" s="12"/>
      <c r="O292" s="6"/>
      <c r="P292" s="6"/>
      <c r="T292" s="5"/>
      <c r="U292" s="5"/>
    </row>
    <row r="293" spans="2:21" x14ac:dyDescent="0.25">
      <c r="B293" s="90">
        <v>1976</v>
      </c>
      <c r="C293" s="91">
        <v>0.22726570788313027</v>
      </c>
      <c r="D293" s="92">
        <v>0</v>
      </c>
      <c r="E293" s="93">
        <v>0.15827338129496402</v>
      </c>
      <c r="G293" s="5"/>
      <c r="H293" s="5"/>
      <c r="L293" s="7"/>
      <c r="M293" s="12"/>
      <c r="O293" s="6"/>
      <c r="P293" s="6"/>
      <c r="T293" s="5"/>
      <c r="U293" s="5"/>
    </row>
    <row r="294" spans="2:21" x14ac:dyDescent="0.25">
      <c r="B294" s="90">
        <v>259</v>
      </c>
      <c r="C294" s="91">
        <v>0.22790247291414945</v>
      </c>
      <c r="D294" s="92">
        <v>0</v>
      </c>
      <c r="E294" s="93">
        <v>0.46762589928057552</v>
      </c>
      <c r="G294" s="5"/>
      <c r="H294" s="5"/>
      <c r="L294" s="7"/>
      <c r="M294" s="12"/>
      <c r="O294" s="6"/>
      <c r="P294" s="6"/>
      <c r="T294" s="5"/>
      <c r="U294" s="5"/>
    </row>
    <row r="295" spans="2:21" x14ac:dyDescent="0.25">
      <c r="B295" s="90">
        <v>1445</v>
      </c>
      <c r="C295" s="91">
        <v>0.22832349888758618</v>
      </c>
      <c r="D295" s="92">
        <v>0</v>
      </c>
      <c r="E295" s="93">
        <v>0.23021582733812951</v>
      </c>
      <c r="G295" s="5"/>
      <c r="H295" s="5"/>
      <c r="L295" s="7"/>
      <c r="M295" s="12"/>
      <c r="O295" s="6"/>
      <c r="P295" s="6"/>
      <c r="T295" s="5"/>
      <c r="U295" s="5"/>
    </row>
    <row r="296" spans="2:21" x14ac:dyDescent="0.25">
      <c r="B296" s="90">
        <v>1688</v>
      </c>
      <c r="C296" s="91">
        <v>0.23204964083887047</v>
      </c>
      <c r="D296" s="92">
        <v>0</v>
      </c>
      <c r="E296" s="93">
        <v>0.21582733812949639</v>
      </c>
      <c r="G296" s="5"/>
      <c r="H296" s="5"/>
      <c r="L296" s="7"/>
      <c r="M296" s="12"/>
      <c r="O296" s="6"/>
      <c r="P296" s="6"/>
      <c r="T296" s="5"/>
      <c r="U296" s="5"/>
    </row>
    <row r="297" spans="2:21" x14ac:dyDescent="0.25">
      <c r="B297" s="90">
        <v>1799</v>
      </c>
      <c r="C297" s="91">
        <v>0.23215157490024008</v>
      </c>
      <c r="D297" s="92">
        <v>0</v>
      </c>
      <c r="E297" s="93">
        <v>0.41007194244604317</v>
      </c>
      <c r="G297" s="5"/>
      <c r="H297" s="5"/>
      <c r="L297" s="7"/>
      <c r="M297" s="12"/>
      <c r="O297" s="6"/>
      <c r="P297" s="6"/>
      <c r="T297" s="5"/>
      <c r="U297" s="5"/>
    </row>
    <row r="298" spans="2:21" x14ac:dyDescent="0.25">
      <c r="B298" s="90">
        <v>1874</v>
      </c>
      <c r="C298" s="91">
        <v>0.23413676070486833</v>
      </c>
      <c r="D298" s="92">
        <v>0</v>
      </c>
      <c r="E298" s="93">
        <v>0.41726618705035973</v>
      </c>
      <c r="G298" s="5"/>
      <c r="H298" s="5"/>
      <c r="L298" s="7"/>
      <c r="M298" s="12"/>
      <c r="O298" s="6"/>
      <c r="P298" s="6"/>
      <c r="T298" s="5"/>
      <c r="U298" s="5"/>
    </row>
    <row r="299" spans="2:21" x14ac:dyDescent="0.25">
      <c r="B299" s="90">
        <v>8</v>
      </c>
      <c r="C299" s="91">
        <v>0.23580452146531472</v>
      </c>
      <c r="D299" s="92">
        <v>0</v>
      </c>
      <c r="E299" s="93">
        <v>0.21582733812949639</v>
      </c>
      <c r="G299" s="5"/>
      <c r="H299" s="5"/>
      <c r="L299" s="7"/>
      <c r="M299" s="12"/>
      <c r="O299" s="6"/>
      <c r="P299" s="6"/>
      <c r="T299" s="5"/>
      <c r="U299" s="5"/>
    </row>
    <row r="300" spans="2:21" x14ac:dyDescent="0.25">
      <c r="B300" s="90">
        <v>2118</v>
      </c>
      <c r="C300" s="91">
        <v>0.23580452146531472</v>
      </c>
      <c r="D300" s="92">
        <v>0</v>
      </c>
      <c r="E300" s="93">
        <v>0.21582733812949639</v>
      </c>
      <c r="G300" s="5"/>
      <c r="H300" s="5"/>
      <c r="L300" s="7"/>
      <c r="M300" s="12"/>
      <c r="O300" s="6"/>
      <c r="P300" s="6"/>
      <c r="T300" s="5"/>
      <c r="U300" s="5"/>
    </row>
    <row r="301" spans="2:21" x14ac:dyDescent="0.25">
      <c r="B301" s="90">
        <v>2119</v>
      </c>
      <c r="C301" s="91">
        <v>0.23581254667135998</v>
      </c>
      <c r="D301" s="92">
        <v>0</v>
      </c>
      <c r="E301" s="93">
        <v>0.17985611510791366</v>
      </c>
      <c r="G301" s="5"/>
      <c r="H301" s="5"/>
      <c r="L301" s="7"/>
      <c r="M301" s="12"/>
      <c r="O301" s="6"/>
      <c r="P301" s="6"/>
      <c r="T301" s="5"/>
      <c r="U301" s="5"/>
    </row>
    <row r="302" spans="2:21" x14ac:dyDescent="0.25">
      <c r="B302" s="90">
        <v>1851</v>
      </c>
      <c r="C302" s="91">
        <v>0.23613236048667963</v>
      </c>
      <c r="D302" s="92">
        <v>0</v>
      </c>
      <c r="E302" s="93">
        <v>0.41007194244604317</v>
      </c>
      <c r="G302" s="5"/>
      <c r="H302" s="5"/>
      <c r="L302" s="7"/>
      <c r="M302" s="12"/>
      <c r="O302" s="6"/>
      <c r="P302" s="6"/>
      <c r="T302" s="5"/>
      <c r="U302" s="5"/>
    </row>
    <row r="303" spans="2:21" x14ac:dyDescent="0.25">
      <c r="B303" s="90">
        <v>1527</v>
      </c>
      <c r="C303" s="91">
        <v>0.23626065325943313</v>
      </c>
      <c r="D303" s="92">
        <v>0</v>
      </c>
      <c r="E303" s="93">
        <v>0.15827338129496402</v>
      </c>
      <c r="G303" s="5"/>
      <c r="H303" s="5"/>
      <c r="L303" s="7"/>
      <c r="M303" s="12"/>
      <c r="O303" s="6"/>
      <c r="P303" s="6"/>
      <c r="T303" s="5"/>
      <c r="U303" s="5"/>
    </row>
    <row r="304" spans="2:21" x14ac:dyDescent="0.25">
      <c r="B304" s="90">
        <v>1716</v>
      </c>
      <c r="C304" s="91">
        <v>0.23646282199048985</v>
      </c>
      <c r="D304" s="92">
        <v>0</v>
      </c>
      <c r="E304" s="93">
        <v>0.41007194244604317</v>
      </c>
      <c r="G304" s="5"/>
      <c r="H304" s="5"/>
      <c r="L304" s="7"/>
      <c r="M304" s="12"/>
      <c r="O304" s="6"/>
      <c r="P304" s="6"/>
      <c r="T304" s="5"/>
      <c r="U304" s="5"/>
    </row>
    <row r="305" spans="2:21" x14ac:dyDescent="0.25">
      <c r="B305" s="90">
        <v>1979</v>
      </c>
      <c r="C305" s="91">
        <v>0.23791329435457198</v>
      </c>
      <c r="D305" s="92">
        <v>0</v>
      </c>
      <c r="E305" s="93">
        <v>0.21582733812949639</v>
      </c>
      <c r="G305" s="5"/>
      <c r="H305" s="5"/>
      <c r="L305" s="7"/>
      <c r="M305" s="12"/>
      <c r="O305" s="6"/>
      <c r="P305" s="6"/>
      <c r="T305" s="5"/>
      <c r="U305" s="5"/>
    </row>
    <row r="306" spans="2:21" x14ac:dyDescent="0.25">
      <c r="B306" s="90">
        <v>1826</v>
      </c>
      <c r="C306" s="91">
        <v>0.2381762906729783</v>
      </c>
      <c r="D306" s="92">
        <v>0</v>
      </c>
      <c r="E306" s="93">
        <v>0.41007194244604317</v>
      </c>
      <c r="G306" s="5"/>
      <c r="H306" s="5"/>
      <c r="L306" s="7"/>
      <c r="M306" s="12"/>
      <c r="O306" s="6"/>
      <c r="P306" s="6"/>
      <c r="T306" s="5"/>
      <c r="U306" s="5"/>
    </row>
    <row r="307" spans="2:21" x14ac:dyDescent="0.25">
      <c r="B307" s="90">
        <v>320</v>
      </c>
      <c r="C307" s="91">
        <v>0.2382373277099985</v>
      </c>
      <c r="D307" s="92">
        <v>0</v>
      </c>
      <c r="E307" s="93">
        <v>0.46762589928057552</v>
      </c>
      <c r="G307" s="5"/>
      <c r="H307" s="5"/>
      <c r="L307" s="7"/>
      <c r="M307" s="12"/>
      <c r="O307" s="6"/>
      <c r="P307" s="6"/>
      <c r="T307" s="5"/>
      <c r="U307" s="5"/>
    </row>
    <row r="308" spans="2:21" x14ac:dyDescent="0.25">
      <c r="B308" s="90">
        <v>1881</v>
      </c>
      <c r="C308" s="91">
        <v>0.23993247191133205</v>
      </c>
      <c r="D308" s="92">
        <v>0</v>
      </c>
      <c r="E308" s="93">
        <v>0.51079136690647486</v>
      </c>
      <c r="G308" s="5"/>
      <c r="H308" s="5"/>
      <c r="L308" s="7"/>
      <c r="M308" s="12"/>
      <c r="O308" s="6"/>
      <c r="P308" s="6"/>
      <c r="T308" s="5"/>
      <c r="U308" s="5"/>
    </row>
    <row r="309" spans="2:21" x14ac:dyDescent="0.25">
      <c r="B309" s="90">
        <v>1291</v>
      </c>
      <c r="C309" s="91">
        <v>0.23997572579457582</v>
      </c>
      <c r="D309" s="92">
        <v>0</v>
      </c>
      <c r="E309" s="93">
        <v>0.48920863309352519</v>
      </c>
      <c r="G309" s="5"/>
      <c r="H309" s="5"/>
      <c r="L309" s="7"/>
      <c r="M309" s="12"/>
      <c r="O309" s="6"/>
      <c r="P309" s="6"/>
      <c r="T309" s="5"/>
      <c r="U309" s="5"/>
    </row>
    <row r="310" spans="2:21" x14ac:dyDescent="0.25">
      <c r="B310" s="90">
        <v>1828</v>
      </c>
      <c r="C310" s="91">
        <v>0.24027077641304495</v>
      </c>
      <c r="D310" s="92">
        <v>0</v>
      </c>
      <c r="E310" s="93">
        <v>0.5539568345323741</v>
      </c>
      <c r="G310" s="5"/>
      <c r="H310" s="5"/>
      <c r="L310" s="7"/>
      <c r="M310" s="12"/>
      <c r="O310" s="6"/>
      <c r="P310" s="6"/>
      <c r="T310" s="5"/>
      <c r="U310" s="5"/>
    </row>
    <row r="311" spans="2:21" x14ac:dyDescent="0.25">
      <c r="B311" s="90">
        <v>2100</v>
      </c>
      <c r="C311" s="91">
        <v>0.24131255350614955</v>
      </c>
      <c r="D311" s="92">
        <v>0</v>
      </c>
      <c r="E311" s="93">
        <v>0.39568345323741005</v>
      </c>
      <c r="G311" s="5"/>
      <c r="H311" s="5"/>
      <c r="L311" s="7"/>
      <c r="M311" s="12"/>
      <c r="O311" s="6"/>
      <c r="P311" s="6"/>
      <c r="T311" s="5"/>
      <c r="U311" s="5"/>
    </row>
    <row r="312" spans="2:21" x14ac:dyDescent="0.25">
      <c r="B312" s="90">
        <v>1559</v>
      </c>
      <c r="C312" s="91">
        <v>0.24234087345802613</v>
      </c>
      <c r="D312" s="92">
        <v>0</v>
      </c>
      <c r="E312" s="93">
        <v>0.15827338129496402</v>
      </c>
      <c r="G312" s="5"/>
      <c r="H312" s="5"/>
      <c r="L312" s="7"/>
      <c r="M312" s="12"/>
      <c r="O312" s="6"/>
      <c r="P312" s="6"/>
      <c r="T312" s="5"/>
      <c r="U312" s="5"/>
    </row>
    <row r="313" spans="2:21" x14ac:dyDescent="0.25">
      <c r="B313" s="90">
        <v>1489</v>
      </c>
      <c r="C313" s="91">
        <v>0.24596552239267222</v>
      </c>
      <c r="D313" s="92">
        <v>0</v>
      </c>
      <c r="E313" s="93">
        <v>0.15827338129496402</v>
      </c>
      <c r="G313" s="5"/>
      <c r="H313" s="5"/>
      <c r="L313" s="7"/>
      <c r="M313" s="12"/>
      <c r="O313" s="6"/>
      <c r="P313" s="6"/>
      <c r="T313" s="5"/>
      <c r="U313" s="5"/>
    </row>
    <row r="314" spans="2:21" x14ac:dyDescent="0.25">
      <c r="B314" s="90">
        <v>1526</v>
      </c>
      <c r="C314" s="91">
        <v>0.24695092796338203</v>
      </c>
      <c r="D314" s="92">
        <v>0</v>
      </c>
      <c r="E314" s="93">
        <v>0.15827338129496402</v>
      </c>
      <c r="G314" s="5"/>
      <c r="H314" s="5"/>
      <c r="L314" s="7"/>
      <c r="M314" s="12"/>
      <c r="O314" s="6"/>
      <c r="P314" s="6"/>
      <c r="T314" s="5"/>
      <c r="U314" s="5"/>
    </row>
    <row r="315" spans="2:21" x14ac:dyDescent="0.25">
      <c r="B315" s="90">
        <v>2047</v>
      </c>
      <c r="C315" s="91">
        <v>0.25202238690102174</v>
      </c>
      <c r="D315" s="92">
        <v>0</v>
      </c>
      <c r="E315" s="93">
        <v>0.21582733812949639</v>
      </c>
      <c r="G315" s="5"/>
      <c r="H315" s="5"/>
      <c r="L315" s="7"/>
      <c r="M315" s="12"/>
      <c r="O315" s="6"/>
      <c r="P315" s="6"/>
      <c r="T315" s="5"/>
      <c r="U315" s="5"/>
    </row>
    <row r="316" spans="2:21" x14ac:dyDescent="0.25">
      <c r="B316" s="90">
        <v>1482</v>
      </c>
      <c r="C316" s="91">
        <v>0.25244592561655521</v>
      </c>
      <c r="D316" s="92">
        <v>0</v>
      </c>
      <c r="E316" s="93">
        <v>0.21582733812949639</v>
      </c>
      <c r="G316" s="5"/>
      <c r="H316" s="5"/>
      <c r="L316" s="7"/>
      <c r="M316" s="12"/>
      <c r="O316" s="6"/>
      <c r="P316" s="6"/>
      <c r="T316" s="5"/>
      <c r="U316" s="5"/>
    </row>
    <row r="317" spans="2:21" x14ac:dyDescent="0.25">
      <c r="B317" s="90">
        <v>1922</v>
      </c>
      <c r="C317" s="91">
        <v>0.25314908189045848</v>
      </c>
      <c r="D317" s="92">
        <v>0</v>
      </c>
      <c r="E317" s="93">
        <v>0.49640287769784175</v>
      </c>
      <c r="G317" s="5"/>
      <c r="H317" s="5"/>
      <c r="L317" s="7"/>
      <c r="M317" s="12"/>
      <c r="O317" s="6"/>
      <c r="P317" s="6"/>
      <c r="T317" s="5"/>
      <c r="U317" s="5"/>
    </row>
    <row r="318" spans="2:21" x14ac:dyDescent="0.25">
      <c r="B318" s="90">
        <v>1921</v>
      </c>
      <c r="C318" s="91">
        <v>0.25397093435947737</v>
      </c>
      <c r="D318" s="92">
        <v>0</v>
      </c>
      <c r="E318" s="93">
        <v>0.42446043165467628</v>
      </c>
      <c r="G318" s="5"/>
      <c r="H318" s="5"/>
      <c r="L318" s="7"/>
      <c r="M318" s="12"/>
      <c r="O318" s="6"/>
      <c r="P318" s="6"/>
      <c r="T318" s="5"/>
      <c r="U318" s="5"/>
    </row>
    <row r="319" spans="2:21" x14ac:dyDescent="0.25">
      <c r="B319" s="90">
        <v>924</v>
      </c>
      <c r="C319" s="91">
        <v>0.25422368370529336</v>
      </c>
      <c r="D319" s="92">
        <v>0</v>
      </c>
      <c r="E319" s="93">
        <v>0.48201438848920863</v>
      </c>
      <c r="G319" s="5"/>
      <c r="H319" s="5"/>
      <c r="L319" s="7"/>
      <c r="M319" s="12"/>
      <c r="O319" s="6"/>
      <c r="P319" s="6"/>
      <c r="T319" s="5"/>
      <c r="U319" s="5"/>
    </row>
    <row r="320" spans="2:21" x14ac:dyDescent="0.25">
      <c r="B320" s="90">
        <v>1562</v>
      </c>
      <c r="C320" s="91">
        <v>0.25633590238934856</v>
      </c>
      <c r="D320" s="92">
        <v>0</v>
      </c>
      <c r="E320" s="93">
        <v>0.15107913669064749</v>
      </c>
      <c r="G320" s="5"/>
      <c r="H320" s="5"/>
      <c r="L320" s="7"/>
      <c r="M320" s="12"/>
      <c r="O320" s="6"/>
      <c r="P320" s="6"/>
      <c r="T320" s="5"/>
      <c r="U320" s="5"/>
    </row>
    <row r="321" spans="2:21" x14ac:dyDescent="0.25">
      <c r="B321" s="90">
        <v>1853</v>
      </c>
      <c r="C321" s="91">
        <v>0.25674549992172713</v>
      </c>
      <c r="D321" s="92">
        <v>0</v>
      </c>
      <c r="E321" s="93">
        <v>0.5611510791366906</v>
      </c>
      <c r="G321" s="5"/>
      <c r="H321" s="5"/>
      <c r="L321" s="7"/>
      <c r="M321" s="12"/>
      <c r="O321" s="6"/>
      <c r="P321" s="6"/>
      <c r="T321" s="5"/>
      <c r="U321" s="5"/>
    </row>
    <row r="322" spans="2:21" x14ac:dyDescent="0.25">
      <c r="B322" s="90">
        <v>2069</v>
      </c>
      <c r="C322" s="91">
        <v>0.25895205292235757</v>
      </c>
      <c r="D322" s="92">
        <v>0</v>
      </c>
      <c r="E322" s="93">
        <v>0.16546762589928057</v>
      </c>
      <c r="G322" s="5"/>
      <c r="H322" s="5"/>
      <c r="L322" s="7"/>
      <c r="M322" s="12"/>
      <c r="O322" s="6"/>
      <c r="P322" s="6"/>
      <c r="T322" s="5"/>
      <c r="U322" s="5"/>
    </row>
    <row r="323" spans="2:21" x14ac:dyDescent="0.25">
      <c r="B323" s="90">
        <v>2003</v>
      </c>
      <c r="C323" s="91">
        <v>0.26053274693492379</v>
      </c>
      <c r="D323" s="92">
        <v>0</v>
      </c>
      <c r="E323" s="93">
        <v>0.15827338129496402</v>
      </c>
      <c r="G323" s="5"/>
      <c r="H323" s="5"/>
      <c r="L323" s="7"/>
      <c r="M323" s="12"/>
      <c r="O323" s="6"/>
      <c r="P323" s="6"/>
      <c r="T323" s="5"/>
      <c r="U323" s="5"/>
    </row>
    <row r="324" spans="2:21" x14ac:dyDescent="0.25">
      <c r="B324" s="90">
        <v>1444</v>
      </c>
      <c r="C324" s="91">
        <v>0.26085696125541524</v>
      </c>
      <c r="D324" s="92">
        <v>0</v>
      </c>
      <c r="E324" s="93">
        <v>0.28776978417266186</v>
      </c>
      <c r="G324" s="5"/>
      <c r="H324" s="5"/>
      <c r="L324" s="7"/>
      <c r="M324" s="12"/>
      <c r="O324" s="6"/>
      <c r="P324" s="6"/>
      <c r="T324" s="5"/>
      <c r="U324" s="5"/>
    </row>
    <row r="325" spans="2:21" x14ac:dyDescent="0.25">
      <c r="B325" s="90">
        <v>973</v>
      </c>
      <c r="C325" s="91">
        <v>0.26167734616306948</v>
      </c>
      <c r="D325" s="92">
        <v>0</v>
      </c>
      <c r="E325" s="93">
        <v>0.48201438848920863</v>
      </c>
      <c r="G325" s="5"/>
      <c r="H325" s="5"/>
      <c r="L325" s="7"/>
      <c r="M325" s="12"/>
      <c r="O325" s="6"/>
      <c r="P325" s="6"/>
      <c r="T325" s="5"/>
      <c r="U325" s="5"/>
    </row>
    <row r="326" spans="2:21" x14ac:dyDescent="0.25">
      <c r="B326" s="90">
        <v>926</v>
      </c>
      <c r="C326" s="91">
        <v>0.2618959622118604</v>
      </c>
      <c r="D326" s="92">
        <v>0</v>
      </c>
      <c r="E326" s="93">
        <v>0.51798561151079137</v>
      </c>
      <c r="G326" s="5"/>
      <c r="H326" s="5"/>
      <c r="L326" s="7"/>
      <c r="M326" s="12"/>
      <c r="O326" s="6"/>
      <c r="P326" s="6"/>
      <c r="T326" s="5"/>
      <c r="U326" s="5"/>
    </row>
    <row r="327" spans="2:21" x14ac:dyDescent="0.25">
      <c r="B327" s="90">
        <v>2079</v>
      </c>
      <c r="C327" s="91">
        <v>0.26357864963128319</v>
      </c>
      <c r="D327" s="92">
        <v>0</v>
      </c>
      <c r="E327" s="93">
        <v>0.15827338129496402</v>
      </c>
      <c r="G327" s="5"/>
      <c r="H327" s="5"/>
      <c r="L327" s="7"/>
      <c r="M327" s="12"/>
      <c r="O327" s="6"/>
      <c r="P327" s="6"/>
      <c r="T327" s="5"/>
      <c r="U327" s="5"/>
    </row>
    <row r="328" spans="2:21" x14ac:dyDescent="0.25">
      <c r="B328" s="90">
        <v>1802</v>
      </c>
      <c r="C328" s="91">
        <v>0.26495975817693473</v>
      </c>
      <c r="D328" s="92">
        <v>0</v>
      </c>
      <c r="E328" s="93">
        <v>0.5611510791366906</v>
      </c>
      <c r="G328" s="5"/>
      <c r="H328" s="5"/>
      <c r="L328" s="7"/>
      <c r="M328" s="12"/>
      <c r="O328" s="6"/>
      <c r="P328" s="6"/>
      <c r="T328" s="5"/>
      <c r="U328" s="5"/>
    </row>
    <row r="329" spans="2:21" x14ac:dyDescent="0.25">
      <c r="B329" s="90">
        <v>1561</v>
      </c>
      <c r="C329" s="91">
        <v>0.2654598493138155</v>
      </c>
      <c r="D329" s="92">
        <v>0</v>
      </c>
      <c r="E329" s="93">
        <v>0.15827338129496402</v>
      </c>
      <c r="G329" s="5"/>
      <c r="H329" s="5"/>
      <c r="L329" s="7"/>
      <c r="M329" s="12"/>
      <c r="O329" s="6"/>
      <c r="P329" s="6"/>
      <c r="T329" s="5"/>
      <c r="U329" s="5"/>
    </row>
    <row r="330" spans="2:21" x14ac:dyDescent="0.25">
      <c r="B330" s="90">
        <v>1800</v>
      </c>
      <c r="C330" s="91">
        <v>0.26860819818732606</v>
      </c>
      <c r="D330" s="92">
        <v>0</v>
      </c>
      <c r="E330" s="93">
        <v>0.41007194244604317</v>
      </c>
      <c r="G330" s="5"/>
      <c r="H330" s="5"/>
      <c r="L330" s="7"/>
      <c r="M330" s="12"/>
      <c r="O330" s="6"/>
      <c r="P330" s="6"/>
      <c r="T330" s="5"/>
      <c r="U330" s="5"/>
    </row>
    <row r="331" spans="2:21" x14ac:dyDescent="0.25">
      <c r="B331" s="90">
        <v>874</v>
      </c>
      <c r="C331" s="91">
        <v>0.27071631143034969</v>
      </c>
      <c r="D331" s="92">
        <v>0</v>
      </c>
      <c r="E331" s="93">
        <v>0.48920863309352519</v>
      </c>
      <c r="G331" s="5"/>
      <c r="H331" s="5"/>
      <c r="L331" s="7"/>
      <c r="M331" s="12"/>
      <c r="O331" s="6"/>
      <c r="P331" s="6"/>
      <c r="T331" s="5"/>
      <c r="U331" s="5"/>
    </row>
    <row r="332" spans="2:21" x14ac:dyDescent="0.25">
      <c r="B332" s="90">
        <v>1717</v>
      </c>
      <c r="C332" s="91">
        <v>0.27180088612576059</v>
      </c>
      <c r="D332" s="92">
        <v>0</v>
      </c>
      <c r="E332" s="93">
        <v>0.41007194244604317</v>
      </c>
      <c r="G332" s="5"/>
      <c r="H332" s="5"/>
      <c r="L332" s="7"/>
      <c r="M332" s="12"/>
      <c r="O332" s="6"/>
      <c r="P332" s="6"/>
      <c r="T332" s="5"/>
      <c r="U332" s="5"/>
    </row>
    <row r="333" spans="2:21" x14ac:dyDescent="0.25">
      <c r="B333" s="90">
        <v>1593</v>
      </c>
      <c r="C333" s="91">
        <v>0.27480838375664118</v>
      </c>
      <c r="D333" s="92">
        <v>0</v>
      </c>
      <c r="E333" s="93">
        <v>0.15107913669064749</v>
      </c>
      <c r="G333" s="5"/>
      <c r="H333" s="5"/>
      <c r="L333" s="7"/>
      <c r="M333" s="12"/>
      <c r="O333" s="6"/>
      <c r="P333" s="6"/>
      <c r="T333" s="5"/>
      <c r="U333" s="5"/>
    </row>
    <row r="334" spans="2:21" x14ac:dyDescent="0.25">
      <c r="B334" s="90">
        <v>1875</v>
      </c>
      <c r="C334" s="91">
        <v>0.27604824143090645</v>
      </c>
      <c r="D334" s="92">
        <v>0</v>
      </c>
      <c r="E334" s="93">
        <v>0.42446043165467628</v>
      </c>
      <c r="G334" s="5"/>
      <c r="H334" s="5"/>
      <c r="L334" s="7"/>
      <c r="M334" s="12"/>
      <c r="O334" s="6"/>
      <c r="P334" s="6"/>
      <c r="T334" s="5"/>
      <c r="U334" s="5"/>
    </row>
    <row r="335" spans="2:21" x14ac:dyDescent="0.25">
      <c r="B335" s="90">
        <v>1525</v>
      </c>
      <c r="C335" s="91">
        <v>0.27691686456329356</v>
      </c>
      <c r="D335" s="92">
        <v>0</v>
      </c>
      <c r="E335" s="93">
        <v>0.15107913669064749</v>
      </c>
      <c r="G335" s="5"/>
      <c r="H335" s="5"/>
      <c r="L335" s="7"/>
      <c r="M335" s="12"/>
      <c r="O335" s="6"/>
      <c r="P335" s="6"/>
      <c r="T335" s="5"/>
      <c r="U335" s="5"/>
    </row>
    <row r="336" spans="2:21" x14ac:dyDescent="0.25">
      <c r="B336" s="90">
        <v>975</v>
      </c>
      <c r="C336" s="91">
        <v>0.27801538286290683</v>
      </c>
      <c r="D336" s="92">
        <v>0</v>
      </c>
      <c r="E336" s="93">
        <v>0.51798561151079137</v>
      </c>
      <c r="G336" s="5"/>
      <c r="H336" s="5"/>
      <c r="L336" s="7"/>
      <c r="M336" s="12"/>
      <c r="O336" s="6"/>
      <c r="P336" s="6"/>
      <c r="T336" s="5"/>
      <c r="U336" s="5"/>
    </row>
    <row r="337" spans="2:21" x14ac:dyDescent="0.25">
      <c r="B337" s="90">
        <v>1518</v>
      </c>
      <c r="C337" s="91">
        <v>0.27862469512460131</v>
      </c>
      <c r="D337" s="92">
        <v>0</v>
      </c>
      <c r="E337" s="93">
        <v>0.16546762589928057</v>
      </c>
      <c r="G337" s="5"/>
      <c r="H337" s="5"/>
      <c r="L337" s="7"/>
      <c r="M337" s="12"/>
      <c r="O337" s="6"/>
      <c r="P337" s="6"/>
      <c r="T337" s="5"/>
      <c r="U337" s="5"/>
    </row>
    <row r="338" spans="2:21" x14ac:dyDescent="0.25">
      <c r="B338" s="90">
        <v>260</v>
      </c>
      <c r="C338" s="91">
        <v>0.28013227772214599</v>
      </c>
      <c r="D338" s="92">
        <v>0</v>
      </c>
      <c r="E338" s="93">
        <v>0.46762589928057552</v>
      </c>
      <c r="G338" s="5"/>
      <c r="H338" s="5"/>
      <c r="L338" s="7"/>
      <c r="M338" s="12"/>
      <c r="O338" s="6"/>
      <c r="P338" s="6"/>
      <c r="T338" s="5"/>
      <c r="U338" s="5"/>
    </row>
    <row r="339" spans="2:21" x14ac:dyDescent="0.25">
      <c r="B339" s="90">
        <v>1481</v>
      </c>
      <c r="C339" s="91">
        <v>0.28056403914919292</v>
      </c>
      <c r="D339" s="92">
        <v>0</v>
      </c>
      <c r="E339" s="93">
        <v>0.25899280575539568</v>
      </c>
      <c r="G339" s="5"/>
      <c r="H339" s="5"/>
      <c r="L339" s="7"/>
      <c r="M339" s="12"/>
      <c r="O339" s="6"/>
      <c r="P339" s="6"/>
      <c r="T339" s="5"/>
      <c r="U339" s="5"/>
    </row>
    <row r="340" spans="2:21" x14ac:dyDescent="0.25">
      <c r="B340" s="90">
        <v>1626</v>
      </c>
      <c r="C340" s="91">
        <v>0.28341248241872341</v>
      </c>
      <c r="D340" s="92">
        <v>0</v>
      </c>
      <c r="E340" s="93">
        <v>0.15827338129496402</v>
      </c>
      <c r="G340" s="5"/>
      <c r="H340" s="5"/>
      <c r="L340" s="7"/>
      <c r="M340" s="12"/>
      <c r="O340" s="6"/>
      <c r="P340" s="6"/>
      <c r="T340" s="5"/>
      <c r="U340" s="5"/>
    </row>
    <row r="341" spans="2:21" x14ac:dyDescent="0.25">
      <c r="B341" s="90">
        <v>2002</v>
      </c>
      <c r="C341" s="91">
        <v>0.28614213166583924</v>
      </c>
      <c r="D341" s="92">
        <v>0</v>
      </c>
      <c r="E341" s="93">
        <v>0.15827338129496402</v>
      </c>
      <c r="G341" s="5"/>
      <c r="H341" s="5"/>
      <c r="L341" s="7"/>
      <c r="M341" s="12"/>
      <c r="O341" s="6"/>
      <c r="P341" s="6"/>
      <c r="T341" s="5"/>
      <c r="U341" s="5"/>
    </row>
    <row r="342" spans="2:21" x14ac:dyDescent="0.25">
      <c r="B342" s="90">
        <v>258</v>
      </c>
      <c r="C342" s="91">
        <v>0.28652157896701125</v>
      </c>
      <c r="D342" s="92">
        <v>0</v>
      </c>
      <c r="E342" s="93">
        <v>0.43884892086330934</v>
      </c>
      <c r="G342" s="5"/>
      <c r="H342" s="5"/>
      <c r="L342" s="7"/>
      <c r="M342" s="12"/>
      <c r="O342" s="6"/>
      <c r="P342" s="6"/>
      <c r="T342" s="5"/>
      <c r="U342" s="5"/>
    </row>
    <row r="343" spans="2:21" x14ac:dyDescent="0.25">
      <c r="B343" s="90">
        <v>321</v>
      </c>
      <c r="C343" s="91">
        <v>0.29080197294600429</v>
      </c>
      <c r="D343" s="92">
        <v>0</v>
      </c>
      <c r="E343" s="93">
        <v>0.46762589928057552</v>
      </c>
      <c r="G343" s="5"/>
      <c r="H343" s="5"/>
      <c r="L343" s="7"/>
      <c r="M343" s="12"/>
      <c r="O343" s="6"/>
      <c r="P343" s="6"/>
      <c r="T343" s="5"/>
      <c r="U343" s="5"/>
    </row>
    <row r="344" spans="2:21" x14ac:dyDescent="0.25">
      <c r="B344" s="90">
        <v>1985</v>
      </c>
      <c r="C344" s="91">
        <v>0.2910540008274185</v>
      </c>
      <c r="D344" s="92">
        <v>0</v>
      </c>
      <c r="E344" s="93">
        <v>0.15827338129496402</v>
      </c>
      <c r="G344" s="5"/>
      <c r="H344" s="5"/>
      <c r="L344" s="7"/>
      <c r="M344" s="12"/>
      <c r="O344" s="6"/>
      <c r="P344" s="6"/>
      <c r="T344" s="5"/>
      <c r="U344" s="5"/>
    </row>
    <row r="345" spans="2:21" x14ac:dyDescent="0.25">
      <c r="B345" s="90">
        <v>1596</v>
      </c>
      <c r="C345" s="91">
        <v>0.29107950779800118</v>
      </c>
      <c r="D345" s="92">
        <v>0</v>
      </c>
      <c r="E345" s="93">
        <v>0.15827338129496402</v>
      </c>
      <c r="G345" s="5"/>
      <c r="H345" s="5"/>
      <c r="L345" s="7"/>
      <c r="M345" s="12"/>
      <c r="O345" s="6"/>
      <c r="P345" s="6"/>
      <c r="T345" s="5"/>
      <c r="U345" s="5"/>
    </row>
    <row r="346" spans="2:21" x14ac:dyDescent="0.25">
      <c r="B346" s="90">
        <v>2017</v>
      </c>
      <c r="C346" s="91">
        <v>0.29173070854908201</v>
      </c>
      <c r="D346" s="92">
        <v>0</v>
      </c>
      <c r="E346" s="93">
        <v>0.17985611510791366</v>
      </c>
      <c r="G346" s="5"/>
      <c r="H346" s="5"/>
      <c r="L346" s="7"/>
      <c r="M346" s="12"/>
      <c r="O346" s="6"/>
      <c r="P346" s="6"/>
      <c r="T346" s="5"/>
      <c r="U346" s="5"/>
    </row>
    <row r="347" spans="2:21" x14ac:dyDescent="0.25">
      <c r="B347" s="90">
        <v>1553</v>
      </c>
      <c r="C347" s="91">
        <v>0.29261706599109971</v>
      </c>
      <c r="D347" s="92">
        <v>0</v>
      </c>
      <c r="E347" s="93">
        <v>0.16546762589928057</v>
      </c>
      <c r="G347" s="5"/>
      <c r="H347" s="5"/>
      <c r="L347" s="7"/>
      <c r="M347" s="12"/>
      <c r="O347" s="6"/>
      <c r="P347" s="6"/>
      <c r="T347" s="5"/>
      <c r="U347" s="5"/>
    </row>
    <row r="348" spans="2:21" x14ac:dyDescent="0.25">
      <c r="B348" s="90">
        <v>1827</v>
      </c>
      <c r="C348" s="91">
        <v>0.29277653977889595</v>
      </c>
      <c r="D348" s="92">
        <v>0</v>
      </c>
      <c r="E348" s="93">
        <v>0.48920863309352519</v>
      </c>
      <c r="G348" s="5"/>
      <c r="H348" s="5"/>
      <c r="L348" s="7"/>
      <c r="M348" s="12"/>
      <c r="O348" s="6"/>
      <c r="P348" s="6"/>
      <c r="T348" s="5"/>
      <c r="U348" s="5"/>
    </row>
    <row r="349" spans="2:21" x14ac:dyDescent="0.25">
      <c r="B349" s="90">
        <v>11</v>
      </c>
      <c r="C349" s="91">
        <v>0.29289961736104542</v>
      </c>
      <c r="D349" s="92">
        <v>0</v>
      </c>
      <c r="E349" s="93">
        <v>0.15827338129496402</v>
      </c>
      <c r="G349" s="5"/>
      <c r="H349" s="5"/>
      <c r="L349" s="7"/>
      <c r="M349" s="12"/>
      <c r="O349" s="6"/>
      <c r="P349" s="6"/>
      <c r="T349" s="5"/>
      <c r="U349" s="5"/>
    </row>
    <row r="350" spans="2:21" x14ac:dyDescent="0.25">
      <c r="B350" s="90">
        <v>2091</v>
      </c>
      <c r="C350" s="91">
        <v>0.29289961736104542</v>
      </c>
      <c r="D350" s="92">
        <v>0</v>
      </c>
      <c r="E350" s="93">
        <v>0.15827338129496402</v>
      </c>
      <c r="G350" s="5"/>
      <c r="H350" s="5"/>
      <c r="L350" s="7"/>
      <c r="M350" s="12"/>
      <c r="O350" s="6"/>
      <c r="P350" s="6"/>
      <c r="T350" s="5"/>
      <c r="U350" s="5"/>
    </row>
    <row r="351" spans="2:21" x14ac:dyDescent="0.25">
      <c r="B351" s="90">
        <v>1560</v>
      </c>
      <c r="C351" s="91">
        <v>0.29359792702622856</v>
      </c>
      <c r="D351" s="92">
        <v>0</v>
      </c>
      <c r="E351" s="93">
        <v>0.15827338129496402</v>
      </c>
      <c r="G351" s="5"/>
      <c r="H351" s="5"/>
      <c r="L351" s="7"/>
      <c r="M351" s="12"/>
      <c r="O351" s="6"/>
      <c r="P351" s="6"/>
      <c r="T351" s="5"/>
      <c r="U351" s="5"/>
    </row>
    <row r="352" spans="2:21" x14ac:dyDescent="0.25">
      <c r="B352" s="90">
        <v>2092</v>
      </c>
      <c r="C352" s="91">
        <v>0.29399721768350762</v>
      </c>
      <c r="D352" s="92">
        <v>0</v>
      </c>
      <c r="E352" s="93">
        <v>0.17985611510791366</v>
      </c>
      <c r="G352" s="5"/>
      <c r="H352" s="5"/>
      <c r="L352" s="7"/>
      <c r="M352" s="12"/>
      <c r="O352" s="6"/>
      <c r="P352" s="6"/>
      <c r="T352" s="5"/>
      <c r="U352" s="5"/>
    </row>
    <row r="353" spans="2:21" x14ac:dyDescent="0.25">
      <c r="B353" s="90">
        <v>2021</v>
      </c>
      <c r="C353" s="91">
        <v>0.29479510989811908</v>
      </c>
      <c r="D353" s="92">
        <v>0</v>
      </c>
      <c r="E353" s="93">
        <v>0.15827338129496402</v>
      </c>
      <c r="G353" s="5"/>
      <c r="H353" s="5"/>
      <c r="L353" s="7"/>
      <c r="M353" s="12"/>
      <c r="O353" s="6"/>
      <c r="P353" s="6"/>
      <c r="T353" s="5"/>
      <c r="U353" s="5"/>
    </row>
    <row r="354" spans="2:21" x14ac:dyDescent="0.25">
      <c r="B354" s="90">
        <v>319</v>
      </c>
      <c r="C354" s="91">
        <v>0.29650618663723538</v>
      </c>
      <c r="D354" s="92">
        <v>0</v>
      </c>
      <c r="E354" s="93">
        <v>0.47482014388489208</v>
      </c>
      <c r="G354" s="5"/>
      <c r="H354" s="5"/>
      <c r="L354" s="7"/>
      <c r="M354" s="12"/>
      <c r="O354" s="6"/>
      <c r="P354" s="6"/>
      <c r="T354" s="5"/>
      <c r="U354" s="5"/>
    </row>
    <row r="355" spans="2:21" x14ac:dyDescent="0.25">
      <c r="B355" s="90">
        <v>1595</v>
      </c>
      <c r="C355" s="91">
        <v>0.29794189275700012</v>
      </c>
      <c r="D355" s="92">
        <v>0</v>
      </c>
      <c r="E355" s="93">
        <v>0.15827338129496402</v>
      </c>
      <c r="G355" s="5"/>
      <c r="H355" s="5"/>
      <c r="L355" s="7"/>
      <c r="M355" s="12"/>
      <c r="O355" s="6"/>
      <c r="P355" s="6"/>
      <c r="T355" s="5"/>
      <c r="U355" s="5"/>
    </row>
    <row r="356" spans="2:21" x14ac:dyDescent="0.25">
      <c r="B356" s="90">
        <v>2016</v>
      </c>
      <c r="C356" s="91">
        <v>0.30034385354425552</v>
      </c>
      <c r="D356" s="92">
        <v>0</v>
      </c>
      <c r="E356" s="93">
        <v>0.22302158273381295</v>
      </c>
      <c r="G356" s="5"/>
      <c r="H356" s="5"/>
      <c r="L356" s="7"/>
      <c r="M356" s="12"/>
      <c r="O356" s="6"/>
      <c r="P356" s="6"/>
      <c r="T356" s="5"/>
      <c r="U356" s="5"/>
    </row>
    <row r="357" spans="2:21" x14ac:dyDescent="0.25">
      <c r="B357" s="90">
        <v>1629</v>
      </c>
      <c r="C357" s="91">
        <v>0.30038899455395418</v>
      </c>
      <c r="D357" s="92">
        <v>0</v>
      </c>
      <c r="E357" s="93">
        <v>0.15827338129496402</v>
      </c>
      <c r="G357" s="5"/>
      <c r="H357" s="5"/>
      <c r="L357" s="7"/>
      <c r="M357" s="12"/>
      <c r="O357" s="6"/>
      <c r="P357" s="6"/>
      <c r="T357" s="5"/>
      <c r="U357" s="5"/>
    </row>
    <row r="358" spans="2:21" x14ac:dyDescent="0.25">
      <c r="B358" s="90">
        <v>2120</v>
      </c>
      <c r="C358" s="91">
        <v>0.3008502859147032</v>
      </c>
      <c r="D358" s="92">
        <v>0</v>
      </c>
      <c r="E358" s="93">
        <v>0.18705035971223022</v>
      </c>
      <c r="G358" s="5"/>
      <c r="H358" s="5"/>
      <c r="L358" s="7"/>
      <c r="M358" s="12"/>
      <c r="O358" s="6"/>
      <c r="P358" s="6"/>
      <c r="T358" s="5"/>
      <c r="U358" s="5"/>
    </row>
    <row r="359" spans="2:21" x14ac:dyDescent="0.25">
      <c r="B359" s="90">
        <v>1658</v>
      </c>
      <c r="C359" s="91">
        <v>0.3015091627663935</v>
      </c>
      <c r="D359" s="92">
        <v>0</v>
      </c>
      <c r="E359" s="93">
        <v>0.15827338129496402</v>
      </c>
      <c r="G359" s="5"/>
      <c r="H359" s="5"/>
      <c r="L359" s="7"/>
      <c r="M359" s="12"/>
      <c r="O359" s="6"/>
      <c r="P359" s="6"/>
      <c r="T359" s="5"/>
      <c r="U359" s="5"/>
    </row>
    <row r="360" spans="2:21" x14ac:dyDescent="0.25">
      <c r="B360" s="90">
        <v>1852</v>
      </c>
      <c r="C360" s="91">
        <v>0.30169009632718979</v>
      </c>
      <c r="D360" s="92">
        <v>0</v>
      </c>
      <c r="E360" s="93">
        <v>0.48920863309352519</v>
      </c>
      <c r="G360" s="5"/>
      <c r="H360" s="5"/>
      <c r="L360" s="7"/>
      <c r="M360" s="12"/>
      <c r="O360" s="6"/>
      <c r="P360" s="6"/>
      <c r="T360" s="5"/>
      <c r="U360" s="5"/>
    </row>
    <row r="361" spans="2:21" x14ac:dyDescent="0.25">
      <c r="B361" s="90">
        <v>1517</v>
      </c>
      <c r="C361" s="91">
        <v>0.30198866176342964</v>
      </c>
      <c r="D361" s="92">
        <v>0</v>
      </c>
      <c r="E361" s="93">
        <v>0.20863309352517986</v>
      </c>
      <c r="G361" s="5"/>
      <c r="H361" s="5"/>
      <c r="L361" s="7"/>
      <c r="M361" s="12"/>
      <c r="O361" s="6"/>
      <c r="P361" s="6"/>
      <c r="T361" s="5"/>
      <c r="U361" s="5"/>
    </row>
    <row r="362" spans="2:21" x14ac:dyDescent="0.25">
      <c r="B362" s="90">
        <v>2042</v>
      </c>
      <c r="C362" s="91">
        <v>0.30383320950141735</v>
      </c>
      <c r="D362" s="92">
        <v>0</v>
      </c>
      <c r="E362" s="93">
        <v>0.16546762589928057</v>
      </c>
      <c r="G362" s="5"/>
      <c r="H362" s="5"/>
      <c r="L362" s="7"/>
      <c r="M362" s="12"/>
      <c r="O362" s="6"/>
      <c r="P362" s="6"/>
      <c r="T362" s="5"/>
      <c r="U362" s="5"/>
    </row>
    <row r="363" spans="2:21" x14ac:dyDescent="0.25">
      <c r="B363" s="90">
        <v>1775</v>
      </c>
      <c r="C363" s="91">
        <v>0.3054430978008269</v>
      </c>
      <c r="D363" s="92">
        <v>0</v>
      </c>
      <c r="E363" s="93">
        <v>0.56834532374100721</v>
      </c>
      <c r="G363" s="5"/>
      <c r="H363" s="5"/>
      <c r="L363" s="7"/>
      <c r="M363" s="12"/>
      <c r="O363" s="6"/>
      <c r="P363" s="6"/>
      <c r="T363" s="5"/>
      <c r="U363" s="5"/>
    </row>
    <row r="364" spans="2:21" x14ac:dyDescent="0.25">
      <c r="B364" s="90">
        <v>1771</v>
      </c>
      <c r="C364" s="91">
        <v>0.30558237228152696</v>
      </c>
      <c r="D364" s="92">
        <v>0</v>
      </c>
      <c r="E364" s="93">
        <v>0.42446043165467628</v>
      </c>
      <c r="G364" s="5"/>
      <c r="H364" s="5"/>
      <c r="L364" s="7"/>
      <c r="M364" s="12"/>
      <c r="O364" s="6"/>
      <c r="P364" s="6"/>
      <c r="T364" s="5"/>
      <c r="U364" s="5"/>
    </row>
    <row r="365" spans="2:21" x14ac:dyDescent="0.25">
      <c r="B365" s="90">
        <v>1628</v>
      </c>
      <c r="C365" s="91">
        <v>0.30679977557875726</v>
      </c>
      <c r="D365" s="92">
        <v>0</v>
      </c>
      <c r="E365" s="93">
        <v>0.16546762589928057</v>
      </c>
      <c r="G365" s="5"/>
      <c r="H365" s="5"/>
      <c r="L365" s="7"/>
      <c r="M365" s="12"/>
      <c r="O365" s="6"/>
      <c r="P365" s="6"/>
      <c r="T365" s="5"/>
      <c r="U365" s="5"/>
    </row>
    <row r="366" spans="2:21" x14ac:dyDescent="0.25">
      <c r="B366" s="90">
        <v>927</v>
      </c>
      <c r="C366" s="91">
        <v>0.30827347904590763</v>
      </c>
      <c r="D366" s="92">
        <v>0</v>
      </c>
      <c r="E366" s="93">
        <v>0.53237410071942448</v>
      </c>
      <c r="G366" s="5"/>
      <c r="H366" s="5"/>
      <c r="L366" s="7"/>
      <c r="M366" s="12"/>
      <c r="O366" s="6"/>
      <c r="P366" s="6"/>
      <c r="T366" s="5"/>
      <c r="U366" s="5"/>
    </row>
    <row r="367" spans="2:21" x14ac:dyDescent="0.25">
      <c r="B367" s="90">
        <v>1772</v>
      </c>
      <c r="C367" s="91">
        <v>0.30871577031521213</v>
      </c>
      <c r="D367" s="92">
        <v>0</v>
      </c>
      <c r="E367" s="93">
        <v>0.5539568345323741</v>
      </c>
      <c r="G367" s="5"/>
      <c r="H367" s="5"/>
      <c r="L367" s="7"/>
      <c r="M367" s="12"/>
      <c r="O367" s="6"/>
      <c r="P367" s="6"/>
      <c r="T367" s="5"/>
      <c r="U367" s="5"/>
    </row>
    <row r="368" spans="2:21" x14ac:dyDescent="0.25">
      <c r="B368" s="90">
        <v>1743</v>
      </c>
      <c r="C368" s="91">
        <v>0.30916591585505659</v>
      </c>
      <c r="D368" s="92">
        <v>0</v>
      </c>
      <c r="E368" s="93">
        <v>0.41726618705035973</v>
      </c>
      <c r="G368" s="5"/>
      <c r="H368" s="5"/>
      <c r="L368" s="7"/>
      <c r="M368" s="12"/>
      <c r="O368" s="6"/>
      <c r="P368" s="6"/>
      <c r="T368" s="5"/>
      <c r="U368" s="5"/>
    </row>
    <row r="369" spans="2:21" x14ac:dyDescent="0.25">
      <c r="B369" s="90">
        <v>1877</v>
      </c>
      <c r="C369" s="91">
        <v>0.31041233583887307</v>
      </c>
      <c r="D369" s="92">
        <v>0</v>
      </c>
      <c r="E369" s="93">
        <v>0.56834532374100721</v>
      </c>
      <c r="G369" s="5"/>
      <c r="H369" s="5"/>
      <c r="L369" s="7"/>
      <c r="M369" s="12"/>
      <c r="O369" s="6"/>
      <c r="P369" s="6"/>
      <c r="T369" s="5"/>
      <c r="U369" s="5"/>
    </row>
    <row r="370" spans="2:21" x14ac:dyDescent="0.25">
      <c r="B370" s="90">
        <v>196</v>
      </c>
      <c r="C370" s="91">
        <v>0.31108982515826855</v>
      </c>
      <c r="D370" s="92">
        <v>0</v>
      </c>
      <c r="E370" s="93">
        <v>0.47482014388489208</v>
      </c>
      <c r="G370" s="5"/>
      <c r="H370" s="5"/>
      <c r="L370" s="7"/>
      <c r="M370" s="12"/>
      <c r="O370" s="6"/>
      <c r="P370" s="6"/>
      <c r="T370" s="5"/>
      <c r="U370" s="5"/>
    </row>
    <row r="371" spans="2:21" x14ac:dyDescent="0.25">
      <c r="B371" s="90">
        <v>1984</v>
      </c>
      <c r="C371" s="91">
        <v>0.31159827923589145</v>
      </c>
      <c r="D371" s="92">
        <v>0</v>
      </c>
      <c r="E371" s="93">
        <v>0.15827338129496402</v>
      </c>
      <c r="G371" s="5"/>
      <c r="H371" s="5"/>
      <c r="L371" s="7"/>
      <c r="M371" s="12"/>
      <c r="O371" s="6"/>
      <c r="P371" s="6"/>
      <c r="T371" s="5"/>
      <c r="U371" s="5"/>
    </row>
    <row r="372" spans="2:21" x14ac:dyDescent="0.25">
      <c r="B372" s="90">
        <v>1552</v>
      </c>
      <c r="C372" s="91">
        <v>0.31239871101063743</v>
      </c>
      <c r="D372" s="92">
        <v>0</v>
      </c>
      <c r="E372" s="93">
        <v>0.20143884892086331</v>
      </c>
      <c r="G372" s="5"/>
      <c r="H372" s="5"/>
      <c r="L372" s="7"/>
      <c r="M372" s="12"/>
      <c r="O372" s="6"/>
      <c r="P372" s="6"/>
      <c r="T372" s="5"/>
      <c r="U372" s="5"/>
    </row>
    <row r="373" spans="2:21" x14ac:dyDescent="0.25">
      <c r="B373" s="90">
        <v>1747</v>
      </c>
      <c r="C373" s="91">
        <v>0.31320720431211946</v>
      </c>
      <c r="D373" s="92">
        <v>0</v>
      </c>
      <c r="E373" s="93">
        <v>0.56834532374100721</v>
      </c>
      <c r="G373" s="5"/>
      <c r="H373" s="5"/>
      <c r="L373" s="7"/>
      <c r="M373" s="12"/>
      <c r="O373" s="6"/>
      <c r="P373" s="6"/>
      <c r="T373" s="5"/>
      <c r="U373" s="5"/>
    </row>
    <row r="374" spans="2:21" x14ac:dyDescent="0.25">
      <c r="B374" s="90">
        <v>1744</v>
      </c>
      <c r="C374" s="91">
        <v>0.31370036237957777</v>
      </c>
      <c r="D374" s="92">
        <v>0</v>
      </c>
      <c r="E374" s="93">
        <v>0.5539568345323741</v>
      </c>
      <c r="G374" s="5"/>
      <c r="H374" s="5"/>
      <c r="L374" s="7"/>
      <c r="M374" s="12"/>
      <c r="O374" s="6"/>
      <c r="P374" s="6"/>
      <c r="T374" s="5"/>
      <c r="U374" s="5"/>
    </row>
    <row r="375" spans="2:21" x14ac:dyDescent="0.25">
      <c r="B375" s="90">
        <v>1978</v>
      </c>
      <c r="C375" s="91">
        <v>0.3137021607612408</v>
      </c>
      <c r="D375" s="92">
        <v>0</v>
      </c>
      <c r="E375" s="93">
        <v>0.21582733812949639</v>
      </c>
      <c r="G375" s="5"/>
      <c r="H375" s="5"/>
      <c r="L375" s="7"/>
      <c r="M375" s="12"/>
      <c r="O375" s="6"/>
      <c r="P375" s="6"/>
      <c r="T375" s="5"/>
      <c r="U375" s="5"/>
    </row>
    <row r="376" spans="2:21" x14ac:dyDescent="0.25">
      <c r="B376" s="90">
        <v>1587</v>
      </c>
      <c r="C376" s="91">
        <v>0.31757467202849843</v>
      </c>
      <c r="D376" s="92">
        <v>0</v>
      </c>
      <c r="E376" s="93">
        <v>0.15827338129496402</v>
      </c>
      <c r="G376" s="5"/>
      <c r="H376" s="5"/>
      <c r="L376" s="7"/>
      <c r="M376" s="12"/>
      <c r="O376" s="6"/>
      <c r="P376" s="6"/>
      <c r="T376" s="5"/>
      <c r="U376" s="5"/>
    </row>
    <row r="377" spans="2:21" x14ac:dyDescent="0.25">
      <c r="B377" s="90">
        <v>1661</v>
      </c>
      <c r="C377" s="91">
        <v>0.31883743349697347</v>
      </c>
      <c r="D377" s="92">
        <v>0</v>
      </c>
      <c r="E377" s="93">
        <v>0.15827338129496402</v>
      </c>
      <c r="G377" s="5"/>
      <c r="H377" s="5"/>
      <c r="L377" s="7"/>
      <c r="M377" s="12"/>
      <c r="O377" s="6"/>
      <c r="P377" s="6"/>
      <c r="T377" s="5"/>
      <c r="U377" s="5"/>
    </row>
    <row r="378" spans="2:21" x14ac:dyDescent="0.25">
      <c r="B378" s="90">
        <v>1689</v>
      </c>
      <c r="C378" s="91">
        <v>0.3194622232292017</v>
      </c>
      <c r="D378" s="92">
        <v>0</v>
      </c>
      <c r="E378" s="93">
        <v>0.15827338129496402</v>
      </c>
      <c r="G378" s="5"/>
      <c r="H378" s="5"/>
      <c r="L378" s="7"/>
      <c r="M378" s="12"/>
      <c r="O378" s="6"/>
      <c r="P378" s="6"/>
      <c r="T378" s="5"/>
      <c r="U378" s="5"/>
    </row>
    <row r="379" spans="2:21" x14ac:dyDescent="0.25">
      <c r="B379" s="90">
        <v>2139</v>
      </c>
      <c r="C379" s="91">
        <v>0.31952149960291409</v>
      </c>
      <c r="D379" s="92">
        <v>0</v>
      </c>
      <c r="E379" s="93">
        <v>0.17266187050359713</v>
      </c>
      <c r="G379" s="5"/>
      <c r="H379" s="5"/>
      <c r="L379" s="7"/>
      <c r="M379" s="12"/>
      <c r="O379" s="6"/>
      <c r="P379" s="6"/>
      <c r="T379" s="5"/>
      <c r="U379" s="5"/>
    </row>
    <row r="380" spans="2:21" x14ac:dyDescent="0.25">
      <c r="B380" s="90">
        <v>1801</v>
      </c>
      <c r="C380" s="91">
        <v>0.32082207712263711</v>
      </c>
      <c r="D380" s="92">
        <v>0</v>
      </c>
      <c r="E380" s="93">
        <v>0.56834532374100721</v>
      </c>
      <c r="G380" s="5"/>
      <c r="H380" s="5"/>
      <c r="L380" s="7"/>
      <c r="M380" s="12"/>
      <c r="O380" s="6"/>
      <c r="P380" s="6"/>
      <c r="T380" s="5"/>
      <c r="U380" s="5"/>
    </row>
    <row r="381" spans="2:21" x14ac:dyDescent="0.25">
      <c r="B381" s="90">
        <v>1620</v>
      </c>
      <c r="C381" s="91">
        <v>0.32248749284177824</v>
      </c>
      <c r="D381" s="92">
        <v>0</v>
      </c>
      <c r="E381" s="93">
        <v>0.16546762589928057</v>
      </c>
      <c r="G381" s="5"/>
      <c r="H381" s="5"/>
      <c r="L381" s="7"/>
      <c r="M381" s="12"/>
      <c r="O381" s="6"/>
      <c r="P381" s="6"/>
      <c r="T381" s="5"/>
      <c r="U381" s="5"/>
    </row>
    <row r="382" spans="2:21" x14ac:dyDescent="0.25">
      <c r="B382" s="90">
        <v>1594</v>
      </c>
      <c r="C382" s="91">
        <v>0.3230122850606687</v>
      </c>
      <c r="D382" s="92">
        <v>0</v>
      </c>
      <c r="E382" s="93">
        <v>0.15827338129496402</v>
      </c>
      <c r="G382" s="5"/>
      <c r="H382" s="5"/>
      <c r="L382" s="7"/>
      <c r="M382" s="12"/>
      <c r="O382" s="6"/>
      <c r="P382" s="6"/>
      <c r="T382" s="5"/>
      <c r="U382" s="5"/>
    </row>
    <row r="383" spans="2:21" x14ac:dyDescent="0.25">
      <c r="B383" s="90">
        <v>1660</v>
      </c>
      <c r="C383" s="91">
        <v>0.32329969827950944</v>
      </c>
      <c r="D383" s="92">
        <v>0</v>
      </c>
      <c r="E383" s="93">
        <v>0.16546762589928057</v>
      </c>
      <c r="G383" s="5"/>
      <c r="H383" s="5"/>
      <c r="L383" s="7"/>
      <c r="M383" s="12"/>
      <c r="O383" s="6"/>
      <c r="P383" s="6"/>
      <c r="T383" s="5"/>
      <c r="U383" s="5"/>
    </row>
    <row r="384" spans="2:21" x14ac:dyDescent="0.25">
      <c r="B384" s="90">
        <v>261</v>
      </c>
      <c r="C384" s="91">
        <v>0.32517686286901037</v>
      </c>
      <c r="D384" s="92">
        <v>0</v>
      </c>
      <c r="E384" s="93">
        <v>0.48201438848920863</v>
      </c>
      <c r="G384" s="5"/>
      <c r="H384" s="5"/>
      <c r="L384" s="7"/>
      <c r="M384" s="12"/>
      <c r="O384" s="6"/>
      <c r="P384" s="6"/>
      <c r="T384" s="5"/>
      <c r="U384" s="5"/>
    </row>
    <row r="385" spans="2:21" x14ac:dyDescent="0.25">
      <c r="B385" s="90">
        <v>1996</v>
      </c>
      <c r="C385" s="91">
        <v>0.32924543571869824</v>
      </c>
      <c r="D385" s="92">
        <v>0</v>
      </c>
      <c r="E385" s="93">
        <v>0.21582733812949639</v>
      </c>
      <c r="G385" s="5"/>
      <c r="H385" s="5"/>
      <c r="L385" s="7"/>
      <c r="M385" s="12"/>
      <c r="O385" s="6"/>
      <c r="P385" s="6"/>
      <c r="T385" s="5"/>
      <c r="U385" s="5"/>
    </row>
    <row r="386" spans="2:21" x14ac:dyDescent="0.25">
      <c r="B386" s="90">
        <v>976</v>
      </c>
      <c r="C386" s="91">
        <v>0.32994476684714247</v>
      </c>
      <c r="D386" s="92">
        <v>0</v>
      </c>
      <c r="E386" s="93">
        <v>0.53237410071942448</v>
      </c>
      <c r="G386" s="5"/>
      <c r="H386" s="5"/>
      <c r="L386" s="7"/>
      <c r="M386" s="12"/>
      <c r="O386" s="6"/>
      <c r="P386" s="6"/>
      <c r="T386" s="5"/>
      <c r="U386" s="5"/>
    </row>
    <row r="387" spans="2:21" x14ac:dyDescent="0.25">
      <c r="B387" s="90">
        <v>1627</v>
      </c>
      <c r="C387" s="91">
        <v>0.33018588794968273</v>
      </c>
      <c r="D387" s="92">
        <v>0</v>
      </c>
      <c r="E387" s="93">
        <v>0.15827338129496402</v>
      </c>
      <c r="G387" s="5"/>
      <c r="H387" s="5"/>
      <c r="L387" s="7"/>
      <c r="M387" s="12"/>
      <c r="O387" s="6"/>
      <c r="P387" s="6"/>
      <c r="T387" s="5"/>
      <c r="U387" s="5"/>
    </row>
    <row r="388" spans="2:21" x14ac:dyDescent="0.25">
      <c r="B388" s="90">
        <v>1619</v>
      </c>
      <c r="C388" s="91">
        <v>0.33055007446358842</v>
      </c>
      <c r="D388" s="92">
        <v>0</v>
      </c>
      <c r="E388" s="93">
        <v>0.14388489208633093</v>
      </c>
      <c r="G388" s="5"/>
      <c r="H388" s="5"/>
      <c r="L388" s="7"/>
      <c r="M388" s="12"/>
      <c r="O388" s="6"/>
      <c r="P388" s="6"/>
      <c r="T388" s="5"/>
      <c r="U388" s="5"/>
    </row>
    <row r="389" spans="2:21" x14ac:dyDescent="0.25">
      <c r="B389" s="90">
        <v>1586</v>
      </c>
      <c r="C389" s="91">
        <v>0.33070305587274351</v>
      </c>
      <c r="D389" s="92">
        <v>0</v>
      </c>
      <c r="E389" s="93">
        <v>0.19424460431654678</v>
      </c>
      <c r="G389" s="5"/>
      <c r="H389" s="5"/>
      <c r="L389" s="7"/>
      <c r="M389" s="12"/>
      <c r="O389" s="6"/>
      <c r="P389" s="6"/>
      <c r="T389" s="5"/>
      <c r="U389" s="5"/>
    </row>
    <row r="390" spans="2:21" x14ac:dyDescent="0.25">
      <c r="B390" s="90">
        <v>2011</v>
      </c>
      <c r="C390" s="91">
        <v>0.33570908575627589</v>
      </c>
      <c r="D390" s="92">
        <v>0</v>
      </c>
      <c r="E390" s="93">
        <v>0.17266187050359713</v>
      </c>
      <c r="G390" s="5"/>
      <c r="H390" s="5"/>
      <c r="L390" s="7"/>
      <c r="M390" s="12"/>
      <c r="O390" s="6"/>
      <c r="P390" s="6"/>
      <c r="T390" s="5"/>
      <c r="U390" s="5"/>
    </row>
    <row r="391" spans="2:21" x14ac:dyDescent="0.25">
      <c r="B391" s="90">
        <v>322</v>
      </c>
      <c r="C391" s="91">
        <v>0.33616995253383686</v>
      </c>
      <c r="D391" s="92">
        <v>0</v>
      </c>
      <c r="E391" s="93">
        <v>0.48920863309352519</v>
      </c>
      <c r="G391" s="5"/>
      <c r="H391" s="5"/>
      <c r="L391" s="7"/>
      <c r="M391" s="12"/>
      <c r="O391" s="6"/>
      <c r="P391" s="6"/>
      <c r="T391" s="5"/>
      <c r="U391" s="5"/>
    </row>
    <row r="392" spans="2:21" x14ac:dyDescent="0.25">
      <c r="B392" s="90">
        <v>1652</v>
      </c>
      <c r="C392" s="91">
        <v>0.33637907768510256</v>
      </c>
      <c r="D392" s="92">
        <v>0</v>
      </c>
      <c r="E392" s="93">
        <v>0.16546762589928057</v>
      </c>
      <c r="G392" s="5"/>
      <c r="H392" s="5"/>
      <c r="L392" s="7"/>
      <c r="M392" s="12"/>
      <c r="O392" s="6"/>
      <c r="P392" s="6"/>
      <c r="T392" s="5"/>
      <c r="U392" s="5"/>
    </row>
    <row r="393" spans="2:21" x14ac:dyDescent="0.25">
      <c r="B393" s="90">
        <v>1692</v>
      </c>
      <c r="C393" s="91">
        <v>0.33865625792904075</v>
      </c>
      <c r="D393" s="92">
        <v>0</v>
      </c>
      <c r="E393" s="93">
        <v>0.16546762589928057</v>
      </c>
      <c r="G393" s="5"/>
      <c r="H393" s="5"/>
      <c r="L393" s="7"/>
      <c r="M393" s="12"/>
      <c r="O393" s="6"/>
      <c r="P393" s="6"/>
      <c r="T393" s="5"/>
      <c r="U393" s="5"/>
    </row>
    <row r="394" spans="2:21" x14ac:dyDescent="0.25">
      <c r="B394" s="90">
        <v>1773</v>
      </c>
      <c r="C394" s="91">
        <v>0.34169297856424352</v>
      </c>
      <c r="D394" s="92">
        <v>0</v>
      </c>
      <c r="E394" s="93">
        <v>0.5611510791366906</v>
      </c>
      <c r="G394" s="5"/>
      <c r="H394" s="5"/>
      <c r="L394" s="7"/>
      <c r="M394" s="12"/>
      <c r="O394" s="6"/>
      <c r="P394" s="6"/>
      <c r="T394" s="5"/>
      <c r="U394" s="5"/>
    </row>
    <row r="395" spans="2:21" x14ac:dyDescent="0.25">
      <c r="B395" s="90">
        <v>1651</v>
      </c>
      <c r="C395" s="91">
        <v>0.34186865211291617</v>
      </c>
      <c r="D395" s="92">
        <v>0</v>
      </c>
      <c r="E395" s="93">
        <v>0.14388489208633093</v>
      </c>
      <c r="G395" s="5"/>
      <c r="H395" s="5"/>
      <c r="L395" s="7"/>
      <c r="M395" s="12"/>
      <c r="O395" s="6"/>
      <c r="P395" s="6"/>
      <c r="T395" s="5"/>
      <c r="U395" s="5"/>
    </row>
    <row r="396" spans="2:21" x14ac:dyDescent="0.25">
      <c r="B396" s="90">
        <v>2046</v>
      </c>
      <c r="C396" s="91">
        <v>0.34319358210005002</v>
      </c>
      <c r="D396" s="92">
        <v>0</v>
      </c>
      <c r="E396" s="93">
        <v>0.17266187050359713</v>
      </c>
      <c r="G396" s="5"/>
      <c r="H396" s="5"/>
      <c r="L396" s="7"/>
      <c r="M396" s="12"/>
      <c r="O396" s="6"/>
      <c r="P396" s="6"/>
      <c r="T396" s="5"/>
      <c r="U396" s="5"/>
    </row>
    <row r="397" spans="2:21" x14ac:dyDescent="0.25">
      <c r="B397" s="90">
        <v>1691</v>
      </c>
      <c r="C397" s="91">
        <v>0.34321810416727139</v>
      </c>
      <c r="D397" s="92">
        <v>0</v>
      </c>
      <c r="E397" s="93">
        <v>0.16546762589928057</v>
      </c>
      <c r="G397" s="5"/>
      <c r="H397" s="5"/>
      <c r="L397" s="7"/>
      <c r="M397" s="12"/>
      <c r="O397" s="6"/>
      <c r="P397" s="6"/>
      <c r="T397" s="5"/>
      <c r="U397" s="5"/>
    </row>
    <row r="398" spans="2:21" x14ac:dyDescent="0.25">
      <c r="B398" s="90">
        <v>12</v>
      </c>
      <c r="C398" s="91">
        <v>0.34427103683574911</v>
      </c>
      <c r="D398" s="92">
        <v>0</v>
      </c>
      <c r="E398" s="93">
        <v>0.16546762589928057</v>
      </c>
      <c r="G398" s="5"/>
      <c r="H398" s="5"/>
      <c r="L398" s="7"/>
      <c r="M398" s="12"/>
      <c r="O398" s="6"/>
      <c r="P398" s="6"/>
      <c r="T398" s="5"/>
      <c r="U398" s="5"/>
    </row>
    <row r="399" spans="2:21" x14ac:dyDescent="0.25">
      <c r="B399" s="90">
        <v>2080</v>
      </c>
      <c r="C399" s="91">
        <v>0.34427103683574911</v>
      </c>
      <c r="D399" s="92">
        <v>0</v>
      </c>
      <c r="E399" s="93">
        <v>0.16546762589928057</v>
      </c>
      <c r="G399" s="5"/>
      <c r="H399" s="5"/>
      <c r="L399" s="7"/>
      <c r="M399" s="12"/>
      <c r="O399" s="6"/>
      <c r="P399" s="6"/>
      <c r="T399" s="5"/>
      <c r="U399" s="5"/>
    </row>
    <row r="400" spans="2:21" x14ac:dyDescent="0.25">
      <c r="B400" s="90">
        <v>1659</v>
      </c>
      <c r="C400" s="91">
        <v>0.34541936916643712</v>
      </c>
      <c r="D400" s="92">
        <v>0</v>
      </c>
      <c r="E400" s="93">
        <v>0.16546762589928057</v>
      </c>
      <c r="G400" s="5"/>
      <c r="H400" s="5"/>
      <c r="L400" s="7"/>
      <c r="M400" s="12"/>
      <c r="O400" s="6"/>
      <c r="P400" s="6"/>
      <c r="T400" s="5"/>
      <c r="U400" s="5"/>
    </row>
    <row r="401" spans="2:21" x14ac:dyDescent="0.25">
      <c r="B401" s="90">
        <v>1876</v>
      </c>
      <c r="C401" s="91">
        <v>0.34731828027142586</v>
      </c>
      <c r="D401" s="92">
        <v>0</v>
      </c>
      <c r="E401" s="93">
        <v>0.56834532374100721</v>
      </c>
      <c r="G401" s="5"/>
      <c r="H401" s="5"/>
      <c r="L401" s="7"/>
      <c r="M401" s="12"/>
      <c r="O401" s="6"/>
      <c r="P401" s="6"/>
      <c r="T401" s="5"/>
      <c r="U401" s="5"/>
    </row>
    <row r="402" spans="2:21" x14ac:dyDescent="0.25">
      <c r="B402" s="90">
        <v>1745</v>
      </c>
      <c r="C402" s="91">
        <v>0.34788154776195013</v>
      </c>
      <c r="D402" s="92">
        <v>0</v>
      </c>
      <c r="E402" s="93">
        <v>0.5611510791366906</v>
      </c>
      <c r="G402" s="5"/>
      <c r="H402" s="5"/>
      <c r="L402" s="7"/>
      <c r="M402" s="12"/>
      <c r="O402" s="6"/>
      <c r="P402" s="6"/>
      <c r="T402" s="5"/>
      <c r="U402" s="5"/>
    </row>
    <row r="403" spans="2:21" x14ac:dyDescent="0.25">
      <c r="B403" s="90">
        <v>2087</v>
      </c>
      <c r="C403" s="91">
        <v>0.34953573090269363</v>
      </c>
      <c r="D403" s="92">
        <v>0</v>
      </c>
      <c r="E403" s="93">
        <v>0.18705035971223022</v>
      </c>
      <c r="G403" s="5"/>
      <c r="H403" s="5"/>
      <c r="L403" s="7"/>
      <c r="M403" s="12"/>
      <c r="O403" s="6"/>
      <c r="P403" s="6"/>
      <c r="T403" s="5"/>
      <c r="U403" s="5"/>
    </row>
    <row r="404" spans="2:21" x14ac:dyDescent="0.25">
      <c r="B404" s="90">
        <v>2081</v>
      </c>
      <c r="C404" s="91">
        <v>0.35196940046052505</v>
      </c>
      <c r="D404" s="92">
        <v>0</v>
      </c>
      <c r="E404" s="93">
        <v>0.15827338129496402</v>
      </c>
      <c r="G404" s="5"/>
      <c r="H404" s="5"/>
      <c r="L404" s="7"/>
      <c r="M404" s="12"/>
      <c r="O404" s="6"/>
      <c r="P404" s="6"/>
      <c r="T404" s="5"/>
      <c r="U404" s="5"/>
    </row>
    <row r="405" spans="2:21" x14ac:dyDescent="0.25">
      <c r="B405" s="90">
        <v>1683</v>
      </c>
      <c r="C405" s="91">
        <v>0.35215984910512033</v>
      </c>
      <c r="D405" s="92">
        <v>0</v>
      </c>
      <c r="E405" s="93">
        <v>0.16546762589928057</v>
      </c>
      <c r="G405" s="5"/>
      <c r="H405" s="5"/>
      <c r="L405" s="7"/>
      <c r="M405" s="12"/>
      <c r="O405" s="6"/>
      <c r="P405" s="6"/>
      <c r="T405" s="5"/>
      <c r="U405" s="5"/>
    </row>
    <row r="406" spans="2:21" x14ac:dyDescent="0.25">
      <c r="B406" s="90">
        <v>1682</v>
      </c>
      <c r="C406" s="91">
        <v>0.35288111045779591</v>
      </c>
      <c r="D406" s="92">
        <v>0</v>
      </c>
      <c r="E406" s="93">
        <v>0.14388489208633093</v>
      </c>
      <c r="G406" s="5"/>
      <c r="H406" s="5"/>
      <c r="L406" s="7"/>
      <c r="M406" s="12"/>
      <c r="O406" s="6"/>
      <c r="P406" s="6"/>
      <c r="T406" s="5"/>
      <c r="U406" s="5"/>
    </row>
    <row r="407" spans="2:21" x14ac:dyDescent="0.25">
      <c r="B407" s="90">
        <v>2077</v>
      </c>
      <c r="C407" s="91">
        <v>0.36174848488865397</v>
      </c>
      <c r="D407" s="92">
        <v>0</v>
      </c>
      <c r="E407" s="93">
        <v>0.16546762589928057</v>
      </c>
      <c r="G407" s="5"/>
      <c r="H407" s="5"/>
      <c r="L407" s="7"/>
      <c r="M407" s="12"/>
      <c r="O407" s="6"/>
      <c r="P407" s="6"/>
      <c r="T407" s="5"/>
      <c r="U407" s="5"/>
    </row>
    <row r="408" spans="2:21" x14ac:dyDescent="0.25">
      <c r="B408" s="90">
        <v>1690</v>
      </c>
      <c r="C408" s="91">
        <v>0.36391598917367696</v>
      </c>
      <c r="D408" s="92">
        <v>0</v>
      </c>
      <c r="E408" s="93">
        <v>0.16546762589928057</v>
      </c>
      <c r="G408" s="5"/>
      <c r="H408" s="5"/>
      <c r="L408" s="7"/>
      <c r="M408" s="12"/>
      <c r="O408" s="6"/>
      <c r="P408" s="6"/>
      <c r="T408" s="5"/>
      <c r="U408" s="5"/>
    </row>
    <row r="409" spans="2:21" x14ac:dyDescent="0.25">
      <c r="B409" s="90">
        <v>2056</v>
      </c>
      <c r="C409" s="91">
        <v>0.36506998707384897</v>
      </c>
      <c r="D409" s="92">
        <v>0</v>
      </c>
      <c r="E409" s="93">
        <v>0.17266187050359713</v>
      </c>
      <c r="G409" s="5"/>
      <c r="H409" s="5"/>
      <c r="L409" s="7"/>
      <c r="M409" s="12"/>
      <c r="O409" s="6"/>
      <c r="P409" s="6"/>
      <c r="T409" s="5"/>
      <c r="U409" s="5"/>
    </row>
    <row r="410" spans="2:21" x14ac:dyDescent="0.25">
      <c r="B410" s="90">
        <v>2018</v>
      </c>
      <c r="C410" s="91">
        <v>0.36685187261726282</v>
      </c>
      <c r="D410" s="92">
        <v>0</v>
      </c>
      <c r="E410" s="93">
        <v>0.16546762589928057</v>
      </c>
      <c r="G410" s="5"/>
      <c r="H410" s="5"/>
      <c r="L410" s="7"/>
      <c r="M410" s="12"/>
      <c r="O410" s="6"/>
      <c r="P410" s="6"/>
      <c r="T410" s="5"/>
      <c r="U410" s="5"/>
    </row>
    <row r="411" spans="2:21" x14ac:dyDescent="0.25">
      <c r="B411" s="90">
        <v>2045</v>
      </c>
      <c r="C411" s="91">
        <v>0.36988054069546306</v>
      </c>
      <c r="D411" s="92">
        <v>0</v>
      </c>
      <c r="E411" s="93">
        <v>0.16546762589928057</v>
      </c>
      <c r="G411" s="5"/>
      <c r="H411" s="5"/>
      <c r="L411" s="7"/>
      <c r="M411" s="12"/>
      <c r="O411" s="6"/>
      <c r="P411" s="6"/>
      <c r="T411" s="5"/>
      <c r="U411" s="5"/>
    </row>
    <row r="412" spans="2:21" x14ac:dyDescent="0.25">
      <c r="B412" s="90">
        <v>2027</v>
      </c>
      <c r="C412" s="91">
        <v>0.37140423594663452</v>
      </c>
      <c r="D412" s="92">
        <v>0</v>
      </c>
      <c r="E412" s="93">
        <v>0.17266187050359713</v>
      </c>
      <c r="G412" s="5"/>
      <c r="H412" s="5"/>
      <c r="L412" s="7"/>
      <c r="M412" s="12"/>
      <c r="O412" s="6"/>
      <c r="P412" s="6"/>
      <c r="T412" s="5"/>
      <c r="U412" s="5"/>
    </row>
    <row r="413" spans="2:21" x14ac:dyDescent="0.25">
      <c r="B413" s="90">
        <v>2093</v>
      </c>
      <c r="C413" s="91">
        <v>0.37157346029208049</v>
      </c>
      <c r="D413" s="92">
        <v>0</v>
      </c>
      <c r="E413" s="93">
        <v>0.16546762589928057</v>
      </c>
      <c r="G413" s="5"/>
      <c r="H413" s="5"/>
      <c r="L413" s="7"/>
      <c r="M413" s="12"/>
      <c r="O413" s="6"/>
      <c r="P413" s="6"/>
      <c r="T413" s="5"/>
      <c r="U413" s="5"/>
    </row>
    <row r="414" spans="2:21" x14ac:dyDescent="0.25">
      <c r="B414" s="90">
        <v>2015</v>
      </c>
      <c r="C414" s="91">
        <v>0.37491929177563488</v>
      </c>
      <c r="D414" s="92">
        <v>0</v>
      </c>
      <c r="E414" s="93">
        <v>0.16546762589928057</v>
      </c>
      <c r="G414" s="5"/>
      <c r="H414" s="5"/>
      <c r="L414" s="7"/>
      <c r="M414" s="12"/>
      <c r="O414" s="6"/>
      <c r="P414" s="6"/>
      <c r="T414" s="5"/>
      <c r="U414" s="5"/>
    </row>
    <row r="415" spans="2:21" x14ac:dyDescent="0.25">
      <c r="B415" s="90">
        <v>1774</v>
      </c>
      <c r="C415" s="91">
        <v>0.37694888986580533</v>
      </c>
      <c r="D415" s="92">
        <v>0</v>
      </c>
      <c r="E415" s="93">
        <v>0.57553956834532372</v>
      </c>
      <c r="G415" s="5"/>
      <c r="H415" s="5"/>
      <c r="L415" s="7"/>
      <c r="M415" s="12"/>
      <c r="O415" s="6"/>
      <c r="P415" s="6"/>
      <c r="T415" s="5"/>
      <c r="U415" s="5"/>
    </row>
    <row r="416" spans="2:21" x14ac:dyDescent="0.25">
      <c r="B416" s="90">
        <v>2078</v>
      </c>
      <c r="C416" s="91">
        <v>0.37812133963041816</v>
      </c>
      <c r="D416" s="92">
        <v>0</v>
      </c>
      <c r="E416" s="93">
        <v>0.16546762589928057</v>
      </c>
      <c r="G416" s="5"/>
      <c r="H416" s="5"/>
      <c r="L416" s="7"/>
      <c r="M416" s="12"/>
      <c r="O416" s="6"/>
      <c r="P416" s="6"/>
      <c r="T416" s="5"/>
      <c r="U416" s="5"/>
    </row>
    <row r="417" spans="2:21" x14ac:dyDescent="0.25">
      <c r="B417" s="90">
        <v>2033</v>
      </c>
      <c r="C417" s="91">
        <v>0.38530477087500847</v>
      </c>
      <c r="D417" s="92">
        <v>0</v>
      </c>
      <c r="E417" s="93">
        <v>0.16546762589928057</v>
      </c>
      <c r="G417" s="5"/>
      <c r="H417" s="5"/>
      <c r="L417" s="7"/>
      <c r="M417" s="12"/>
      <c r="O417" s="6"/>
      <c r="P417" s="6"/>
      <c r="T417" s="5"/>
      <c r="U417" s="5"/>
    </row>
    <row r="418" spans="2:21" x14ac:dyDescent="0.25">
      <c r="B418" s="90">
        <v>1746</v>
      </c>
      <c r="C418" s="91">
        <v>0.38600524620316201</v>
      </c>
      <c r="D418" s="92">
        <v>0</v>
      </c>
      <c r="E418" s="93">
        <v>0.57553956834532372</v>
      </c>
      <c r="G418" s="5"/>
      <c r="H418" s="5"/>
      <c r="L418" s="7"/>
      <c r="M418" s="12"/>
      <c r="O418" s="6"/>
      <c r="P418" s="6"/>
      <c r="T418" s="5"/>
      <c r="U418" s="5"/>
    </row>
    <row r="419" spans="2:21" x14ac:dyDescent="0.25">
      <c r="B419" s="90">
        <v>2032</v>
      </c>
      <c r="C419" s="91">
        <v>0.38964083228242907</v>
      </c>
      <c r="D419" s="92">
        <v>0</v>
      </c>
      <c r="E419" s="93">
        <v>0.16546762589928057</v>
      </c>
      <c r="G419" s="5"/>
      <c r="H419" s="5"/>
      <c r="L419" s="7"/>
      <c r="M419" s="12"/>
      <c r="O419" s="6"/>
      <c r="P419" s="6"/>
      <c r="T419" s="5"/>
      <c r="U419" s="5"/>
    </row>
    <row r="420" spans="2:21" x14ac:dyDescent="0.25">
      <c r="B420" s="90">
        <v>10</v>
      </c>
      <c r="C420" s="91">
        <v>0.39186690240744404</v>
      </c>
      <c r="D420" s="92">
        <v>0</v>
      </c>
      <c r="E420" s="93">
        <v>0.15107913669064749</v>
      </c>
      <c r="G420" s="5"/>
      <c r="H420" s="5"/>
      <c r="L420" s="7"/>
      <c r="M420" s="12"/>
      <c r="O420" s="6"/>
      <c r="P420" s="6"/>
      <c r="T420" s="5"/>
      <c r="U420" s="5"/>
    </row>
    <row r="421" spans="2:21" x14ac:dyDescent="0.25">
      <c r="B421" s="90">
        <v>2101</v>
      </c>
      <c r="C421" s="91">
        <v>0.39186690240744404</v>
      </c>
      <c r="D421" s="92">
        <v>0</v>
      </c>
      <c r="E421" s="93">
        <v>0.15107913669064749</v>
      </c>
      <c r="G421" s="5"/>
      <c r="H421" s="5"/>
      <c r="L421" s="7"/>
      <c r="M421" s="12"/>
      <c r="O421" s="6"/>
      <c r="P421" s="6"/>
      <c r="T421" s="5"/>
      <c r="U421" s="5"/>
    </row>
    <row r="422" spans="2:21" x14ac:dyDescent="0.25">
      <c r="B422" s="90">
        <v>2073</v>
      </c>
      <c r="C422" s="91">
        <v>0.39376021583043774</v>
      </c>
      <c r="D422" s="92">
        <v>0</v>
      </c>
      <c r="E422" s="93">
        <v>0.16546762589928057</v>
      </c>
      <c r="G422" s="5"/>
      <c r="H422" s="5"/>
      <c r="L422" s="7"/>
      <c r="M422" s="12"/>
      <c r="O422" s="6"/>
      <c r="P422" s="6"/>
      <c r="T422" s="5"/>
      <c r="U422" s="5"/>
    </row>
    <row r="423" spans="2:21" x14ac:dyDescent="0.25">
      <c r="B423" s="90">
        <v>2102</v>
      </c>
      <c r="C423" s="91">
        <v>0.39402197164163821</v>
      </c>
      <c r="D423" s="92">
        <v>0</v>
      </c>
      <c r="E423" s="93">
        <v>0.15107913669064749</v>
      </c>
      <c r="G423" s="5"/>
      <c r="H423" s="5"/>
      <c r="L423" s="7"/>
      <c r="M423" s="12"/>
      <c r="O423" s="6"/>
      <c r="P423" s="6"/>
      <c r="T423" s="5"/>
      <c r="U423" s="5"/>
    </row>
    <row r="424" spans="2:21" x14ac:dyDescent="0.25">
      <c r="B424" s="90">
        <v>9</v>
      </c>
      <c r="C424" s="91">
        <v>0.39418117875392877</v>
      </c>
      <c r="D424" s="92">
        <v>0</v>
      </c>
      <c r="E424" s="93">
        <v>0.14388489208633093</v>
      </c>
      <c r="G424" s="5"/>
      <c r="H424" s="5"/>
      <c r="L424" s="7"/>
      <c r="M424" s="12"/>
      <c r="O424" s="6"/>
      <c r="P424" s="6"/>
      <c r="T424" s="5"/>
      <c r="U424" s="5"/>
    </row>
    <row r="425" spans="2:21" x14ac:dyDescent="0.25">
      <c r="B425" s="90">
        <v>2110</v>
      </c>
      <c r="C425" s="91">
        <v>0.39418117875392877</v>
      </c>
      <c r="D425" s="92">
        <v>0</v>
      </c>
      <c r="E425" s="93">
        <v>0.14388489208633093</v>
      </c>
      <c r="G425" s="5"/>
      <c r="H425" s="5"/>
      <c r="L425" s="7"/>
      <c r="M425" s="12"/>
      <c r="O425" s="6"/>
      <c r="P425" s="6"/>
      <c r="T425" s="5"/>
      <c r="U425" s="5"/>
    </row>
    <row r="426" spans="2:21" x14ac:dyDescent="0.25">
      <c r="B426" s="90">
        <v>2111</v>
      </c>
      <c r="C426" s="91">
        <v>0.39712971520441553</v>
      </c>
      <c r="D426" s="92">
        <v>0</v>
      </c>
      <c r="E426" s="93">
        <v>0.15107913669064749</v>
      </c>
      <c r="G426" s="5"/>
      <c r="H426" s="5"/>
      <c r="L426" s="7"/>
      <c r="M426" s="12"/>
      <c r="O426" s="6"/>
      <c r="P426" s="6"/>
      <c r="T426" s="5"/>
      <c r="U426" s="5"/>
    </row>
    <row r="427" spans="2:21" x14ac:dyDescent="0.25">
      <c r="B427" s="90">
        <v>2014</v>
      </c>
      <c r="C427" s="91">
        <v>0.39821331349678035</v>
      </c>
      <c r="D427" s="92">
        <v>0</v>
      </c>
      <c r="E427" s="93">
        <v>0.16546762589928057</v>
      </c>
      <c r="G427" s="5"/>
      <c r="H427" s="5"/>
      <c r="L427" s="7"/>
      <c r="M427" s="12"/>
      <c r="O427" s="6"/>
      <c r="P427" s="6"/>
      <c r="T427" s="5"/>
      <c r="U427" s="5"/>
    </row>
    <row r="428" spans="2:21" x14ac:dyDescent="0.25">
      <c r="B428" s="90">
        <v>2051</v>
      </c>
      <c r="C428" s="91">
        <v>0.40743608898326478</v>
      </c>
      <c r="D428" s="92">
        <v>0</v>
      </c>
      <c r="E428" s="93">
        <v>0.15107913669064749</v>
      </c>
      <c r="G428" s="5"/>
      <c r="H428" s="5"/>
      <c r="L428" s="7"/>
      <c r="M428" s="12"/>
      <c r="O428" s="6"/>
      <c r="P428" s="6"/>
      <c r="T428" s="5"/>
      <c r="U428" s="5"/>
    </row>
    <row r="429" spans="2:21" x14ac:dyDescent="0.25">
      <c r="B429" s="90">
        <v>2070</v>
      </c>
      <c r="C429" s="91">
        <v>0.40985303545871499</v>
      </c>
      <c r="D429" s="92">
        <v>0</v>
      </c>
      <c r="E429" s="93">
        <v>0.15827338129496402</v>
      </c>
      <c r="G429" s="5"/>
      <c r="H429" s="5"/>
      <c r="L429" s="7"/>
      <c r="M429" s="12"/>
      <c r="O429" s="6"/>
      <c r="P429" s="6"/>
      <c r="T429" s="5"/>
      <c r="U429" s="5"/>
    </row>
    <row r="430" spans="2:21" x14ac:dyDescent="0.25">
      <c r="B430" s="90">
        <v>2061</v>
      </c>
      <c r="C430" s="91">
        <v>0.41116991100371236</v>
      </c>
      <c r="D430" s="92">
        <v>0</v>
      </c>
      <c r="E430" s="93">
        <v>0.1223021582733813</v>
      </c>
      <c r="G430" s="5"/>
      <c r="H430" s="5"/>
      <c r="L430" s="7"/>
      <c r="M430" s="12"/>
      <c r="O430" s="6"/>
      <c r="P430" s="6"/>
      <c r="T430" s="5"/>
      <c r="U430" s="5"/>
    </row>
    <row r="431" spans="2:21" x14ac:dyDescent="0.25">
      <c r="B431" s="90">
        <v>2062</v>
      </c>
      <c r="C431" s="91">
        <v>0.41409101431535844</v>
      </c>
      <c r="D431" s="92">
        <v>0</v>
      </c>
      <c r="E431" s="93">
        <v>0.17266187050359713</v>
      </c>
      <c r="G431" s="5"/>
      <c r="H431" s="5"/>
      <c r="L431" s="7"/>
      <c r="M431" s="12"/>
      <c r="O431" s="6"/>
      <c r="P431" s="6"/>
      <c r="T431" s="5"/>
      <c r="U431" s="5"/>
    </row>
    <row r="432" spans="2:21" x14ac:dyDescent="0.25">
      <c r="B432" s="90">
        <v>2037</v>
      </c>
      <c r="C432" s="91">
        <v>0.41941436499502005</v>
      </c>
      <c r="D432" s="92">
        <v>0</v>
      </c>
      <c r="E432" s="93">
        <v>0.15107913669064749</v>
      </c>
      <c r="G432" s="5"/>
      <c r="H432" s="5"/>
      <c r="L432" s="7"/>
      <c r="M432" s="12"/>
      <c r="O432" s="6"/>
      <c r="P432" s="6"/>
      <c r="T432" s="5"/>
      <c r="U432" s="5"/>
    </row>
    <row r="433" spans="2:21" x14ac:dyDescent="0.25">
      <c r="B433" s="90">
        <v>2072</v>
      </c>
      <c r="C433" s="91">
        <v>0.43427066863895603</v>
      </c>
      <c r="D433" s="92">
        <v>0</v>
      </c>
      <c r="E433" s="93">
        <v>0.1223021582733813</v>
      </c>
      <c r="G433" s="5"/>
      <c r="H433" s="5"/>
      <c r="L433" s="7"/>
      <c r="M433" s="12"/>
      <c r="O433" s="6"/>
      <c r="P433" s="6"/>
      <c r="T433" s="5"/>
      <c r="U433" s="5"/>
    </row>
    <row r="434" spans="2:21" x14ac:dyDescent="0.25">
      <c r="B434" s="90">
        <v>2012</v>
      </c>
      <c r="C434" s="91">
        <v>0.4515299009373881</v>
      </c>
      <c r="D434" s="92">
        <v>0</v>
      </c>
      <c r="E434" s="93">
        <v>0.15827338129496402</v>
      </c>
      <c r="G434" s="5"/>
      <c r="H434" s="5"/>
      <c r="L434" s="7"/>
      <c r="M434" s="12"/>
      <c r="O434" s="6"/>
      <c r="P434" s="6"/>
      <c r="T434" s="5"/>
      <c r="U434" s="5"/>
    </row>
    <row r="435" spans="2:21" x14ac:dyDescent="0.25">
      <c r="B435" s="90">
        <v>2034</v>
      </c>
      <c r="C435" s="91">
        <v>0.45418218070272742</v>
      </c>
      <c r="D435" s="92">
        <v>0</v>
      </c>
      <c r="E435" s="93">
        <v>0.14388489208633093</v>
      </c>
      <c r="G435" s="5"/>
      <c r="H435" s="5"/>
      <c r="L435" s="7"/>
      <c r="M435" s="12"/>
      <c r="O435" s="6"/>
      <c r="P435" s="6"/>
      <c r="T435" s="5"/>
      <c r="U435" s="5"/>
    </row>
    <row r="436" spans="2:21" x14ac:dyDescent="0.25">
      <c r="B436" s="90">
        <v>2031</v>
      </c>
      <c r="C436" s="91">
        <v>0.45512049202299043</v>
      </c>
      <c r="D436" s="92">
        <v>0</v>
      </c>
      <c r="E436" s="93">
        <v>0.11510791366906475</v>
      </c>
      <c r="G436" s="5"/>
      <c r="H436" s="5"/>
      <c r="L436" s="7"/>
      <c r="M436" s="12"/>
      <c r="O436" s="6"/>
      <c r="P436" s="6"/>
      <c r="T436" s="5"/>
      <c r="U436" s="5"/>
    </row>
    <row r="437" spans="2:21" x14ac:dyDescent="0.25">
      <c r="B437" s="90">
        <v>2082</v>
      </c>
      <c r="C437" s="91">
        <v>0.45851632022097821</v>
      </c>
      <c r="D437" s="92">
        <v>0</v>
      </c>
      <c r="E437" s="93">
        <v>0.1079136690647482</v>
      </c>
      <c r="G437" s="5"/>
      <c r="H437" s="5"/>
      <c r="L437" s="7"/>
      <c r="M437" s="12"/>
      <c r="O437" s="6"/>
      <c r="P437" s="6"/>
      <c r="T437" s="5"/>
      <c r="U437" s="5"/>
    </row>
    <row r="438" spans="2:21" x14ac:dyDescent="0.25">
      <c r="B438" s="90">
        <v>2020</v>
      </c>
      <c r="C438" s="91">
        <v>0.45950521948039058</v>
      </c>
      <c r="D438" s="92">
        <v>0</v>
      </c>
      <c r="E438" s="93">
        <v>0.10071942446043165</v>
      </c>
      <c r="G438" s="5"/>
      <c r="H438" s="5"/>
      <c r="L438" s="7"/>
      <c r="M438" s="12"/>
      <c r="O438" s="6"/>
      <c r="P438" s="6"/>
      <c r="T438" s="5"/>
      <c r="U438" s="5"/>
    </row>
    <row r="439" spans="2:21" x14ac:dyDescent="0.25">
      <c r="B439" s="90">
        <v>2019</v>
      </c>
      <c r="C439" s="91">
        <v>0.46162212292746718</v>
      </c>
      <c r="D439" s="92">
        <v>0</v>
      </c>
      <c r="E439" s="93">
        <v>0.14388489208633093</v>
      </c>
      <c r="G439" s="5"/>
      <c r="H439" s="5"/>
      <c r="L439" s="7"/>
      <c r="M439" s="12"/>
      <c r="O439" s="6"/>
      <c r="P439" s="6"/>
      <c r="T439" s="5"/>
      <c r="U439" s="5"/>
    </row>
    <row r="440" spans="2:21" x14ac:dyDescent="0.25">
      <c r="B440" s="90">
        <v>2109</v>
      </c>
      <c r="C440" s="91">
        <v>0.46182789836832661</v>
      </c>
      <c r="D440" s="92">
        <v>0</v>
      </c>
      <c r="E440" s="93">
        <v>0.10071942446043165</v>
      </c>
      <c r="G440" s="5"/>
      <c r="H440" s="5"/>
      <c r="L440" s="7"/>
      <c r="M440" s="12"/>
      <c r="O440" s="6"/>
      <c r="P440" s="6"/>
      <c r="T440" s="5"/>
      <c r="U440" s="5"/>
    </row>
    <row r="441" spans="2:21" x14ac:dyDescent="0.25">
      <c r="B441" s="90">
        <v>2063</v>
      </c>
      <c r="C441" s="91">
        <v>0.46578868200185175</v>
      </c>
      <c r="D441" s="92">
        <v>0</v>
      </c>
      <c r="E441" s="93">
        <v>0.14388489208633093</v>
      </c>
      <c r="G441" s="5"/>
      <c r="H441" s="5"/>
      <c r="L441" s="7"/>
      <c r="M441" s="12"/>
      <c r="O441" s="6"/>
      <c r="P441" s="6"/>
      <c r="T441" s="5"/>
      <c r="U441" s="5"/>
    </row>
    <row r="442" spans="2:21" x14ac:dyDescent="0.25">
      <c r="B442" s="90">
        <v>2066</v>
      </c>
      <c r="C442" s="91">
        <v>0.47018998289885139</v>
      </c>
      <c r="D442" s="92">
        <v>0</v>
      </c>
      <c r="E442" s="93">
        <v>0.10071942446043165</v>
      </c>
      <c r="G442" s="5"/>
      <c r="H442" s="5"/>
      <c r="L442" s="7"/>
      <c r="M442" s="12"/>
      <c r="O442" s="6"/>
      <c r="P442" s="6"/>
      <c r="T442" s="5"/>
      <c r="U442" s="5"/>
    </row>
    <row r="443" spans="2:21" x14ac:dyDescent="0.25">
      <c r="B443" s="90">
        <v>2030</v>
      </c>
      <c r="C443" s="91">
        <v>0.47362849611034308</v>
      </c>
      <c r="D443" s="92">
        <v>0</v>
      </c>
      <c r="E443" s="93">
        <v>0.11510791366906475</v>
      </c>
      <c r="G443" s="5"/>
      <c r="H443" s="5"/>
      <c r="L443" s="7"/>
      <c r="M443" s="12"/>
      <c r="O443" s="6"/>
      <c r="P443" s="6"/>
      <c r="T443" s="5"/>
      <c r="U443" s="5"/>
    </row>
    <row r="444" spans="2:21" x14ac:dyDescent="0.25">
      <c r="B444" s="90">
        <v>2057</v>
      </c>
      <c r="C444" s="91">
        <v>0.48493087966526427</v>
      </c>
      <c r="D444" s="92">
        <v>0</v>
      </c>
      <c r="E444" s="93">
        <v>0.1079136690647482</v>
      </c>
      <c r="G444" s="5"/>
      <c r="H444" s="5"/>
      <c r="L444" s="7"/>
      <c r="M444" s="12"/>
      <c r="O444" s="6"/>
      <c r="P444" s="6"/>
      <c r="T444" s="5"/>
      <c r="U444" s="5"/>
    </row>
    <row r="445" spans="2:21" x14ac:dyDescent="0.25">
      <c r="B445" s="90">
        <v>2103</v>
      </c>
      <c r="C445" s="91">
        <v>0.48504736924259806</v>
      </c>
      <c r="D445" s="92">
        <v>0</v>
      </c>
      <c r="E445" s="93">
        <v>0.1079136690647482</v>
      </c>
      <c r="G445" s="5"/>
      <c r="H445" s="5"/>
      <c r="L445" s="7"/>
      <c r="M445" s="12"/>
      <c r="O445" s="6"/>
      <c r="P445" s="6"/>
      <c r="T445" s="5"/>
      <c r="U445" s="5"/>
    </row>
    <row r="446" spans="2:21" x14ac:dyDescent="0.25">
      <c r="B446" s="90">
        <v>2112</v>
      </c>
      <c r="C446" s="91">
        <v>0.48913789042388389</v>
      </c>
      <c r="D446" s="92">
        <v>0</v>
      </c>
      <c r="E446" s="93">
        <v>0.1079136690647482</v>
      </c>
      <c r="G446" s="5"/>
      <c r="H446" s="5"/>
      <c r="L446" s="7"/>
      <c r="M446" s="12"/>
      <c r="O446" s="6"/>
      <c r="P446" s="6"/>
      <c r="T446" s="5"/>
      <c r="U446" s="5"/>
    </row>
    <row r="447" spans="2:21" x14ac:dyDescent="0.25">
      <c r="B447" s="90">
        <v>2028</v>
      </c>
      <c r="C447" s="91">
        <v>0.49768227489962047</v>
      </c>
      <c r="D447" s="92">
        <v>0</v>
      </c>
      <c r="E447" s="93">
        <v>0.1079136690647482</v>
      </c>
      <c r="G447" s="5"/>
      <c r="H447" s="5"/>
      <c r="L447" s="7"/>
      <c r="M447" s="12"/>
      <c r="O447" s="6"/>
      <c r="P447" s="6"/>
      <c r="T447" s="5"/>
      <c r="U447" s="5"/>
    </row>
    <row r="448" spans="2:21" x14ac:dyDescent="0.25">
      <c r="B448" s="90">
        <v>2065</v>
      </c>
      <c r="C448" s="91">
        <v>0.51642947467841738</v>
      </c>
      <c r="D448" s="92">
        <v>0</v>
      </c>
      <c r="E448" s="93">
        <v>9.3525179856115109E-2</v>
      </c>
      <c r="G448" s="5"/>
      <c r="H448" s="5"/>
      <c r="L448" s="7"/>
      <c r="M448" s="12"/>
      <c r="O448" s="6"/>
      <c r="P448" s="6"/>
      <c r="T448" s="5"/>
      <c r="U448" s="5"/>
    </row>
    <row r="449" spans="2:21" x14ac:dyDescent="0.25">
      <c r="B449" s="90">
        <v>2064</v>
      </c>
      <c r="C449" s="91">
        <v>0.51735663294227907</v>
      </c>
      <c r="D449" s="92">
        <v>0</v>
      </c>
      <c r="E449" s="93">
        <v>9.3525179856115109E-2</v>
      </c>
      <c r="G449" s="5"/>
      <c r="H449" s="5"/>
      <c r="L449" s="7"/>
      <c r="M449" s="12"/>
      <c r="O449" s="6"/>
      <c r="P449" s="6"/>
      <c r="T449" s="5"/>
      <c r="U449" s="5"/>
    </row>
    <row r="450" spans="2:21" x14ac:dyDescent="0.25">
      <c r="B450" s="90">
        <v>2035</v>
      </c>
      <c r="C450" s="91">
        <v>0.53965396639178509</v>
      </c>
      <c r="D450" s="92">
        <v>0</v>
      </c>
      <c r="E450" s="93">
        <v>8.6330935251798566E-2</v>
      </c>
      <c r="G450" s="5"/>
      <c r="H450" s="5"/>
      <c r="L450" s="7"/>
      <c r="M450" s="12"/>
      <c r="O450" s="6"/>
      <c r="P450" s="6"/>
      <c r="T450" s="5"/>
      <c r="U450" s="5"/>
    </row>
    <row r="451" spans="2:21" x14ac:dyDescent="0.25">
      <c r="B451" s="90">
        <v>2036</v>
      </c>
      <c r="C451" s="91">
        <v>0.54537516037771339</v>
      </c>
      <c r="D451" s="92">
        <v>0</v>
      </c>
      <c r="E451" s="93">
        <v>8.6330935251798566E-2</v>
      </c>
      <c r="G451" s="5"/>
      <c r="H451" s="5"/>
      <c r="L451" s="7"/>
      <c r="M451" s="12"/>
      <c r="O451" s="6"/>
      <c r="P451" s="6"/>
      <c r="T451" s="5"/>
      <c r="U451" s="5"/>
    </row>
    <row r="452" spans="2:21" x14ac:dyDescent="0.25">
      <c r="B452" s="90">
        <v>3</v>
      </c>
      <c r="C452" s="91">
        <v>0.57461706334707818</v>
      </c>
      <c r="D452" s="92">
        <v>0</v>
      </c>
      <c r="E452" s="93">
        <v>8.6330935251798566E-2</v>
      </c>
      <c r="G452" s="5"/>
      <c r="H452" s="5"/>
      <c r="L452" s="7"/>
      <c r="M452" s="12"/>
      <c r="O452" s="6"/>
      <c r="P452" s="6"/>
      <c r="T452" s="5"/>
      <c r="U452" s="5"/>
    </row>
    <row r="453" spans="2:21" x14ac:dyDescent="0.25">
      <c r="B453" s="90">
        <v>2143</v>
      </c>
      <c r="C453" s="91">
        <v>0.57461706334707818</v>
      </c>
      <c r="D453" s="92">
        <v>0</v>
      </c>
      <c r="E453" s="93">
        <v>8.6330935251798566E-2</v>
      </c>
      <c r="G453" s="5"/>
      <c r="H453" s="5"/>
      <c r="L453" s="7"/>
      <c r="M453" s="12"/>
      <c r="O453" s="6"/>
      <c r="P453" s="6"/>
      <c r="T453" s="5"/>
      <c r="U453" s="5"/>
    </row>
    <row r="454" spans="2:21" x14ac:dyDescent="0.25">
      <c r="B454" s="90">
        <v>2144</v>
      </c>
      <c r="C454" s="91">
        <v>0.57515454644587993</v>
      </c>
      <c r="D454" s="92">
        <v>0</v>
      </c>
      <c r="E454" s="93">
        <v>7.9136690647482008E-2</v>
      </c>
      <c r="G454" s="5"/>
      <c r="H454" s="5"/>
      <c r="L454" s="7"/>
      <c r="M454" s="12"/>
      <c r="O454" s="6"/>
      <c r="P454" s="6"/>
      <c r="T454" s="5"/>
      <c r="U454" s="5"/>
    </row>
    <row r="455" spans="2:21" x14ac:dyDescent="0.25">
      <c r="B455" s="90">
        <v>2</v>
      </c>
      <c r="C455" s="91">
        <v>0.88963666526024487</v>
      </c>
      <c r="D455" s="92">
        <v>0</v>
      </c>
      <c r="E455" s="93">
        <v>5.0359712230215826E-2</v>
      </c>
      <c r="G455" s="5"/>
      <c r="H455" s="5"/>
      <c r="L455" s="7"/>
      <c r="M455" s="12"/>
      <c r="O455" s="6"/>
      <c r="P455" s="6"/>
      <c r="T455" s="5"/>
      <c r="U455" s="5"/>
    </row>
    <row r="456" spans="2:21" x14ac:dyDescent="0.25">
      <c r="B456" s="90">
        <v>2145</v>
      </c>
      <c r="C456" s="91">
        <v>0.88963666526024487</v>
      </c>
      <c r="D456" s="92">
        <v>0</v>
      </c>
      <c r="E456" s="93">
        <v>5.0359712230215826E-2</v>
      </c>
      <c r="G456" s="5"/>
      <c r="H456" s="5"/>
      <c r="L456" s="7"/>
      <c r="M456" s="12"/>
      <c r="O456" s="6"/>
      <c r="P456" s="6"/>
      <c r="T456" s="5"/>
      <c r="U456" s="5"/>
    </row>
    <row r="457" spans="2:21" x14ac:dyDescent="0.25">
      <c r="B457" s="90">
        <v>1</v>
      </c>
      <c r="C457" s="91">
        <v>1.1452813085739981</v>
      </c>
      <c r="D457" s="92">
        <v>0</v>
      </c>
      <c r="E457" s="93">
        <v>2.8776978417266189E-2</v>
      </c>
      <c r="G457" s="5"/>
      <c r="H457" s="5"/>
      <c r="L457" s="7"/>
      <c r="M457" s="12"/>
      <c r="O457" s="6"/>
      <c r="P457" s="6"/>
      <c r="T457" s="5"/>
      <c r="U457" s="5"/>
    </row>
    <row r="458" spans="2:21" x14ac:dyDescent="0.25">
      <c r="B458" s="90">
        <v>503</v>
      </c>
      <c r="C458" s="91">
        <v>2.3018370960520285E-2</v>
      </c>
      <c r="D458" s="92">
        <v>1</v>
      </c>
      <c r="E458" s="93">
        <v>0.38129496402877699</v>
      </c>
      <c r="G458" s="5"/>
      <c r="H458" s="5"/>
      <c r="L458" s="7"/>
      <c r="M458" s="12"/>
      <c r="O458" s="6"/>
      <c r="P458" s="6"/>
      <c r="T458" s="5"/>
      <c r="U458" s="5"/>
    </row>
    <row r="459" spans="2:21" x14ac:dyDescent="0.25">
      <c r="B459" s="90">
        <v>504</v>
      </c>
      <c r="C459" s="91">
        <v>3.9401305075889126E-2</v>
      </c>
      <c r="D459" s="92">
        <v>1</v>
      </c>
      <c r="E459" s="93">
        <v>0.38129496402877699</v>
      </c>
      <c r="G459" s="5"/>
      <c r="H459" s="5"/>
      <c r="L459" s="7"/>
      <c r="M459" s="12"/>
      <c r="O459" s="6"/>
      <c r="P459" s="6"/>
      <c r="T459" s="5"/>
      <c r="U459" s="5"/>
    </row>
    <row r="460" spans="2:21" x14ac:dyDescent="0.25">
      <c r="B460" s="90">
        <v>2086</v>
      </c>
      <c r="C460" s="91">
        <v>0.43520148611026543</v>
      </c>
      <c r="D460" s="92">
        <v>1</v>
      </c>
      <c r="E460" s="93">
        <v>0.1223021582733813</v>
      </c>
      <c r="G460" s="5"/>
      <c r="H460" s="5"/>
      <c r="L460" s="7"/>
      <c r="M460" s="12"/>
      <c r="O460" s="6"/>
      <c r="P460" s="6"/>
      <c r="T460" s="5"/>
      <c r="U460" s="5"/>
    </row>
    <row r="461" spans="2:21" x14ac:dyDescent="0.25">
      <c r="B461" s="90">
        <v>2013</v>
      </c>
      <c r="C461" s="91">
        <v>0.44056417545852888</v>
      </c>
      <c r="D461" s="92">
        <v>1</v>
      </c>
      <c r="E461" s="93">
        <v>0.1223021582733813</v>
      </c>
      <c r="G461" s="5"/>
      <c r="H461" s="5"/>
      <c r="L461" s="7"/>
      <c r="M461" s="12"/>
      <c r="O461" s="6"/>
      <c r="P461" s="6"/>
      <c r="T461" s="5"/>
      <c r="U461" s="5"/>
    </row>
    <row r="462" spans="2:21" x14ac:dyDescent="0.25">
      <c r="B462" s="90">
        <v>1333</v>
      </c>
      <c r="C462" s="91">
        <v>6.8524328275158419E-2</v>
      </c>
      <c r="D462" s="92">
        <v>2</v>
      </c>
      <c r="E462" s="93">
        <v>0.38129496402877699</v>
      </c>
      <c r="G462" s="5"/>
      <c r="H462" s="5"/>
      <c r="L462" s="7"/>
      <c r="M462" s="12"/>
      <c r="O462" s="6"/>
      <c r="P462" s="6"/>
      <c r="T462" s="5"/>
      <c r="U462" s="5"/>
    </row>
    <row r="463" spans="2:21" x14ac:dyDescent="0.25">
      <c r="B463" s="90">
        <v>198</v>
      </c>
      <c r="C463" s="91">
        <v>0.30550761377172786</v>
      </c>
      <c r="D463" s="92">
        <v>2</v>
      </c>
      <c r="E463" s="93">
        <v>0.46762589928057552</v>
      </c>
      <c r="G463" s="5"/>
      <c r="H463" s="5"/>
      <c r="L463" s="7"/>
      <c r="M463" s="12"/>
      <c r="O463" s="6"/>
      <c r="P463" s="6"/>
      <c r="T463" s="5"/>
      <c r="U463" s="5"/>
    </row>
    <row r="464" spans="2:21" x14ac:dyDescent="0.25">
      <c r="B464" s="90">
        <v>2044</v>
      </c>
      <c r="C464" s="91">
        <v>0.42248841609512766</v>
      </c>
      <c r="D464" s="92">
        <v>2</v>
      </c>
      <c r="E464" s="93">
        <v>0.12949640287769784</v>
      </c>
      <c r="G464" s="5"/>
      <c r="H464" s="5"/>
      <c r="L464" s="7"/>
      <c r="M464" s="12"/>
      <c r="O464" s="6"/>
      <c r="P464" s="6"/>
      <c r="T464" s="5"/>
      <c r="U464" s="5"/>
    </row>
    <row r="465" spans="2:21" x14ac:dyDescent="0.25">
      <c r="B465" s="90">
        <v>2060</v>
      </c>
      <c r="C465" s="91">
        <v>0.46917673167453045</v>
      </c>
      <c r="D465" s="92">
        <v>2</v>
      </c>
      <c r="E465" s="93">
        <v>0.11510791366906475</v>
      </c>
      <c r="G465" s="5"/>
      <c r="H465" s="5"/>
      <c r="L465" s="7"/>
      <c r="M465" s="12"/>
      <c r="O465" s="6"/>
      <c r="P465" s="6"/>
      <c r="T465" s="5"/>
      <c r="U465" s="5"/>
    </row>
    <row r="466" spans="2:21" x14ac:dyDescent="0.25">
      <c r="B466" s="90">
        <v>2059</v>
      </c>
      <c r="C466" s="91">
        <v>0.48515093502548901</v>
      </c>
      <c r="D466" s="92">
        <v>2</v>
      </c>
      <c r="E466" s="93">
        <v>0.11510791366906475</v>
      </c>
      <c r="G466" s="5"/>
      <c r="H466" s="5"/>
      <c r="L466" s="7"/>
      <c r="M466" s="12"/>
      <c r="O466" s="6"/>
      <c r="P466" s="6"/>
      <c r="T466" s="5"/>
      <c r="U466" s="5"/>
    </row>
    <row r="467" spans="2:21" x14ac:dyDescent="0.25">
      <c r="B467" s="90">
        <v>2108</v>
      </c>
      <c r="C467" s="91">
        <v>0.59431860287198635</v>
      </c>
      <c r="D467" s="92">
        <v>2</v>
      </c>
      <c r="E467" s="93">
        <v>0.10071942446043165</v>
      </c>
      <c r="G467" s="5"/>
      <c r="H467" s="5"/>
      <c r="L467" s="7"/>
      <c r="M467" s="12"/>
      <c r="O467" s="6"/>
      <c r="P467" s="6"/>
      <c r="T467" s="5"/>
      <c r="U467" s="5"/>
    </row>
    <row r="468" spans="2:21" x14ac:dyDescent="0.25">
      <c r="B468" s="90">
        <v>140</v>
      </c>
      <c r="C468" s="91">
        <v>1.5306249539247085E-2</v>
      </c>
      <c r="D468" s="92">
        <v>3</v>
      </c>
      <c r="E468" s="93">
        <v>0.36690647482014388</v>
      </c>
      <c r="G468" s="5"/>
      <c r="H468" s="5"/>
      <c r="L468" s="7"/>
      <c r="M468" s="12"/>
      <c r="O468" s="6"/>
      <c r="P468" s="6"/>
      <c r="T468" s="5"/>
      <c r="U468" s="5"/>
    </row>
    <row r="469" spans="2:21" x14ac:dyDescent="0.25">
      <c r="B469" s="90">
        <v>76</v>
      </c>
      <c r="C469" s="91">
        <v>1.9888675863618865E-2</v>
      </c>
      <c r="D469" s="92">
        <v>3</v>
      </c>
      <c r="E469" s="93">
        <v>0.36690647482014388</v>
      </c>
      <c r="G469" s="5"/>
      <c r="H469" s="5"/>
      <c r="L469" s="7"/>
      <c r="M469" s="12"/>
      <c r="O469" s="6"/>
      <c r="P469" s="6"/>
      <c r="T469" s="5"/>
      <c r="U469" s="5"/>
    </row>
    <row r="470" spans="2:21" x14ac:dyDescent="0.25">
      <c r="B470" s="90">
        <v>386</v>
      </c>
      <c r="C470" s="91">
        <v>2.0752959618044797E-2</v>
      </c>
      <c r="D470" s="92">
        <v>3</v>
      </c>
      <c r="E470" s="93">
        <v>0.38129496402877699</v>
      </c>
      <c r="G470" s="5"/>
      <c r="H470" s="5"/>
      <c r="L470" s="7"/>
      <c r="M470" s="12"/>
      <c r="O470" s="6"/>
      <c r="P470" s="6"/>
      <c r="T470" s="5"/>
      <c r="U470" s="5"/>
    </row>
    <row r="471" spans="2:21" x14ac:dyDescent="0.25">
      <c r="B471" s="90">
        <v>387</v>
      </c>
      <c r="C471" s="91">
        <v>3.4952298660643866E-2</v>
      </c>
      <c r="D471" s="92">
        <v>3</v>
      </c>
      <c r="E471" s="93">
        <v>0.38129496402877699</v>
      </c>
      <c r="G471" s="5"/>
      <c r="H471" s="5"/>
      <c r="L471" s="7"/>
      <c r="M471" s="12"/>
      <c r="O471" s="6"/>
      <c r="P471" s="6"/>
      <c r="T471" s="5"/>
      <c r="U471" s="5"/>
    </row>
    <row r="472" spans="2:21" x14ac:dyDescent="0.25">
      <c r="B472" s="90">
        <v>141</v>
      </c>
      <c r="C472" s="91">
        <v>3.5123924214705227E-2</v>
      </c>
      <c r="D472" s="92">
        <v>3</v>
      </c>
      <c r="E472" s="93">
        <v>0.32374100719424459</v>
      </c>
      <c r="G472" s="5"/>
      <c r="H472" s="5"/>
      <c r="L472" s="7"/>
      <c r="M472" s="12"/>
      <c r="O472" s="6"/>
      <c r="P472" s="6"/>
      <c r="T472" s="5"/>
      <c r="U472" s="5"/>
    </row>
    <row r="473" spans="2:21" x14ac:dyDescent="0.25">
      <c r="B473" s="90">
        <v>77</v>
      </c>
      <c r="C473" s="91">
        <v>4.7932248075639339E-2</v>
      </c>
      <c r="D473" s="92">
        <v>3</v>
      </c>
      <c r="E473" s="93">
        <v>0.36690647482014388</v>
      </c>
      <c r="G473" s="5"/>
      <c r="H473" s="5"/>
      <c r="L473" s="7"/>
      <c r="M473" s="12"/>
      <c r="O473" s="6"/>
      <c r="P473" s="6"/>
      <c r="T473" s="5"/>
      <c r="U473" s="5"/>
    </row>
    <row r="474" spans="2:21" x14ac:dyDescent="0.25">
      <c r="B474" s="90">
        <v>139</v>
      </c>
      <c r="C474" s="91">
        <v>9.400302574984154E-2</v>
      </c>
      <c r="D474" s="92">
        <v>3</v>
      </c>
      <c r="E474" s="93">
        <v>0.37410071942446044</v>
      </c>
      <c r="G474" s="5"/>
      <c r="H474" s="5"/>
      <c r="L474" s="7"/>
      <c r="M474" s="12"/>
      <c r="O474" s="6"/>
      <c r="P474" s="6"/>
      <c r="T474" s="5"/>
      <c r="U474" s="5"/>
    </row>
    <row r="475" spans="2:21" x14ac:dyDescent="0.25">
      <c r="B475" s="90">
        <v>75</v>
      </c>
      <c r="C475" s="91">
        <v>0.10664519780449144</v>
      </c>
      <c r="D475" s="92">
        <v>3</v>
      </c>
      <c r="E475" s="93">
        <v>0.37410071942446044</v>
      </c>
      <c r="G475" s="5"/>
      <c r="H475" s="5"/>
      <c r="L475" s="7"/>
      <c r="M475" s="12"/>
      <c r="O475" s="6"/>
      <c r="P475" s="6"/>
      <c r="T475" s="5"/>
      <c r="U475" s="5"/>
    </row>
    <row r="476" spans="2:21" x14ac:dyDescent="0.25">
      <c r="B476" s="90">
        <v>2096</v>
      </c>
      <c r="C476" s="91">
        <v>0.44543059797354678</v>
      </c>
      <c r="D476" s="92">
        <v>3</v>
      </c>
      <c r="E476" s="93">
        <v>0.11510791366906475</v>
      </c>
      <c r="G476" s="5"/>
      <c r="H476" s="5"/>
      <c r="L476" s="7"/>
      <c r="M476" s="12"/>
      <c r="O476" s="6"/>
      <c r="P476" s="6"/>
      <c r="T476" s="5"/>
      <c r="U476" s="5"/>
    </row>
    <row r="477" spans="2:21" x14ac:dyDescent="0.25">
      <c r="B477" s="90">
        <v>2095</v>
      </c>
      <c r="C477" s="91">
        <v>0.46343056767215751</v>
      </c>
      <c r="D477" s="92">
        <v>3</v>
      </c>
      <c r="E477" s="93">
        <v>0.1079136690647482</v>
      </c>
      <c r="G477" s="5"/>
      <c r="H477" s="5"/>
      <c r="L477" s="7"/>
      <c r="M477" s="12"/>
      <c r="O477" s="6"/>
      <c r="P477" s="6"/>
      <c r="T477" s="5"/>
      <c r="U477" s="5"/>
    </row>
    <row r="478" spans="2:21" x14ac:dyDescent="0.25">
      <c r="B478" s="90">
        <v>2029</v>
      </c>
      <c r="C478" s="91">
        <v>0.50844893003444414</v>
      </c>
      <c r="D478" s="92">
        <v>3</v>
      </c>
      <c r="E478" s="93">
        <v>0.11510791366906475</v>
      </c>
      <c r="G478" s="5"/>
      <c r="H478" s="5"/>
      <c r="L478" s="7"/>
      <c r="M478" s="12"/>
      <c r="O478" s="6"/>
      <c r="P478" s="6"/>
      <c r="T478" s="5"/>
      <c r="U478" s="5"/>
    </row>
    <row r="479" spans="2:21" x14ac:dyDescent="0.25">
      <c r="B479" s="90">
        <v>2094</v>
      </c>
      <c r="C479" s="91">
        <v>0.51020900871870878</v>
      </c>
      <c r="D479" s="92">
        <v>3</v>
      </c>
      <c r="E479" s="93">
        <v>0.11510791366906475</v>
      </c>
      <c r="G479" s="5"/>
      <c r="H479" s="5"/>
      <c r="L479" s="7"/>
      <c r="M479" s="12"/>
      <c r="O479" s="6"/>
      <c r="P479" s="6"/>
      <c r="T479" s="5"/>
      <c r="U479" s="5"/>
    </row>
    <row r="480" spans="2:21" x14ac:dyDescent="0.25">
      <c r="B480" s="90">
        <v>2058</v>
      </c>
      <c r="C480" s="91">
        <v>0.51613383311489003</v>
      </c>
      <c r="D480" s="92">
        <v>3</v>
      </c>
      <c r="E480" s="93">
        <v>0.11510791366906475</v>
      </c>
      <c r="G480" s="5"/>
      <c r="H480" s="5"/>
      <c r="L480" s="7"/>
      <c r="M480" s="12"/>
      <c r="O480" s="6"/>
      <c r="P480" s="6"/>
      <c r="T480" s="5"/>
      <c r="U480" s="5"/>
    </row>
    <row r="481" spans="2:21" x14ac:dyDescent="0.25">
      <c r="B481" s="90">
        <v>2071</v>
      </c>
      <c r="C481" s="91">
        <v>0.53857300696991239</v>
      </c>
      <c r="D481" s="92">
        <v>3</v>
      </c>
      <c r="E481" s="93">
        <v>0.11510791366906475</v>
      </c>
      <c r="G481" s="5"/>
      <c r="H481" s="5"/>
      <c r="L481" s="7"/>
      <c r="M481" s="12"/>
      <c r="O481" s="6"/>
      <c r="P481" s="6"/>
      <c r="T481" s="5"/>
      <c r="U481" s="5"/>
    </row>
    <row r="482" spans="2:21" x14ac:dyDescent="0.25">
      <c r="B482" s="90">
        <v>2121</v>
      </c>
      <c r="C482" s="91">
        <v>0.55156321261864294</v>
      </c>
      <c r="D482" s="92">
        <v>3</v>
      </c>
      <c r="E482" s="93">
        <v>0.11510791366906475</v>
      </c>
      <c r="G482" s="5"/>
      <c r="H482" s="5"/>
      <c r="L482" s="7"/>
      <c r="M482" s="12"/>
      <c r="O482" s="6"/>
      <c r="P482" s="6"/>
      <c r="T482" s="5"/>
      <c r="U482" s="5"/>
    </row>
    <row r="483" spans="2:21" x14ac:dyDescent="0.25">
      <c r="B483" s="90">
        <v>2085</v>
      </c>
      <c r="C483" s="91">
        <v>0.61721713364828701</v>
      </c>
      <c r="D483" s="92">
        <v>3</v>
      </c>
      <c r="E483" s="93">
        <v>0.10071942446043165</v>
      </c>
      <c r="G483" s="5"/>
      <c r="H483" s="5"/>
      <c r="L483" s="7"/>
      <c r="M483" s="12"/>
      <c r="O483" s="6"/>
      <c r="P483" s="6"/>
      <c r="T483" s="5"/>
      <c r="U483" s="5"/>
    </row>
    <row r="484" spans="2:21" x14ac:dyDescent="0.25">
      <c r="B484" s="90">
        <v>2084</v>
      </c>
      <c r="C484" s="91">
        <v>0.61838018334242617</v>
      </c>
      <c r="D484" s="92">
        <v>3</v>
      </c>
      <c r="E484" s="93">
        <v>0.10071942446043165</v>
      </c>
      <c r="G484" s="5"/>
      <c r="H484" s="5"/>
      <c r="L484" s="7"/>
      <c r="M484" s="12"/>
      <c r="O484" s="6"/>
      <c r="P484" s="6"/>
      <c r="T484" s="5"/>
      <c r="U484" s="5"/>
    </row>
    <row r="485" spans="2:21" x14ac:dyDescent="0.25">
      <c r="B485" s="90">
        <v>2083</v>
      </c>
      <c r="C485" s="91">
        <v>0.64470270844361277</v>
      </c>
      <c r="D485" s="92">
        <v>3</v>
      </c>
      <c r="E485" s="93">
        <v>0.10071942446043165</v>
      </c>
      <c r="G485" s="5"/>
      <c r="H485" s="5"/>
      <c r="L485" s="7"/>
      <c r="M485" s="12"/>
      <c r="O485" s="6"/>
      <c r="P485" s="6"/>
      <c r="T485" s="5"/>
      <c r="U485" s="5"/>
    </row>
    <row r="486" spans="2:21" x14ac:dyDescent="0.25">
      <c r="B486" s="90">
        <v>2107</v>
      </c>
      <c r="C486" s="91">
        <v>0.67041001711057302</v>
      </c>
      <c r="D486" s="92">
        <v>3</v>
      </c>
      <c r="E486" s="93">
        <v>8.6330935251798566E-2</v>
      </c>
      <c r="G486" s="5"/>
      <c r="H486" s="5"/>
      <c r="L486" s="7"/>
      <c r="M486" s="12"/>
      <c r="O486" s="6"/>
      <c r="P486" s="6"/>
      <c r="T486" s="5"/>
      <c r="U486" s="5"/>
    </row>
    <row r="487" spans="2:21" x14ac:dyDescent="0.25">
      <c r="B487" s="90">
        <v>2104</v>
      </c>
      <c r="C487" s="91">
        <v>0.73252978132220747</v>
      </c>
      <c r="D487" s="92">
        <v>3</v>
      </c>
      <c r="E487" s="93">
        <v>9.3525179856115109E-2</v>
      </c>
      <c r="G487" s="5"/>
      <c r="H487" s="5"/>
      <c r="L487" s="7"/>
      <c r="M487" s="12"/>
      <c r="O487" s="6"/>
      <c r="P487" s="6"/>
      <c r="T487" s="5"/>
      <c r="U487" s="5"/>
    </row>
    <row r="488" spans="2:21" x14ac:dyDescent="0.25">
      <c r="B488" s="90">
        <v>2105</v>
      </c>
      <c r="C488" s="91">
        <v>0.75527028781173622</v>
      </c>
      <c r="D488" s="92">
        <v>3</v>
      </c>
      <c r="E488" s="93">
        <v>8.6330935251798566E-2</v>
      </c>
      <c r="G488" s="5"/>
      <c r="H488" s="5"/>
      <c r="L488" s="7"/>
      <c r="M488" s="12"/>
      <c r="O488" s="6"/>
      <c r="P488" s="6"/>
      <c r="T488" s="5"/>
      <c r="U488" s="5"/>
    </row>
    <row r="489" spans="2:21" x14ac:dyDescent="0.25">
      <c r="B489" s="90">
        <v>2106</v>
      </c>
      <c r="C489" s="91">
        <v>0.78228338212498383</v>
      </c>
      <c r="D489" s="92">
        <v>3</v>
      </c>
      <c r="E489" s="93">
        <v>8.6330935251798566E-2</v>
      </c>
      <c r="G489" s="5"/>
      <c r="H489" s="5"/>
      <c r="L489" s="7"/>
      <c r="M489" s="12"/>
      <c r="O489" s="6"/>
      <c r="P489" s="6"/>
      <c r="T489" s="5"/>
      <c r="U489" s="5"/>
    </row>
    <row r="490" spans="2:21" x14ac:dyDescent="0.25">
      <c r="B490" s="90">
        <v>2090</v>
      </c>
      <c r="C490" s="91">
        <v>0.79583654508868296</v>
      </c>
      <c r="D490" s="92">
        <v>3</v>
      </c>
      <c r="E490" s="93">
        <v>6.4748201438848921E-2</v>
      </c>
      <c r="G490" s="5"/>
      <c r="H490" s="5"/>
      <c r="L490" s="7"/>
      <c r="M490" s="12"/>
      <c r="O490" s="6"/>
      <c r="P490" s="6"/>
      <c r="T490" s="5"/>
      <c r="U490" s="5"/>
    </row>
    <row r="491" spans="2:21" x14ac:dyDescent="0.25">
      <c r="B491" s="90">
        <v>2113</v>
      </c>
      <c r="C491" s="91">
        <v>0.80161912723496287</v>
      </c>
      <c r="D491" s="92">
        <v>3</v>
      </c>
      <c r="E491" s="93">
        <v>8.6330935251798566E-2</v>
      </c>
      <c r="G491" s="5"/>
      <c r="H491" s="5"/>
      <c r="L491" s="7"/>
      <c r="M491" s="12"/>
      <c r="O491" s="6"/>
      <c r="P491" s="6"/>
      <c r="T491" s="5"/>
      <c r="U491" s="5"/>
    </row>
    <row r="492" spans="2:21" x14ac:dyDescent="0.25">
      <c r="B492" s="90">
        <v>2114</v>
      </c>
      <c r="C492" s="91">
        <v>0.85241746565745247</v>
      </c>
      <c r="D492" s="92">
        <v>3</v>
      </c>
      <c r="E492" s="93">
        <v>8.6330935251798566E-2</v>
      </c>
      <c r="G492" s="5"/>
      <c r="H492" s="5"/>
      <c r="L492" s="7"/>
      <c r="M492" s="12"/>
      <c r="O492" s="6"/>
      <c r="P492" s="6"/>
      <c r="T492" s="5"/>
      <c r="U492" s="5"/>
    </row>
    <row r="493" spans="2:21" x14ac:dyDescent="0.25">
      <c r="B493" s="90">
        <v>2124</v>
      </c>
      <c r="C493" s="91">
        <v>0.88102521342979423</v>
      </c>
      <c r="D493" s="92">
        <v>3</v>
      </c>
      <c r="E493" s="93">
        <v>8.6330935251798566E-2</v>
      </c>
      <c r="G493" s="5"/>
      <c r="H493" s="5"/>
      <c r="L493" s="7"/>
      <c r="M493" s="12"/>
      <c r="O493" s="6"/>
      <c r="P493" s="6"/>
      <c r="T493" s="5"/>
      <c r="U493" s="5"/>
    </row>
    <row r="494" spans="2:21" x14ac:dyDescent="0.25">
      <c r="B494" s="90">
        <v>2115</v>
      </c>
      <c r="C494" s="91">
        <v>0.89169633047820873</v>
      </c>
      <c r="D494" s="92">
        <v>3</v>
      </c>
      <c r="E494" s="93">
        <v>8.6330935251798566E-2</v>
      </c>
      <c r="G494" s="5"/>
      <c r="H494" s="5"/>
      <c r="L494" s="7"/>
      <c r="M494" s="12"/>
      <c r="O494" s="6"/>
      <c r="P494" s="6"/>
      <c r="T494" s="5"/>
      <c r="U494" s="5"/>
    </row>
    <row r="495" spans="2:21" x14ac:dyDescent="0.25">
      <c r="B495" s="90">
        <v>2117</v>
      </c>
      <c r="C495" s="91">
        <v>1.000716559963333</v>
      </c>
      <c r="D495" s="92">
        <v>3</v>
      </c>
      <c r="E495" s="93">
        <v>6.4748201438848921E-2</v>
      </c>
      <c r="G495" s="5"/>
      <c r="H495" s="5"/>
      <c r="L495" s="7"/>
      <c r="M495" s="12"/>
      <c r="O495" s="6"/>
      <c r="P495" s="6"/>
      <c r="T495" s="5"/>
      <c r="U495" s="5"/>
    </row>
    <row r="496" spans="2:21" x14ac:dyDescent="0.25">
      <c r="B496" s="90">
        <v>2116</v>
      </c>
      <c r="C496" s="91">
        <v>1.0133845052472963</v>
      </c>
      <c r="D496" s="92">
        <v>3</v>
      </c>
      <c r="E496" s="93">
        <v>6.4748201438848921E-2</v>
      </c>
      <c r="G496" s="5"/>
      <c r="H496" s="5"/>
      <c r="L496" s="7"/>
      <c r="M496" s="12"/>
      <c r="O496" s="6"/>
      <c r="P496" s="6"/>
      <c r="T496" s="5"/>
      <c r="U496" s="5"/>
    </row>
    <row r="497" spans="2:21" x14ac:dyDescent="0.25">
      <c r="B497" s="90">
        <v>132</v>
      </c>
      <c r="C497" s="91">
        <v>0.20313170249285106</v>
      </c>
      <c r="D497" s="92">
        <v>5</v>
      </c>
      <c r="E497" s="93">
        <v>0.30215827338129497</v>
      </c>
      <c r="G497" s="5"/>
      <c r="H497" s="5"/>
      <c r="L497" s="7"/>
      <c r="M497" s="12"/>
      <c r="O497" s="6"/>
      <c r="P497" s="6"/>
      <c r="T497" s="5"/>
      <c r="U497" s="5"/>
    </row>
    <row r="498" spans="2:21" x14ac:dyDescent="0.25">
      <c r="B498" s="90">
        <v>68</v>
      </c>
      <c r="C498" s="91">
        <v>0.21730275343124916</v>
      </c>
      <c r="D498" s="92">
        <v>5</v>
      </c>
      <c r="E498" s="93">
        <v>0.30215827338129497</v>
      </c>
      <c r="G498" s="5"/>
      <c r="H498" s="5"/>
      <c r="L498" s="7"/>
      <c r="M498" s="12"/>
      <c r="O498" s="6"/>
      <c r="P498" s="6"/>
      <c r="T498" s="5"/>
      <c r="U498" s="5"/>
    </row>
    <row r="499" spans="2:21" x14ac:dyDescent="0.25">
      <c r="B499" s="90">
        <v>1892</v>
      </c>
      <c r="C499" s="91">
        <v>0.3117298874887261</v>
      </c>
      <c r="D499" s="92">
        <v>6</v>
      </c>
      <c r="E499" s="93">
        <v>0.15107913669064749</v>
      </c>
      <c r="G499" s="5"/>
      <c r="H499" s="5"/>
      <c r="L499" s="7"/>
      <c r="M499" s="12"/>
      <c r="O499" s="6"/>
      <c r="P499" s="6"/>
      <c r="T499" s="5"/>
      <c r="U499" s="5"/>
    </row>
    <row r="500" spans="2:21" x14ac:dyDescent="0.25">
      <c r="B500" s="90">
        <v>199</v>
      </c>
      <c r="C500" s="91">
        <v>0.35792023795231831</v>
      </c>
      <c r="D500" s="92">
        <v>6</v>
      </c>
      <c r="E500" s="93">
        <v>0.43884892086330934</v>
      </c>
      <c r="G500" s="5"/>
      <c r="H500" s="5"/>
      <c r="L500" s="7"/>
      <c r="M500" s="12"/>
      <c r="O500" s="6"/>
      <c r="P500" s="6"/>
      <c r="T500" s="5"/>
      <c r="U500" s="5"/>
    </row>
    <row r="501" spans="2:21" x14ac:dyDescent="0.25">
      <c r="B501" s="90">
        <v>1859</v>
      </c>
      <c r="C501" s="91">
        <v>1.5826203572325781E-2</v>
      </c>
      <c r="D501" s="92">
        <v>8</v>
      </c>
      <c r="E501" s="93">
        <v>0.33812949640287771</v>
      </c>
      <c r="G501" s="5"/>
      <c r="H501" s="5"/>
      <c r="L501" s="7"/>
      <c r="M501" s="12"/>
      <c r="O501" s="6"/>
      <c r="P501" s="6"/>
      <c r="T501" s="5"/>
      <c r="U501" s="5"/>
    </row>
    <row r="502" spans="2:21" x14ac:dyDescent="0.25">
      <c r="B502" s="90">
        <v>1834</v>
      </c>
      <c r="C502" s="91">
        <v>1.6230989083187319E-2</v>
      </c>
      <c r="D502" s="92">
        <v>8</v>
      </c>
      <c r="E502" s="93">
        <v>0.33812949640287771</v>
      </c>
      <c r="G502" s="5"/>
      <c r="H502" s="5"/>
      <c r="L502" s="7"/>
      <c r="M502" s="12"/>
      <c r="O502" s="6"/>
      <c r="P502" s="6"/>
      <c r="T502" s="5"/>
      <c r="U502" s="5"/>
    </row>
    <row r="503" spans="2:21" x14ac:dyDescent="0.25">
      <c r="B503" s="90">
        <v>2005</v>
      </c>
      <c r="C503" s="91">
        <v>2.8497748807414514E-2</v>
      </c>
      <c r="D503" s="92">
        <v>8</v>
      </c>
      <c r="E503" s="93">
        <v>0.30215827338129497</v>
      </c>
      <c r="G503" s="5"/>
      <c r="H503" s="5"/>
      <c r="L503" s="7"/>
      <c r="M503" s="12"/>
      <c r="O503" s="6"/>
      <c r="P503" s="6"/>
      <c r="T503" s="5"/>
      <c r="U503" s="5"/>
    </row>
    <row r="504" spans="2:21" x14ac:dyDescent="0.25">
      <c r="B504" s="90">
        <v>1808</v>
      </c>
      <c r="C504" s="91">
        <v>4.7655518384801754E-2</v>
      </c>
      <c r="D504" s="92">
        <v>8</v>
      </c>
      <c r="E504" s="93">
        <v>0.33812949640287771</v>
      </c>
      <c r="G504" s="5"/>
      <c r="H504" s="5"/>
      <c r="L504" s="7"/>
      <c r="M504" s="12"/>
      <c r="O504" s="6"/>
      <c r="P504" s="6"/>
      <c r="T504" s="5"/>
      <c r="U504" s="5"/>
    </row>
    <row r="505" spans="2:21" x14ac:dyDescent="0.25">
      <c r="B505" s="90">
        <v>1905</v>
      </c>
      <c r="C505" s="91">
        <v>5.8794503088781536E-2</v>
      </c>
      <c r="D505" s="92">
        <v>8</v>
      </c>
      <c r="E505" s="93">
        <v>0.28776978417266186</v>
      </c>
      <c r="G505" s="5"/>
      <c r="H505" s="5"/>
      <c r="L505" s="7"/>
      <c r="M505" s="12"/>
      <c r="O505" s="6"/>
      <c r="P505" s="6"/>
      <c r="T505" s="5"/>
      <c r="U505" s="5"/>
    </row>
    <row r="506" spans="2:21" x14ac:dyDescent="0.25">
      <c r="B506" s="90">
        <v>1908</v>
      </c>
      <c r="C506" s="91">
        <v>8.0714590948584686E-2</v>
      </c>
      <c r="D506" s="92">
        <v>8</v>
      </c>
      <c r="E506" s="93">
        <v>0.30935251798561153</v>
      </c>
      <c r="G506" s="5"/>
      <c r="H506" s="5"/>
      <c r="L506" s="7"/>
      <c r="M506" s="12"/>
      <c r="O506" s="6"/>
      <c r="P506" s="6"/>
      <c r="T506" s="5"/>
      <c r="U506" s="5"/>
    </row>
    <row r="507" spans="2:21" x14ac:dyDescent="0.25">
      <c r="B507" s="90">
        <v>1883</v>
      </c>
      <c r="C507" s="91">
        <v>9.7950656456977425E-2</v>
      </c>
      <c r="D507" s="92">
        <v>8</v>
      </c>
      <c r="E507" s="93">
        <v>0.41007194244604317</v>
      </c>
      <c r="G507" s="5"/>
      <c r="H507" s="5"/>
      <c r="L507" s="7"/>
      <c r="M507" s="12"/>
      <c r="O507" s="6"/>
      <c r="P507" s="6"/>
      <c r="T507" s="5"/>
      <c r="U507" s="5"/>
    </row>
    <row r="508" spans="2:21" x14ac:dyDescent="0.25">
      <c r="B508" s="90">
        <v>2054</v>
      </c>
      <c r="C508" s="91">
        <v>0.10029177471753081</v>
      </c>
      <c r="D508" s="92">
        <v>8</v>
      </c>
      <c r="E508" s="93">
        <v>0.30935251798561153</v>
      </c>
      <c r="G508" s="5"/>
      <c r="H508" s="5"/>
      <c r="L508" s="7"/>
      <c r="M508" s="12"/>
      <c r="O508" s="6"/>
      <c r="P508" s="6"/>
      <c r="T508" s="5"/>
      <c r="U508" s="5"/>
    </row>
    <row r="509" spans="2:21" x14ac:dyDescent="0.25">
      <c r="B509" s="90">
        <v>1928</v>
      </c>
      <c r="C509" s="91">
        <v>0.10132186267745658</v>
      </c>
      <c r="D509" s="92">
        <v>8</v>
      </c>
      <c r="E509" s="93">
        <v>0.36690647482014388</v>
      </c>
      <c r="G509" s="5"/>
      <c r="H509" s="5"/>
      <c r="L509" s="7"/>
      <c r="M509" s="12"/>
      <c r="O509" s="6"/>
      <c r="P509" s="6"/>
      <c r="T509" s="5"/>
      <c r="U509" s="5"/>
    </row>
    <row r="510" spans="2:21" x14ac:dyDescent="0.25">
      <c r="B510" s="90">
        <v>1833</v>
      </c>
      <c r="C510" s="91">
        <v>0.11486239092955963</v>
      </c>
      <c r="D510" s="92">
        <v>8</v>
      </c>
      <c r="E510" s="93">
        <v>0.35251798561151076</v>
      </c>
      <c r="G510" s="5"/>
      <c r="H510" s="5"/>
      <c r="L510" s="7"/>
      <c r="M510" s="12"/>
      <c r="O510" s="6"/>
      <c r="P510" s="6"/>
      <c r="T510" s="5"/>
      <c r="U510" s="5"/>
    </row>
    <row r="511" spans="2:21" x14ac:dyDescent="0.25">
      <c r="B511" s="90">
        <v>1858</v>
      </c>
      <c r="C511" s="91">
        <v>0.12451176097954253</v>
      </c>
      <c r="D511" s="92">
        <v>8</v>
      </c>
      <c r="E511" s="93">
        <v>0.35251798561151076</v>
      </c>
      <c r="G511" s="5"/>
      <c r="H511" s="5"/>
      <c r="L511" s="7"/>
      <c r="M511" s="12"/>
      <c r="O511" s="6"/>
      <c r="P511" s="6"/>
      <c r="T511" s="5"/>
      <c r="U511" s="5"/>
    </row>
    <row r="512" spans="2:21" x14ac:dyDescent="0.25">
      <c r="B512" s="90">
        <v>2006</v>
      </c>
      <c r="C512" s="91">
        <v>0.13001441932267077</v>
      </c>
      <c r="D512" s="92">
        <v>8</v>
      </c>
      <c r="E512" s="93">
        <v>0.22302158273381295</v>
      </c>
      <c r="G512" s="5"/>
      <c r="H512" s="5"/>
      <c r="L512" s="7"/>
      <c r="M512" s="12"/>
      <c r="O512" s="6"/>
      <c r="P512" s="6"/>
      <c r="T512" s="5"/>
      <c r="U512" s="5"/>
    </row>
    <row r="513" spans="2:21" x14ac:dyDescent="0.25">
      <c r="B513" s="90">
        <v>1906</v>
      </c>
      <c r="C513" s="91">
        <v>0.13153781838263945</v>
      </c>
      <c r="D513" s="92">
        <v>8</v>
      </c>
      <c r="E513" s="93">
        <v>0.22302158273381295</v>
      </c>
      <c r="G513" s="5"/>
      <c r="H513" s="5"/>
      <c r="L513" s="7"/>
      <c r="M513" s="12"/>
      <c r="O513" s="6"/>
      <c r="P513" s="6"/>
      <c r="T513" s="5"/>
      <c r="U513" s="5"/>
    </row>
    <row r="514" spans="2:21" x14ac:dyDescent="0.25">
      <c r="B514" s="90">
        <v>1807</v>
      </c>
      <c r="C514" s="91">
        <v>0.14280077931008273</v>
      </c>
      <c r="D514" s="92">
        <v>8</v>
      </c>
      <c r="E514" s="93">
        <v>0.41007194244604317</v>
      </c>
      <c r="G514" s="5"/>
      <c r="H514" s="5"/>
      <c r="L514" s="7"/>
      <c r="M514" s="12"/>
      <c r="O514" s="6"/>
      <c r="P514" s="6"/>
      <c r="T514" s="5"/>
      <c r="U514" s="5"/>
    </row>
    <row r="515" spans="2:21" x14ac:dyDescent="0.25">
      <c r="B515" s="90">
        <v>2129</v>
      </c>
      <c r="C515" s="91">
        <v>0.15949865492997362</v>
      </c>
      <c r="D515" s="92">
        <v>8</v>
      </c>
      <c r="E515" s="93">
        <v>0.21582733812949639</v>
      </c>
      <c r="G515" s="5"/>
      <c r="H515" s="5"/>
      <c r="L515" s="7"/>
      <c r="M515" s="12"/>
      <c r="O515" s="6"/>
      <c r="P515" s="6"/>
      <c r="T515" s="5"/>
      <c r="U515" s="5"/>
    </row>
    <row r="516" spans="2:21" x14ac:dyDescent="0.25">
      <c r="B516" s="90">
        <v>1927</v>
      </c>
      <c r="C516" s="91">
        <v>0.17701346554567565</v>
      </c>
      <c r="D516" s="92">
        <v>8</v>
      </c>
      <c r="E516" s="93">
        <v>0.43165467625899279</v>
      </c>
      <c r="G516" s="5"/>
      <c r="H516" s="5"/>
      <c r="L516" s="7"/>
      <c r="M516" s="12"/>
      <c r="O516" s="6"/>
      <c r="P516" s="6"/>
      <c r="T516" s="5"/>
      <c r="U516" s="5"/>
    </row>
    <row r="517" spans="2:21" x14ac:dyDescent="0.25">
      <c r="B517" s="90">
        <v>1987</v>
      </c>
      <c r="C517" s="91">
        <v>0.18542872652595965</v>
      </c>
      <c r="D517" s="92">
        <v>8</v>
      </c>
      <c r="E517" s="93">
        <v>0.20143884892086331</v>
      </c>
      <c r="G517" s="5"/>
      <c r="H517" s="5"/>
      <c r="L517" s="7"/>
      <c r="M517" s="12"/>
      <c r="O517" s="6"/>
      <c r="P517" s="6"/>
      <c r="T517" s="5"/>
      <c r="U517" s="5"/>
    </row>
    <row r="518" spans="2:21" x14ac:dyDescent="0.25">
      <c r="B518" s="90">
        <v>1882</v>
      </c>
      <c r="C518" s="91">
        <v>0.19562433882023988</v>
      </c>
      <c r="D518" s="92">
        <v>8</v>
      </c>
      <c r="E518" s="93">
        <v>0.50359712230215825</v>
      </c>
      <c r="G518" s="5"/>
      <c r="H518" s="5"/>
      <c r="L518" s="7"/>
      <c r="M518" s="12"/>
      <c r="O518" s="6"/>
      <c r="P518" s="6"/>
      <c r="T518" s="5"/>
      <c r="U518" s="5"/>
    </row>
    <row r="519" spans="2:21" x14ac:dyDescent="0.25">
      <c r="B519" s="90">
        <v>2025</v>
      </c>
      <c r="C519" s="91">
        <v>0.21366443088294906</v>
      </c>
      <c r="D519" s="92">
        <v>8</v>
      </c>
      <c r="E519" s="93">
        <v>0.19424460431654678</v>
      </c>
      <c r="G519" s="5"/>
      <c r="H519" s="5"/>
      <c r="L519" s="7"/>
      <c r="M519" s="12"/>
      <c r="O519" s="6"/>
      <c r="P519" s="6"/>
      <c r="T519" s="5"/>
      <c r="U519" s="5"/>
    </row>
    <row r="520" spans="2:21" x14ac:dyDescent="0.25">
      <c r="B520" s="90">
        <v>2067</v>
      </c>
      <c r="C520" s="91">
        <v>0.27626279748269444</v>
      </c>
      <c r="D520" s="92">
        <v>8</v>
      </c>
      <c r="E520" s="93">
        <v>0.14388489208633093</v>
      </c>
      <c r="G520" s="5"/>
      <c r="H520" s="5"/>
      <c r="L520" s="7"/>
      <c r="M520" s="12"/>
      <c r="O520" s="6"/>
      <c r="P520" s="6"/>
      <c r="T520" s="5"/>
      <c r="U520" s="5"/>
    </row>
    <row r="521" spans="2:21" x14ac:dyDescent="0.25">
      <c r="B521" s="90">
        <v>2022</v>
      </c>
      <c r="C521" s="91">
        <v>0.33789892466131211</v>
      </c>
      <c r="D521" s="92">
        <v>8</v>
      </c>
      <c r="E521" s="93">
        <v>0.16546762589928057</v>
      </c>
      <c r="G521" s="5"/>
      <c r="H521" s="5"/>
      <c r="L521" s="7"/>
      <c r="M521" s="12"/>
      <c r="O521" s="6"/>
      <c r="P521" s="6"/>
      <c r="T521" s="5"/>
      <c r="U521" s="5"/>
    </row>
    <row r="522" spans="2:21" x14ac:dyDescent="0.25">
      <c r="B522" s="90">
        <v>2099</v>
      </c>
      <c r="C522" s="91">
        <v>0.34116073704917316</v>
      </c>
      <c r="D522" s="92">
        <v>8</v>
      </c>
      <c r="E522" s="93">
        <v>0.53237410071942448</v>
      </c>
      <c r="G522" s="5"/>
      <c r="H522" s="5"/>
      <c r="L522" s="7"/>
      <c r="M522" s="12"/>
      <c r="O522" s="6"/>
      <c r="P522" s="6"/>
      <c r="T522" s="5"/>
      <c r="U522" s="5"/>
    </row>
    <row r="523" spans="2:21" x14ac:dyDescent="0.25">
      <c r="B523" s="90">
        <v>2024</v>
      </c>
      <c r="C523" s="91">
        <v>0.35938217197052047</v>
      </c>
      <c r="D523" s="92">
        <v>8</v>
      </c>
      <c r="E523" s="93">
        <v>0.16546762589928057</v>
      </c>
      <c r="G523" s="5"/>
      <c r="H523" s="5"/>
      <c r="L523" s="7"/>
      <c r="M523" s="12"/>
      <c r="O523" s="6"/>
      <c r="P523" s="6"/>
      <c r="T523" s="5"/>
      <c r="U523" s="5"/>
    </row>
    <row r="524" spans="2:21" x14ac:dyDescent="0.25">
      <c r="B524" s="90">
        <v>2023</v>
      </c>
      <c r="C524" s="91">
        <v>0.42143348553088422</v>
      </c>
      <c r="D524" s="92">
        <v>8</v>
      </c>
      <c r="E524" s="93">
        <v>0.15107913669064749</v>
      </c>
      <c r="G524" s="5"/>
      <c r="H524" s="5"/>
      <c r="L524" s="7"/>
      <c r="M524" s="12"/>
      <c r="O524" s="6"/>
      <c r="P524" s="6"/>
      <c r="T524" s="5"/>
      <c r="U524" s="5"/>
    </row>
    <row r="525" spans="2:21" x14ac:dyDescent="0.25">
      <c r="B525" s="90">
        <v>2039</v>
      </c>
      <c r="C525" s="91">
        <v>0.57916529132042571</v>
      </c>
      <c r="D525" s="92">
        <v>8</v>
      </c>
      <c r="E525" s="93">
        <v>8.6330935251798566E-2</v>
      </c>
      <c r="G525" s="5"/>
      <c r="H525" s="5"/>
      <c r="L525" s="7"/>
      <c r="M525" s="12"/>
      <c r="O525" s="6"/>
      <c r="P525" s="6"/>
      <c r="T525" s="5"/>
      <c r="U525" s="5"/>
    </row>
    <row r="526" spans="2:21" x14ac:dyDescent="0.25">
      <c r="B526" s="90">
        <v>195</v>
      </c>
      <c r="C526" s="91">
        <v>0.19268597778170227</v>
      </c>
      <c r="D526" s="92">
        <v>9</v>
      </c>
      <c r="E526" s="93">
        <v>0.40287769784172661</v>
      </c>
      <c r="G526" s="5"/>
      <c r="H526" s="5"/>
      <c r="L526" s="7"/>
      <c r="M526" s="12"/>
      <c r="O526" s="6"/>
      <c r="P526" s="6"/>
      <c r="T526" s="5"/>
      <c r="U526" s="5"/>
    </row>
    <row r="527" spans="2:21" x14ac:dyDescent="0.25">
      <c r="B527" s="90">
        <v>197</v>
      </c>
      <c r="C527" s="91">
        <v>0.24769714475789617</v>
      </c>
      <c r="D527" s="92">
        <v>9</v>
      </c>
      <c r="E527" s="93">
        <v>0.46762589928057552</v>
      </c>
      <c r="G527" s="5"/>
      <c r="H527" s="5"/>
      <c r="L527" s="7"/>
      <c r="M527" s="12"/>
      <c r="O527" s="6"/>
      <c r="P527" s="6"/>
      <c r="T527" s="5"/>
      <c r="U527" s="5"/>
    </row>
    <row r="528" spans="2:21" x14ac:dyDescent="0.25">
      <c r="B528" s="90">
        <v>2038</v>
      </c>
      <c r="C528" s="91">
        <v>0.51009418309070043</v>
      </c>
      <c r="D528" s="92">
        <v>9</v>
      </c>
      <c r="E528" s="93">
        <v>9.3525179856115109E-2</v>
      </c>
      <c r="G528" s="5"/>
      <c r="H528" s="5"/>
      <c r="L528" s="7"/>
      <c r="M528" s="12"/>
      <c r="O528" s="6"/>
      <c r="P528" s="6"/>
      <c r="T528" s="5"/>
      <c r="U528" s="5"/>
    </row>
    <row r="529" spans="2:21" x14ac:dyDescent="0.25">
      <c r="B529" s="90">
        <v>445</v>
      </c>
      <c r="C529" s="91">
        <v>2.2360684556555821E-2</v>
      </c>
      <c r="D529" s="92">
        <v>10</v>
      </c>
      <c r="E529" s="93">
        <v>0.38129496402877699</v>
      </c>
      <c r="G529" s="5"/>
      <c r="H529" s="5"/>
      <c r="L529" s="7"/>
      <c r="M529" s="12"/>
      <c r="O529" s="6"/>
      <c r="P529" s="6"/>
      <c r="T529" s="5"/>
      <c r="U529" s="5"/>
    </row>
    <row r="530" spans="2:21" x14ac:dyDescent="0.25">
      <c r="B530" s="90">
        <v>560</v>
      </c>
      <c r="C530" s="91">
        <v>2.243539181725851E-2</v>
      </c>
      <c r="D530" s="92">
        <v>10</v>
      </c>
      <c r="E530" s="93">
        <v>0.38129496402877699</v>
      </c>
      <c r="G530" s="5"/>
      <c r="H530" s="5"/>
      <c r="L530" s="7"/>
      <c r="M530" s="12"/>
      <c r="O530" s="6"/>
      <c r="P530" s="6"/>
      <c r="T530" s="5"/>
      <c r="U530" s="5"/>
    </row>
    <row r="531" spans="2:21" x14ac:dyDescent="0.25">
      <c r="B531" s="90">
        <v>446</v>
      </c>
      <c r="C531" s="91">
        <v>3.636773630848078E-2</v>
      </c>
      <c r="D531" s="92">
        <v>10</v>
      </c>
      <c r="E531" s="93">
        <v>0.38129496402877699</v>
      </c>
      <c r="G531" s="5"/>
      <c r="H531" s="5"/>
      <c r="L531" s="7"/>
      <c r="M531" s="12"/>
      <c r="O531" s="6"/>
      <c r="P531" s="6"/>
      <c r="T531" s="5"/>
      <c r="U531" s="5"/>
    </row>
    <row r="532" spans="2:21" x14ac:dyDescent="0.25">
      <c r="B532" s="90">
        <v>385</v>
      </c>
      <c r="C532" s="91">
        <v>8.2948735691554032E-2</v>
      </c>
      <c r="D532" s="92">
        <v>10</v>
      </c>
      <c r="E532" s="93">
        <v>0.38848920863309355</v>
      </c>
      <c r="G532" s="5"/>
      <c r="H532" s="5"/>
      <c r="L532" s="7"/>
      <c r="M532" s="12"/>
      <c r="O532" s="6"/>
      <c r="P532" s="6"/>
      <c r="T532" s="5"/>
      <c r="U532" s="5"/>
    </row>
    <row r="533" spans="2:21" x14ac:dyDescent="0.25">
      <c r="B533" s="90">
        <v>318</v>
      </c>
      <c r="C533" s="91">
        <v>0.16186613981725717</v>
      </c>
      <c r="D533" s="92">
        <v>11</v>
      </c>
      <c r="E533" s="93">
        <v>0.36690647482014388</v>
      </c>
      <c r="G533" s="5"/>
      <c r="H533" s="5"/>
      <c r="L533" s="7"/>
      <c r="M533" s="12"/>
      <c r="O533" s="6"/>
      <c r="P533" s="6"/>
      <c r="T533" s="5"/>
      <c r="U533" s="5"/>
    </row>
    <row r="534" spans="2:21" x14ac:dyDescent="0.25">
      <c r="B534" s="90">
        <v>257</v>
      </c>
      <c r="C534" s="91">
        <v>0.17161570516793023</v>
      </c>
      <c r="D534" s="92">
        <v>11</v>
      </c>
      <c r="E534" s="93">
        <v>0.36690647482014388</v>
      </c>
      <c r="G534" s="5"/>
      <c r="H534" s="5"/>
      <c r="L534" s="7"/>
      <c r="M534" s="12"/>
      <c r="O534" s="6"/>
      <c r="P534" s="6"/>
      <c r="T534" s="5"/>
      <c r="U534" s="5"/>
    </row>
    <row r="535" spans="2:21" x14ac:dyDescent="0.25">
      <c r="B535" s="90">
        <v>317</v>
      </c>
      <c r="C535" s="91">
        <v>0.37416446181227092</v>
      </c>
      <c r="D535" s="92">
        <v>11</v>
      </c>
      <c r="E535" s="93">
        <v>0.30935251798561153</v>
      </c>
      <c r="G535" s="5"/>
      <c r="H535" s="5"/>
      <c r="L535" s="7"/>
      <c r="M535" s="12"/>
      <c r="O535" s="6"/>
      <c r="P535" s="6"/>
      <c r="T535" s="5"/>
      <c r="U535" s="5"/>
    </row>
    <row r="536" spans="2:21" x14ac:dyDescent="0.25">
      <c r="B536" s="90">
        <v>256</v>
      </c>
      <c r="C536" s="91">
        <v>0.38437697214346878</v>
      </c>
      <c r="D536" s="92">
        <v>11</v>
      </c>
      <c r="E536" s="93">
        <v>0.30935251798561153</v>
      </c>
      <c r="G536" s="5"/>
      <c r="H536" s="5"/>
      <c r="L536" s="7"/>
      <c r="M536" s="12"/>
      <c r="O536" s="6"/>
      <c r="P536" s="6"/>
      <c r="T536" s="5"/>
      <c r="U536" s="5"/>
    </row>
    <row r="537" spans="2:21" x14ac:dyDescent="0.25">
      <c r="B537" s="90">
        <v>2123</v>
      </c>
      <c r="C537" s="91">
        <v>0.5997408047238918</v>
      </c>
      <c r="D537" s="92">
        <v>11</v>
      </c>
      <c r="E537" s="93">
        <v>0.1079136690647482</v>
      </c>
      <c r="G537" s="5"/>
      <c r="H537" s="5"/>
      <c r="L537" s="7"/>
      <c r="M537" s="12"/>
      <c r="O537" s="6"/>
      <c r="P537" s="6"/>
      <c r="T537" s="5"/>
      <c r="U537" s="5"/>
    </row>
    <row r="538" spans="2:21" x14ac:dyDescent="0.25">
      <c r="B538" s="90">
        <v>2040</v>
      </c>
      <c r="C538" s="91">
        <v>0.82229271813095162</v>
      </c>
      <c r="D538" s="92">
        <v>11</v>
      </c>
      <c r="E538" s="93">
        <v>7.9136690647482008E-2</v>
      </c>
      <c r="G538" s="5"/>
      <c r="H538" s="5"/>
      <c r="L538" s="7"/>
      <c r="M538" s="12"/>
      <c r="O538" s="6"/>
      <c r="P538" s="6"/>
      <c r="T538" s="5"/>
      <c r="U538" s="5"/>
    </row>
    <row r="539" spans="2:21" x14ac:dyDescent="0.25">
      <c r="B539" s="90">
        <v>1886</v>
      </c>
      <c r="C539" s="91">
        <v>1.9107342939098659E-2</v>
      </c>
      <c r="D539" s="92">
        <v>12</v>
      </c>
      <c r="E539" s="93">
        <v>0.32374100719424459</v>
      </c>
      <c r="G539" s="5"/>
      <c r="H539" s="5"/>
      <c r="L539" s="7"/>
      <c r="M539" s="12"/>
      <c r="O539" s="6"/>
      <c r="P539" s="6"/>
      <c r="T539" s="5"/>
      <c r="U539" s="5"/>
    </row>
    <row r="540" spans="2:21" x14ac:dyDescent="0.25">
      <c r="B540" s="90">
        <v>1725</v>
      </c>
      <c r="C540" s="91">
        <v>2.1418354067410994E-2</v>
      </c>
      <c r="D540" s="92">
        <v>12</v>
      </c>
      <c r="E540" s="93">
        <v>0.33093525179856115</v>
      </c>
      <c r="G540" s="5"/>
      <c r="H540" s="5"/>
      <c r="L540" s="7"/>
      <c r="M540" s="12"/>
      <c r="O540" s="6"/>
      <c r="P540" s="6"/>
      <c r="T540" s="5"/>
      <c r="U540" s="5"/>
    </row>
    <row r="541" spans="2:21" x14ac:dyDescent="0.25">
      <c r="B541" s="90">
        <v>1724</v>
      </c>
      <c r="C541" s="91">
        <v>2.1487871976152095E-2</v>
      </c>
      <c r="D541" s="92">
        <v>12</v>
      </c>
      <c r="E541" s="93">
        <v>0.33093525179856115</v>
      </c>
      <c r="G541" s="5"/>
      <c r="H541" s="5"/>
      <c r="L541" s="7"/>
      <c r="M541" s="12"/>
      <c r="O541" s="6"/>
      <c r="P541" s="6"/>
      <c r="T541" s="5"/>
      <c r="U541" s="5"/>
    </row>
    <row r="542" spans="2:21" x14ac:dyDescent="0.25">
      <c r="B542" s="90">
        <v>1726</v>
      </c>
      <c r="C542" s="91">
        <v>2.4664430242835933E-2</v>
      </c>
      <c r="D542" s="92">
        <v>12</v>
      </c>
      <c r="E542" s="93">
        <v>0.31654676258992803</v>
      </c>
      <c r="G542" s="5"/>
      <c r="H542" s="5"/>
      <c r="L542" s="7"/>
      <c r="M542" s="12"/>
      <c r="O542" s="6"/>
      <c r="P542" s="6"/>
      <c r="T542" s="5"/>
      <c r="U542" s="5"/>
    </row>
    <row r="543" spans="2:21" x14ac:dyDescent="0.25">
      <c r="B543" s="90">
        <v>1811</v>
      </c>
      <c r="C543" s="91">
        <v>2.6146344927194587E-2</v>
      </c>
      <c r="D543" s="92">
        <v>12</v>
      </c>
      <c r="E543" s="93">
        <v>0.31654676258992803</v>
      </c>
      <c r="G543" s="5"/>
      <c r="H543" s="5"/>
      <c r="L543" s="7"/>
      <c r="M543" s="12"/>
      <c r="O543" s="6"/>
      <c r="P543" s="6"/>
      <c r="T543" s="5"/>
      <c r="U543" s="5"/>
    </row>
    <row r="544" spans="2:21" x14ac:dyDescent="0.25">
      <c r="B544" s="90">
        <v>1812</v>
      </c>
      <c r="C544" s="91">
        <v>2.7442542463649966E-2</v>
      </c>
      <c r="D544" s="92">
        <v>12</v>
      </c>
      <c r="E544" s="93">
        <v>0.32374100719424459</v>
      </c>
      <c r="G544" s="5"/>
      <c r="H544" s="5"/>
      <c r="L544" s="7"/>
      <c r="M544" s="12"/>
      <c r="O544" s="6"/>
      <c r="P544" s="6"/>
      <c r="T544" s="5"/>
      <c r="U544" s="5"/>
    </row>
    <row r="545" spans="2:21" x14ac:dyDescent="0.25">
      <c r="B545" s="90">
        <v>1950</v>
      </c>
      <c r="C545" s="91">
        <v>2.8978599955172823E-2</v>
      </c>
      <c r="D545" s="92">
        <v>12</v>
      </c>
      <c r="E545" s="93">
        <v>0.34532374100719426</v>
      </c>
      <c r="G545" s="5"/>
      <c r="H545" s="5"/>
      <c r="L545" s="7"/>
      <c r="M545" s="12"/>
      <c r="O545" s="6"/>
      <c r="P545" s="6"/>
      <c r="T545" s="5"/>
      <c r="U545" s="5"/>
    </row>
    <row r="546" spans="2:21" x14ac:dyDescent="0.25">
      <c r="B546" s="90">
        <v>1813</v>
      </c>
      <c r="C546" s="91">
        <v>3.4913271554020575E-2</v>
      </c>
      <c r="D546" s="92">
        <v>12</v>
      </c>
      <c r="E546" s="93">
        <v>0.32374100719424459</v>
      </c>
      <c r="G546" s="5"/>
      <c r="H546" s="5"/>
      <c r="L546" s="7"/>
      <c r="M546" s="12"/>
      <c r="O546" s="6"/>
      <c r="P546" s="6"/>
      <c r="T546" s="5"/>
      <c r="U546" s="5"/>
    </row>
    <row r="547" spans="2:21" x14ac:dyDescent="0.25">
      <c r="B547" s="90">
        <v>1948</v>
      </c>
      <c r="C547" s="91">
        <v>3.5352978411493541E-2</v>
      </c>
      <c r="D547" s="92">
        <v>12</v>
      </c>
      <c r="E547" s="93">
        <v>0.35251798561151076</v>
      </c>
      <c r="G547" s="5"/>
      <c r="H547" s="5"/>
      <c r="L547" s="7"/>
      <c r="M547" s="12"/>
      <c r="O547" s="6"/>
      <c r="P547" s="6"/>
      <c r="T547" s="5"/>
      <c r="U547" s="5"/>
    </row>
    <row r="548" spans="2:21" x14ac:dyDescent="0.25">
      <c r="B548" s="90">
        <v>1835</v>
      </c>
      <c r="C548" s="91">
        <v>3.5363710852866825E-2</v>
      </c>
      <c r="D548" s="92">
        <v>12</v>
      </c>
      <c r="E548" s="93">
        <v>0.33812949640287771</v>
      </c>
      <c r="G548" s="5"/>
      <c r="H548" s="5"/>
      <c r="L548" s="7"/>
      <c r="M548" s="12"/>
      <c r="O548" s="6"/>
      <c r="P548" s="6"/>
      <c r="T548" s="5"/>
      <c r="U548" s="5"/>
    </row>
    <row r="549" spans="2:21" x14ac:dyDescent="0.25">
      <c r="B549" s="90">
        <v>1889</v>
      </c>
      <c r="C549" s="91">
        <v>3.6967549444036685E-2</v>
      </c>
      <c r="D549" s="92">
        <v>12</v>
      </c>
      <c r="E549" s="93">
        <v>0.30935251798561153</v>
      </c>
      <c r="G549" s="5"/>
      <c r="H549" s="5"/>
      <c r="L549" s="7"/>
      <c r="M549" s="12"/>
      <c r="O549" s="6"/>
      <c r="P549" s="6"/>
      <c r="T549" s="5"/>
      <c r="U549" s="5"/>
    </row>
    <row r="550" spans="2:21" x14ac:dyDescent="0.25">
      <c r="B550" s="90">
        <v>1860</v>
      </c>
      <c r="C550" s="91">
        <v>3.8978491567114748E-2</v>
      </c>
      <c r="D550" s="92">
        <v>12</v>
      </c>
      <c r="E550" s="93">
        <v>0.33812949640287771</v>
      </c>
      <c r="G550" s="5"/>
      <c r="H550" s="5"/>
      <c r="L550" s="7"/>
      <c r="M550" s="12"/>
      <c r="O550" s="6"/>
      <c r="P550" s="6"/>
      <c r="T550" s="5"/>
      <c r="U550" s="5"/>
    </row>
    <row r="551" spans="2:21" x14ac:dyDescent="0.25">
      <c r="B551" s="90">
        <v>1968</v>
      </c>
      <c r="C551" s="91">
        <v>4.2040827378415191E-2</v>
      </c>
      <c r="D551" s="92">
        <v>12</v>
      </c>
      <c r="E551" s="93">
        <v>0.35251798561151076</v>
      </c>
      <c r="G551" s="5"/>
      <c r="H551" s="5"/>
      <c r="L551" s="7"/>
      <c r="M551" s="12"/>
      <c r="O551" s="6"/>
      <c r="P551" s="6"/>
      <c r="T551" s="5"/>
      <c r="U551" s="5"/>
    </row>
    <row r="552" spans="2:21" x14ac:dyDescent="0.25">
      <c r="B552" s="90">
        <v>1756</v>
      </c>
      <c r="C552" s="91">
        <v>4.3018121379164498E-2</v>
      </c>
      <c r="D552" s="92">
        <v>12</v>
      </c>
      <c r="E552" s="93">
        <v>0.32374100719424459</v>
      </c>
      <c r="G552" s="5"/>
      <c r="H552" s="5"/>
      <c r="L552" s="7"/>
      <c r="M552" s="12"/>
      <c r="O552" s="6"/>
      <c r="P552" s="6"/>
      <c r="T552" s="5"/>
      <c r="U552" s="5"/>
    </row>
    <row r="553" spans="2:21" x14ac:dyDescent="0.25">
      <c r="B553" s="90">
        <v>1887</v>
      </c>
      <c r="C553" s="91">
        <v>4.3883161541179883E-2</v>
      </c>
      <c r="D553" s="92">
        <v>12</v>
      </c>
      <c r="E553" s="93">
        <v>0.33093525179856115</v>
      </c>
      <c r="G553" s="5"/>
      <c r="H553" s="5"/>
      <c r="L553" s="7"/>
      <c r="M553" s="12"/>
      <c r="O553" s="6"/>
      <c r="P553" s="6"/>
      <c r="T553" s="5"/>
      <c r="U553" s="5"/>
    </row>
    <row r="554" spans="2:21" x14ac:dyDescent="0.25">
      <c r="B554" s="90">
        <v>1969</v>
      </c>
      <c r="C554" s="91">
        <v>5.1756236590357774E-2</v>
      </c>
      <c r="D554" s="92">
        <v>12</v>
      </c>
      <c r="E554" s="93">
        <v>0.33093525179856115</v>
      </c>
      <c r="G554" s="5"/>
      <c r="H554" s="5"/>
      <c r="L554" s="7"/>
      <c r="M554" s="12"/>
      <c r="O554" s="6"/>
      <c r="P554" s="6"/>
      <c r="T554" s="5"/>
      <c r="U554" s="5"/>
    </row>
    <row r="555" spans="2:21" x14ac:dyDescent="0.25">
      <c r="B555" s="90">
        <v>1836</v>
      </c>
      <c r="C555" s="91">
        <v>5.2107807944101969E-2</v>
      </c>
      <c r="D555" s="92">
        <v>12</v>
      </c>
      <c r="E555" s="93">
        <v>0.38848920863309355</v>
      </c>
      <c r="G555" s="5"/>
      <c r="H555" s="5"/>
      <c r="L555" s="7"/>
      <c r="M555" s="12"/>
      <c r="O555" s="6"/>
      <c r="P555" s="6"/>
      <c r="T555" s="5"/>
      <c r="U555" s="5"/>
    </row>
    <row r="556" spans="2:21" x14ac:dyDescent="0.25">
      <c r="B556" s="90">
        <v>1814</v>
      </c>
      <c r="C556" s="91">
        <v>5.3478467509253447E-2</v>
      </c>
      <c r="D556" s="92">
        <v>12</v>
      </c>
      <c r="E556" s="93">
        <v>0.30935251798561153</v>
      </c>
      <c r="G556" s="5"/>
      <c r="H556" s="5"/>
      <c r="L556" s="7"/>
      <c r="M556" s="12"/>
      <c r="O556" s="6"/>
      <c r="P556" s="6"/>
      <c r="T556" s="5"/>
      <c r="U556" s="5"/>
    </row>
    <row r="557" spans="2:21" x14ac:dyDescent="0.25">
      <c r="B557" s="90">
        <v>1949</v>
      </c>
      <c r="C557" s="91">
        <v>5.683924042872901E-2</v>
      </c>
      <c r="D557" s="92">
        <v>12</v>
      </c>
      <c r="E557" s="93">
        <v>0.32374100719424459</v>
      </c>
      <c r="G557" s="5"/>
      <c r="H557" s="5"/>
      <c r="L557" s="7"/>
      <c r="M557" s="12"/>
      <c r="O557" s="6"/>
      <c r="P557" s="6"/>
      <c r="T557" s="5"/>
      <c r="U557" s="5"/>
    </row>
    <row r="558" spans="2:21" x14ac:dyDescent="0.25">
      <c r="B558" s="90">
        <v>1888</v>
      </c>
      <c r="C558" s="91">
        <v>5.8228487431746911E-2</v>
      </c>
      <c r="D558" s="92">
        <v>12</v>
      </c>
      <c r="E558" s="93">
        <v>0.33093525179856115</v>
      </c>
      <c r="G558" s="5"/>
      <c r="H558" s="5"/>
      <c r="L558" s="7"/>
      <c r="M558" s="12"/>
      <c r="O558" s="6"/>
      <c r="P558" s="6"/>
      <c r="T558" s="5"/>
      <c r="U558" s="5"/>
    </row>
    <row r="559" spans="2:21" x14ac:dyDescent="0.25">
      <c r="B559" s="90">
        <v>1784</v>
      </c>
      <c r="C559" s="91">
        <v>5.8435633648938445E-2</v>
      </c>
      <c r="D559" s="92">
        <v>12</v>
      </c>
      <c r="E559" s="93">
        <v>0.38129496402877699</v>
      </c>
      <c r="G559" s="5"/>
      <c r="H559" s="5"/>
      <c r="L559" s="7"/>
      <c r="M559" s="12"/>
      <c r="O559" s="6"/>
      <c r="P559" s="6"/>
      <c r="T559" s="5"/>
      <c r="U559" s="5"/>
    </row>
    <row r="560" spans="2:21" x14ac:dyDescent="0.25">
      <c r="B560" s="90">
        <v>2007</v>
      </c>
      <c r="C560" s="91">
        <v>6.6363957301908916E-2</v>
      </c>
      <c r="D560" s="92">
        <v>12</v>
      </c>
      <c r="E560" s="93">
        <v>0.30215827338129497</v>
      </c>
      <c r="G560" s="5"/>
      <c r="H560" s="5"/>
      <c r="L560" s="7"/>
      <c r="M560" s="12"/>
      <c r="O560" s="6"/>
      <c r="P560" s="6"/>
      <c r="T560" s="5"/>
      <c r="U560" s="5"/>
    </row>
    <row r="561" spans="2:21" x14ac:dyDescent="0.25">
      <c r="B561" s="90">
        <v>1809</v>
      </c>
      <c r="C561" s="91">
        <v>6.7743836588076034E-2</v>
      </c>
      <c r="D561" s="92">
        <v>12</v>
      </c>
      <c r="E561" s="93">
        <v>0.34532374100719426</v>
      </c>
      <c r="G561" s="5"/>
      <c r="H561" s="5"/>
      <c r="L561" s="7"/>
      <c r="M561" s="12"/>
      <c r="O561" s="6"/>
      <c r="P561" s="6"/>
      <c r="T561" s="5"/>
      <c r="U561" s="5"/>
    </row>
    <row r="562" spans="2:21" x14ac:dyDescent="0.25">
      <c r="B562" s="90">
        <v>1837</v>
      </c>
      <c r="C562" s="91">
        <v>6.9610976042325245E-2</v>
      </c>
      <c r="D562" s="92">
        <v>12</v>
      </c>
      <c r="E562" s="93">
        <v>0.30215827338129497</v>
      </c>
      <c r="G562" s="5"/>
      <c r="H562" s="5"/>
      <c r="L562" s="7"/>
      <c r="M562" s="12"/>
      <c r="O562" s="6"/>
      <c r="P562" s="6"/>
      <c r="T562" s="5"/>
      <c r="U562" s="5"/>
    </row>
    <row r="563" spans="2:21" x14ac:dyDescent="0.25">
      <c r="B563" s="90">
        <v>1861</v>
      </c>
      <c r="C563" s="91">
        <v>7.2154929949801883E-2</v>
      </c>
      <c r="D563" s="92">
        <v>12</v>
      </c>
      <c r="E563" s="93">
        <v>0.38848920863309355</v>
      </c>
      <c r="G563" s="5"/>
      <c r="H563" s="5"/>
      <c r="L563" s="7"/>
      <c r="M563" s="12"/>
      <c r="O563" s="6"/>
      <c r="P563" s="6"/>
      <c r="T563" s="5"/>
      <c r="U563" s="5"/>
    </row>
    <row r="564" spans="2:21" x14ac:dyDescent="0.25">
      <c r="B564" s="90">
        <v>1931</v>
      </c>
      <c r="C564" s="91">
        <v>7.2797383389639148E-2</v>
      </c>
      <c r="D564" s="92">
        <v>12</v>
      </c>
      <c r="E564" s="93">
        <v>0.35251798561151076</v>
      </c>
      <c r="G564" s="5"/>
      <c r="H564" s="5"/>
      <c r="L564" s="7"/>
      <c r="M564" s="12"/>
      <c r="O564" s="6"/>
      <c r="P564" s="6"/>
      <c r="T564" s="5"/>
      <c r="U564" s="5"/>
    </row>
    <row r="565" spans="2:21" x14ac:dyDescent="0.25">
      <c r="B565" s="90">
        <v>1723</v>
      </c>
      <c r="C565" s="91">
        <v>7.7099203802517557E-2</v>
      </c>
      <c r="D565" s="92">
        <v>12</v>
      </c>
      <c r="E565" s="93">
        <v>0.34532374100719426</v>
      </c>
      <c r="G565" s="5"/>
      <c r="H565" s="5"/>
      <c r="L565" s="7"/>
      <c r="M565" s="12"/>
      <c r="O565" s="6"/>
      <c r="P565" s="6"/>
      <c r="T565" s="5"/>
      <c r="U565" s="5"/>
    </row>
    <row r="566" spans="2:21" x14ac:dyDescent="0.25">
      <c r="B566" s="90">
        <v>1838</v>
      </c>
      <c r="C566" s="91">
        <v>8.0150311746638891E-2</v>
      </c>
      <c r="D566" s="92">
        <v>12</v>
      </c>
      <c r="E566" s="93">
        <v>0.30935251798561153</v>
      </c>
      <c r="G566" s="5"/>
      <c r="H566" s="5"/>
      <c r="L566" s="7"/>
      <c r="M566" s="12"/>
      <c r="O566" s="6"/>
      <c r="P566" s="6"/>
      <c r="T566" s="5"/>
      <c r="U566" s="5"/>
    </row>
    <row r="567" spans="2:21" x14ac:dyDescent="0.25">
      <c r="B567" s="90">
        <v>1810</v>
      </c>
      <c r="C567" s="91">
        <v>8.2170658108740025E-2</v>
      </c>
      <c r="D567" s="92">
        <v>12</v>
      </c>
      <c r="E567" s="93">
        <v>0.46762589928057552</v>
      </c>
      <c r="G567" s="5"/>
      <c r="H567" s="5"/>
      <c r="L567" s="7"/>
      <c r="M567" s="12"/>
      <c r="O567" s="6"/>
      <c r="P567" s="6"/>
      <c r="T567" s="5"/>
      <c r="U567" s="5"/>
    </row>
    <row r="568" spans="2:21" x14ac:dyDescent="0.25">
      <c r="B568" s="90">
        <v>1839</v>
      </c>
      <c r="C568" s="91">
        <v>8.8892393945109061E-2</v>
      </c>
      <c r="D568" s="92">
        <v>12</v>
      </c>
      <c r="E568" s="93">
        <v>0.30215827338129497</v>
      </c>
      <c r="G568" s="5"/>
      <c r="H568" s="5"/>
      <c r="L568" s="7"/>
      <c r="M568" s="12"/>
      <c r="O568" s="6"/>
      <c r="P568" s="6"/>
      <c r="T568" s="5"/>
      <c r="U568" s="5"/>
    </row>
    <row r="569" spans="2:21" x14ac:dyDescent="0.25">
      <c r="B569" s="90">
        <v>1862</v>
      </c>
      <c r="C569" s="91">
        <v>9.2403791685972902E-2</v>
      </c>
      <c r="D569" s="92">
        <v>12</v>
      </c>
      <c r="E569" s="93">
        <v>0.2805755395683453</v>
      </c>
      <c r="G569" s="5"/>
      <c r="H569" s="5"/>
      <c r="L569" s="7"/>
      <c r="M569" s="12"/>
      <c r="O569" s="6"/>
      <c r="P569" s="6"/>
      <c r="T569" s="5"/>
      <c r="U569" s="5"/>
    </row>
    <row r="570" spans="2:21" x14ac:dyDescent="0.25">
      <c r="B570" s="90">
        <v>1954</v>
      </c>
      <c r="C570" s="91">
        <v>9.3527770029595558E-2</v>
      </c>
      <c r="D570" s="92">
        <v>12</v>
      </c>
      <c r="E570" s="93">
        <v>0.30935251798561153</v>
      </c>
      <c r="G570" s="5"/>
      <c r="H570" s="5"/>
      <c r="L570" s="7"/>
      <c r="M570" s="12"/>
      <c r="O570" s="6"/>
      <c r="P570" s="6"/>
      <c r="T570" s="5"/>
      <c r="U570" s="5"/>
    </row>
    <row r="571" spans="2:21" x14ac:dyDescent="0.25">
      <c r="B571" s="90">
        <v>2009</v>
      </c>
      <c r="C571" s="91">
        <v>9.4228530195659577E-2</v>
      </c>
      <c r="D571" s="92">
        <v>12</v>
      </c>
      <c r="E571" s="93">
        <v>0.2733812949640288</v>
      </c>
      <c r="G571" s="5"/>
      <c r="H571" s="5"/>
      <c r="L571" s="7"/>
      <c r="M571" s="12"/>
      <c r="O571" s="6"/>
      <c r="P571" s="6"/>
      <c r="T571" s="5"/>
      <c r="U571" s="5"/>
    </row>
    <row r="572" spans="2:21" x14ac:dyDescent="0.25">
      <c r="B572" s="90">
        <v>1952</v>
      </c>
      <c r="C572" s="91">
        <v>9.8625387890821758E-2</v>
      </c>
      <c r="D572" s="92">
        <v>12</v>
      </c>
      <c r="E572" s="93">
        <v>0.28776978417266186</v>
      </c>
      <c r="G572" s="5"/>
      <c r="H572" s="5"/>
      <c r="L572" s="7"/>
      <c r="M572" s="12"/>
      <c r="O572" s="6"/>
      <c r="P572" s="6"/>
      <c r="T572" s="5"/>
      <c r="U572" s="5"/>
    </row>
    <row r="573" spans="2:21" x14ac:dyDescent="0.25">
      <c r="B573" s="90">
        <v>1913</v>
      </c>
      <c r="C573" s="91">
        <v>9.989649688089508E-2</v>
      </c>
      <c r="D573" s="92">
        <v>12</v>
      </c>
      <c r="E573" s="93">
        <v>0.48201438848920863</v>
      </c>
      <c r="G573" s="5"/>
      <c r="H573" s="5"/>
      <c r="L573" s="7"/>
      <c r="M573" s="12"/>
      <c r="O573" s="6"/>
      <c r="P573" s="6"/>
      <c r="T573" s="5"/>
      <c r="U573" s="5"/>
    </row>
    <row r="574" spans="2:21" x14ac:dyDescent="0.25">
      <c r="B574" s="90">
        <v>1753</v>
      </c>
      <c r="C574" s="91">
        <v>0.1033109410104589</v>
      </c>
      <c r="D574" s="92">
        <v>12</v>
      </c>
      <c r="E574" s="93">
        <v>0.47482014388489208</v>
      </c>
      <c r="G574" s="5"/>
      <c r="H574" s="5"/>
      <c r="L574" s="7"/>
      <c r="M574" s="12"/>
      <c r="O574" s="6"/>
      <c r="P574" s="6"/>
      <c r="T574" s="5"/>
      <c r="U574" s="5"/>
    </row>
    <row r="575" spans="2:21" x14ac:dyDescent="0.25">
      <c r="B575" s="90">
        <v>1727</v>
      </c>
      <c r="C575" s="91">
        <v>0.10364537865181767</v>
      </c>
      <c r="D575" s="92">
        <v>12</v>
      </c>
      <c r="E575" s="93">
        <v>0.2805755395683453</v>
      </c>
      <c r="G575" s="5"/>
      <c r="H575" s="5"/>
      <c r="L575" s="7"/>
      <c r="M575" s="12"/>
      <c r="O575" s="6"/>
      <c r="P575" s="6"/>
      <c r="T575" s="5"/>
      <c r="U575" s="5"/>
    </row>
    <row r="576" spans="2:21" x14ac:dyDescent="0.25">
      <c r="B576" s="90">
        <v>1953</v>
      </c>
      <c r="C576" s="91">
        <v>0.10504227219786744</v>
      </c>
      <c r="D576" s="92">
        <v>12</v>
      </c>
      <c r="E576" s="93">
        <v>0.30935251798561153</v>
      </c>
      <c r="G576" s="5"/>
      <c r="H576" s="5"/>
      <c r="L576" s="7"/>
      <c r="M576" s="12"/>
      <c r="O576" s="6"/>
      <c r="P576" s="6"/>
      <c r="T576" s="5"/>
      <c r="U576" s="5"/>
    </row>
    <row r="577" spans="2:21" x14ac:dyDescent="0.25">
      <c r="B577" s="90">
        <v>1781</v>
      </c>
      <c r="C577" s="91">
        <v>0.10921815866820794</v>
      </c>
      <c r="D577" s="92">
        <v>12</v>
      </c>
      <c r="E577" s="93">
        <v>0.48201438848920863</v>
      </c>
      <c r="G577" s="5"/>
      <c r="H577" s="5"/>
      <c r="L577" s="7"/>
      <c r="M577" s="12"/>
      <c r="O577" s="6"/>
      <c r="P577" s="6"/>
      <c r="T577" s="5"/>
      <c r="U577" s="5"/>
    </row>
    <row r="578" spans="2:21" x14ac:dyDescent="0.25">
      <c r="B578" s="90">
        <v>1907</v>
      </c>
      <c r="C578" s="91">
        <v>0.11152008689063642</v>
      </c>
      <c r="D578" s="92">
        <v>12</v>
      </c>
      <c r="E578" s="93">
        <v>0.23021582733812951</v>
      </c>
      <c r="G578" s="5"/>
      <c r="H578" s="5"/>
      <c r="L578" s="7"/>
      <c r="M578" s="12"/>
      <c r="O578" s="6"/>
      <c r="P578" s="6"/>
      <c r="T578" s="5"/>
      <c r="U578" s="5"/>
    </row>
    <row r="579" spans="2:21" x14ac:dyDescent="0.25">
      <c r="B579" s="90">
        <v>1840</v>
      </c>
      <c r="C579" s="91">
        <v>0.11579924756202442</v>
      </c>
      <c r="D579" s="92">
        <v>12</v>
      </c>
      <c r="E579" s="93">
        <v>0.2805755395683453</v>
      </c>
      <c r="G579" s="5"/>
      <c r="H579" s="5"/>
      <c r="L579" s="7"/>
      <c r="M579" s="12"/>
      <c r="O579" s="6"/>
      <c r="P579" s="6"/>
      <c r="T579" s="5"/>
      <c r="U579" s="5"/>
    </row>
    <row r="580" spans="2:21" x14ac:dyDescent="0.25">
      <c r="B580" s="90">
        <v>1891</v>
      </c>
      <c r="C580" s="91">
        <v>0.11638519132723379</v>
      </c>
      <c r="D580" s="92">
        <v>12</v>
      </c>
      <c r="E580" s="93">
        <v>0.48920863309352519</v>
      </c>
      <c r="G580" s="5"/>
      <c r="H580" s="5"/>
      <c r="L580" s="7"/>
      <c r="M580" s="12"/>
      <c r="O580" s="6"/>
      <c r="P580" s="6"/>
      <c r="T580" s="5"/>
      <c r="U580" s="5"/>
    </row>
    <row r="581" spans="2:21" x14ac:dyDescent="0.25">
      <c r="B581" s="90">
        <v>1890</v>
      </c>
      <c r="C581" s="91">
        <v>0.11677347223509504</v>
      </c>
      <c r="D581" s="92">
        <v>12</v>
      </c>
      <c r="E581" s="93">
        <v>0.48201438848920863</v>
      </c>
      <c r="G581" s="5"/>
      <c r="H581" s="5"/>
      <c r="L581" s="7"/>
      <c r="M581" s="12"/>
      <c r="O581" s="6"/>
      <c r="P581" s="6"/>
      <c r="T581" s="5"/>
      <c r="U581" s="5"/>
    </row>
    <row r="582" spans="2:21" x14ac:dyDescent="0.25">
      <c r="B582" s="90">
        <v>1863</v>
      </c>
      <c r="C582" s="91">
        <v>0.11682208409713712</v>
      </c>
      <c r="D582" s="92">
        <v>12</v>
      </c>
      <c r="E582" s="93">
        <v>0.2733812949640288</v>
      </c>
      <c r="G582" s="5"/>
      <c r="H582" s="5"/>
      <c r="L582" s="7"/>
      <c r="M582" s="12"/>
      <c r="O582" s="6"/>
      <c r="P582" s="6"/>
      <c r="T582" s="5"/>
      <c r="U582" s="5"/>
    </row>
    <row r="583" spans="2:21" x14ac:dyDescent="0.25">
      <c r="B583" s="90">
        <v>1755</v>
      </c>
      <c r="C583" s="91">
        <v>0.11897824968726955</v>
      </c>
      <c r="D583" s="92">
        <v>12</v>
      </c>
      <c r="E583" s="93">
        <v>0.46762589928057552</v>
      </c>
      <c r="G583" s="5"/>
      <c r="H583" s="5"/>
      <c r="L583" s="7"/>
      <c r="M583" s="12"/>
      <c r="O583" s="6"/>
      <c r="P583" s="6"/>
      <c r="T583" s="5"/>
      <c r="U583" s="5"/>
    </row>
    <row r="584" spans="2:21" x14ac:dyDescent="0.25">
      <c r="B584" s="90">
        <v>1754</v>
      </c>
      <c r="C584" s="91">
        <v>0.12057088372070091</v>
      </c>
      <c r="D584" s="92">
        <v>12</v>
      </c>
      <c r="E584" s="93">
        <v>0.48920863309352519</v>
      </c>
      <c r="G584" s="5"/>
      <c r="H584" s="5"/>
      <c r="L584" s="7"/>
      <c r="M584" s="12"/>
      <c r="O584" s="6"/>
      <c r="P584" s="6"/>
      <c r="T584" s="5"/>
      <c r="U584" s="5"/>
    </row>
    <row r="585" spans="2:21" x14ac:dyDescent="0.25">
      <c r="B585" s="90">
        <v>1783</v>
      </c>
      <c r="C585" s="91">
        <v>0.12253625274004776</v>
      </c>
      <c r="D585" s="92">
        <v>12</v>
      </c>
      <c r="E585" s="93">
        <v>0.46762589928057552</v>
      </c>
      <c r="G585" s="5"/>
      <c r="H585" s="5"/>
      <c r="L585" s="7"/>
      <c r="M585" s="12"/>
      <c r="O585" s="6"/>
      <c r="P585" s="6"/>
      <c r="T585" s="5"/>
      <c r="U585" s="5"/>
    </row>
    <row r="586" spans="2:21" x14ac:dyDescent="0.25">
      <c r="B586" s="90">
        <v>1934</v>
      </c>
      <c r="C586" s="91">
        <v>0.12545632149029839</v>
      </c>
      <c r="D586" s="92">
        <v>12</v>
      </c>
      <c r="E586" s="93">
        <v>0.41007194244604317</v>
      </c>
      <c r="G586" s="5"/>
      <c r="H586" s="5"/>
      <c r="L586" s="7"/>
      <c r="M586" s="12"/>
      <c r="O586" s="6"/>
      <c r="P586" s="6"/>
      <c r="T586" s="5"/>
      <c r="U586" s="5"/>
    </row>
    <row r="587" spans="2:21" x14ac:dyDescent="0.25">
      <c r="B587" s="90">
        <v>1864</v>
      </c>
      <c r="C587" s="91">
        <v>0.1257200642645081</v>
      </c>
      <c r="D587" s="92">
        <v>12</v>
      </c>
      <c r="E587" s="93">
        <v>0.26618705035971224</v>
      </c>
      <c r="G587" s="5"/>
      <c r="H587" s="5"/>
      <c r="L587" s="7"/>
      <c r="M587" s="12"/>
      <c r="O587" s="6"/>
      <c r="P587" s="6"/>
      <c r="T587" s="5"/>
      <c r="U587" s="5"/>
    </row>
    <row r="588" spans="2:21" x14ac:dyDescent="0.25">
      <c r="B588" s="90">
        <v>1782</v>
      </c>
      <c r="C588" s="91">
        <v>0.12592153593793221</v>
      </c>
      <c r="D588" s="92">
        <v>12</v>
      </c>
      <c r="E588" s="93">
        <v>0.48920863309352519</v>
      </c>
      <c r="G588" s="5"/>
      <c r="H588" s="5"/>
      <c r="L588" s="7"/>
      <c r="M588" s="12"/>
      <c r="O588" s="6"/>
      <c r="P588" s="6"/>
      <c r="T588" s="5"/>
      <c r="U588" s="5"/>
    </row>
    <row r="589" spans="2:21" x14ac:dyDescent="0.25">
      <c r="B589" s="90">
        <v>1884</v>
      </c>
      <c r="C589" s="91">
        <v>0.13120707258217501</v>
      </c>
      <c r="D589" s="92">
        <v>12</v>
      </c>
      <c r="E589" s="93">
        <v>0.50359712230215825</v>
      </c>
      <c r="G589" s="5"/>
      <c r="H589" s="5"/>
      <c r="L589" s="7"/>
      <c r="M589" s="12"/>
      <c r="O589" s="6"/>
      <c r="P589" s="6"/>
      <c r="T589" s="5"/>
      <c r="U589" s="5"/>
    </row>
    <row r="590" spans="2:21" x14ac:dyDescent="0.25">
      <c r="B590" s="90">
        <v>1929</v>
      </c>
      <c r="C590" s="91">
        <v>0.13880800267518589</v>
      </c>
      <c r="D590" s="92">
        <v>12</v>
      </c>
      <c r="E590" s="93">
        <v>0.43165467625899279</v>
      </c>
      <c r="G590" s="5"/>
      <c r="H590" s="5"/>
      <c r="L590" s="7"/>
      <c r="M590" s="12"/>
      <c r="O590" s="6"/>
      <c r="P590" s="6"/>
      <c r="T590" s="5"/>
      <c r="U590" s="5"/>
    </row>
    <row r="591" spans="2:21" x14ac:dyDescent="0.25">
      <c r="B591" s="90">
        <v>1930</v>
      </c>
      <c r="C591" s="91">
        <v>0.1846410214445362</v>
      </c>
      <c r="D591" s="92">
        <v>12</v>
      </c>
      <c r="E591" s="93">
        <v>0.49640287769784175</v>
      </c>
      <c r="G591" s="5"/>
      <c r="H591" s="5"/>
      <c r="L591" s="7"/>
      <c r="M591" s="12"/>
      <c r="O591" s="6"/>
      <c r="P591" s="6"/>
      <c r="T591" s="5"/>
      <c r="U591" s="5"/>
    </row>
    <row r="592" spans="2:21" x14ac:dyDescent="0.25">
      <c r="B592" s="90">
        <v>1865</v>
      </c>
      <c r="C592" s="91">
        <v>0.18539204620754124</v>
      </c>
      <c r="D592" s="92">
        <v>12</v>
      </c>
      <c r="E592" s="93">
        <v>0.19424460431654678</v>
      </c>
      <c r="G592" s="5"/>
      <c r="H592" s="5"/>
      <c r="L592" s="7"/>
      <c r="M592" s="12"/>
      <c r="O592" s="6"/>
      <c r="P592" s="6"/>
      <c r="T592" s="5"/>
      <c r="U592" s="5"/>
    </row>
    <row r="593" spans="2:21" x14ac:dyDescent="0.25">
      <c r="B593" s="90">
        <v>1885</v>
      </c>
      <c r="C593" s="91">
        <v>0.18572082083559294</v>
      </c>
      <c r="D593" s="92">
        <v>12</v>
      </c>
      <c r="E593" s="93">
        <v>0.49640287769784175</v>
      </c>
      <c r="G593" s="5"/>
      <c r="H593" s="5"/>
      <c r="L593" s="7"/>
      <c r="M593" s="12"/>
      <c r="O593" s="6"/>
      <c r="P593" s="6"/>
      <c r="T593" s="5"/>
      <c r="U593" s="5"/>
    </row>
    <row r="594" spans="2:21" x14ac:dyDescent="0.25">
      <c r="B594" s="90">
        <v>1911</v>
      </c>
      <c r="C594" s="91">
        <v>0.18727654786856118</v>
      </c>
      <c r="D594" s="92">
        <v>12</v>
      </c>
      <c r="E594" s="93">
        <v>0.19424460431654678</v>
      </c>
      <c r="G594" s="5"/>
      <c r="H594" s="5"/>
      <c r="L594" s="7"/>
      <c r="M594" s="12"/>
      <c r="O594" s="6"/>
      <c r="P594" s="6"/>
      <c r="T594" s="5"/>
      <c r="U594" s="5"/>
    </row>
    <row r="595" spans="2:21" x14ac:dyDescent="0.25">
      <c r="B595" s="90">
        <v>1909</v>
      </c>
      <c r="C595" s="91">
        <v>0.19127990990542498</v>
      </c>
      <c r="D595" s="92">
        <v>12</v>
      </c>
      <c r="E595" s="93">
        <v>0.18705035971223022</v>
      </c>
      <c r="G595" s="5"/>
      <c r="H595" s="5"/>
      <c r="L595" s="7"/>
      <c r="M595" s="12"/>
      <c r="O595" s="6"/>
      <c r="P595" s="6"/>
      <c r="T595" s="5"/>
      <c r="U595" s="5"/>
    </row>
    <row r="596" spans="2:21" x14ac:dyDescent="0.25">
      <c r="B596" s="90">
        <v>1780</v>
      </c>
      <c r="C596" s="91">
        <v>0.19281899632128097</v>
      </c>
      <c r="D596" s="92">
        <v>12</v>
      </c>
      <c r="E596" s="93">
        <v>0.49640287769784175</v>
      </c>
      <c r="G596" s="5"/>
      <c r="H596" s="5"/>
      <c r="L596" s="7"/>
      <c r="M596" s="12"/>
      <c r="O596" s="6"/>
      <c r="P596" s="6"/>
      <c r="T596" s="5"/>
      <c r="U596" s="5"/>
    </row>
    <row r="597" spans="2:21" x14ac:dyDescent="0.25">
      <c r="B597" s="90">
        <v>1752</v>
      </c>
      <c r="C597" s="91">
        <v>0.19415595837414368</v>
      </c>
      <c r="D597" s="92">
        <v>12</v>
      </c>
      <c r="E597" s="93">
        <v>0.49640287769784175</v>
      </c>
      <c r="G597" s="5"/>
      <c r="H597" s="5"/>
      <c r="L597" s="7"/>
      <c r="M597" s="12"/>
      <c r="O597" s="6"/>
      <c r="P597" s="6"/>
      <c r="T597" s="5"/>
      <c r="U597" s="5"/>
    </row>
    <row r="598" spans="2:21" x14ac:dyDescent="0.25">
      <c r="B598" s="90">
        <v>1932</v>
      </c>
      <c r="C598" s="91">
        <v>0.19801806711700731</v>
      </c>
      <c r="D598" s="92">
        <v>12</v>
      </c>
      <c r="E598" s="93">
        <v>0.48920863309352519</v>
      </c>
      <c r="G598" s="5"/>
      <c r="H598" s="5"/>
      <c r="L598" s="7"/>
      <c r="M598" s="12"/>
      <c r="O598" s="6"/>
      <c r="P598" s="6"/>
      <c r="T598" s="5"/>
      <c r="U598" s="5"/>
    </row>
    <row r="599" spans="2:21" x14ac:dyDescent="0.25">
      <c r="B599" s="90">
        <v>1910</v>
      </c>
      <c r="C599" s="91">
        <v>0.20824285932343356</v>
      </c>
      <c r="D599" s="92">
        <v>12</v>
      </c>
      <c r="E599" s="93">
        <v>0.18705035971223022</v>
      </c>
      <c r="G599" s="5"/>
      <c r="H599" s="5"/>
      <c r="L599" s="7"/>
      <c r="M599" s="12"/>
      <c r="O599" s="6"/>
      <c r="P599" s="6"/>
      <c r="T599" s="5"/>
      <c r="U599" s="5"/>
    </row>
    <row r="600" spans="2:21" x14ac:dyDescent="0.25">
      <c r="B600" s="90">
        <v>1955</v>
      </c>
      <c r="C600" s="91">
        <v>0.22407699765539901</v>
      </c>
      <c r="D600" s="92">
        <v>12</v>
      </c>
      <c r="E600" s="93">
        <v>0.18705035971223022</v>
      </c>
      <c r="G600" s="5"/>
      <c r="H600" s="5"/>
      <c r="L600" s="7"/>
      <c r="M600" s="12"/>
      <c r="O600" s="6"/>
      <c r="P600" s="6"/>
      <c r="T600" s="5"/>
      <c r="U600" s="5"/>
    </row>
    <row r="601" spans="2:21" x14ac:dyDescent="0.25">
      <c r="B601" s="90">
        <v>1933</v>
      </c>
      <c r="C601" s="91">
        <v>0.22837256557241603</v>
      </c>
      <c r="D601" s="92">
        <v>12</v>
      </c>
      <c r="E601" s="93">
        <v>0.48920863309352519</v>
      </c>
      <c r="G601" s="5"/>
      <c r="H601" s="5"/>
      <c r="L601" s="7"/>
      <c r="M601" s="12"/>
      <c r="O601" s="6"/>
      <c r="P601" s="6"/>
      <c r="T601" s="5"/>
      <c r="U601" s="5"/>
    </row>
    <row r="602" spans="2:21" x14ac:dyDescent="0.25">
      <c r="B602" s="90">
        <v>1989</v>
      </c>
      <c r="C602" s="91">
        <v>0.23512880158521221</v>
      </c>
      <c r="D602" s="92">
        <v>12</v>
      </c>
      <c r="E602" s="93">
        <v>0.15107913669064749</v>
      </c>
      <c r="G602" s="5"/>
      <c r="H602" s="5"/>
      <c r="L602" s="7"/>
      <c r="M602" s="12"/>
      <c r="O602" s="6"/>
      <c r="P602" s="6"/>
      <c r="T602" s="5"/>
      <c r="U602" s="5"/>
    </row>
    <row r="603" spans="2:21" x14ac:dyDescent="0.25">
      <c r="B603" s="90">
        <v>1528</v>
      </c>
      <c r="C603" s="91">
        <v>0.24973039988411339</v>
      </c>
      <c r="D603" s="92">
        <v>12</v>
      </c>
      <c r="E603" s="93">
        <v>0.15107913669064749</v>
      </c>
      <c r="G603" s="5"/>
      <c r="H603" s="5"/>
      <c r="L603" s="7"/>
      <c r="M603" s="12"/>
      <c r="O603" s="6"/>
      <c r="P603" s="6"/>
      <c r="T603" s="5"/>
      <c r="U603" s="5"/>
    </row>
    <row r="604" spans="2:21" x14ac:dyDescent="0.25">
      <c r="B604" s="90">
        <v>1988</v>
      </c>
      <c r="C604" s="91">
        <v>0.26131480126565376</v>
      </c>
      <c r="D604" s="92">
        <v>12</v>
      </c>
      <c r="E604" s="93">
        <v>0.15107913669064749</v>
      </c>
      <c r="G604" s="5"/>
      <c r="H604" s="5"/>
      <c r="L604" s="7"/>
      <c r="M604" s="12"/>
      <c r="O604" s="6"/>
      <c r="P604" s="6"/>
      <c r="T604" s="5"/>
      <c r="U604" s="5"/>
    </row>
    <row r="605" spans="2:21" x14ac:dyDescent="0.25">
      <c r="B605" s="90">
        <v>1974</v>
      </c>
      <c r="C605" s="91">
        <v>0.2670448301292403</v>
      </c>
      <c r="D605" s="92">
        <v>12</v>
      </c>
      <c r="E605" s="93">
        <v>0.65467625899280579</v>
      </c>
      <c r="G605" s="5"/>
      <c r="H605" s="5"/>
      <c r="L605" s="7"/>
      <c r="M605" s="12"/>
      <c r="O605" s="6"/>
      <c r="P605" s="6"/>
      <c r="T605" s="5"/>
      <c r="U605" s="5"/>
    </row>
    <row r="606" spans="2:21" x14ac:dyDescent="0.25">
      <c r="B606" s="90">
        <v>1912</v>
      </c>
      <c r="C606" s="91">
        <v>0.2674341395396338</v>
      </c>
      <c r="D606" s="92">
        <v>12</v>
      </c>
      <c r="E606" s="93">
        <v>0.1366906474820144</v>
      </c>
      <c r="G606" s="5"/>
      <c r="H606" s="5"/>
      <c r="L606" s="7"/>
      <c r="M606" s="12"/>
      <c r="O606" s="6"/>
      <c r="P606" s="6"/>
      <c r="T606" s="5"/>
      <c r="U606" s="5"/>
    </row>
    <row r="607" spans="2:21" x14ac:dyDescent="0.25">
      <c r="B607" s="90">
        <v>1563</v>
      </c>
      <c r="C607" s="91">
        <v>0.27009748859946736</v>
      </c>
      <c r="D607" s="92">
        <v>12</v>
      </c>
      <c r="E607" s="93">
        <v>0.15107913669064749</v>
      </c>
      <c r="G607" s="5"/>
      <c r="H607" s="5"/>
      <c r="L607" s="7"/>
      <c r="M607" s="12"/>
      <c r="O607" s="6"/>
      <c r="P607" s="6"/>
      <c r="T607" s="5"/>
      <c r="U607" s="5"/>
    </row>
    <row r="608" spans="2:21" x14ac:dyDescent="0.25">
      <c r="B608" s="90">
        <v>1914</v>
      </c>
      <c r="C608" s="91">
        <v>0.28882634043675903</v>
      </c>
      <c r="D608" s="92">
        <v>12</v>
      </c>
      <c r="E608" s="93">
        <v>0.65467625899280579</v>
      </c>
      <c r="G608" s="5"/>
      <c r="H608" s="5"/>
      <c r="L608" s="7"/>
      <c r="M608" s="12"/>
      <c r="O608" s="6"/>
      <c r="P608" s="6"/>
      <c r="T608" s="5"/>
      <c r="U608" s="5"/>
    </row>
    <row r="609" spans="2:21" x14ac:dyDescent="0.25">
      <c r="B609" s="90">
        <v>1597</v>
      </c>
      <c r="C609" s="91">
        <v>0.30559883652062203</v>
      </c>
      <c r="D609" s="92">
        <v>12</v>
      </c>
      <c r="E609" s="93">
        <v>0.15827338129496402</v>
      </c>
      <c r="G609" s="5"/>
      <c r="H609" s="5"/>
      <c r="L609" s="7"/>
      <c r="M609" s="12"/>
      <c r="O609" s="6"/>
      <c r="P609" s="6"/>
      <c r="T609" s="5"/>
      <c r="U609" s="5"/>
    </row>
    <row r="610" spans="2:21" x14ac:dyDescent="0.25">
      <c r="B610" s="90">
        <v>1630</v>
      </c>
      <c r="C610" s="91">
        <v>0.31618122177325525</v>
      </c>
      <c r="D610" s="92">
        <v>12</v>
      </c>
      <c r="E610" s="93">
        <v>0.16546762589928057</v>
      </c>
      <c r="G610" s="5"/>
      <c r="H610" s="5"/>
      <c r="L610" s="7"/>
      <c r="M610" s="12"/>
      <c r="O610" s="6"/>
      <c r="P610" s="6"/>
      <c r="T610" s="5"/>
      <c r="U610" s="5"/>
    </row>
    <row r="611" spans="2:21" x14ac:dyDescent="0.25">
      <c r="B611" s="90">
        <v>1662</v>
      </c>
      <c r="C611" s="91">
        <v>0.33391357904540464</v>
      </c>
      <c r="D611" s="92">
        <v>12</v>
      </c>
      <c r="E611" s="93">
        <v>0.16546762589928057</v>
      </c>
      <c r="G611" s="5"/>
      <c r="H611" s="5"/>
      <c r="L611" s="7"/>
      <c r="M611" s="12"/>
      <c r="O611" s="6"/>
      <c r="P611" s="6"/>
      <c r="T611" s="5"/>
      <c r="U611" s="5"/>
    </row>
    <row r="612" spans="2:21" x14ac:dyDescent="0.25">
      <c r="B612" s="90">
        <v>1493</v>
      </c>
      <c r="C612" s="91">
        <v>0.33391992884106036</v>
      </c>
      <c r="D612" s="92">
        <v>12</v>
      </c>
      <c r="E612" s="93">
        <v>0.15827338129496402</v>
      </c>
      <c r="G612" s="5"/>
      <c r="H612" s="5"/>
      <c r="L612" s="7"/>
      <c r="M612" s="12"/>
      <c r="O612" s="6"/>
      <c r="P612" s="6"/>
      <c r="T612" s="5"/>
      <c r="U612" s="5"/>
    </row>
    <row r="613" spans="2:21" x14ac:dyDescent="0.25">
      <c r="B613" s="90">
        <v>71</v>
      </c>
      <c r="C613" s="91">
        <v>0.33602347100908614</v>
      </c>
      <c r="D613" s="92">
        <v>12</v>
      </c>
      <c r="E613" s="93">
        <v>0.41007194244604317</v>
      </c>
      <c r="G613" s="5"/>
      <c r="H613" s="5"/>
      <c r="L613" s="7"/>
      <c r="M613" s="12"/>
      <c r="O613" s="6"/>
      <c r="P613" s="6"/>
      <c r="T613" s="5"/>
      <c r="U613" s="5"/>
    </row>
    <row r="614" spans="2:21" x14ac:dyDescent="0.25">
      <c r="B614" s="90">
        <v>135</v>
      </c>
      <c r="C614" s="91">
        <v>0.34709269767753059</v>
      </c>
      <c r="D614" s="92">
        <v>12</v>
      </c>
      <c r="E614" s="93">
        <v>0.41007194244604317</v>
      </c>
      <c r="G614" s="5"/>
      <c r="H614" s="5"/>
      <c r="L614" s="7"/>
      <c r="M614" s="12"/>
      <c r="O614" s="6"/>
      <c r="P614" s="6"/>
      <c r="T614" s="5"/>
      <c r="U614" s="5"/>
    </row>
    <row r="615" spans="2:21" x14ac:dyDescent="0.25">
      <c r="B615" s="90">
        <v>1693</v>
      </c>
      <c r="C615" s="91">
        <v>0.35507234572557955</v>
      </c>
      <c r="D615" s="92">
        <v>12</v>
      </c>
      <c r="E615" s="93">
        <v>0.15107913669064749</v>
      </c>
      <c r="G615" s="5"/>
      <c r="H615" s="5"/>
      <c r="L615" s="7"/>
      <c r="M615" s="12"/>
      <c r="O615" s="6"/>
      <c r="P615" s="6"/>
      <c r="T615" s="5"/>
      <c r="U615" s="5"/>
    </row>
    <row r="616" spans="2:21" x14ac:dyDescent="0.25">
      <c r="B616" s="90">
        <v>1529</v>
      </c>
      <c r="C616" s="91">
        <v>0.36826247701221915</v>
      </c>
      <c r="D616" s="92">
        <v>12</v>
      </c>
      <c r="E616" s="93">
        <v>0.16546762589928057</v>
      </c>
      <c r="G616" s="5"/>
      <c r="H616" s="5"/>
      <c r="L616" s="7"/>
      <c r="M616" s="12"/>
      <c r="O616" s="6"/>
      <c r="P616" s="6"/>
      <c r="T616" s="5"/>
      <c r="U616" s="5"/>
    </row>
    <row r="617" spans="2:21" x14ac:dyDescent="0.25">
      <c r="B617" s="90">
        <v>1564</v>
      </c>
      <c r="C617" s="91">
        <v>0.38605466917585995</v>
      </c>
      <c r="D617" s="92">
        <v>12</v>
      </c>
      <c r="E617" s="93">
        <v>0.15107913669064749</v>
      </c>
      <c r="G617" s="5"/>
      <c r="H617" s="5"/>
      <c r="L617" s="7"/>
      <c r="M617" s="12"/>
      <c r="O617" s="6"/>
      <c r="P617" s="6"/>
      <c r="T617" s="5"/>
      <c r="U617" s="5"/>
    </row>
    <row r="618" spans="2:21" x14ac:dyDescent="0.25">
      <c r="B618" s="90">
        <v>1992</v>
      </c>
      <c r="C618" s="91">
        <v>0.41350931419838388</v>
      </c>
      <c r="D618" s="92">
        <v>12</v>
      </c>
      <c r="E618" s="93">
        <v>0.15107913669064749</v>
      </c>
      <c r="G618" s="5"/>
      <c r="H618" s="5"/>
      <c r="L618" s="7"/>
      <c r="M618" s="12"/>
      <c r="O618" s="6"/>
      <c r="P618" s="6"/>
      <c r="T618" s="5"/>
      <c r="U618" s="5"/>
    </row>
    <row r="619" spans="2:21" x14ac:dyDescent="0.25">
      <c r="B619" s="90">
        <v>1598</v>
      </c>
      <c r="C619" s="91">
        <v>0.41734450862081052</v>
      </c>
      <c r="D619" s="92">
        <v>12</v>
      </c>
      <c r="E619" s="93">
        <v>0.14388489208633093</v>
      </c>
      <c r="G619" s="5"/>
      <c r="H619" s="5"/>
      <c r="L619" s="7"/>
      <c r="M619" s="12"/>
      <c r="O619" s="6"/>
      <c r="P619" s="6"/>
      <c r="T619" s="5"/>
      <c r="U619" s="5"/>
    </row>
    <row r="620" spans="2:21" x14ac:dyDescent="0.25">
      <c r="B620" s="90">
        <v>1935</v>
      </c>
      <c r="C620" s="91">
        <v>0.42192706207365349</v>
      </c>
      <c r="D620" s="92">
        <v>12</v>
      </c>
      <c r="E620" s="93">
        <v>0.76258992805755399</v>
      </c>
      <c r="G620" s="5"/>
      <c r="H620" s="5"/>
      <c r="L620" s="7"/>
      <c r="M620" s="12"/>
      <c r="O620" s="6"/>
      <c r="P620" s="6"/>
      <c r="T620" s="5"/>
      <c r="U620" s="5"/>
    </row>
    <row r="621" spans="2:21" x14ac:dyDescent="0.25">
      <c r="B621" s="90">
        <v>1631</v>
      </c>
      <c r="C621" s="91">
        <v>0.42485895965549392</v>
      </c>
      <c r="D621" s="92">
        <v>12</v>
      </c>
      <c r="E621" s="93">
        <v>0.14388489208633093</v>
      </c>
      <c r="G621" s="5"/>
      <c r="H621" s="5"/>
      <c r="L621" s="7"/>
      <c r="M621" s="12"/>
      <c r="O621" s="6"/>
      <c r="P621" s="6"/>
      <c r="T621" s="5"/>
      <c r="U621" s="5"/>
    </row>
    <row r="622" spans="2:21" x14ac:dyDescent="0.25">
      <c r="B622" s="90">
        <v>1663</v>
      </c>
      <c r="C622" s="91">
        <v>0.4376286044260902</v>
      </c>
      <c r="D622" s="92">
        <v>12</v>
      </c>
      <c r="E622" s="93">
        <v>0.1366906474820144</v>
      </c>
      <c r="G622" s="5"/>
      <c r="H622" s="5"/>
      <c r="L622" s="7"/>
      <c r="M622" s="12"/>
      <c r="O622" s="6"/>
      <c r="P622" s="6"/>
      <c r="T622" s="5"/>
      <c r="U622" s="5"/>
    </row>
    <row r="623" spans="2:21" x14ac:dyDescent="0.25">
      <c r="B623" s="90">
        <v>1694</v>
      </c>
      <c r="C623" s="91">
        <v>0.46028837038228976</v>
      </c>
      <c r="D623" s="92">
        <v>12</v>
      </c>
      <c r="E623" s="93">
        <v>9.3525179856115109E-2</v>
      </c>
      <c r="G623" s="5"/>
      <c r="H623" s="5"/>
      <c r="L623" s="7"/>
      <c r="M623" s="12"/>
      <c r="O623" s="6"/>
      <c r="P623" s="6"/>
      <c r="T623" s="5"/>
      <c r="U623" s="5"/>
    </row>
    <row r="624" spans="2:21" x14ac:dyDescent="0.25">
      <c r="B624" s="90">
        <v>131</v>
      </c>
      <c r="C624" s="91">
        <v>0.46857522860600265</v>
      </c>
      <c r="D624" s="92">
        <v>12</v>
      </c>
      <c r="E624" s="93">
        <v>0.20863309352517986</v>
      </c>
      <c r="G624" s="5"/>
      <c r="H624" s="5"/>
      <c r="L624" s="7"/>
      <c r="M624" s="12"/>
      <c r="O624" s="6"/>
      <c r="P624" s="6"/>
      <c r="T624" s="5"/>
      <c r="U624" s="5"/>
    </row>
    <row r="625" spans="2:21" x14ac:dyDescent="0.25">
      <c r="B625" s="90">
        <v>67</v>
      </c>
      <c r="C625" s="91">
        <v>0.48555199815492367</v>
      </c>
      <c r="D625" s="92">
        <v>12</v>
      </c>
      <c r="E625" s="93">
        <v>0.20863309352517986</v>
      </c>
      <c r="G625" s="5"/>
      <c r="H625" s="5"/>
      <c r="L625" s="7"/>
      <c r="M625" s="12"/>
      <c r="O625" s="6"/>
      <c r="P625" s="6"/>
      <c r="T625" s="5"/>
      <c r="U625" s="5"/>
    </row>
    <row r="626" spans="2:21" x14ac:dyDescent="0.25">
      <c r="B626" s="90">
        <v>2122</v>
      </c>
      <c r="C626" s="91">
        <v>0.58580541210357895</v>
      </c>
      <c r="D626" s="92">
        <v>15</v>
      </c>
      <c r="E626" s="93">
        <v>0.1079136690647482</v>
      </c>
      <c r="G626" s="5"/>
      <c r="H626" s="5"/>
      <c r="L626" s="7"/>
      <c r="M626" s="12"/>
      <c r="O626" s="6"/>
      <c r="P626" s="6"/>
      <c r="T626" s="5"/>
      <c r="U626" s="5"/>
    </row>
    <row r="627" spans="2:21" x14ac:dyDescent="0.25">
      <c r="B627" s="90">
        <v>1289</v>
      </c>
      <c r="C627" s="91">
        <v>0.12977493708320131</v>
      </c>
      <c r="D627" s="92">
        <v>17</v>
      </c>
      <c r="E627" s="93">
        <v>0.38848920863309355</v>
      </c>
      <c r="G627" s="5"/>
      <c r="H627" s="5"/>
      <c r="L627" s="7"/>
      <c r="M627" s="12"/>
      <c r="O627" s="6"/>
      <c r="P627" s="6"/>
      <c r="T627" s="5"/>
      <c r="U627" s="5"/>
    </row>
    <row r="628" spans="2:21" x14ac:dyDescent="0.25">
      <c r="B628" s="90">
        <v>1159</v>
      </c>
      <c r="C628" s="91">
        <v>0.18382534808109008</v>
      </c>
      <c r="D628" s="92">
        <v>17</v>
      </c>
      <c r="E628" s="93">
        <v>0.38848920863309355</v>
      </c>
      <c r="G628" s="5"/>
      <c r="H628" s="5"/>
      <c r="L628" s="7"/>
      <c r="M628" s="12"/>
      <c r="O628" s="6"/>
      <c r="P628" s="6"/>
      <c r="T628" s="5"/>
      <c r="U628" s="5"/>
    </row>
    <row r="629" spans="2:21" x14ac:dyDescent="0.25">
      <c r="B629" s="90">
        <v>1074</v>
      </c>
      <c r="C629" s="91">
        <v>2.8022288101005488E-2</v>
      </c>
      <c r="D629" s="92">
        <v>18</v>
      </c>
      <c r="E629" s="93">
        <v>0.38848920863309355</v>
      </c>
      <c r="G629" s="5"/>
      <c r="H629" s="5"/>
      <c r="L629" s="7"/>
      <c r="M629" s="12"/>
      <c r="O629" s="6"/>
      <c r="P629" s="6"/>
      <c r="T629" s="5"/>
      <c r="U629" s="5"/>
    </row>
    <row r="630" spans="2:21" x14ac:dyDescent="0.25">
      <c r="B630" s="90">
        <v>1120</v>
      </c>
      <c r="C630" s="91">
        <v>2.9334021580716296E-2</v>
      </c>
      <c r="D630" s="92">
        <v>18</v>
      </c>
      <c r="E630" s="93">
        <v>0.38848920863309355</v>
      </c>
      <c r="G630" s="5"/>
      <c r="H630" s="5"/>
      <c r="L630" s="7"/>
      <c r="M630" s="12"/>
      <c r="O630" s="6"/>
      <c r="P630" s="6"/>
      <c r="T630" s="5"/>
      <c r="U630" s="5"/>
    </row>
    <row r="631" spans="2:21" x14ac:dyDescent="0.25">
      <c r="B631" s="90">
        <v>773</v>
      </c>
      <c r="C631" s="91">
        <v>0.27115345430862603</v>
      </c>
      <c r="D631" s="92">
        <v>18</v>
      </c>
      <c r="E631" s="93">
        <v>0.51079136690647486</v>
      </c>
      <c r="G631" s="5"/>
      <c r="H631" s="5"/>
      <c r="L631" s="7"/>
      <c r="M631" s="12"/>
      <c r="O631" s="6"/>
      <c r="P631" s="6"/>
      <c r="T631" s="5"/>
      <c r="U631" s="5"/>
    </row>
    <row r="632" spans="2:21" x14ac:dyDescent="0.25">
      <c r="B632" s="90">
        <v>876</v>
      </c>
      <c r="C632" s="91">
        <v>0.27861616671919598</v>
      </c>
      <c r="D632" s="92">
        <v>18</v>
      </c>
      <c r="E632" s="93">
        <v>0.51798561151079137</v>
      </c>
      <c r="G632" s="5"/>
      <c r="H632" s="5"/>
      <c r="L632" s="7"/>
      <c r="M632" s="12"/>
      <c r="O632" s="6"/>
      <c r="P632" s="6"/>
      <c r="T632" s="5"/>
      <c r="U632" s="5"/>
    </row>
    <row r="633" spans="2:21" x14ac:dyDescent="0.25">
      <c r="B633" s="90">
        <v>825</v>
      </c>
      <c r="C633" s="91">
        <v>0.27978818062875188</v>
      </c>
      <c r="D633" s="92">
        <v>18</v>
      </c>
      <c r="E633" s="93">
        <v>0.51798561151079137</v>
      </c>
      <c r="G633" s="5"/>
      <c r="H633" s="5"/>
      <c r="L633" s="7"/>
      <c r="M633" s="12"/>
      <c r="O633" s="6"/>
      <c r="P633" s="6"/>
      <c r="T633" s="5"/>
      <c r="U633" s="5"/>
    </row>
    <row r="634" spans="2:21" x14ac:dyDescent="0.25">
      <c r="B634" s="90">
        <v>877</v>
      </c>
      <c r="C634" s="91">
        <v>0.32590529298081994</v>
      </c>
      <c r="D634" s="92">
        <v>18</v>
      </c>
      <c r="E634" s="93">
        <v>0.53237410071942448</v>
      </c>
      <c r="G634" s="5"/>
      <c r="H634" s="5"/>
      <c r="L634" s="7"/>
      <c r="M634" s="12"/>
      <c r="O634" s="6"/>
      <c r="P634" s="6"/>
      <c r="T634" s="5"/>
      <c r="U634" s="5"/>
    </row>
    <row r="635" spans="2:21" x14ac:dyDescent="0.25">
      <c r="B635" s="90">
        <v>201</v>
      </c>
      <c r="C635" s="91">
        <v>6.3251506670312763E-2</v>
      </c>
      <c r="D635" s="92">
        <v>20</v>
      </c>
      <c r="E635" s="93">
        <v>0.34532374100719426</v>
      </c>
      <c r="G635" s="5"/>
      <c r="H635" s="5"/>
      <c r="L635" s="7"/>
      <c r="M635" s="12"/>
      <c r="O635" s="6"/>
      <c r="P635" s="6"/>
      <c r="T635" s="5"/>
      <c r="U635" s="5"/>
    </row>
    <row r="636" spans="2:21" x14ac:dyDescent="0.25">
      <c r="B636" s="90">
        <v>561</v>
      </c>
      <c r="C636" s="91">
        <v>3.6637046628420489E-2</v>
      </c>
      <c r="D636" s="92">
        <v>21</v>
      </c>
      <c r="E636" s="93">
        <v>0.38129496402877699</v>
      </c>
      <c r="G636" s="5"/>
      <c r="H636" s="5"/>
      <c r="L636" s="7"/>
      <c r="M636" s="12"/>
      <c r="O636" s="6"/>
      <c r="P636" s="6"/>
      <c r="T636" s="5"/>
      <c r="U636" s="5"/>
    </row>
    <row r="637" spans="2:21" x14ac:dyDescent="0.25">
      <c r="B637" s="90">
        <v>444</v>
      </c>
      <c r="C637" s="91">
        <v>8.5098927282640791E-2</v>
      </c>
      <c r="D637" s="92">
        <v>21</v>
      </c>
      <c r="E637" s="93">
        <v>0.38848920863309355</v>
      </c>
      <c r="G637" s="5"/>
      <c r="H637" s="5"/>
      <c r="L637" s="7"/>
      <c r="M637" s="12"/>
      <c r="O637" s="6"/>
      <c r="P637" s="6"/>
      <c r="T637" s="5"/>
      <c r="U637" s="5"/>
    </row>
    <row r="638" spans="2:21" x14ac:dyDescent="0.25">
      <c r="B638" s="90">
        <v>559</v>
      </c>
      <c r="C638" s="91">
        <v>8.5298352639677777E-2</v>
      </c>
      <c r="D638" s="92">
        <v>21</v>
      </c>
      <c r="E638" s="93">
        <v>0.38848920863309355</v>
      </c>
      <c r="G638" s="5"/>
      <c r="H638" s="5"/>
      <c r="L638" s="7"/>
      <c r="M638" s="12"/>
      <c r="O638" s="6"/>
      <c r="P638" s="6"/>
      <c r="T638" s="5"/>
      <c r="U638" s="5"/>
    </row>
    <row r="639" spans="2:21" x14ac:dyDescent="0.25">
      <c r="B639" s="90">
        <v>502</v>
      </c>
      <c r="C639" s="91">
        <v>8.8730280507505088E-2</v>
      </c>
      <c r="D639" s="92">
        <v>21</v>
      </c>
      <c r="E639" s="93">
        <v>0.38848920863309355</v>
      </c>
      <c r="G639" s="5"/>
      <c r="H639" s="5"/>
      <c r="L639" s="7"/>
      <c r="M639" s="12"/>
      <c r="O639" s="6"/>
      <c r="P639" s="6"/>
      <c r="T639" s="5"/>
      <c r="U639" s="5"/>
    </row>
    <row r="640" spans="2:21" x14ac:dyDescent="0.25">
      <c r="B640" s="90">
        <v>378</v>
      </c>
      <c r="C640" s="91">
        <v>0.16125927090234027</v>
      </c>
      <c r="D640" s="92">
        <v>21</v>
      </c>
      <c r="E640" s="93">
        <v>0.36690647482014388</v>
      </c>
      <c r="G640" s="5"/>
      <c r="H640" s="5"/>
      <c r="L640" s="7"/>
      <c r="M640" s="12"/>
      <c r="O640" s="6"/>
      <c r="P640" s="6"/>
      <c r="T640" s="5"/>
      <c r="U640" s="5"/>
    </row>
    <row r="641" spans="2:21" x14ac:dyDescent="0.25">
      <c r="B641" s="90">
        <v>437</v>
      </c>
      <c r="C641" s="91">
        <v>0.16256104030779372</v>
      </c>
      <c r="D641" s="92">
        <v>21</v>
      </c>
      <c r="E641" s="93">
        <v>0.41007194244604317</v>
      </c>
      <c r="G641" s="5"/>
      <c r="H641" s="5"/>
      <c r="L641" s="7"/>
      <c r="M641" s="12"/>
      <c r="O641" s="6"/>
      <c r="P641" s="6"/>
      <c r="T641" s="5"/>
      <c r="U641" s="5"/>
    </row>
    <row r="642" spans="2:21" x14ac:dyDescent="0.25">
      <c r="B642" s="90">
        <v>381</v>
      </c>
      <c r="C642" s="91">
        <v>0.28096339320311459</v>
      </c>
      <c r="D642" s="92">
        <v>21</v>
      </c>
      <c r="E642" s="93">
        <v>0.46762589928057552</v>
      </c>
      <c r="G642" s="5"/>
      <c r="H642" s="5"/>
      <c r="L642" s="7"/>
      <c r="M642" s="7"/>
      <c r="O642" s="6"/>
      <c r="P642" s="6"/>
      <c r="T642" s="5"/>
      <c r="U642" s="5"/>
    </row>
    <row r="643" spans="2:21" x14ac:dyDescent="0.25">
      <c r="B643" s="90">
        <v>379</v>
      </c>
      <c r="C643" s="91">
        <v>0.28417045498329707</v>
      </c>
      <c r="D643" s="92">
        <v>21</v>
      </c>
      <c r="E643" s="93">
        <v>0.51079136690647486</v>
      </c>
      <c r="G643" s="5"/>
      <c r="H643" s="5"/>
      <c r="L643" s="7"/>
      <c r="M643" s="7"/>
      <c r="O643" s="6"/>
      <c r="P643" s="6"/>
      <c r="T643" s="5"/>
      <c r="U643" s="5"/>
    </row>
    <row r="644" spans="2:21" x14ac:dyDescent="0.25">
      <c r="B644" s="90">
        <v>1678</v>
      </c>
      <c r="C644" s="91">
        <v>1.9810006469112906E-2</v>
      </c>
      <c r="D644" s="92">
        <v>22</v>
      </c>
      <c r="E644" s="93">
        <v>0.46043165467625902</v>
      </c>
      <c r="G644" s="5"/>
      <c r="H644" s="5"/>
      <c r="L644" s="7"/>
      <c r="M644" s="7"/>
      <c r="O644" s="6"/>
      <c r="P644" s="6"/>
      <c r="T644" s="5"/>
      <c r="U644" s="5"/>
    </row>
    <row r="645" spans="2:21" x14ac:dyDescent="0.25">
      <c r="B645" s="90">
        <v>1645</v>
      </c>
      <c r="C645" s="91">
        <v>3.4632535793800878E-2</v>
      </c>
      <c r="D645" s="92">
        <v>22</v>
      </c>
      <c r="E645" s="93">
        <v>0.46762589928057552</v>
      </c>
      <c r="G645" s="5"/>
      <c r="H645" s="5"/>
      <c r="L645" s="7"/>
      <c r="M645" s="7"/>
      <c r="O645" s="6"/>
      <c r="P645" s="6"/>
      <c r="T645" s="5"/>
      <c r="U645" s="5"/>
    </row>
    <row r="646" spans="2:21" x14ac:dyDescent="0.25">
      <c r="B646" s="90">
        <v>1469</v>
      </c>
      <c r="C646" s="91">
        <v>4.6582524799262615E-2</v>
      </c>
      <c r="D646" s="92">
        <v>22</v>
      </c>
      <c r="E646" s="93">
        <v>0.38129496402877699</v>
      </c>
      <c r="G646" s="5"/>
      <c r="H646" s="5"/>
      <c r="L646" s="7"/>
      <c r="M646" s="7"/>
      <c r="O646" s="6"/>
      <c r="P646" s="6"/>
      <c r="T646" s="5"/>
      <c r="U646" s="5"/>
    </row>
    <row r="647" spans="2:21" x14ac:dyDescent="0.25">
      <c r="B647" s="90">
        <v>1679</v>
      </c>
      <c r="C647" s="91">
        <v>8.7431104605245169E-2</v>
      </c>
      <c r="D647" s="92">
        <v>22</v>
      </c>
      <c r="E647" s="93">
        <v>0.64028776978417268</v>
      </c>
      <c r="G647" s="5"/>
      <c r="H647" s="5"/>
      <c r="L647" s="7"/>
      <c r="M647" s="7"/>
      <c r="O647" s="6"/>
      <c r="P647" s="6"/>
      <c r="T647" s="5"/>
      <c r="U647" s="5"/>
    </row>
    <row r="648" spans="2:21" x14ac:dyDescent="0.25">
      <c r="B648" s="90">
        <v>1612</v>
      </c>
      <c r="C648" s="91">
        <v>9.614946617715181E-2</v>
      </c>
      <c r="D648" s="92">
        <v>22</v>
      </c>
      <c r="E648" s="93">
        <v>0.53956834532374098</v>
      </c>
      <c r="G648" s="5"/>
      <c r="H648" s="5"/>
      <c r="L648" s="7"/>
      <c r="M648" s="7"/>
      <c r="O648" s="6"/>
      <c r="P648" s="6"/>
      <c r="T648" s="5"/>
      <c r="U648" s="5"/>
    </row>
    <row r="649" spans="2:21" x14ac:dyDescent="0.25">
      <c r="B649" s="90">
        <v>1820</v>
      </c>
      <c r="C649" s="91">
        <v>0.12743882959717601</v>
      </c>
      <c r="D649" s="92">
        <v>22</v>
      </c>
      <c r="E649" s="93">
        <v>0.53956834532374098</v>
      </c>
      <c r="G649" s="5"/>
      <c r="H649" s="5"/>
      <c r="L649" s="7"/>
      <c r="M649" s="7"/>
      <c r="O649" s="6"/>
      <c r="P649" s="6"/>
      <c r="T649" s="5"/>
      <c r="U649" s="5"/>
    </row>
    <row r="650" spans="2:21" x14ac:dyDescent="0.25">
      <c r="B650" s="90">
        <v>1506</v>
      </c>
      <c r="C650" s="91">
        <v>0.1598205885392443</v>
      </c>
      <c r="D650" s="92">
        <v>22</v>
      </c>
      <c r="E650" s="93">
        <v>0.23741007194244604</v>
      </c>
      <c r="G650" s="5"/>
      <c r="H650" s="5"/>
      <c r="L650" s="7"/>
      <c r="M650" s="7"/>
      <c r="O650" s="6"/>
      <c r="P650" s="6"/>
      <c r="T650" s="5"/>
      <c r="U650" s="5"/>
    </row>
    <row r="651" spans="2:21" x14ac:dyDescent="0.25">
      <c r="B651" s="90">
        <v>1505</v>
      </c>
      <c r="C651" s="91">
        <v>0.17904681942584488</v>
      </c>
      <c r="D651" s="92">
        <v>22</v>
      </c>
      <c r="E651" s="93">
        <v>0.23021582733812951</v>
      </c>
      <c r="G651" s="5"/>
      <c r="H651" s="5"/>
      <c r="L651" s="7"/>
      <c r="M651" s="7"/>
      <c r="O651" s="6"/>
      <c r="P651" s="6"/>
      <c r="T651" s="5"/>
      <c r="U651" s="5"/>
    </row>
    <row r="652" spans="2:21" x14ac:dyDescent="0.25">
      <c r="B652" s="90">
        <v>1710</v>
      </c>
      <c r="C652" s="91">
        <v>0.20460094856990141</v>
      </c>
      <c r="D652" s="92">
        <v>22</v>
      </c>
      <c r="E652" s="93">
        <v>0.62589928057553956</v>
      </c>
      <c r="G652" s="5"/>
      <c r="H652" s="5"/>
      <c r="L652" s="7"/>
      <c r="M652" s="7"/>
      <c r="O652" s="6"/>
      <c r="P652" s="6"/>
      <c r="T652" s="5"/>
      <c r="U652" s="5"/>
    </row>
    <row r="653" spans="2:21" x14ac:dyDescent="0.25">
      <c r="B653" s="90">
        <v>1677</v>
      </c>
      <c r="C653" s="91">
        <v>0.2096147449739143</v>
      </c>
      <c r="D653" s="92">
        <v>22</v>
      </c>
      <c r="E653" s="93">
        <v>0.20863309352517986</v>
      </c>
      <c r="G653" s="5"/>
      <c r="H653" s="5"/>
      <c r="L653" s="7"/>
      <c r="M653" s="7"/>
      <c r="O653" s="6"/>
      <c r="P653" s="6"/>
      <c r="T653" s="5"/>
      <c r="U653" s="5"/>
    </row>
    <row r="654" spans="2:21" x14ac:dyDescent="0.25">
      <c r="B654" s="90">
        <v>1613</v>
      </c>
      <c r="C654" s="91">
        <v>0.21227144471879189</v>
      </c>
      <c r="D654" s="92">
        <v>22</v>
      </c>
      <c r="E654" s="93">
        <v>0.64748201438848918</v>
      </c>
      <c r="G654" s="5"/>
      <c r="H654" s="5"/>
      <c r="L654" s="7"/>
      <c r="M654" s="7"/>
      <c r="O654" s="6"/>
      <c r="P654" s="6"/>
      <c r="T654" s="5"/>
      <c r="U654" s="5"/>
    </row>
    <row r="655" spans="2:21" x14ac:dyDescent="0.25">
      <c r="B655" s="90">
        <v>1646</v>
      </c>
      <c r="C655" s="91">
        <v>0.22428437350934893</v>
      </c>
      <c r="D655" s="92">
        <v>22</v>
      </c>
      <c r="E655" s="93">
        <v>0.64748201438848918</v>
      </c>
      <c r="G655" s="5"/>
      <c r="H655" s="5"/>
      <c r="L655" s="7"/>
      <c r="M655" s="7"/>
      <c r="O655" s="6"/>
      <c r="P655" s="6"/>
      <c r="T655" s="5"/>
      <c r="U655" s="5"/>
    </row>
    <row r="656" spans="2:21" x14ac:dyDescent="0.25">
      <c r="B656" s="90">
        <v>1767</v>
      </c>
      <c r="C656" s="91">
        <v>0.24879476354543861</v>
      </c>
      <c r="D656" s="92">
        <v>22</v>
      </c>
      <c r="E656" s="93">
        <v>0.15107913669064749</v>
      </c>
      <c r="G656" s="5"/>
      <c r="H656" s="5"/>
      <c r="L656" s="7"/>
      <c r="M656" s="7"/>
      <c r="O656" s="6"/>
      <c r="P656" s="6"/>
      <c r="T656" s="5"/>
      <c r="U656" s="5"/>
    </row>
    <row r="657" spans="2:21" x14ac:dyDescent="0.25">
      <c r="B657" s="90">
        <v>1614</v>
      </c>
      <c r="C657" s="91">
        <v>0.27487391045919818</v>
      </c>
      <c r="D657" s="92">
        <v>22</v>
      </c>
      <c r="E657" s="93">
        <v>0.5539568345323741</v>
      </c>
      <c r="G657" s="5"/>
      <c r="H657" s="5"/>
      <c r="L657" s="7"/>
      <c r="M657" s="7"/>
      <c r="O657" s="6"/>
      <c r="P657" s="6"/>
      <c r="T657" s="5"/>
      <c r="U657" s="5"/>
    </row>
    <row r="658" spans="2:21" x14ac:dyDescent="0.25">
      <c r="B658" s="90">
        <v>1542</v>
      </c>
      <c r="C658" s="91">
        <v>0.28030347722518933</v>
      </c>
      <c r="D658" s="92">
        <v>22</v>
      </c>
      <c r="E658" s="93">
        <v>0.15827338129496402</v>
      </c>
      <c r="G658" s="5"/>
      <c r="H658" s="5"/>
      <c r="L658" s="7"/>
      <c r="M658" s="7"/>
      <c r="O658" s="6"/>
      <c r="P658" s="6"/>
      <c r="T658" s="5"/>
      <c r="U658" s="5"/>
    </row>
    <row r="659" spans="2:21" x14ac:dyDescent="0.25">
      <c r="B659" s="90">
        <v>1541</v>
      </c>
      <c r="C659" s="91">
        <v>0.2971087661441919</v>
      </c>
      <c r="D659" s="92">
        <v>22</v>
      </c>
      <c r="E659" s="93">
        <v>0.15107913669064749</v>
      </c>
      <c r="G659" s="5"/>
      <c r="H659" s="5"/>
      <c r="L659" s="7"/>
      <c r="M659" s="7"/>
      <c r="O659" s="6"/>
      <c r="P659" s="6"/>
      <c r="T659" s="5"/>
      <c r="U659" s="5"/>
    </row>
    <row r="660" spans="2:21" x14ac:dyDescent="0.25">
      <c r="B660" s="90">
        <v>1578</v>
      </c>
      <c r="C660" s="91">
        <v>0.29961359195434878</v>
      </c>
      <c r="D660" s="92">
        <v>22</v>
      </c>
      <c r="E660" s="93">
        <v>0.58273381294964033</v>
      </c>
      <c r="G660" s="5"/>
      <c r="H660" s="5"/>
      <c r="L660" s="7"/>
      <c r="M660" s="7"/>
      <c r="O660" s="6"/>
      <c r="P660" s="6"/>
      <c r="T660" s="5"/>
      <c r="U660" s="5"/>
    </row>
    <row r="661" spans="2:21" x14ac:dyDescent="0.25">
      <c r="B661" s="90">
        <v>1647</v>
      </c>
      <c r="C661" s="91">
        <v>0.33470298821012578</v>
      </c>
      <c r="D661" s="92">
        <v>22</v>
      </c>
      <c r="E661" s="93">
        <v>0.5467625899280576</v>
      </c>
      <c r="G661" s="5"/>
      <c r="H661" s="5"/>
      <c r="L661" s="7"/>
      <c r="M661" s="7"/>
      <c r="O661" s="6"/>
      <c r="P661" s="6"/>
      <c r="T661" s="5"/>
      <c r="U661" s="5"/>
    </row>
    <row r="662" spans="2:21" x14ac:dyDescent="0.25">
      <c r="B662" s="90">
        <v>1543</v>
      </c>
      <c r="C662" s="91">
        <v>0.36690280870793512</v>
      </c>
      <c r="D662" s="92">
        <v>22</v>
      </c>
      <c r="E662" s="93">
        <v>0.56834532374100721</v>
      </c>
      <c r="G662" s="5"/>
      <c r="H662" s="5"/>
      <c r="L662" s="7"/>
      <c r="M662" s="7"/>
      <c r="O662" s="6"/>
      <c r="P662" s="6"/>
      <c r="T662" s="5"/>
      <c r="U662" s="5"/>
    </row>
    <row r="663" spans="2:21" x14ac:dyDescent="0.25">
      <c r="B663" s="90">
        <v>1579</v>
      </c>
      <c r="C663" s="91">
        <v>0.39316058128387343</v>
      </c>
      <c r="D663" s="92">
        <v>22</v>
      </c>
      <c r="E663" s="93">
        <v>0.5539568345323741</v>
      </c>
      <c r="G663" s="5"/>
      <c r="H663" s="5"/>
      <c r="L663" s="7"/>
      <c r="M663" s="7"/>
      <c r="O663" s="6"/>
      <c r="P663" s="6"/>
      <c r="T663" s="5"/>
      <c r="U663" s="5"/>
    </row>
    <row r="664" spans="2:21" x14ac:dyDescent="0.25">
      <c r="B664" s="90">
        <v>1580</v>
      </c>
      <c r="C664" s="91">
        <v>0.44087240396264282</v>
      </c>
      <c r="D664" s="92">
        <v>22</v>
      </c>
      <c r="E664" s="93">
        <v>0.35251798561151076</v>
      </c>
      <c r="G664" s="5"/>
      <c r="H664" s="5"/>
      <c r="L664" s="7"/>
      <c r="M664" s="7"/>
      <c r="O664" s="6"/>
      <c r="P664" s="6"/>
      <c r="T664" s="5"/>
      <c r="U664" s="5"/>
    </row>
    <row r="665" spans="2:21" x14ac:dyDescent="0.25">
      <c r="B665" s="90">
        <v>1544</v>
      </c>
      <c r="C665" s="91">
        <v>0.44333900908812129</v>
      </c>
      <c r="D665" s="92">
        <v>22</v>
      </c>
      <c r="E665" s="93">
        <v>0.47482014388489208</v>
      </c>
      <c r="G665" s="5"/>
      <c r="H665" s="5"/>
      <c r="L665" s="7"/>
      <c r="M665" s="7"/>
      <c r="O665" s="6"/>
      <c r="P665" s="6"/>
      <c r="T665" s="5"/>
      <c r="U665" s="5"/>
    </row>
    <row r="666" spans="2:21" x14ac:dyDescent="0.25">
      <c r="B666" s="90">
        <v>1545</v>
      </c>
      <c r="C666" s="91">
        <v>0.47731888355472307</v>
      </c>
      <c r="D666" s="92">
        <v>22</v>
      </c>
      <c r="E666" s="93">
        <v>0.2805755395683453</v>
      </c>
      <c r="G666" s="5"/>
      <c r="H666" s="5"/>
      <c r="L666" s="7"/>
      <c r="M666" s="7"/>
      <c r="O666" s="6"/>
      <c r="P666" s="6"/>
      <c r="T666" s="5"/>
      <c r="U666" s="5"/>
    </row>
    <row r="667" spans="2:21" x14ac:dyDescent="0.25">
      <c r="B667" s="90">
        <v>1507</v>
      </c>
      <c r="C667" s="91">
        <v>0.51828526936961583</v>
      </c>
      <c r="D667" s="92">
        <v>22</v>
      </c>
      <c r="E667" s="93">
        <v>0.35971223021582732</v>
      </c>
      <c r="G667" s="5"/>
      <c r="H667" s="5"/>
      <c r="L667" s="7"/>
      <c r="M667" s="7"/>
      <c r="O667" s="6"/>
      <c r="P667" s="6"/>
      <c r="T667" s="5"/>
      <c r="U667" s="5"/>
    </row>
    <row r="668" spans="2:21" x14ac:dyDescent="0.25">
      <c r="B668" s="90">
        <v>1680</v>
      </c>
      <c r="C668" s="91">
        <v>0.56709618649604432</v>
      </c>
      <c r="D668" s="92">
        <v>22</v>
      </c>
      <c r="E668" s="93">
        <v>5.7553956834532377E-2</v>
      </c>
      <c r="G668" s="5"/>
      <c r="H668" s="5"/>
      <c r="L668" s="7"/>
      <c r="M668" s="7"/>
      <c r="O668" s="6"/>
      <c r="P668" s="6"/>
      <c r="T668" s="5"/>
      <c r="U668" s="5"/>
    </row>
    <row r="669" spans="2:21" x14ac:dyDescent="0.25">
      <c r="B669" s="90">
        <v>1508</v>
      </c>
      <c r="C669" s="91">
        <v>0.58613980363775986</v>
      </c>
      <c r="D669" s="92">
        <v>22</v>
      </c>
      <c r="E669" s="93">
        <v>0.15827338129496402</v>
      </c>
      <c r="G669" s="5"/>
      <c r="H669" s="5"/>
      <c r="L669" s="7"/>
      <c r="M669" s="7"/>
      <c r="O669" s="6"/>
      <c r="P669" s="6"/>
      <c r="T669" s="5"/>
      <c r="U669" s="5"/>
    </row>
    <row r="670" spans="2:21" x14ac:dyDescent="0.25">
      <c r="B670" s="90">
        <v>138</v>
      </c>
      <c r="C670" s="91">
        <v>5.8424216512324656E-2</v>
      </c>
      <c r="D670" s="92">
        <v>23</v>
      </c>
      <c r="E670" s="93">
        <v>0.2805755395683453</v>
      </c>
      <c r="G670" s="5"/>
      <c r="H670" s="5"/>
      <c r="L670" s="7"/>
      <c r="M670" s="7"/>
      <c r="O670" s="6"/>
      <c r="P670" s="6"/>
      <c r="T670" s="5"/>
      <c r="U670" s="5"/>
    </row>
    <row r="671" spans="2:21" x14ac:dyDescent="0.25">
      <c r="B671" s="90">
        <v>74</v>
      </c>
      <c r="C671" s="91">
        <v>7.1421013577212311E-2</v>
      </c>
      <c r="D671" s="92">
        <v>23</v>
      </c>
      <c r="E671" s="93">
        <v>0.2805755395683453</v>
      </c>
      <c r="G671" s="5"/>
      <c r="H671" s="5"/>
      <c r="L671" s="7"/>
      <c r="M671" s="7"/>
      <c r="O671" s="6"/>
      <c r="P671" s="6"/>
      <c r="T671" s="5"/>
      <c r="U671" s="5"/>
    </row>
    <row r="672" spans="2:21" x14ac:dyDescent="0.25">
      <c r="B672" s="90">
        <v>70</v>
      </c>
      <c r="C672" s="91">
        <v>0.27156755346157402</v>
      </c>
      <c r="D672" s="92">
        <v>23</v>
      </c>
      <c r="E672" s="93">
        <v>0.40287769784172661</v>
      </c>
      <c r="G672" s="5"/>
      <c r="H672" s="5"/>
      <c r="L672" s="7"/>
      <c r="M672" s="7"/>
      <c r="O672" s="6"/>
      <c r="P672" s="6"/>
      <c r="T672" s="5"/>
      <c r="U672" s="5"/>
    </row>
    <row r="673" spans="2:21" x14ac:dyDescent="0.25">
      <c r="B673" s="90">
        <v>134</v>
      </c>
      <c r="C673" s="91">
        <v>0.28274196043438793</v>
      </c>
      <c r="D673" s="92">
        <v>23</v>
      </c>
      <c r="E673" s="93">
        <v>0.40287769784172661</v>
      </c>
      <c r="G673" s="5"/>
      <c r="H673" s="5"/>
      <c r="L673" s="7"/>
      <c r="M673" s="7"/>
      <c r="O673" s="6"/>
      <c r="P673" s="6"/>
      <c r="T673" s="5"/>
      <c r="U673" s="5"/>
    </row>
    <row r="674" spans="2:21" x14ac:dyDescent="0.25">
      <c r="B674" s="90">
        <v>1576</v>
      </c>
      <c r="C674" s="91">
        <v>0.37792452062486137</v>
      </c>
      <c r="D674" s="92">
        <v>23</v>
      </c>
      <c r="E674" s="93">
        <v>9.3525179856115109E-2</v>
      </c>
      <c r="G674" s="5"/>
      <c r="H674" s="5"/>
      <c r="L674" s="7"/>
      <c r="M674" s="7"/>
      <c r="O674" s="6"/>
      <c r="P674" s="6"/>
      <c r="T674" s="5"/>
      <c r="U674" s="5"/>
    </row>
    <row r="675" spans="2:21" x14ac:dyDescent="0.25">
      <c r="B675" s="90">
        <v>1577</v>
      </c>
      <c r="C675" s="91">
        <v>0.36265812731811242</v>
      </c>
      <c r="D675" s="92">
        <v>24</v>
      </c>
      <c r="E675" s="93">
        <v>9.3525179856115109E-2</v>
      </c>
      <c r="G675" s="5"/>
      <c r="H675" s="5"/>
      <c r="L675" s="7"/>
      <c r="M675" s="7"/>
      <c r="O675" s="6"/>
      <c r="P675" s="6"/>
      <c r="T675" s="5"/>
      <c r="U675" s="5"/>
    </row>
    <row r="676" spans="2:21" x14ac:dyDescent="0.25">
      <c r="B676" s="90">
        <v>1766</v>
      </c>
      <c r="C676" s="91">
        <v>0.42426721739482531</v>
      </c>
      <c r="D676" s="92">
        <v>25</v>
      </c>
      <c r="E676" s="93">
        <v>8.6330935251798566E-2</v>
      </c>
      <c r="G676" s="5"/>
      <c r="H676" s="5"/>
      <c r="L676" s="7"/>
      <c r="M676" s="7"/>
      <c r="O676" s="6"/>
      <c r="P676" s="6"/>
      <c r="T676" s="5"/>
      <c r="U676" s="5"/>
    </row>
    <row r="677" spans="2:21" x14ac:dyDescent="0.25">
      <c r="B677" s="90">
        <v>1708</v>
      </c>
      <c r="C677" s="91">
        <v>0.48243613782156558</v>
      </c>
      <c r="D677" s="92">
        <v>25</v>
      </c>
      <c r="E677" s="93">
        <v>8.6330935251798566E-2</v>
      </c>
      <c r="G677" s="5"/>
      <c r="H677" s="5"/>
      <c r="L677" s="7"/>
      <c r="M677" s="7"/>
      <c r="O677" s="6"/>
      <c r="P677" s="6"/>
      <c r="T677" s="5"/>
      <c r="U677" s="5"/>
    </row>
    <row r="678" spans="2:21" x14ac:dyDescent="0.25">
      <c r="B678" s="90">
        <v>1794</v>
      </c>
      <c r="C678" s="91">
        <v>0.53284706929565118</v>
      </c>
      <c r="D678" s="92">
        <v>25</v>
      </c>
      <c r="E678" s="93">
        <v>8.6330935251798566E-2</v>
      </c>
      <c r="G678" s="5"/>
      <c r="H678" s="5"/>
      <c r="L678" s="7"/>
      <c r="M678" s="7"/>
      <c r="O678" s="6"/>
      <c r="P678" s="6"/>
      <c r="T678" s="5"/>
      <c r="U678" s="5"/>
    </row>
    <row r="679" spans="2:21" x14ac:dyDescent="0.25">
      <c r="B679" s="90">
        <v>1644</v>
      </c>
      <c r="C679" s="91">
        <v>0.68775703530043186</v>
      </c>
      <c r="D679" s="92">
        <v>25</v>
      </c>
      <c r="E679" s="93">
        <v>7.9136690647482008E-2</v>
      </c>
      <c r="G679" s="5"/>
      <c r="H679" s="5"/>
      <c r="L679" s="7"/>
      <c r="M679" s="7"/>
      <c r="O679" s="6"/>
      <c r="P679" s="6"/>
      <c r="T679" s="5"/>
      <c r="U679" s="5"/>
    </row>
    <row r="680" spans="2:21" x14ac:dyDescent="0.25">
      <c r="B680" s="90">
        <v>1738</v>
      </c>
      <c r="C680" s="91">
        <v>0.80933704541154028</v>
      </c>
      <c r="D680" s="92">
        <v>25</v>
      </c>
      <c r="E680" s="93">
        <v>6.4748201438848921E-2</v>
      </c>
      <c r="G680" s="5"/>
      <c r="H680" s="5"/>
      <c r="L680" s="7"/>
      <c r="M680" s="7"/>
      <c r="O680" s="6"/>
      <c r="P680" s="6"/>
      <c r="T680" s="5"/>
      <c r="U680" s="5"/>
    </row>
    <row r="681" spans="2:21" x14ac:dyDescent="0.25">
      <c r="B681" s="90">
        <v>1675</v>
      </c>
      <c r="C681" s="91">
        <v>0.815503763601511</v>
      </c>
      <c r="D681" s="92">
        <v>25</v>
      </c>
      <c r="E681" s="93">
        <v>6.4748201438848921E-2</v>
      </c>
      <c r="G681" s="5"/>
      <c r="H681" s="5"/>
      <c r="L681" s="7"/>
      <c r="M681" s="7"/>
      <c r="O681" s="6"/>
      <c r="P681" s="6"/>
      <c r="T681" s="5"/>
      <c r="U681" s="5"/>
    </row>
    <row r="682" spans="2:21" x14ac:dyDescent="0.25">
      <c r="B682" s="90">
        <v>1737</v>
      </c>
      <c r="C682" s="91">
        <v>0.84130005652549389</v>
      </c>
      <c r="D682" s="92">
        <v>25</v>
      </c>
      <c r="E682" s="93">
        <v>6.4748201438848921E-2</v>
      </c>
      <c r="G682" s="5"/>
      <c r="H682" s="5"/>
      <c r="L682" s="7"/>
      <c r="M682" s="7"/>
      <c r="O682" s="6"/>
      <c r="P682" s="6"/>
      <c r="T682" s="5"/>
      <c r="U682" s="5"/>
    </row>
    <row r="683" spans="2:21" x14ac:dyDescent="0.25">
      <c r="B683" s="90">
        <v>1739</v>
      </c>
      <c r="C683" s="91">
        <v>0.99356726978184362</v>
      </c>
      <c r="D683" s="92">
        <v>25</v>
      </c>
      <c r="E683" s="93">
        <v>6.4748201438848921E-2</v>
      </c>
      <c r="G683" s="5"/>
      <c r="H683" s="5"/>
      <c r="L683" s="7"/>
      <c r="M683" s="7"/>
      <c r="O683" s="6"/>
      <c r="P683" s="6"/>
      <c r="T683" s="5"/>
      <c r="U683" s="5"/>
    </row>
    <row r="684" spans="2:21" x14ac:dyDescent="0.25">
      <c r="B684" s="90">
        <v>1819</v>
      </c>
      <c r="C684" s="91">
        <v>2.0791343079306301E-2</v>
      </c>
      <c r="D684" s="92">
        <v>26</v>
      </c>
      <c r="E684" s="93">
        <v>0.46043165467625902</v>
      </c>
      <c r="G684" s="5"/>
      <c r="H684" s="5"/>
      <c r="L684" s="7"/>
      <c r="M684" s="7"/>
      <c r="O684" s="6"/>
      <c r="P684" s="6"/>
      <c r="T684" s="5"/>
      <c r="U684" s="5"/>
    </row>
    <row r="685" spans="2:21" x14ac:dyDescent="0.25">
      <c r="B685" s="90">
        <v>1790</v>
      </c>
      <c r="C685" s="91">
        <v>3.405288845260801E-2</v>
      </c>
      <c r="D685" s="92">
        <v>26</v>
      </c>
      <c r="E685" s="93">
        <v>0.33093525179856115</v>
      </c>
      <c r="G685" s="5"/>
      <c r="H685" s="5"/>
      <c r="L685" s="7"/>
      <c r="M685" s="7"/>
      <c r="O685" s="6"/>
      <c r="P685" s="6"/>
      <c r="T685" s="5"/>
      <c r="U685" s="5"/>
    </row>
    <row r="686" spans="2:21" x14ac:dyDescent="0.25">
      <c r="B686" s="90">
        <v>2000</v>
      </c>
      <c r="C686" s="91">
        <v>5.1175896899748552E-2</v>
      </c>
      <c r="D686" s="92">
        <v>26</v>
      </c>
      <c r="E686" s="93">
        <v>0.38848920863309355</v>
      </c>
      <c r="G686" s="5"/>
      <c r="H686" s="5"/>
      <c r="L686" s="7"/>
      <c r="M686" s="7"/>
      <c r="O686" s="6"/>
      <c r="P686" s="6"/>
      <c r="T686" s="5"/>
      <c r="U686" s="5"/>
    </row>
    <row r="687" spans="2:21" x14ac:dyDescent="0.25">
      <c r="B687" s="90">
        <v>1844</v>
      </c>
      <c r="C687" s="91">
        <v>5.3902721948124954E-2</v>
      </c>
      <c r="D687" s="92">
        <v>26</v>
      </c>
      <c r="E687" s="93">
        <v>0.47482014388489208</v>
      </c>
      <c r="G687" s="5"/>
      <c r="H687" s="5"/>
      <c r="L687" s="7"/>
      <c r="M687" s="7"/>
      <c r="O687" s="6"/>
      <c r="P687" s="6"/>
      <c r="T687" s="5"/>
      <c r="U687" s="5"/>
    </row>
    <row r="688" spans="2:21" x14ac:dyDescent="0.25">
      <c r="B688" s="90">
        <v>1762</v>
      </c>
      <c r="C688" s="91">
        <v>7.4898737346087652E-2</v>
      </c>
      <c r="D688" s="92">
        <v>26</v>
      </c>
      <c r="E688" s="93">
        <v>0.31654676258992803</v>
      </c>
      <c r="G688" s="5"/>
      <c r="H688" s="5"/>
      <c r="L688" s="7"/>
      <c r="M688" s="7"/>
      <c r="O688" s="6"/>
      <c r="P688" s="6"/>
      <c r="T688" s="5"/>
      <c r="U688" s="5"/>
    </row>
    <row r="689" spans="2:21" x14ac:dyDescent="0.25">
      <c r="B689" s="90">
        <v>1818</v>
      </c>
      <c r="C689" s="91">
        <v>0.1296347529423123</v>
      </c>
      <c r="D689" s="92">
        <v>26</v>
      </c>
      <c r="E689" s="93">
        <v>0.5467625899280576</v>
      </c>
      <c r="G689" s="5"/>
      <c r="H689" s="5"/>
      <c r="L689" s="7"/>
      <c r="M689" s="7"/>
      <c r="O689" s="6"/>
      <c r="P689" s="6"/>
      <c r="T689" s="5"/>
      <c r="U689" s="5"/>
    </row>
    <row r="690" spans="2:21" x14ac:dyDescent="0.25">
      <c r="B690" s="90">
        <v>1817</v>
      </c>
      <c r="C690" s="91">
        <v>0.13401497270223972</v>
      </c>
      <c r="D690" s="92">
        <v>26</v>
      </c>
      <c r="E690" s="93">
        <v>0.2733812949640288</v>
      </c>
      <c r="G690" s="5"/>
      <c r="H690" s="5"/>
      <c r="L690" s="7"/>
      <c r="M690" s="7"/>
      <c r="O690" s="6"/>
      <c r="P690" s="6"/>
      <c r="T690" s="5"/>
      <c r="U690" s="5"/>
    </row>
    <row r="691" spans="2:21" x14ac:dyDescent="0.25">
      <c r="B691" s="90">
        <v>1869</v>
      </c>
      <c r="C691" s="91">
        <v>0.14940797578819431</v>
      </c>
      <c r="D691" s="92">
        <v>26</v>
      </c>
      <c r="E691" s="93">
        <v>0.5539568345323741</v>
      </c>
      <c r="G691" s="5"/>
      <c r="H691" s="5"/>
      <c r="L691" s="7"/>
      <c r="M691" s="7"/>
      <c r="O691" s="6"/>
      <c r="P691" s="6"/>
      <c r="T691" s="5"/>
      <c r="U691" s="5"/>
    </row>
    <row r="692" spans="2:21" x14ac:dyDescent="0.25">
      <c r="B692" s="90">
        <v>1845</v>
      </c>
      <c r="C692" s="91">
        <v>0.17819629064985232</v>
      </c>
      <c r="D692" s="92">
        <v>26</v>
      </c>
      <c r="E692" s="93">
        <v>0.20143884892086331</v>
      </c>
      <c r="G692" s="5"/>
      <c r="H692" s="5"/>
      <c r="L692" s="7"/>
      <c r="M692" s="7"/>
      <c r="O692" s="6"/>
      <c r="P692" s="6"/>
      <c r="T692" s="5"/>
      <c r="U692" s="5"/>
    </row>
    <row r="693" spans="2:21" x14ac:dyDescent="0.25">
      <c r="B693" s="90">
        <v>1843</v>
      </c>
      <c r="C693" s="91">
        <v>0.20208297138661724</v>
      </c>
      <c r="D693" s="92">
        <v>26</v>
      </c>
      <c r="E693" s="93">
        <v>0.20143884892086331</v>
      </c>
      <c r="G693" s="5"/>
      <c r="H693" s="5"/>
      <c r="L693" s="7"/>
      <c r="M693" s="7"/>
      <c r="O693" s="6"/>
      <c r="P693" s="6"/>
      <c r="T693" s="5"/>
      <c r="U693" s="5"/>
    </row>
    <row r="694" spans="2:21" x14ac:dyDescent="0.25">
      <c r="B694" s="90">
        <v>2050</v>
      </c>
      <c r="C694" s="91">
        <v>0.40914616408805782</v>
      </c>
      <c r="D694" s="92">
        <v>26</v>
      </c>
      <c r="E694" s="93">
        <v>0.15107913669064749</v>
      </c>
      <c r="G694" s="5"/>
      <c r="H694" s="5"/>
      <c r="L694" s="7"/>
      <c r="M694" s="7"/>
      <c r="O694" s="6"/>
      <c r="P694" s="6"/>
      <c r="T694" s="5"/>
      <c r="U694" s="5"/>
    </row>
    <row r="695" spans="2:21" x14ac:dyDescent="0.25">
      <c r="B695" s="90">
        <v>194</v>
      </c>
      <c r="C695" s="91">
        <v>0.42760497650186835</v>
      </c>
      <c r="D695" s="92">
        <v>26</v>
      </c>
      <c r="E695" s="93">
        <v>0.2446043165467626</v>
      </c>
      <c r="G695" s="5"/>
      <c r="H695" s="5"/>
      <c r="L695" s="7"/>
      <c r="M695" s="7"/>
      <c r="O695" s="6"/>
      <c r="P695" s="6"/>
      <c r="T695" s="5"/>
      <c r="U695" s="5"/>
    </row>
    <row r="696" spans="2:21" x14ac:dyDescent="0.25">
      <c r="B696" s="90">
        <v>1733</v>
      </c>
      <c r="C696" s="91">
        <v>0.25691510296852127</v>
      </c>
      <c r="D696" s="92">
        <v>27</v>
      </c>
      <c r="E696" s="93">
        <v>0.14388489208633093</v>
      </c>
      <c r="G696" s="5"/>
      <c r="H696" s="5"/>
      <c r="L696" s="7"/>
      <c r="M696" s="7"/>
      <c r="O696" s="6"/>
      <c r="P696" s="6"/>
      <c r="T696" s="5"/>
      <c r="U696" s="5"/>
    </row>
    <row r="697" spans="2:21" x14ac:dyDescent="0.25">
      <c r="B697" s="90">
        <v>1610</v>
      </c>
      <c r="C697" s="91">
        <v>0.54894588882289508</v>
      </c>
      <c r="D697" s="92">
        <v>27</v>
      </c>
      <c r="E697" s="93">
        <v>8.6330935251798566E-2</v>
      </c>
      <c r="G697" s="5"/>
      <c r="H697" s="5"/>
      <c r="L697" s="7"/>
      <c r="M697" s="7"/>
      <c r="O697" s="6"/>
      <c r="P697" s="6"/>
      <c r="T697" s="5"/>
      <c r="U697" s="5"/>
    </row>
    <row r="698" spans="2:21" x14ac:dyDescent="0.25">
      <c r="B698" s="90">
        <v>1539</v>
      </c>
      <c r="C698" s="91">
        <v>0.28198813482421969</v>
      </c>
      <c r="D698" s="92">
        <v>28</v>
      </c>
      <c r="E698" s="93">
        <v>0.16546762589928057</v>
      </c>
      <c r="G698" s="5"/>
      <c r="H698" s="5"/>
      <c r="L698" s="7"/>
      <c r="M698" s="7"/>
      <c r="O698" s="6"/>
      <c r="P698" s="6"/>
      <c r="T698" s="5"/>
      <c r="U698" s="5"/>
    </row>
    <row r="699" spans="2:21" x14ac:dyDescent="0.25">
      <c r="B699" s="90">
        <v>1868</v>
      </c>
      <c r="C699" s="91">
        <v>0.33171782714805287</v>
      </c>
      <c r="D699" s="92">
        <v>28</v>
      </c>
      <c r="E699" s="93">
        <v>0.15107913669064749</v>
      </c>
      <c r="G699" s="5"/>
      <c r="H699" s="5"/>
      <c r="L699" s="7"/>
      <c r="M699" s="7"/>
      <c r="O699" s="6"/>
      <c r="P699" s="6"/>
      <c r="T699" s="5"/>
      <c r="U699" s="5"/>
    </row>
    <row r="700" spans="2:21" x14ac:dyDescent="0.25">
      <c r="B700" s="90">
        <v>1540</v>
      </c>
      <c r="C700" s="91">
        <v>0.33422969235203148</v>
      </c>
      <c r="D700" s="92">
        <v>28</v>
      </c>
      <c r="E700" s="93">
        <v>0.1366906474820144</v>
      </c>
      <c r="G700" s="5"/>
      <c r="H700" s="5"/>
      <c r="L700" s="7"/>
      <c r="M700" s="7"/>
      <c r="O700" s="6"/>
      <c r="P700" s="6"/>
      <c r="T700" s="5"/>
      <c r="U700" s="5"/>
    </row>
    <row r="701" spans="2:21" x14ac:dyDescent="0.25">
      <c r="B701" s="90">
        <v>972</v>
      </c>
      <c r="C701" s="91">
        <v>0.12321276115817936</v>
      </c>
      <c r="D701" s="92">
        <v>29</v>
      </c>
      <c r="E701" s="93">
        <v>0.39568345323741005</v>
      </c>
      <c r="G701" s="5"/>
      <c r="H701" s="5"/>
      <c r="L701" s="7"/>
      <c r="M701" s="7"/>
      <c r="O701" s="6"/>
      <c r="P701" s="6"/>
      <c r="T701" s="5"/>
      <c r="U701" s="5"/>
    </row>
    <row r="702" spans="2:21" x14ac:dyDescent="0.25">
      <c r="B702" s="90">
        <v>873</v>
      </c>
      <c r="C702" s="91">
        <v>0.12839262097032245</v>
      </c>
      <c r="D702" s="92">
        <v>29</v>
      </c>
      <c r="E702" s="93">
        <v>0.43884892086330934</v>
      </c>
      <c r="G702" s="5"/>
      <c r="H702" s="5"/>
      <c r="L702" s="7"/>
      <c r="M702" s="7"/>
      <c r="O702" s="6"/>
      <c r="P702" s="6"/>
      <c r="T702" s="5"/>
      <c r="U702" s="5"/>
    </row>
    <row r="703" spans="2:21" x14ac:dyDescent="0.25">
      <c r="B703" s="90">
        <v>822</v>
      </c>
      <c r="C703" s="91">
        <v>0.13595322284479194</v>
      </c>
      <c r="D703" s="92">
        <v>29</v>
      </c>
      <c r="E703" s="93">
        <v>0.43884892086330934</v>
      </c>
      <c r="G703" s="5"/>
      <c r="H703" s="5"/>
      <c r="L703" s="7"/>
      <c r="M703" s="7"/>
      <c r="O703" s="6"/>
      <c r="P703" s="6"/>
      <c r="T703" s="5"/>
      <c r="U703" s="5"/>
    </row>
    <row r="704" spans="2:21" x14ac:dyDescent="0.25">
      <c r="B704" s="90">
        <v>923</v>
      </c>
      <c r="C704" s="91">
        <v>0.13745344663307646</v>
      </c>
      <c r="D704" s="92">
        <v>29</v>
      </c>
      <c r="E704" s="93">
        <v>0.41007194244604317</v>
      </c>
      <c r="G704" s="5"/>
      <c r="H704" s="5"/>
      <c r="L704" s="7"/>
      <c r="M704" s="7"/>
      <c r="O704" s="6"/>
      <c r="P704" s="6"/>
      <c r="T704" s="5"/>
      <c r="U704" s="5"/>
    </row>
    <row r="705" spans="2:21" x14ac:dyDescent="0.25">
      <c r="B705" s="90">
        <v>611</v>
      </c>
      <c r="C705" s="91">
        <v>0.26155107937641064</v>
      </c>
      <c r="D705" s="92">
        <v>29</v>
      </c>
      <c r="E705" s="93">
        <v>0.51079136690647486</v>
      </c>
      <c r="G705" s="5"/>
      <c r="H705" s="5"/>
      <c r="L705" s="7"/>
      <c r="M705" s="7"/>
      <c r="O705" s="6"/>
      <c r="P705" s="6"/>
      <c r="T705" s="5"/>
      <c r="U705" s="5"/>
    </row>
    <row r="706" spans="2:21" x14ac:dyDescent="0.25">
      <c r="B706" s="90">
        <v>666</v>
      </c>
      <c r="C706" s="91">
        <v>0.2651360218429395</v>
      </c>
      <c r="D706" s="92">
        <v>29</v>
      </c>
      <c r="E706" s="93">
        <v>0.51079136690647486</v>
      </c>
      <c r="G706" s="5"/>
      <c r="H706" s="5"/>
      <c r="L706" s="7"/>
      <c r="M706" s="7"/>
      <c r="O706" s="6"/>
      <c r="P706" s="6"/>
      <c r="T706" s="5"/>
      <c r="U706" s="5"/>
    </row>
    <row r="707" spans="2:21" x14ac:dyDescent="0.25">
      <c r="B707" s="90">
        <v>720</v>
      </c>
      <c r="C707" s="91">
        <v>0.27087613812838218</v>
      </c>
      <c r="D707" s="92">
        <v>29</v>
      </c>
      <c r="E707" s="93">
        <v>0.51079136690647486</v>
      </c>
      <c r="G707" s="5"/>
      <c r="H707" s="5"/>
      <c r="L707" s="7"/>
      <c r="M707" s="7"/>
      <c r="O707" s="6"/>
      <c r="P707" s="6"/>
      <c r="T707" s="5"/>
      <c r="U707" s="5"/>
    </row>
    <row r="708" spans="2:21" x14ac:dyDescent="0.25">
      <c r="B708" s="90">
        <v>1574</v>
      </c>
      <c r="C708" s="91">
        <v>0.35602297514801062</v>
      </c>
      <c r="D708" s="92">
        <v>29</v>
      </c>
      <c r="E708" s="93">
        <v>0.1079136690647482</v>
      </c>
      <c r="G708" s="5"/>
      <c r="H708" s="5"/>
      <c r="L708" s="7"/>
      <c r="M708" s="7"/>
      <c r="O708" s="6"/>
      <c r="P708" s="6"/>
      <c r="T708" s="5"/>
      <c r="U708" s="5"/>
    </row>
    <row r="709" spans="2:21" x14ac:dyDescent="0.25">
      <c r="B709" s="90">
        <v>1573</v>
      </c>
      <c r="C709" s="91">
        <v>0.5371074385326593</v>
      </c>
      <c r="D709" s="92">
        <v>29</v>
      </c>
      <c r="E709" s="93">
        <v>8.6330935251798566E-2</v>
      </c>
      <c r="G709" s="5"/>
      <c r="H709" s="5"/>
      <c r="L709" s="7"/>
      <c r="M709" s="7"/>
      <c r="O709" s="6"/>
      <c r="P709" s="6"/>
      <c r="T709" s="5"/>
      <c r="U709" s="5"/>
    </row>
    <row r="710" spans="2:21" x14ac:dyDescent="0.25">
      <c r="B710" s="90">
        <v>1609</v>
      </c>
      <c r="C710" s="91">
        <v>0.57734170968189247</v>
      </c>
      <c r="D710" s="92">
        <v>29</v>
      </c>
      <c r="E710" s="93">
        <v>8.6330935251798566E-2</v>
      </c>
      <c r="G710" s="5"/>
      <c r="H710" s="5"/>
      <c r="L710" s="7"/>
      <c r="M710" s="7"/>
      <c r="O710" s="6"/>
      <c r="P710" s="6"/>
      <c r="T710" s="5"/>
      <c r="U710" s="5"/>
    </row>
    <row r="711" spans="2:21" x14ac:dyDescent="0.25">
      <c r="B711" s="90">
        <v>1642</v>
      </c>
      <c r="C711" s="91">
        <v>0.72012077186373746</v>
      </c>
      <c r="D711" s="92">
        <v>29</v>
      </c>
      <c r="E711" s="93">
        <v>7.9136690647482008E-2</v>
      </c>
      <c r="G711" s="5"/>
      <c r="H711" s="5"/>
      <c r="L711" s="7"/>
      <c r="M711" s="7"/>
      <c r="O711" s="6"/>
      <c r="P711" s="6"/>
      <c r="T711" s="5"/>
      <c r="U711" s="5"/>
    </row>
    <row r="712" spans="2:21" x14ac:dyDescent="0.25">
      <c r="B712" s="90">
        <v>1674</v>
      </c>
      <c r="C712" s="91">
        <v>0.83107011975567646</v>
      </c>
      <c r="D712" s="92">
        <v>29</v>
      </c>
      <c r="E712" s="93">
        <v>6.4748201438848921E-2</v>
      </c>
      <c r="G712" s="5"/>
      <c r="H712" s="5"/>
      <c r="L712" s="7"/>
      <c r="M712" s="7"/>
      <c r="O712" s="6"/>
      <c r="P712" s="6"/>
      <c r="T712" s="5"/>
      <c r="U712" s="5"/>
    </row>
    <row r="713" spans="2:21" x14ac:dyDescent="0.25">
      <c r="B713" s="90">
        <v>1705</v>
      </c>
      <c r="C713" s="91">
        <v>1.1055893040755211</v>
      </c>
      <c r="D713" s="92">
        <v>29</v>
      </c>
      <c r="E713" s="93">
        <v>6.4748201438848921E-2</v>
      </c>
      <c r="G713" s="5"/>
      <c r="H713" s="5"/>
      <c r="L713" s="7"/>
      <c r="M713" s="7"/>
      <c r="O713" s="6"/>
      <c r="P713" s="6"/>
      <c r="T713" s="5"/>
      <c r="U713" s="5"/>
    </row>
    <row r="714" spans="2:21" x14ac:dyDescent="0.25">
      <c r="B714" s="90">
        <v>1575</v>
      </c>
      <c r="C714" s="91">
        <v>0.41283251291122913</v>
      </c>
      <c r="D714" s="92">
        <v>31</v>
      </c>
      <c r="E714" s="93">
        <v>9.3525179856115109E-2</v>
      </c>
      <c r="G714" s="5"/>
      <c r="H714" s="5"/>
      <c r="L714" s="7"/>
      <c r="M714" s="7"/>
      <c r="O714" s="6"/>
      <c r="P714" s="6"/>
      <c r="T714" s="5"/>
      <c r="U714" s="5"/>
    </row>
    <row r="715" spans="2:21" x14ac:dyDescent="0.25">
      <c r="B715" s="90">
        <v>1816</v>
      </c>
      <c r="C715" s="91">
        <v>1.2984766129798042E-2</v>
      </c>
      <c r="D715" s="92">
        <v>34</v>
      </c>
      <c r="E715" s="93">
        <v>0.33812949640287771</v>
      </c>
      <c r="G715" s="5"/>
      <c r="H715" s="5"/>
      <c r="L715" s="7"/>
      <c r="M715" s="7"/>
      <c r="O715" s="6"/>
      <c r="P715" s="6"/>
      <c r="T715" s="5"/>
      <c r="U715" s="5"/>
    </row>
    <row r="716" spans="2:21" x14ac:dyDescent="0.25">
      <c r="B716" s="90">
        <v>1815</v>
      </c>
      <c r="C716" s="91">
        <v>1.8236577779130902E-2</v>
      </c>
      <c r="D716" s="92">
        <v>34</v>
      </c>
      <c r="E716" s="93">
        <v>0.33093525179856115</v>
      </c>
      <c r="G716" s="5"/>
      <c r="H716" s="5"/>
      <c r="L716" s="7"/>
      <c r="M716" s="7"/>
      <c r="O716" s="6"/>
      <c r="P716" s="6"/>
      <c r="T716" s="5"/>
      <c r="U716" s="5"/>
    </row>
    <row r="717" spans="2:21" x14ac:dyDescent="0.25">
      <c r="B717" s="90">
        <v>1758</v>
      </c>
      <c r="C717" s="91">
        <v>4.1379599493348573E-2</v>
      </c>
      <c r="D717" s="92">
        <v>34</v>
      </c>
      <c r="E717" s="93">
        <v>0.38848920863309355</v>
      </c>
      <c r="G717" s="5"/>
      <c r="H717" s="5"/>
      <c r="L717" s="7"/>
      <c r="M717" s="7"/>
      <c r="O717" s="6"/>
      <c r="P717" s="6"/>
      <c r="T717" s="5"/>
      <c r="U717" s="5"/>
    </row>
    <row r="718" spans="2:21" x14ac:dyDescent="0.25">
      <c r="B718" s="90">
        <v>1759</v>
      </c>
      <c r="C718" s="91">
        <v>4.3155231068294442E-2</v>
      </c>
      <c r="D718" s="92">
        <v>34</v>
      </c>
      <c r="E718" s="93">
        <v>0.33093525179856115</v>
      </c>
      <c r="G718" s="5"/>
      <c r="H718" s="5"/>
      <c r="L718" s="7"/>
      <c r="M718" s="7"/>
      <c r="O718" s="6"/>
      <c r="P718" s="6"/>
      <c r="T718" s="5"/>
      <c r="U718" s="5"/>
    </row>
    <row r="719" spans="2:21" x14ac:dyDescent="0.25">
      <c r="B719" s="90">
        <v>1757</v>
      </c>
      <c r="C719" s="91">
        <v>4.4009277693714988E-2</v>
      </c>
      <c r="D719" s="92">
        <v>34</v>
      </c>
      <c r="E719" s="93">
        <v>0.38848920863309355</v>
      </c>
      <c r="G719" s="5"/>
      <c r="H719" s="5"/>
      <c r="L719" s="7"/>
      <c r="M719" s="7"/>
      <c r="O719" s="6"/>
      <c r="P719" s="6"/>
      <c r="T719" s="5"/>
      <c r="U719" s="5"/>
    </row>
    <row r="720" spans="2:21" x14ac:dyDescent="0.25">
      <c r="B720" s="90">
        <v>1951</v>
      </c>
      <c r="C720" s="91">
        <v>4.6218626731709067E-2</v>
      </c>
      <c r="D720" s="92">
        <v>34</v>
      </c>
      <c r="E720" s="93">
        <v>0.35251798561151076</v>
      </c>
      <c r="G720" s="5"/>
      <c r="H720" s="5"/>
      <c r="L720" s="7"/>
      <c r="M720" s="7"/>
      <c r="O720" s="6"/>
      <c r="P720" s="6"/>
      <c r="T720" s="5"/>
      <c r="U720" s="5"/>
    </row>
    <row r="721" spans="2:21" x14ac:dyDescent="0.25">
      <c r="B721" s="90">
        <v>1787</v>
      </c>
      <c r="C721" s="91">
        <v>4.8207151153253358E-2</v>
      </c>
      <c r="D721" s="92">
        <v>34</v>
      </c>
      <c r="E721" s="93">
        <v>0.39568345323741005</v>
      </c>
      <c r="G721" s="5"/>
      <c r="H721" s="5"/>
      <c r="L721" s="7"/>
      <c r="M721" s="7"/>
      <c r="O721" s="6"/>
      <c r="P721" s="6"/>
      <c r="T721" s="5"/>
      <c r="U721" s="5"/>
    </row>
    <row r="722" spans="2:21" x14ac:dyDescent="0.25">
      <c r="B722" s="90">
        <v>1786</v>
      </c>
      <c r="C722" s="91">
        <v>4.9479649897391287E-2</v>
      </c>
      <c r="D722" s="92">
        <v>34</v>
      </c>
      <c r="E722" s="93">
        <v>0.38848920863309355</v>
      </c>
      <c r="G722" s="5"/>
      <c r="H722" s="5"/>
      <c r="L722" s="7"/>
      <c r="M722" s="7"/>
      <c r="O722" s="6"/>
      <c r="P722" s="6"/>
      <c r="T722" s="5"/>
      <c r="U722" s="5"/>
    </row>
    <row r="723" spans="2:21" x14ac:dyDescent="0.25">
      <c r="B723" s="90">
        <v>1760</v>
      </c>
      <c r="C723" s="91">
        <v>5.5901880642963642E-2</v>
      </c>
      <c r="D723" s="92">
        <v>34</v>
      </c>
      <c r="E723" s="93">
        <v>0.39568345323741005</v>
      </c>
      <c r="G723" s="5"/>
      <c r="H723" s="5"/>
      <c r="L723" s="7"/>
      <c r="M723" s="7"/>
      <c r="O723" s="6"/>
      <c r="P723" s="6"/>
      <c r="T723" s="5"/>
      <c r="U723" s="5"/>
    </row>
    <row r="724" spans="2:21" x14ac:dyDescent="0.25">
      <c r="B724" s="90">
        <v>1785</v>
      </c>
      <c r="C724" s="91">
        <v>5.9928691921079968E-2</v>
      </c>
      <c r="D724" s="92">
        <v>34</v>
      </c>
      <c r="E724" s="93">
        <v>0.38848920863309355</v>
      </c>
      <c r="G724" s="5"/>
      <c r="H724" s="5"/>
      <c r="L724" s="7"/>
      <c r="M724" s="7"/>
      <c r="O724" s="6"/>
      <c r="P724" s="6"/>
      <c r="T724" s="5"/>
      <c r="U724" s="5"/>
    </row>
    <row r="725" spans="2:21" x14ac:dyDescent="0.25">
      <c r="B725" s="90">
        <v>1842</v>
      </c>
      <c r="C725" s="91">
        <v>6.4215081328852452E-2</v>
      </c>
      <c r="D725" s="92">
        <v>34</v>
      </c>
      <c r="E725" s="93">
        <v>0.31654676258992803</v>
      </c>
      <c r="G725" s="5"/>
      <c r="H725" s="5"/>
      <c r="L725" s="7"/>
      <c r="M725" s="7"/>
      <c r="O725" s="6"/>
      <c r="P725" s="6"/>
      <c r="T725" s="5"/>
      <c r="U725" s="5"/>
    </row>
    <row r="726" spans="2:21" x14ac:dyDescent="0.25">
      <c r="B726" s="90">
        <v>1761</v>
      </c>
      <c r="C726" s="91">
        <v>6.5248243415791718E-2</v>
      </c>
      <c r="D726" s="92">
        <v>34</v>
      </c>
      <c r="E726" s="93">
        <v>0.40287769784172661</v>
      </c>
      <c r="G726" s="5"/>
      <c r="H726" s="5"/>
      <c r="L726" s="7"/>
      <c r="M726" s="7"/>
      <c r="O726" s="6"/>
      <c r="P726" s="6"/>
      <c r="T726" s="5"/>
      <c r="U726" s="5"/>
    </row>
    <row r="727" spans="2:21" x14ac:dyDescent="0.25">
      <c r="B727" s="90">
        <v>1788</v>
      </c>
      <c r="C727" s="91">
        <v>6.5331725790451767E-2</v>
      </c>
      <c r="D727" s="92">
        <v>34</v>
      </c>
      <c r="E727" s="93">
        <v>0.47482014388489208</v>
      </c>
      <c r="G727" s="5"/>
      <c r="H727" s="5"/>
      <c r="L727" s="7"/>
      <c r="M727" s="7"/>
      <c r="O727" s="6"/>
      <c r="P727" s="6"/>
      <c r="T727" s="5"/>
      <c r="U727" s="5"/>
    </row>
    <row r="728" spans="2:21" x14ac:dyDescent="0.25">
      <c r="B728" s="90">
        <v>1841</v>
      </c>
      <c r="C728" s="91">
        <v>7.6908066035045519E-2</v>
      </c>
      <c r="D728" s="92">
        <v>34</v>
      </c>
      <c r="E728" s="93">
        <v>0.31654676258992803</v>
      </c>
      <c r="G728" s="5"/>
      <c r="H728" s="5"/>
      <c r="L728" s="7"/>
      <c r="M728" s="7"/>
      <c r="O728" s="6"/>
      <c r="P728" s="6"/>
      <c r="T728" s="5"/>
      <c r="U728" s="5"/>
    </row>
    <row r="729" spans="2:21" x14ac:dyDescent="0.25">
      <c r="B729" s="90">
        <v>1789</v>
      </c>
      <c r="C729" s="91">
        <v>8.1925933934647643E-2</v>
      </c>
      <c r="D729" s="92">
        <v>34</v>
      </c>
      <c r="E729" s="93">
        <v>0.48201438848920863</v>
      </c>
      <c r="G729" s="5"/>
      <c r="H729" s="5"/>
      <c r="L729" s="7"/>
      <c r="M729" s="7"/>
      <c r="O729" s="6"/>
      <c r="P729" s="6"/>
      <c r="T729" s="5"/>
      <c r="U729" s="5"/>
    </row>
    <row r="730" spans="2:21" x14ac:dyDescent="0.25">
      <c r="B730" s="90">
        <v>1732</v>
      </c>
      <c r="C730" s="91">
        <v>0.11388246303422522</v>
      </c>
      <c r="D730" s="92">
        <v>34</v>
      </c>
      <c r="E730" s="93">
        <v>0.23021582733812951</v>
      </c>
      <c r="G730" s="5"/>
      <c r="H730" s="5"/>
      <c r="L730" s="7"/>
      <c r="M730" s="7"/>
      <c r="O730" s="6"/>
      <c r="P730" s="6"/>
      <c r="T730" s="5"/>
      <c r="U730" s="5"/>
    </row>
    <row r="731" spans="2:21" x14ac:dyDescent="0.25">
      <c r="B731" s="90">
        <v>1728</v>
      </c>
      <c r="C731" s="91">
        <v>0.11614926957091287</v>
      </c>
      <c r="D731" s="92">
        <v>34</v>
      </c>
      <c r="E731" s="93">
        <v>0.2733812949640288</v>
      </c>
      <c r="G731" s="5"/>
      <c r="H731" s="5"/>
      <c r="L731" s="7"/>
      <c r="M731" s="7"/>
      <c r="O731" s="6"/>
      <c r="P731" s="6"/>
      <c r="T731" s="5"/>
      <c r="U731" s="5"/>
    </row>
    <row r="732" spans="2:21" x14ac:dyDescent="0.25">
      <c r="B732" s="90">
        <v>1867</v>
      </c>
      <c r="C732" s="91">
        <v>0.11745531318886737</v>
      </c>
      <c r="D732" s="92">
        <v>34</v>
      </c>
      <c r="E732" s="93">
        <v>0.22302158273381295</v>
      </c>
      <c r="G732" s="5"/>
      <c r="H732" s="5"/>
      <c r="L732" s="7"/>
      <c r="M732" s="7"/>
      <c r="O732" s="6"/>
      <c r="P732" s="6"/>
      <c r="T732" s="5"/>
      <c r="U732" s="5"/>
    </row>
    <row r="733" spans="2:21" x14ac:dyDescent="0.25">
      <c r="B733" s="90">
        <v>1866</v>
      </c>
      <c r="C733" s="91">
        <v>0.12274657736247063</v>
      </c>
      <c r="D733" s="92">
        <v>34</v>
      </c>
      <c r="E733" s="93">
        <v>0.2733812949640288</v>
      </c>
      <c r="G733" s="5"/>
      <c r="H733" s="5"/>
      <c r="L733" s="7"/>
      <c r="M733" s="7"/>
      <c r="O733" s="6"/>
      <c r="P733" s="6"/>
      <c r="T733" s="5"/>
      <c r="U733" s="5"/>
    </row>
    <row r="734" spans="2:21" x14ac:dyDescent="0.25">
      <c r="B734" s="90">
        <v>1973</v>
      </c>
      <c r="C734" s="91">
        <v>0.12447221401551567</v>
      </c>
      <c r="D734" s="92">
        <v>34</v>
      </c>
      <c r="E734" s="93">
        <v>0.48920863309352519</v>
      </c>
      <c r="G734" s="5"/>
      <c r="H734" s="5"/>
      <c r="L734" s="7"/>
      <c r="M734" s="7"/>
      <c r="O734" s="6"/>
      <c r="P734" s="6"/>
      <c r="T734" s="5"/>
      <c r="U734" s="5"/>
    </row>
    <row r="735" spans="2:21" x14ac:dyDescent="0.25">
      <c r="B735" s="90">
        <v>1731</v>
      </c>
      <c r="C735" s="91">
        <v>0.12547176520142711</v>
      </c>
      <c r="D735" s="92">
        <v>34</v>
      </c>
      <c r="E735" s="93">
        <v>0.2733812949640288</v>
      </c>
      <c r="G735" s="5"/>
      <c r="H735" s="5"/>
      <c r="L735" s="7"/>
      <c r="M735" s="7"/>
      <c r="O735" s="6"/>
      <c r="P735" s="6"/>
      <c r="T735" s="5"/>
      <c r="U735" s="5"/>
    </row>
    <row r="736" spans="2:21" x14ac:dyDescent="0.25">
      <c r="B736" s="90">
        <v>1729</v>
      </c>
      <c r="C736" s="91">
        <v>0.13175133930140803</v>
      </c>
      <c r="D736" s="92">
        <v>34</v>
      </c>
      <c r="E736" s="93">
        <v>0.2733812949640288</v>
      </c>
      <c r="G736" s="5"/>
      <c r="H736" s="5"/>
      <c r="L736" s="7"/>
      <c r="M736" s="7"/>
      <c r="O736" s="6"/>
      <c r="P736" s="6"/>
      <c r="T736" s="5"/>
      <c r="U736" s="5"/>
    </row>
    <row r="737" spans="2:21" x14ac:dyDescent="0.25">
      <c r="B737" s="90">
        <v>1730</v>
      </c>
      <c r="C737" s="91">
        <v>0.14421423650964627</v>
      </c>
      <c r="D737" s="92">
        <v>34</v>
      </c>
      <c r="E737" s="93">
        <v>0.21582733812949639</v>
      </c>
      <c r="G737" s="5"/>
      <c r="H737" s="5"/>
      <c r="L737" s="7"/>
      <c r="M737" s="7"/>
      <c r="O737" s="6"/>
      <c r="P737" s="6"/>
      <c r="T737" s="5"/>
      <c r="U737" s="5"/>
    </row>
    <row r="738" spans="2:21" x14ac:dyDescent="0.25">
      <c r="B738" s="90">
        <v>1455</v>
      </c>
      <c r="C738" s="91">
        <v>0.17695318694463613</v>
      </c>
      <c r="D738" s="92">
        <v>34</v>
      </c>
      <c r="E738" s="93">
        <v>0.20143884892086331</v>
      </c>
      <c r="G738" s="5"/>
      <c r="H738" s="5"/>
      <c r="L738" s="7"/>
      <c r="M738" s="7"/>
      <c r="O738" s="6"/>
      <c r="P738" s="6"/>
      <c r="T738" s="5"/>
      <c r="U738" s="5"/>
    </row>
    <row r="739" spans="2:21" x14ac:dyDescent="0.25">
      <c r="B739" s="90">
        <v>1492</v>
      </c>
      <c r="C739" s="91">
        <v>0.21292503010691632</v>
      </c>
      <c r="D739" s="92">
        <v>34</v>
      </c>
      <c r="E739" s="93">
        <v>0.15107913669064749</v>
      </c>
      <c r="G739" s="5"/>
      <c r="H739" s="5"/>
      <c r="L739" s="7"/>
      <c r="M739" s="7"/>
      <c r="O739" s="6"/>
      <c r="P739" s="6"/>
      <c r="T739" s="5"/>
      <c r="U739" s="5"/>
    </row>
    <row r="740" spans="2:21" x14ac:dyDescent="0.25">
      <c r="B740" s="90">
        <v>1991</v>
      </c>
      <c r="C740" s="91">
        <v>0.26870287694335226</v>
      </c>
      <c r="D740" s="92">
        <v>34</v>
      </c>
      <c r="E740" s="93">
        <v>0.1366906474820144</v>
      </c>
      <c r="G740" s="5"/>
      <c r="H740" s="5"/>
      <c r="L740" s="7"/>
      <c r="M740" s="7"/>
      <c r="O740" s="6"/>
      <c r="P740" s="6"/>
      <c r="T740" s="5"/>
      <c r="U740" s="5"/>
    </row>
    <row r="741" spans="2:21" x14ac:dyDescent="0.25">
      <c r="B741" s="90">
        <v>1456</v>
      </c>
      <c r="C741" s="91">
        <v>0.30791567879959292</v>
      </c>
      <c r="D741" s="92">
        <v>34</v>
      </c>
      <c r="E741" s="93">
        <v>0.15827338129496402</v>
      </c>
      <c r="G741" s="5"/>
      <c r="H741" s="5"/>
      <c r="L741" s="7"/>
      <c r="M741" s="7"/>
      <c r="O741" s="6"/>
      <c r="P741" s="6"/>
      <c r="T741" s="5"/>
      <c r="U741" s="5"/>
    </row>
    <row r="742" spans="2:21" x14ac:dyDescent="0.25">
      <c r="B742" s="90">
        <v>1494</v>
      </c>
      <c r="C742" s="91">
        <v>0.32397922322558104</v>
      </c>
      <c r="D742" s="92">
        <v>34</v>
      </c>
      <c r="E742" s="93">
        <v>0.15827338129496402</v>
      </c>
      <c r="G742" s="5"/>
      <c r="H742" s="5"/>
      <c r="L742" s="7"/>
      <c r="M742" s="7"/>
      <c r="O742" s="6"/>
      <c r="P742" s="6"/>
      <c r="T742" s="5"/>
      <c r="U742" s="5"/>
    </row>
    <row r="743" spans="2:21" x14ac:dyDescent="0.25">
      <c r="B743" s="90">
        <v>1530</v>
      </c>
      <c r="C743" s="91">
        <v>0.36214756430425732</v>
      </c>
      <c r="D743" s="92">
        <v>34</v>
      </c>
      <c r="E743" s="93">
        <v>0.16546762589928057</v>
      </c>
      <c r="G743" s="5"/>
      <c r="H743" s="5"/>
      <c r="L743" s="7"/>
      <c r="M743" s="7"/>
      <c r="O743" s="6"/>
      <c r="P743" s="6"/>
      <c r="T743" s="5"/>
      <c r="U743" s="5"/>
    </row>
    <row r="744" spans="2:21" x14ac:dyDescent="0.25">
      <c r="B744" s="90">
        <v>1565</v>
      </c>
      <c r="C744" s="91">
        <v>0.38233080594790025</v>
      </c>
      <c r="D744" s="92">
        <v>34</v>
      </c>
      <c r="E744" s="93">
        <v>0.15107913669064749</v>
      </c>
      <c r="G744" s="5"/>
      <c r="H744" s="5"/>
      <c r="L744" s="7"/>
      <c r="M744" s="7"/>
      <c r="O744" s="6"/>
      <c r="P744" s="6"/>
      <c r="T744" s="5"/>
      <c r="U744" s="5"/>
    </row>
    <row r="745" spans="2:21" x14ac:dyDescent="0.25">
      <c r="B745" s="90">
        <v>1531</v>
      </c>
      <c r="C745" s="91">
        <v>0.38330862304995805</v>
      </c>
      <c r="D745" s="92">
        <v>34</v>
      </c>
      <c r="E745" s="93">
        <v>0.15107913669064749</v>
      </c>
      <c r="G745" s="5"/>
      <c r="H745" s="5"/>
      <c r="L745" s="7"/>
      <c r="M745" s="7"/>
      <c r="O745" s="6"/>
      <c r="P745" s="6"/>
      <c r="T745" s="5"/>
      <c r="U745" s="5"/>
    </row>
    <row r="746" spans="2:21" x14ac:dyDescent="0.25">
      <c r="B746" s="90">
        <v>1566</v>
      </c>
      <c r="C746" s="91">
        <v>0.40485925642080089</v>
      </c>
      <c r="D746" s="92">
        <v>34</v>
      </c>
      <c r="E746" s="93">
        <v>0.1366906474820144</v>
      </c>
      <c r="G746" s="5"/>
      <c r="H746" s="5"/>
      <c r="L746" s="7"/>
      <c r="M746" s="7"/>
      <c r="O746" s="6"/>
      <c r="P746" s="6"/>
      <c r="T746" s="5"/>
      <c r="U746" s="5"/>
    </row>
    <row r="747" spans="2:21" x14ac:dyDescent="0.25">
      <c r="B747" s="90">
        <v>1599</v>
      </c>
      <c r="C747" s="91">
        <v>0.41757910078784455</v>
      </c>
      <c r="D747" s="92">
        <v>34</v>
      </c>
      <c r="E747" s="93">
        <v>0.14388489208633093</v>
      </c>
      <c r="G747" s="5"/>
      <c r="H747" s="5"/>
      <c r="L747" s="7"/>
      <c r="M747" s="7"/>
      <c r="O747" s="6"/>
      <c r="P747" s="6"/>
      <c r="T747" s="5"/>
      <c r="U747" s="5"/>
    </row>
    <row r="748" spans="2:21" x14ac:dyDescent="0.25">
      <c r="B748" s="90">
        <v>1496</v>
      </c>
      <c r="C748" s="91">
        <v>0.42356629986043859</v>
      </c>
      <c r="D748" s="92">
        <v>34</v>
      </c>
      <c r="E748" s="93">
        <v>0.1366906474820144</v>
      </c>
      <c r="G748" s="5"/>
      <c r="H748" s="5"/>
      <c r="L748" s="7"/>
      <c r="M748" s="7"/>
      <c r="O748" s="6"/>
      <c r="P748" s="6"/>
      <c r="T748" s="5"/>
      <c r="U748" s="5"/>
    </row>
    <row r="749" spans="2:21" x14ac:dyDescent="0.25">
      <c r="B749" s="90">
        <v>1632</v>
      </c>
      <c r="C749" s="91">
        <v>0.42733651518653304</v>
      </c>
      <c r="D749" s="92">
        <v>34</v>
      </c>
      <c r="E749" s="93">
        <v>0.1366906474820144</v>
      </c>
      <c r="G749" s="5"/>
      <c r="H749" s="5"/>
      <c r="L749" s="7"/>
      <c r="M749" s="7"/>
      <c r="O749" s="6"/>
      <c r="P749" s="6"/>
      <c r="T749" s="5"/>
      <c r="U749" s="5"/>
    </row>
    <row r="750" spans="2:21" x14ac:dyDescent="0.25">
      <c r="B750" s="90">
        <v>1664</v>
      </c>
      <c r="C750" s="91">
        <v>0.44135719041615795</v>
      </c>
      <c r="D750" s="92">
        <v>34</v>
      </c>
      <c r="E750" s="93">
        <v>9.3525179856115109E-2</v>
      </c>
      <c r="G750" s="5"/>
      <c r="H750" s="5"/>
      <c r="L750" s="7"/>
      <c r="M750" s="7"/>
      <c r="O750" s="6"/>
      <c r="P750" s="6"/>
      <c r="T750" s="5"/>
      <c r="U750" s="5"/>
    </row>
    <row r="751" spans="2:21" x14ac:dyDescent="0.25">
      <c r="B751" s="90">
        <v>1600</v>
      </c>
      <c r="C751" s="91">
        <v>0.44230238943911337</v>
      </c>
      <c r="D751" s="92">
        <v>34</v>
      </c>
      <c r="E751" s="93">
        <v>0.12949640287769784</v>
      </c>
      <c r="G751" s="5"/>
      <c r="H751" s="5"/>
      <c r="L751" s="7"/>
      <c r="M751" s="7"/>
      <c r="O751" s="6"/>
      <c r="P751" s="6"/>
      <c r="T751" s="5"/>
      <c r="U751" s="5"/>
    </row>
    <row r="752" spans="2:21" x14ac:dyDescent="0.25">
      <c r="B752" s="90">
        <v>1633</v>
      </c>
      <c r="C752" s="91">
        <v>0.45260378519621025</v>
      </c>
      <c r="D752" s="92">
        <v>34</v>
      </c>
      <c r="E752" s="93">
        <v>0.1223021582733813</v>
      </c>
      <c r="G752" s="5"/>
      <c r="H752" s="5"/>
      <c r="L752" s="7"/>
      <c r="M752" s="7"/>
      <c r="O752" s="6"/>
      <c r="P752" s="6"/>
      <c r="T752" s="5"/>
      <c r="U752" s="5"/>
    </row>
    <row r="753" spans="2:21" x14ac:dyDescent="0.25">
      <c r="B753" s="90">
        <v>1532</v>
      </c>
      <c r="C753" s="91">
        <v>0.46542350468516169</v>
      </c>
      <c r="D753" s="92">
        <v>34</v>
      </c>
      <c r="E753" s="93">
        <v>7.9136690647482008E-2</v>
      </c>
      <c r="G753" s="5"/>
      <c r="H753" s="5"/>
      <c r="L753" s="7"/>
      <c r="M753" s="7"/>
      <c r="O753" s="6"/>
      <c r="P753" s="6"/>
      <c r="T753" s="5"/>
      <c r="U753" s="5"/>
    </row>
    <row r="754" spans="2:21" x14ac:dyDescent="0.25">
      <c r="B754" s="90">
        <v>1695</v>
      </c>
      <c r="C754" s="91">
        <v>0.46643134304701095</v>
      </c>
      <c r="D754" s="92">
        <v>34</v>
      </c>
      <c r="E754" s="93">
        <v>9.3525179856115109E-2</v>
      </c>
      <c r="G754" s="5"/>
      <c r="H754" s="5"/>
      <c r="L754" s="7"/>
      <c r="M754" s="7"/>
      <c r="O754" s="6"/>
      <c r="P754" s="6"/>
      <c r="T754" s="5"/>
      <c r="U754" s="5"/>
    </row>
    <row r="755" spans="2:21" x14ac:dyDescent="0.25">
      <c r="B755" s="90">
        <v>1665</v>
      </c>
      <c r="C755" s="91">
        <v>0.46750845916884554</v>
      </c>
      <c r="D755" s="92">
        <v>34</v>
      </c>
      <c r="E755" s="93">
        <v>7.9136690647482008E-2</v>
      </c>
      <c r="G755" s="5"/>
      <c r="H755" s="5"/>
      <c r="L755" s="7"/>
      <c r="M755" s="7"/>
      <c r="O755" s="6"/>
      <c r="P755" s="6"/>
      <c r="T755" s="5"/>
      <c r="U755" s="5"/>
    </row>
    <row r="756" spans="2:21" x14ac:dyDescent="0.25">
      <c r="B756" s="90">
        <v>1567</v>
      </c>
      <c r="C756" s="91">
        <v>0.48776150619301395</v>
      </c>
      <c r="D756" s="92">
        <v>34</v>
      </c>
      <c r="E756" s="93">
        <v>7.9136690647482008E-2</v>
      </c>
      <c r="G756" s="5"/>
      <c r="H756" s="5"/>
      <c r="L756" s="7"/>
      <c r="M756" s="7"/>
      <c r="O756" s="6"/>
      <c r="P756" s="6"/>
      <c r="T756" s="5"/>
      <c r="U756" s="5"/>
    </row>
    <row r="757" spans="2:21" x14ac:dyDescent="0.25">
      <c r="B757" s="90">
        <v>1696</v>
      </c>
      <c r="C757" s="91">
        <v>0.49424146950283232</v>
      </c>
      <c r="D757" s="92">
        <v>34</v>
      </c>
      <c r="E757" s="93">
        <v>7.9136690647482008E-2</v>
      </c>
      <c r="G757" s="5"/>
      <c r="H757" s="5"/>
      <c r="L757" s="7"/>
      <c r="M757" s="7"/>
      <c r="O757" s="6"/>
      <c r="P757" s="6"/>
      <c r="T757" s="5"/>
      <c r="U757" s="5"/>
    </row>
    <row r="758" spans="2:21" x14ac:dyDescent="0.25">
      <c r="B758" s="90">
        <v>1601</v>
      </c>
      <c r="C758" s="91">
        <v>0.52676733413758103</v>
      </c>
      <c r="D758" s="92">
        <v>34</v>
      </c>
      <c r="E758" s="93">
        <v>7.9136690647482008E-2</v>
      </c>
      <c r="G758" s="5"/>
      <c r="H758" s="5"/>
      <c r="L758" s="7"/>
      <c r="M758" s="7"/>
      <c r="O758" s="6"/>
      <c r="P758" s="6"/>
      <c r="T758" s="5"/>
      <c r="U758" s="5"/>
    </row>
    <row r="759" spans="2:21" x14ac:dyDescent="0.25">
      <c r="B759" s="90">
        <v>1634</v>
      </c>
      <c r="C759" s="91">
        <v>0.5395350100022045</v>
      </c>
      <c r="D759" s="92">
        <v>34</v>
      </c>
      <c r="E759" s="93">
        <v>8.6330935251798566E-2</v>
      </c>
      <c r="G759" s="5"/>
      <c r="H759" s="5"/>
      <c r="L759" s="7"/>
      <c r="M759" s="7"/>
      <c r="O759" s="6"/>
      <c r="P759" s="6"/>
      <c r="T759" s="5"/>
      <c r="U759" s="5"/>
    </row>
    <row r="760" spans="2:21" x14ac:dyDescent="0.25">
      <c r="B760" s="90">
        <v>1666</v>
      </c>
      <c r="C760" s="91">
        <v>0.55106457263676434</v>
      </c>
      <c r="D760" s="92">
        <v>34</v>
      </c>
      <c r="E760" s="93">
        <v>8.6330935251798566E-2</v>
      </c>
      <c r="G760" s="5"/>
      <c r="H760" s="5"/>
      <c r="L760" s="7"/>
      <c r="M760" s="7"/>
      <c r="O760" s="6"/>
      <c r="P760" s="6"/>
      <c r="T760" s="5"/>
      <c r="U760" s="5"/>
    </row>
    <row r="761" spans="2:21" x14ac:dyDescent="0.25">
      <c r="B761" s="90">
        <v>1697</v>
      </c>
      <c r="C761" s="91">
        <v>0.58388922843854707</v>
      </c>
      <c r="D761" s="92">
        <v>34</v>
      </c>
      <c r="E761" s="93">
        <v>8.6330935251798566E-2</v>
      </c>
      <c r="G761" s="5"/>
      <c r="H761" s="5"/>
      <c r="L761" s="7"/>
      <c r="M761" s="7"/>
      <c r="O761" s="6"/>
      <c r="P761" s="6"/>
      <c r="T761" s="5"/>
      <c r="U761" s="5"/>
    </row>
    <row r="762" spans="2:21" x14ac:dyDescent="0.25">
      <c r="B762" s="90">
        <v>200</v>
      </c>
      <c r="C762" s="91">
        <v>0.13203495873644044</v>
      </c>
      <c r="D762" s="92">
        <v>35</v>
      </c>
      <c r="E762" s="93">
        <v>0.38129496402877699</v>
      </c>
      <c r="G762" s="5"/>
      <c r="H762" s="5"/>
      <c r="L762" s="7"/>
      <c r="M762" s="7"/>
      <c r="O762" s="6"/>
      <c r="P762" s="6"/>
      <c r="T762" s="5"/>
      <c r="U762" s="5"/>
    </row>
    <row r="763" spans="2:21" x14ac:dyDescent="0.25">
      <c r="B763" s="90">
        <v>1205</v>
      </c>
      <c r="C763" s="91">
        <v>0.14095674770650568</v>
      </c>
      <c r="D763" s="92">
        <v>35</v>
      </c>
      <c r="E763" s="93">
        <v>0.38129496402877699</v>
      </c>
      <c r="G763" s="5"/>
      <c r="H763" s="5"/>
      <c r="L763" s="7"/>
      <c r="M763" s="7"/>
      <c r="O763" s="6"/>
      <c r="P763" s="6"/>
      <c r="T763" s="5"/>
      <c r="U763" s="5"/>
    </row>
    <row r="764" spans="2:21" x14ac:dyDescent="0.25">
      <c r="B764" s="90">
        <v>1368</v>
      </c>
      <c r="C764" s="91">
        <v>0.16393650290497808</v>
      </c>
      <c r="D764" s="92">
        <v>35</v>
      </c>
      <c r="E764" s="93">
        <v>0.30935251798561153</v>
      </c>
      <c r="G764" s="5"/>
      <c r="H764" s="5"/>
      <c r="L764" s="7"/>
      <c r="M764" s="7"/>
      <c r="O764" s="6"/>
      <c r="P764" s="6"/>
      <c r="T764" s="5"/>
      <c r="U764" s="5"/>
    </row>
    <row r="765" spans="2:21" x14ac:dyDescent="0.25">
      <c r="B765" s="90">
        <v>1407</v>
      </c>
      <c r="C765" s="91">
        <v>0.17913441103012384</v>
      </c>
      <c r="D765" s="92">
        <v>35</v>
      </c>
      <c r="E765" s="93">
        <v>0.30935251798561153</v>
      </c>
      <c r="G765" s="5"/>
      <c r="H765" s="5"/>
      <c r="L765" s="7"/>
      <c r="M765" s="7"/>
      <c r="O765" s="6"/>
      <c r="P765" s="6"/>
      <c r="T765" s="5"/>
      <c r="U765" s="5"/>
    </row>
    <row r="766" spans="2:21" x14ac:dyDescent="0.25">
      <c r="B766" s="90">
        <v>1328</v>
      </c>
      <c r="C766" s="91">
        <v>0.18790386338702159</v>
      </c>
      <c r="D766" s="92">
        <v>35</v>
      </c>
      <c r="E766" s="93">
        <v>0.30935251798561153</v>
      </c>
      <c r="G766" s="5"/>
      <c r="H766" s="5"/>
      <c r="L766" s="7"/>
      <c r="M766" s="7"/>
      <c r="O766" s="6"/>
      <c r="P766" s="6"/>
      <c r="T766" s="5"/>
      <c r="U766" s="5"/>
    </row>
    <row r="767" spans="2:21" x14ac:dyDescent="0.25">
      <c r="B767" s="90">
        <v>1248</v>
      </c>
      <c r="C767" s="91">
        <v>0.20484116418228271</v>
      </c>
      <c r="D767" s="92">
        <v>35</v>
      </c>
      <c r="E767" s="93">
        <v>0.47482014388489208</v>
      </c>
      <c r="G767" s="5"/>
      <c r="H767" s="5"/>
      <c r="L767" s="7"/>
      <c r="M767" s="7"/>
      <c r="O767" s="6"/>
      <c r="P767" s="6"/>
      <c r="T767" s="5"/>
      <c r="U767" s="5"/>
    </row>
    <row r="768" spans="2:21" x14ac:dyDescent="0.25">
      <c r="B768" s="90">
        <v>1367</v>
      </c>
      <c r="C768" s="91">
        <v>0.21087245286600054</v>
      </c>
      <c r="D768" s="92">
        <v>35</v>
      </c>
      <c r="E768" s="93">
        <v>0.36690647482014388</v>
      </c>
      <c r="G768" s="5"/>
      <c r="H768" s="5"/>
      <c r="L768" s="7"/>
      <c r="M768" s="7"/>
      <c r="O768" s="6"/>
      <c r="P768" s="6"/>
      <c r="T768" s="5"/>
      <c r="U768" s="5"/>
    </row>
    <row r="769" spans="2:21" x14ac:dyDescent="0.25">
      <c r="B769" s="90">
        <v>1406</v>
      </c>
      <c r="C769" s="91">
        <v>0.21567929404942021</v>
      </c>
      <c r="D769" s="92">
        <v>35</v>
      </c>
      <c r="E769" s="93">
        <v>0.36690647482014388</v>
      </c>
      <c r="G769" s="5"/>
      <c r="H769" s="5"/>
      <c r="L769" s="7"/>
      <c r="M769" s="7"/>
      <c r="O769" s="6"/>
      <c r="P769" s="6"/>
      <c r="T769" s="5"/>
      <c r="U769" s="5"/>
    </row>
    <row r="770" spans="2:21" x14ac:dyDescent="0.25">
      <c r="B770" s="90">
        <v>1327</v>
      </c>
      <c r="C770" s="91">
        <v>0.2357485272681028</v>
      </c>
      <c r="D770" s="92">
        <v>35</v>
      </c>
      <c r="E770" s="93">
        <v>0.28776978417266186</v>
      </c>
      <c r="G770" s="5"/>
      <c r="H770" s="5"/>
      <c r="L770" s="7"/>
      <c r="M770" s="7"/>
      <c r="O770" s="6"/>
      <c r="P770" s="6"/>
      <c r="T770" s="5"/>
      <c r="U770" s="5"/>
    </row>
    <row r="771" spans="2:21" x14ac:dyDescent="0.25">
      <c r="B771" s="90">
        <v>978</v>
      </c>
      <c r="C771" s="91">
        <v>2.5777593027518919E-2</v>
      </c>
      <c r="D771" s="92">
        <v>36</v>
      </c>
      <c r="E771" s="93">
        <v>0.42446043165467628</v>
      </c>
      <c r="G771" s="5"/>
      <c r="H771" s="5"/>
      <c r="L771" s="7"/>
      <c r="M771" s="7"/>
      <c r="O771" s="6"/>
      <c r="P771" s="6"/>
      <c r="T771" s="5"/>
      <c r="U771" s="5"/>
    </row>
    <row r="772" spans="2:21" x14ac:dyDescent="0.25">
      <c r="B772" s="90">
        <v>929</v>
      </c>
      <c r="C772" s="91">
        <v>3.444968533845516E-2</v>
      </c>
      <c r="D772" s="92">
        <v>36</v>
      </c>
      <c r="E772" s="93">
        <v>0.42446043165467628</v>
      </c>
      <c r="G772" s="5"/>
      <c r="H772" s="5"/>
      <c r="L772" s="7"/>
      <c r="M772" s="7"/>
      <c r="O772" s="6"/>
      <c r="P772" s="6"/>
      <c r="T772" s="5"/>
      <c r="U772" s="5"/>
    </row>
    <row r="773" spans="2:21" x14ac:dyDescent="0.25">
      <c r="B773" s="90">
        <v>1027</v>
      </c>
      <c r="C773" s="91">
        <v>3.9016758792073114E-2</v>
      </c>
      <c r="D773" s="92">
        <v>36</v>
      </c>
      <c r="E773" s="93">
        <v>0.38848920863309355</v>
      </c>
      <c r="G773" s="5"/>
      <c r="H773" s="5"/>
      <c r="L773" s="7"/>
      <c r="M773" s="7"/>
      <c r="O773" s="6"/>
      <c r="P773" s="6"/>
      <c r="T773" s="5"/>
      <c r="U773" s="5"/>
    </row>
    <row r="774" spans="2:21" x14ac:dyDescent="0.25">
      <c r="B774" s="90">
        <v>770</v>
      </c>
      <c r="C774" s="91">
        <v>0.14857272132348431</v>
      </c>
      <c r="D774" s="92">
        <v>36</v>
      </c>
      <c r="E774" s="93">
        <v>0.43884892086330934</v>
      </c>
      <c r="G774" s="5"/>
      <c r="H774" s="5"/>
      <c r="L774" s="7"/>
      <c r="M774" s="7"/>
      <c r="O774" s="6"/>
      <c r="P774" s="6"/>
      <c r="T774" s="5"/>
      <c r="U774" s="5"/>
    </row>
    <row r="775" spans="2:21" x14ac:dyDescent="0.25">
      <c r="B775" s="90">
        <v>717</v>
      </c>
      <c r="C775" s="91">
        <v>0.15017103694911893</v>
      </c>
      <c r="D775" s="92">
        <v>36</v>
      </c>
      <c r="E775" s="93">
        <v>0.43884892086330934</v>
      </c>
      <c r="G775" s="5"/>
      <c r="H775" s="5"/>
      <c r="L775" s="7"/>
      <c r="M775" s="7"/>
      <c r="O775" s="6"/>
      <c r="P775" s="6"/>
      <c r="T775" s="5"/>
      <c r="U775" s="5"/>
    </row>
    <row r="776" spans="2:21" x14ac:dyDescent="0.25">
      <c r="B776" s="90">
        <v>663</v>
      </c>
      <c r="C776" s="91">
        <v>0.15563536321701144</v>
      </c>
      <c r="D776" s="92">
        <v>36</v>
      </c>
      <c r="E776" s="93">
        <v>0.41007194244604317</v>
      </c>
      <c r="G776" s="5"/>
      <c r="H776" s="5"/>
      <c r="L776" s="7"/>
      <c r="M776" s="7"/>
      <c r="O776" s="6"/>
      <c r="P776" s="6"/>
      <c r="T776" s="5"/>
      <c r="U776" s="5"/>
    </row>
    <row r="777" spans="2:21" x14ac:dyDescent="0.25">
      <c r="B777" s="90">
        <v>1202</v>
      </c>
      <c r="C777" s="91">
        <v>0.18970615516677547</v>
      </c>
      <c r="D777" s="92">
        <v>36</v>
      </c>
      <c r="E777" s="93">
        <v>0.30935251798561153</v>
      </c>
      <c r="G777" s="5"/>
      <c r="H777" s="5"/>
      <c r="L777" s="7"/>
      <c r="M777" s="7"/>
      <c r="O777" s="6"/>
      <c r="P777" s="6"/>
      <c r="T777" s="5"/>
      <c r="U777" s="5"/>
    </row>
    <row r="778" spans="2:21" x14ac:dyDescent="0.25">
      <c r="B778" s="90">
        <v>925</v>
      </c>
      <c r="C778" s="91">
        <v>0.21458715723291077</v>
      </c>
      <c r="D778" s="92">
        <v>36</v>
      </c>
      <c r="E778" s="93">
        <v>0.51079136690647486</v>
      </c>
      <c r="G778" s="5"/>
      <c r="H778" s="5"/>
      <c r="L778" s="7"/>
      <c r="M778" s="7"/>
      <c r="O778" s="6"/>
      <c r="P778" s="6"/>
      <c r="T778" s="5"/>
      <c r="U778" s="5"/>
    </row>
    <row r="779" spans="2:21" x14ac:dyDescent="0.25">
      <c r="B779" s="90">
        <v>974</v>
      </c>
      <c r="C779" s="91">
        <v>0.22945616325218499</v>
      </c>
      <c r="D779" s="92">
        <v>36</v>
      </c>
      <c r="E779" s="93">
        <v>0.51079136690647486</v>
      </c>
      <c r="G779" s="5"/>
      <c r="H779" s="5"/>
      <c r="L779" s="7"/>
      <c r="M779" s="7"/>
      <c r="O779" s="6"/>
      <c r="P779" s="6"/>
      <c r="T779" s="5"/>
      <c r="U779" s="5"/>
    </row>
    <row r="780" spans="2:21" x14ac:dyDescent="0.25">
      <c r="B780" s="90">
        <v>875</v>
      </c>
      <c r="C780" s="91">
        <v>0.23023164043605049</v>
      </c>
      <c r="D780" s="92">
        <v>36</v>
      </c>
      <c r="E780" s="93">
        <v>0.51079136690647486</v>
      </c>
      <c r="G780" s="5"/>
      <c r="H780" s="5"/>
      <c r="L780" s="7"/>
      <c r="M780" s="7"/>
      <c r="O780" s="6"/>
      <c r="P780" s="6"/>
      <c r="T780" s="5"/>
      <c r="U780" s="5"/>
    </row>
    <row r="781" spans="2:21" x14ac:dyDescent="0.25">
      <c r="B781" s="90">
        <v>1116</v>
      </c>
      <c r="C781" s="91">
        <v>0.30394778319705296</v>
      </c>
      <c r="D781" s="92">
        <v>36</v>
      </c>
      <c r="E781" s="93">
        <v>0.48201438848920863</v>
      </c>
      <c r="G781" s="5"/>
      <c r="H781" s="5"/>
      <c r="L781" s="7"/>
      <c r="M781" s="7"/>
      <c r="O781" s="6"/>
      <c r="P781" s="6"/>
      <c r="T781" s="5"/>
      <c r="U781" s="5"/>
    </row>
    <row r="782" spans="2:21" x14ac:dyDescent="0.25">
      <c r="B782" s="90">
        <v>821</v>
      </c>
      <c r="C782" s="91">
        <v>0.30764200753927828</v>
      </c>
      <c r="D782" s="92">
        <v>36</v>
      </c>
      <c r="E782" s="93">
        <v>0.34532374100719426</v>
      </c>
      <c r="G782" s="5"/>
      <c r="H782" s="5"/>
      <c r="L782" s="7"/>
      <c r="M782" s="7"/>
      <c r="O782" s="6"/>
      <c r="P782" s="6"/>
      <c r="T782" s="5"/>
      <c r="U782" s="5"/>
    </row>
    <row r="783" spans="2:21" x14ac:dyDescent="0.25">
      <c r="B783" s="90">
        <v>1070</v>
      </c>
      <c r="C783" s="91">
        <v>0.30863694740147407</v>
      </c>
      <c r="D783" s="92">
        <v>36</v>
      </c>
      <c r="E783" s="93">
        <v>0.52517985611510787</v>
      </c>
      <c r="G783" s="5"/>
      <c r="H783" s="5"/>
      <c r="L783" s="7"/>
      <c r="M783" s="7"/>
      <c r="O783" s="6"/>
      <c r="P783" s="6"/>
      <c r="T783" s="5"/>
      <c r="U783" s="5"/>
    </row>
    <row r="784" spans="2:21" x14ac:dyDescent="0.25">
      <c r="B784" s="90">
        <v>769</v>
      </c>
      <c r="C784" s="91">
        <v>0.32645522849115716</v>
      </c>
      <c r="D784" s="92">
        <v>36</v>
      </c>
      <c r="E784" s="93">
        <v>0.33812949640287771</v>
      </c>
      <c r="G784" s="5"/>
      <c r="H784" s="5"/>
      <c r="L784" s="7"/>
      <c r="M784" s="7"/>
      <c r="O784" s="6"/>
      <c r="P784" s="6"/>
      <c r="T784" s="5"/>
      <c r="U784" s="5"/>
    </row>
    <row r="785" spans="2:21" x14ac:dyDescent="0.25">
      <c r="B785" s="90">
        <v>716</v>
      </c>
      <c r="C785" s="91">
        <v>0.33005825476085038</v>
      </c>
      <c r="D785" s="92">
        <v>36</v>
      </c>
      <c r="E785" s="93">
        <v>0.33812949640287771</v>
      </c>
      <c r="G785" s="5"/>
      <c r="H785" s="5"/>
      <c r="L785" s="7"/>
      <c r="M785" s="7"/>
      <c r="O785" s="6"/>
      <c r="P785" s="6"/>
      <c r="T785" s="5"/>
      <c r="U785" s="5"/>
    </row>
    <row r="786" spans="2:21" x14ac:dyDescent="0.25">
      <c r="B786" s="90">
        <v>662</v>
      </c>
      <c r="C786" s="91">
        <v>0.33836033841595414</v>
      </c>
      <c r="D786" s="92">
        <v>36</v>
      </c>
      <c r="E786" s="93">
        <v>0.33812949640287771</v>
      </c>
      <c r="G786" s="5"/>
      <c r="H786" s="5"/>
      <c r="L786" s="7"/>
      <c r="M786" s="7"/>
      <c r="O786" s="6"/>
      <c r="P786" s="6"/>
      <c r="T786" s="5"/>
      <c r="U786" s="5"/>
    </row>
    <row r="787" spans="2:21" x14ac:dyDescent="0.25">
      <c r="B787" s="90">
        <v>1568</v>
      </c>
      <c r="C787" s="91">
        <v>0.47619330572761642</v>
      </c>
      <c r="D787" s="92">
        <v>36</v>
      </c>
      <c r="E787" s="93">
        <v>7.1942446043165464E-2</v>
      </c>
      <c r="G787" s="5"/>
      <c r="H787" s="5"/>
      <c r="L787" s="7"/>
      <c r="M787" s="7"/>
      <c r="O787" s="6"/>
      <c r="P787" s="6"/>
      <c r="T787" s="5"/>
      <c r="U787" s="5"/>
    </row>
    <row r="788" spans="2:21" x14ac:dyDescent="0.25">
      <c r="B788" s="90">
        <v>1509</v>
      </c>
      <c r="C788" s="91">
        <v>0.6117692735360134</v>
      </c>
      <c r="D788" s="92">
        <v>36</v>
      </c>
      <c r="E788" s="93">
        <v>0.1366906474820144</v>
      </c>
      <c r="G788" s="5"/>
      <c r="H788" s="5"/>
      <c r="L788" s="7"/>
      <c r="M788" s="7"/>
      <c r="O788" s="6"/>
      <c r="P788" s="6"/>
      <c r="T788" s="5"/>
      <c r="U788" s="5"/>
    </row>
    <row r="789" spans="2:21" x14ac:dyDescent="0.25">
      <c r="B789" s="90">
        <v>1374</v>
      </c>
      <c r="C789" s="91">
        <v>5.4264620467969871E-2</v>
      </c>
      <c r="D789" s="92">
        <v>37</v>
      </c>
      <c r="E789" s="93">
        <v>0.29496402877697842</v>
      </c>
      <c r="G789" s="5"/>
      <c r="H789" s="5"/>
      <c r="L789" s="7"/>
      <c r="M789" s="7"/>
      <c r="O789" s="6"/>
      <c r="P789" s="6"/>
      <c r="T789" s="5"/>
      <c r="U789" s="5"/>
    </row>
    <row r="790" spans="2:21" x14ac:dyDescent="0.25">
      <c r="B790" s="90">
        <v>1413</v>
      </c>
      <c r="C790" s="91">
        <v>6.6703219995610241E-2</v>
      </c>
      <c r="D790" s="92">
        <v>37</v>
      </c>
      <c r="E790" s="93">
        <v>0.29496402877697842</v>
      </c>
      <c r="G790" s="5"/>
      <c r="H790" s="5"/>
      <c r="L790" s="7"/>
      <c r="M790" s="7"/>
      <c r="O790" s="6"/>
      <c r="P790" s="6"/>
      <c r="T790" s="5"/>
      <c r="U790" s="5"/>
    </row>
    <row r="791" spans="2:21" x14ac:dyDescent="0.25">
      <c r="B791" s="90">
        <v>1334</v>
      </c>
      <c r="C791" s="91">
        <v>8.8316194001870074E-2</v>
      </c>
      <c r="D791" s="92">
        <v>37</v>
      </c>
      <c r="E791" s="93">
        <v>0.29496402877697842</v>
      </c>
      <c r="G791" s="5"/>
      <c r="H791" s="5"/>
      <c r="L791" s="7"/>
      <c r="M791" s="7"/>
      <c r="O791" s="6"/>
      <c r="P791" s="6"/>
      <c r="T791" s="5"/>
      <c r="U791" s="5"/>
    </row>
    <row r="792" spans="2:21" x14ac:dyDescent="0.25">
      <c r="B792" s="90">
        <v>1602</v>
      </c>
      <c r="C792" s="91">
        <v>0.52731934484327458</v>
      </c>
      <c r="D792" s="92">
        <v>37</v>
      </c>
      <c r="E792" s="93">
        <v>7.1942446043165464E-2</v>
      </c>
      <c r="G792" s="5"/>
      <c r="H792" s="5"/>
      <c r="L792" s="7"/>
      <c r="M792" s="7"/>
      <c r="O792" s="6"/>
      <c r="P792" s="6"/>
      <c r="T792" s="5"/>
      <c r="U792" s="5"/>
    </row>
    <row r="793" spans="2:21" x14ac:dyDescent="0.25">
      <c r="B793" s="90">
        <v>1635</v>
      </c>
      <c r="C793" s="91">
        <v>0.55028342268221764</v>
      </c>
      <c r="D793" s="92">
        <v>37</v>
      </c>
      <c r="E793" s="93">
        <v>7.9136690647482008E-2</v>
      </c>
      <c r="G793" s="5"/>
      <c r="H793" s="5"/>
      <c r="L793" s="7"/>
      <c r="M793" s="7"/>
      <c r="O793" s="6"/>
      <c r="P793" s="6"/>
      <c r="T793" s="5"/>
      <c r="U793" s="5"/>
    </row>
    <row r="794" spans="2:21" x14ac:dyDescent="0.25">
      <c r="B794" s="90">
        <v>1667</v>
      </c>
      <c r="C794" s="91">
        <v>0.56674593088097025</v>
      </c>
      <c r="D794" s="92">
        <v>37</v>
      </c>
      <c r="E794" s="93">
        <v>7.9136690647482008E-2</v>
      </c>
      <c r="G794" s="5"/>
      <c r="H794" s="5"/>
      <c r="L794" s="7"/>
      <c r="M794" s="7"/>
      <c r="O794" s="6"/>
      <c r="P794" s="6"/>
      <c r="T794" s="5"/>
      <c r="U794" s="5"/>
    </row>
    <row r="795" spans="2:21" x14ac:dyDescent="0.25">
      <c r="B795" s="90">
        <v>1668</v>
      </c>
      <c r="C795" s="91">
        <v>0.58574416214509017</v>
      </c>
      <c r="D795" s="92">
        <v>37</v>
      </c>
      <c r="E795" s="93">
        <v>7.1942446043165464E-2</v>
      </c>
      <c r="G795" s="5"/>
      <c r="H795" s="5"/>
      <c r="L795" s="7"/>
      <c r="M795" s="7"/>
      <c r="O795" s="6"/>
      <c r="P795" s="6"/>
      <c r="T795" s="5"/>
      <c r="U795" s="5"/>
    </row>
    <row r="796" spans="2:21" x14ac:dyDescent="0.25">
      <c r="B796" s="90">
        <v>1698</v>
      </c>
      <c r="C796" s="91">
        <v>0.60891145370716115</v>
      </c>
      <c r="D796" s="92">
        <v>37</v>
      </c>
      <c r="E796" s="93">
        <v>7.1942446043165464E-2</v>
      </c>
      <c r="G796" s="5"/>
      <c r="H796" s="5"/>
      <c r="L796" s="7"/>
      <c r="M796" s="7"/>
      <c r="O796" s="6"/>
      <c r="P796" s="6"/>
      <c r="T796" s="5"/>
      <c r="U796" s="5"/>
    </row>
    <row r="797" spans="2:21" x14ac:dyDescent="0.25">
      <c r="B797" s="90">
        <v>1699</v>
      </c>
      <c r="C797" s="91">
        <v>0.63081708431455441</v>
      </c>
      <c r="D797" s="92">
        <v>37</v>
      </c>
      <c r="E797" s="93">
        <v>7.1942446043165464E-2</v>
      </c>
      <c r="G797" s="5"/>
      <c r="H797" s="5"/>
      <c r="L797" s="7"/>
      <c r="M797" s="7"/>
      <c r="O797" s="6"/>
      <c r="P797" s="6"/>
      <c r="T797" s="5"/>
      <c r="U797" s="5"/>
    </row>
    <row r="798" spans="2:21" x14ac:dyDescent="0.25">
      <c r="B798" s="90">
        <v>1700</v>
      </c>
      <c r="C798" s="91">
        <v>0.64937649721825963</v>
      </c>
      <c r="D798" s="92">
        <v>37</v>
      </c>
      <c r="E798" s="93">
        <v>7.1942446043165464E-2</v>
      </c>
      <c r="G798" s="5"/>
      <c r="H798" s="5"/>
      <c r="L798" s="7"/>
      <c r="M798" s="7"/>
      <c r="O798" s="6"/>
      <c r="P798" s="6"/>
      <c r="T798" s="5"/>
      <c r="U798" s="5"/>
    </row>
    <row r="799" spans="2:21" x14ac:dyDescent="0.25">
      <c r="B799" s="90">
        <v>608</v>
      </c>
      <c r="C799" s="91">
        <v>0.16161875035001694</v>
      </c>
      <c r="D799" s="92">
        <v>38</v>
      </c>
      <c r="E799" s="93">
        <v>0.41007194244604317</v>
      </c>
      <c r="G799" s="5"/>
      <c r="H799" s="5"/>
      <c r="L799" s="7"/>
      <c r="M799" s="7"/>
      <c r="O799" s="6"/>
      <c r="P799" s="6"/>
      <c r="T799" s="5"/>
      <c r="U799" s="5"/>
    </row>
    <row r="800" spans="2:21" x14ac:dyDescent="0.25">
      <c r="B800" s="90">
        <v>607</v>
      </c>
      <c r="C800" s="91">
        <v>0.34653668481817923</v>
      </c>
      <c r="D800" s="92">
        <v>38</v>
      </c>
      <c r="E800" s="93">
        <v>0.33812949640287771</v>
      </c>
      <c r="G800" s="5"/>
      <c r="H800" s="5"/>
      <c r="L800" s="7"/>
      <c r="M800" s="7"/>
      <c r="O800" s="6"/>
      <c r="P800" s="6"/>
      <c r="T800" s="5"/>
      <c r="U800" s="5"/>
    </row>
    <row r="801" spans="2:21" x14ac:dyDescent="0.25">
      <c r="B801" s="90">
        <v>384</v>
      </c>
      <c r="C801" s="91">
        <v>4.9133857656242563E-2</v>
      </c>
      <c r="D801" s="92">
        <v>39</v>
      </c>
      <c r="E801" s="93">
        <v>0.37410071942446044</v>
      </c>
      <c r="G801" s="5"/>
      <c r="H801" s="5"/>
      <c r="L801" s="7"/>
      <c r="M801" s="7"/>
      <c r="O801" s="6"/>
      <c r="P801" s="6"/>
      <c r="T801" s="5"/>
      <c r="U801" s="5"/>
    </row>
    <row r="802" spans="2:21" x14ac:dyDescent="0.25">
      <c r="B802" s="90">
        <v>443</v>
      </c>
      <c r="C802" s="91">
        <v>5.0842391644186136E-2</v>
      </c>
      <c r="D802" s="92">
        <v>39</v>
      </c>
      <c r="E802" s="93">
        <v>0.37410071942446044</v>
      </c>
      <c r="G802" s="5"/>
      <c r="H802" s="5"/>
      <c r="L802" s="7"/>
      <c r="M802" s="7"/>
      <c r="O802" s="6"/>
      <c r="P802" s="6"/>
      <c r="T802" s="5"/>
      <c r="U802" s="5"/>
    </row>
    <row r="803" spans="2:21" x14ac:dyDescent="0.25">
      <c r="B803" s="90">
        <v>552</v>
      </c>
      <c r="C803" s="91">
        <v>0.15762271020849605</v>
      </c>
      <c r="D803" s="92">
        <v>39</v>
      </c>
      <c r="E803" s="93">
        <v>0.41007194244604317</v>
      </c>
      <c r="G803" s="5"/>
      <c r="H803" s="5"/>
      <c r="L803" s="7"/>
      <c r="M803" s="7"/>
      <c r="O803" s="6"/>
      <c r="P803" s="6"/>
      <c r="T803" s="5"/>
      <c r="U803" s="5"/>
    </row>
    <row r="804" spans="2:21" x14ac:dyDescent="0.25">
      <c r="B804" s="90">
        <v>495</v>
      </c>
      <c r="C804" s="91">
        <v>0.16283190703176809</v>
      </c>
      <c r="D804" s="92">
        <v>39</v>
      </c>
      <c r="E804" s="93">
        <v>0.41007194244604317</v>
      </c>
      <c r="G804" s="5"/>
      <c r="H804" s="5"/>
      <c r="L804" s="7"/>
      <c r="M804" s="7"/>
      <c r="O804" s="6"/>
      <c r="P804" s="6"/>
      <c r="T804" s="5"/>
      <c r="U804" s="5"/>
    </row>
    <row r="805" spans="2:21" x14ac:dyDescent="0.25">
      <c r="B805" s="90">
        <v>380</v>
      </c>
      <c r="C805" s="91">
        <v>0.22957588096408732</v>
      </c>
      <c r="D805" s="92">
        <v>39</v>
      </c>
      <c r="E805" s="93">
        <v>0.46762589928057552</v>
      </c>
      <c r="G805" s="5"/>
      <c r="H805" s="5"/>
      <c r="L805" s="7"/>
      <c r="M805" s="7"/>
      <c r="O805" s="6"/>
      <c r="P805" s="6"/>
      <c r="T805" s="5"/>
      <c r="U805" s="5"/>
    </row>
    <row r="806" spans="2:21" x14ac:dyDescent="0.25">
      <c r="B806" s="90">
        <v>555</v>
      </c>
      <c r="C806" s="91">
        <v>0.26848340306677421</v>
      </c>
      <c r="D806" s="92">
        <v>39</v>
      </c>
      <c r="E806" s="93">
        <v>0.51079136690647486</v>
      </c>
      <c r="G806" s="5"/>
      <c r="H806" s="5"/>
      <c r="L806" s="7"/>
      <c r="M806" s="7"/>
      <c r="O806" s="6"/>
      <c r="P806" s="6"/>
      <c r="T806" s="5"/>
      <c r="U806" s="5"/>
    </row>
    <row r="807" spans="2:21" x14ac:dyDescent="0.25">
      <c r="B807" s="90">
        <v>498</v>
      </c>
      <c r="C807" s="91">
        <v>0.27021028086588839</v>
      </c>
      <c r="D807" s="92">
        <v>39</v>
      </c>
      <c r="E807" s="93">
        <v>0.51079136690647486</v>
      </c>
      <c r="G807" s="5"/>
      <c r="H807" s="5"/>
      <c r="L807" s="7"/>
      <c r="M807" s="7"/>
      <c r="O807" s="6"/>
      <c r="P807" s="6"/>
      <c r="T807" s="5"/>
      <c r="U807" s="5"/>
    </row>
    <row r="808" spans="2:21" x14ac:dyDescent="0.25">
      <c r="B808" s="90">
        <v>440</v>
      </c>
      <c r="C808" s="91">
        <v>0.27756425742457069</v>
      </c>
      <c r="D808" s="92">
        <v>39</v>
      </c>
      <c r="E808" s="93">
        <v>0.46762589928057552</v>
      </c>
      <c r="G808" s="5"/>
      <c r="H808" s="5"/>
      <c r="L808" s="7"/>
      <c r="M808" s="7"/>
      <c r="O808" s="6"/>
      <c r="P808" s="6"/>
      <c r="T808" s="5"/>
      <c r="U808" s="5"/>
    </row>
    <row r="809" spans="2:21" x14ac:dyDescent="0.25">
      <c r="B809" s="90">
        <v>382</v>
      </c>
      <c r="C809" s="91">
        <v>0.32660625415750699</v>
      </c>
      <c r="D809" s="92">
        <v>39</v>
      </c>
      <c r="E809" s="93">
        <v>0.48920863309352519</v>
      </c>
      <c r="G809" s="5"/>
      <c r="H809" s="5"/>
      <c r="L809" s="7"/>
      <c r="M809" s="7"/>
      <c r="O809" s="6"/>
      <c r="P809" s="6"/>
      <c r="T809" s="5"/>
      <c r="U809" s="5"/>
    </row>
    <row r="810" spans="2:21" x14ac:dyDescent="0.25">
      <c r="B810" s="90">
        <v>551</v>
      </c>
      <c r="C810" s="91">
        <v>0.34503270166324951</v>
      </c>
      <c r="D810" s="92">
        <v>39</v>
      </c>
      <c r="E810" s="93">
        <v>0.33812949640287771</v>
      </c>
      <c r="G810" s="5"/>
      <c r="H810" s="5"/>
      <c r="L810" s="7"/>
      <c r="M810" s="7"/>
      <c r="O810" s="6"/>
      <c r="P810" s="6"/>
      <c r="T810" s="5"/>
      <c r="U810" s="5"/>
    </row>
    <row r="811" spans="2:21" x14ac:dyDescent="0.25">
      <c r="B811" s="90">
        <v>494</v>
      </c>
      <c r="C811" s="91">
        <v>0.35419411198323936</v>
      </c>
      <c r="D811" s="92">
        <v>39</v>
      </c>
      <c r="E811" s="93">
        <v>0.33812949640287771</v>
      </c>
      <c r="G811" s="5"/>
      <c r="H811" s="5"/>
      <c r="L811" s="7"/>
      <c r="M811" s="7"/>
      <c r="O811" s="6"/>
      <c r="P811" s="6"/>
      <c r="T811" s="5"/>
      <c r="U811" s="5"/>
    </row>
    <row r="812" spans="2:21" x14ac:dyDescent="0.25">
      <c r="B812" s="90">
        <v>436</v>
      </c>
      <c r="C812" s="91">
        <v>0.36192118696925801</v>
      </c>
      <c r="D812" s="92">
        <v>39</v>
      </c>
      <c r="E812" s="93">
        <v>0.33812949640287771</v>
      </c>
      <c r="G812" s="5"/>
      <c r="H812" s="5"/>
      <c r="L812" s="7"/>
      <c r="M812" s="7"/>
      <c r="O812" s="6"/>
      <c r="P812" s="6"/>
      <c r="T812" s="5"/>
      <c r="U812" s="5"/>
    </row>
    <row r="813" spans="2:21" x14ac:dyDescent="0.25">
      <c r="B813" s="90">
        <v>377</v>
      </c>
      <c r="C813" s="91">
        <v>0.36273053915460263</v>
      </c>
      <c r="D813" s="92">
        <v>39</v>
      </c>
      <c r="E813" s="93">
        <v>0.33812949640287771</v>
      </c>
      <c r="G813" s="5"/>
      <c r="H813" s="5"/>
      <c r="L813" s="7"/>
      <c r="M813" s="7"/>
      <c r="O813" s="6"/>
      <c r="P813" s="6"/>
      <c r="T813" s="5"/>
      <c r="U813" s="5"/>
    </row>
    <row r="814" spans="2:21" x14ac:dyDescent="0.25">
      <c r="B814" s="90">
        <v>1352</v>
      </c>
      <c r="C814" s="91">
        <v>3.1224176329467723E-2</v>
      </c>
      <c r="D814" s="92">
        <v>40</v>
      </c>
      <c r="E814" s="93">
        <v>0.46043165467625902</v>
      </c>
      <c r="G814" s="5"/>
      <c r="H814" s="5"/>
      <c r="L814" s="7"/>
      <c r="M814" s="7"/>
      <c r="O814" s="6"/>
      <c r="P814" s="6"/>
      <c r="T814" s="5"/>
      <c r="U814" s="5"/>
    </row>
    <row r="815" spans="2:21" x14ac:dyDescent="0.25">
      <c r="B815" s="90">
        <v>1468</v>
      </c>
      <c r="C815" s="91">
        <v>6.9498564841517729E-2</v>
      </c>
      <c r="D815" s="92">
        <v>40</v>
      </c>
      <c r="E815" s="93">
        <v>0.38129496402877699</v>
      </c>
      <c r="G815" s="5"/>
      <c r="H815" s="5"/>
      <c r="L815" s="7"/>
      <c r="M815" s="7"/>
      <c r="O815" s="6"/>
      <c r="P815" s="6"/>
      <c r="T815" s="5"/>
      <c r="U815" s="5"/>
    </row>
    <row r="816" spans="2:21" x14ac:dyDescent="0.25">
      <c r="B816" s="90">
        <v>1311</v>
      </c>
      <c r="C816" s="91">
        <v>7.6782839574847328E-2</v>
      </c>
      <c r="D816" s="92">
        <v>40</v>
      </c>
      <c r="E816" s="93">
        <v>0.5467625899280576</v>
      </c>
      <c r="G816" s="5"/>
      <c r="H816" s="5"/>
      <c r="L816" s="7"/>
      <c r="M816" s="7"/>
      <c r="O816" s="6"/>
      <c r="P816" s="6"/>
      <c r="T816" s="5"/>
      <c r="U816" s="5"/>
    </row>
    <row r="817" spans="2:21" x14ac:dyDescent="0.25">
      <c r="B817" s="90">
        <v>1391</v>
      </c>
      <c r="C817" s="91">
        <v>7.8654154412590493E-2</v>
      </c>
      <c r="D817" s="92">
        <v>40</v>
      </c>
      <c r="E817" s="93">
        <v>0.61870503597122306</v>
      </c>
      <c r="G817" s="5"/>
      <c r="H817" s="5"/>
      <c r="L817" s="7"/>
      <c r="M817" s="7"/>
      <c r="O817" s="6"/>
      <c r="P817" s="6"/>
      <c r="T817" s="5"/>
      <c r="U817" s="5"/>
    </row>
    <row r="818" spans="2:21" x14ac:dyDescent="0.25">
      <c r="B818" s="90">
        <v>1392</v>
      </c>
      <c r="C818" s="91">
        <v>9.918313433421333E-2</v>
      </c>
      <c r="D818" s="92">
        <v>40</v>
      </c>
      <c r="E818" s="93">
        <v>0.65467625899280579</v>
      </c>
      <c r="G818" s="5"/>
      <c r="H818" s="5"/>
      <c r="L818" s="7"/>
      <c r="M818" s="7"/>
      <c r="O818" s="6"/>
      <c r="P818" s="6"/>
      <c r="T818" s="5"/>
      <c r="U818" s="5"/>
    </row>
    <row r="819" spans="2:21" x14ac:dyDescent="0.25">
      <c r="B819" s="90">
        <v>1474</v>
      </c>
      <c r="C819" s="91">
        <v>0.10327098004826285</v>
      </c>
      <c r="D819" s="92">
        <v>40</v>
      </c>
      <c r="E819" s="93">
        <v>0.48920863309352519</v>
      </c>
      <c r="G819" s="5"/>
      <c r="H819" s="5"/>
      <c r="L819" s="7"/>
      <c r="M819" s="7"/>
      <c r="O819" s="6"/>
      <c r="P819" s="6"/>
      <c r="T819" s="5"/>
      <c r="U819" s="5"/>
    </row>
    <row r="820" spans="2:21" x14ac:dyDescent="0.25">
      <c r="B820" s="90">
        <v>1430</v>
      </c>
      <c r="C820" s="91">
        <v>0.13922975570058838</v>
      </c>
      <c r="D820" s="92">
        <v>40</v>
      </c>
      <c r="E820" s="93">
        <v>0.65467625899280579</v>
      </c>
      <c r="G820" s="5"/>
      <c r="H820" s="5"/>
      <c r="L820" s="7"/>
      <c r="M820" s="7"/>
      <c r="O820" s="6"/>
      <c r="P820" s="6"/>
      <c r="T820" s="5"/>
      <c r="U820" s="5"/>
    </row>
    <row r="821" spans="2:21" x14ac:dyDescent="0.25">
      <c r="B821" s="90">
        <v>1515</v>
      </c>
      <c r="C821" s="91">
        <v>0.14074408191687504</v>
      </c>
      <c r="D821" s="92">
        <v>40</v>
      </c>
      <c r="E821" s="93">
        <v>0.49640287769784175</v>
      </c>
      <c r="G821" s="5"/>
      <c r="H821" s="5"/>
      <c r="L821" s="7"/>
      <c r="M821" s="7"/>
      <c r="O821" s="6"/>
      <c r="P821" s="6"/>
      <c r="T821" s="5"/>
      <c r="U821" s="5"/>
    </row>
    <row r="822" spans="2:21" x14ac:dyDescent="0.25">
      <c r="B822" s="90">
        <v>1511</v>
      </c>
      <c r="C822" s="91">
        <v>0.14527007362893529</v>
      </c>
      <c r="D822" s="92">
        <v>40</v>
      </c>
      <c r="E822" s="93">
        <v>0.5467625899280576</v>
      </c>
      <c r="G822" s="5"/>
      <c r="H822" s="5"/>
      <c r="L822" s="7"/>
      <c r="M822" s="7"/>
      <c r="O822" s="6"/>
      <c r="P822" s="6"/>
      <c r="T822" s="5"/>
      <c r="U822" s="5"/>
    </row>
    <row r="823" spans="2:21" x14ac:dyDescent="0.25">
      <c r="B823" s="90">
        <v>1513</v>
      </c>
      <c r="C823" s="91">
        <v>0.15896742574695244</v>
      </c>
      <c r="D823" s="92">
        <v>40</v>
      </c>
      <c r="E823" s="93">
        <v>0.5539568345323741</v>
      </c>
      <c r="G823" s="5"/>
      <c r="H823" s="5"/>
      <c r="L823" s="7"/>
      <c r="M823" s="7"/>
      <c r="O823" s="6"/>
      <c r="P823" s="6"/>
      <c r="T823" s="5"/>
      <c r="U823" s="5"/>
    </row>
    <row r="824" spans="2:21" x14ac:dyDescent="0.25">
      <c r="B824" s="90">
        <v>1512</v>
      </c>
      <c r="C824" s="91">
        <v>0.17639577426052111</v>
      </c>
      <c r="D824" s="92">
        <v>40</v>
      </c>
      <c r="E824" s="93">
        <v>0.5467625899280576</v>
      </c>
      <c r="G824" s="5"/>
      <c r="H824" s="5"/>
      <c r="L824" s="7"/>
      <c r="M824" s="7"/>
      <c r="O824" s="6"/>
      <c r="P824" s="6"/>
      <c r="T824" s="5"/>
      <c r="U824" s="5"/>
    </row>
    <row r="825" spans="2:21" x14ac:dyDescent="0.25">
      <c r="B825" s="90">
        <v>1473</v>
      </c>
      <c r="C825" s="91">
        <v>0.19233616280568822</v>
      </c>
      <c r="D825" s="92">
        <v>40</v>
      </c>
      <c r="E825" s="93">
        <v>0.5539568345323741</v>
      </c>
      <c r="G825" s="5"/>
      <c r="H825" s="5"/>
      <c r="L825" s="7"/>
      <c r="M825" s="7"/>
      <c r="O825" s="6"/>
      <c r="P825" s="6"/>
      <c r="T825" s="5"/>
      <c r="U825" s="5"/>
    </row>
    <row r="826" spans="2:21" x14ac:dyDescent="0.25">
      <c r="B826" s="90">
        <v>1479</v>
      </c>
      <c r="C826" s="91">
        <v>0.22214439405155428</v>
      </c>
      <c r="D826" s="92">
        <v>40</v>
      </c>
      <c r="E826" s="93">
        <v>0.5539568345323741</v>
      </c>
      <c r="G826" s="5"/>
      <c r="H826" s="5"/>
      <c r="L826" s="7"/>
      <c r="M826" s="7"/>
      <c r="O826" s="6"/>
      <c r="P826" s="6"/>
      <c r="T826" s="5"/>
      <c r="U826" s="5"/>
    </row>
    <row r="827" spans="2:21" x14ac:dyDescent="0.25">
      <c r="B827" s="90">
        <v>1510</v>
      </c>
      <c r="C827" s="91">
        <v>0.23395652554354218</v>
      </c>
      <c r="D827" s="92">
        <v>40</v>
      </c>
      <c r="E827" s="93">
        <v>0.37410071942446044</v>
      </c>
      <c r="G827" s="5"/>
      <c r="H827" s="5"/>
      <c r="L827" s="7"/>
      <c r="M827" s="7"/>
      <c r="O827" s="6"/>
      <c r="P827" s="6"/>
      <c r="T827" s="5"/>
      <c r="U827" s="5"/>
    </row>
    <row r="828" spans="2:21" x14ac:dyDescent="0.25">
      <c r="B828" s="90">
        <v>1547</v>
      </c>
      <c r="C828" s="91">
        <v>0.24181838602405625</v>
      </c>
      <c r="D828" s="92">
        <v>40</v>
      </c>
      <c r="E828" s="93">
        <v>0.35971223021582732</v>
      </c>
      <c r="G828" s="5"/>
      <c r="H828" s="5"/>
      <c r="L828" s="7"/>
      <c r="M828" s="7"/>
      <c r="O828" s="6"/>
      <c r="P828" s="6"/>
      <c r="T828" s="5"/>
      <c r="U828" s="5"/>
    </row>
    <row r="829" spans="2:21" x14ac:dyDescent="0.25">
      <c r="B829" s="90">
        <v>1582</v>
      </c>
      <c r="C829" s="91">
        <v>0.26332852534916917</v>
      </c>
      <c r="D829" s="92">
        <v>40</v>
      </c>
      <c r="E829" s="93">
        <v>0.35971223021582732</v>
      </c>
      <c r="G829" s="5"/>
      <c r="H829" s="5"/>
      <c r="L829" s="7"/>
      <c r="M829" s="7"/>
      <c r="O829" s="6"/>
      <c r="P829" s="6"/>
      <c r="T829" s="5"/>
      <c r="U829" s="5"/>
    </row>
    <row r="830" spans="2:21" x14ac:dyDescent="0.25">
      <c r="B830" s="90">
        <v>1549</v>
      </c>
      <c r="C830" s="91">
        <v>0.26772696805006113</v>
      </c>
      <c r="D830" s="92">
        <v>40</v>
      </c>
      <c r="E830" s="93">
        <v>0.36690647482014388</v>
      </c>
      <c r="G830" s="5"/>
      <c r="H830" s="5"/>
      <c r="L830" s="7"/>
      <c r="M830" s="7"/>
      <c r="O830" s="6"/>
      <c r="P830" s="6"/>
      <c r="T830" s="5"/>
      <c r="U830" s="5"/>
    </row>
    <row r="831" spans="2:21" x14ac:dyDescent="0.25">
      <c r="B831" s="90">
        <v>1548</v>
      </c>
      <c r="C831" s="91">
        <v>0.27734658525323186</v>
      </c>
      <c r="D831" s="92">
        <v>40</v>
      </c>
      <c r="E831" s="93">
        <v>0.2805755395683453</v>
      </c>
      <c r="G831" s="5"/>
      <c r="H831" s="5"/>
      <c r="L831" s="7"/>
      <c r="M831" s="7"/>
      <c r="O831" s="6"/>
      <c r="P831" s="6"/>
      <c r="T831" s="5"/>
      <c r="U831" s="5"/>
    </row>
    <row r="832" spans="2:21" x14ac:dyDescent="0.25">
      <c r="B832" s="90">
        <v>1649</v>
      </c>
      <c r="C832" s="91">
        <v>0.27788561540969459</v>
      </c>
      <c r="D832" s="92">
        <v>40</v>
      </c>
      <c r="E832" s="93">
        <v>0.29496402877697842</v>
      </c>
      <c r="G832" s="5"/>
      <c r="H832" s="5"/>
      <c r="L832" s="7"/>
      <c r="M832" s="7"/>
      <c r="O832" s="6"/>
      <c r="P832" s="6"/>
      <c r="T832" s="5"/>
      <c r="U832" s="5"/>
    </row>
    <row r="833" spans="2:21" x14ac:dyDescent="0.25">
      <c r="B833" s="90">
        <v>1584</v>
      </c>
      <c r="C833" s="91">
        <v>0.28416462082863481</v>
      </c>
      <c r="D833" s="92">
        <v>40</v>
      </c>
      <c r="E833" s="93">
        <v>0.28776978417266186</v>
      </c>
      <c r="G833" s="5"/>
      <c r="H833" s="5"/>
      <c r="L833" s="7"/>
      <c r="M833" s="7"/>
      <c r="O833" s="6"/>
      <c r="P833" s="6"/>
      <c r="T833" s="5"/>
      <c r="U833" s="5"/>
    </row>
    <row r="834" spans="2:21" x14ac:dyDescent="0.25">
      <c r="B834" s="90">
        <v>1550</v>
      </c>
      <c r="C834" s="91">
        <v>0.29199163065061517</v>
      </c>
      <c r="D834" s="92">
        <v>40</v>
      </c>
      <c r="E834" s="93">
        <v>0.28776978417266186</v>
      </c>
      <c r="G834" s="5"/>
      <c r="H834" s="5"/>
      <c r="L834" s="7"/>
      <c r="M834" s="7"/>
      <c r="O834" s="6"/>
      <c r="P834" s="6"/>
      <c r="T834" s="5"/>
      <c r="U834" s="5"/>
    </row>
    <row r="835" spans="2:21" x14ac:dyDescent="0.25">
      <c r="B835" s="90">
        <v>1583</v>
      </c>
      <c r="C835" s="91">
        <v>0.30558049461146464</v>
      </c>
      <c r="D835" s="92">
        <v>40</v>
      </c>
      <c r="E835" s="93">
        <v>0.2805755395683453</v>
      </c>
      <c r="G835" s="5"/>
      <c r="H835" s="5"/>
      <c r="L835" s="7"/>
      <c r="M835" s="7"/>
      <c r="O835" s="6"/>
      <c r="P835" s="6"/>
      <c r="T835" s="5"/>
      <c r="U835" s="5"/>
    </row>
    <row r="836" spans="2:21" x14ac:dyDescent="0.25">
      <c r="B836" s="90">
        <v>1546</v>
      </c>
      <c r="C836" s="91">
        <v>0.32861801295273629</v>
      </c>
      <c r="D836" s="92">
        <v>40</v>
      </c>
      <c r="E836" s="93">
        <v>0.26618705035971224</v>
      </c>
      <c r="G836" s="5"/>
      <c r="H836" s="5"/>
      <c r="L836" s="7"/>
      <c r="M836" s="7"/>
      <c r="O836" s="6"/>
      <c r="P836" s="6"/>
      <c r="T836" s="5"/>
      <c r="U836" s="5"/>
    </row>
    <row r="837" spans="2:21" x14ac:dyDescent="0.25">
      <c r="B837" s="90">
        <v>1353</v>
      </c>
      <c r="C837" s="91">
        <v>0.33531884218019337</v>
      </c>
      <c r="D837" s="92">
        <v>40</v>
      </c>
      <c r="E837" s="93">
        <v>0.56834532374100721</v>
      </c>
      <c r="G837" s="5"/>
      <c r="H837" s="5"/>
      <c r="L837" s="7"/>
      <c r="M837" s="7"/>
      <c r="O837" s="6"/>
      <c r="P837" s="6"/>
      <c r="T837" s="5"/>
      <c r="U837" s="5"/>
    </row>
    <row r="838" spans="2:21" x14ac:dyDescent="0.25">
      <c r="B838" s="90">
        <v>1581</v>
      </c>
      <c r="C838" s="91">
        <v>0.36696745241847828</v>
      </c>
      <c r="D838" s="92">
        <v>40</v>
      </c>
      <c r="E838" s="93">
        <v>0.18705035971223022</v>
      </c>
      <c r="G838" s="5"/>
      <c r="H838" s="5"/>
      <c r="L838" s="7"/>
      <c r="M838" s="7"/>
      <c r="O838" s="6"/>
      <c r="P838" s="6"/>
      <c r="T838" s="5"/>
      <c r="U838" s="5"/>
    </row>
    <row r="839" spans="2:21" x14ac:dyDescent="0.25">
      <c r="B839" s="90">
        <v>1616</v>
      </c>
      <c r="C839" s="91">
        <v>0.37406797342826559</v>
      </c>
      <c r="D839" s="92">
        <v>40</v>
      </c>
      <c r="E839" s="93">
        <v>0.23741007194244604</v>
      </c>
      <c r="G839" s="5"/>
      <c r="H839" s="5"/>
      <c r="L839" s="7"/>
      <c r="M839" s="7"/>
      <c r="O839" s="6"/>
      <c r="P839" s="6"/>
      <c r="T839" s="5"/>
      <c r="U839" s="5"/>
    </row>
    <row r="840" spans="2:21" x14ac:dyDescent="0.25">
      <c r="B840" s="90">
        <v>1617</v>
      </c>
      <c r="C840" s="91">
        <v>0.4357247424530829</v>
      </c>
      <c r="D840" s="92">
        <v>40</v>
      </c>
      <c r="E840" s="93">
        <v>0.1223021582733813</v>
      </c>
      <c r="G840" s="5"/>
      <c r="H840" s="5"/>
      <c r="L840" s="7"/>
      <c r="M840" s="7"/>
      <c r="O840" s="6"/>
      <c r="P840" s="6"/>
      <c r="T840" s="5"/>
      <c r="U840" s="5"/>
    </row>
    <row r="841" spans="2:21" x14ac:dyDescent="0.25">
      <c r="B841" s="90">
        <v>1615</v>
      </c>
      <c r="C841" s="91">
        <v>0.46672390188301405</v>
      </c>
      <c r="D841" s="92">
        <v>40</v>
      </c>
      <c r="E841" s="93">
        <v>0.1223021582733813</v>
      </c>
      <c r="G841" s="5"/>
      <c r="H841" s="5"/>
      <c r="L841" s="7"/>
      <c r="M841" s="7"/>
      <c r="O841" s="6"/>
      <c r="P841" s="6"/>
      <c r="T841" s="5"/>
      <c r="U841" s="5"/>
    </row>
    <row r="842" spans="2:21" x14ac:dyDescent="0.25">
      <c r="B842" s="90">
        <v>1393</v>
      </c>
      <c r="C842" s="91">
        <v>0.57355566710230432</v>
      </c>
      <c r="D842" s="92">
        <v>40</v>
      </c>
      <c r="E842" s="93">
        <v>0.16546762589928057</v>
      </c>
      <c r="G842" s="5"/>
      <c r="H842" s="5"/>
      <c r="L842" s="7"/>
      <c r="M842" s="7"/>
      <c r="O842" s="6"/>
      <c r="P842" s="6"/>
      <c r="T842" s="5"/>
      <c r="U842" s="5"/>
    </row>
    <row r="843" spans="2:21" x14ac:dyDescent="0.25">
      <c r="B843" s="90">
        <v>1351</v>
      </c>
      <c r="C843" s="91">
        <v>3.0599238301714404E-2</v>
      </c>
      <c r="D843" s="92">
        <v>42</v>
      </c>
      <c r="E843" s="93">
        <v>0.46043165467625902</v>
      </c>
      <c r="G843" s="5"/>
      <c r="H843" s="5"/>
      <c r="L843" s="7"/>
      <c r="M843" s="7"/>
      <c r="O843" s="6"/>
      <c r="P843" s="6"/>
      <c r="T843" s="5"/>
      <c r="U843" s="5"/>
    </row>
    <row r="844" spans="2:21" x14ac:dyDescent="0.25">
      <c r="B844" s="90">
        <v>1310</v>
      </c>
      <c r="C844" s="91">
        <v>5.8277448283200251E-2</v>
      </c>
      <c r="D844" s="92">
        <v>42</v>
      </c>
      <c r="E844" s="93">
        <v>0.53956834532374098</v>
      </c>
      <c r="G844" s="5"/>
      <c r="H844" s="5"/>
      <c r="L844" s="7"/>
      <c r="M844" s="7"/>
      <c r="O844" s="6"/>
      <c r="P844" s="6"/>
      <c r="T844" s="5"/>
      <c r="U844" s="5"/>
    </row>
    <row r="845" spans="2:21" x14ac:dyDescent="0.25">
      <c r="B845" s="90">
        <v>947</v>
      </c>
      <c r="C845" s="91">
        <v>8.6600589391228722E-2</v>
      </c>
      <c r="D845" s="92">
        <v>42</v>
      </c>
      <c r="E845" s="93">
        <v>0.64748201438848918</v>
      </c>
      <c r="G845" s="5"/>
      <c r="H845" s="5"/>
      <c r="L845" s="7"/>
      <c r="M845" s="7"/>
      <c r="O845" s="6"/>
      <c r="P845" s="6"/>
      <c r="T845" s="5"/>
      <c r="U845" s="5"/>
    </row>
    <row r="846" spans="2:21" x14ac:dyDescent="0.25">
      <c r="B846" s="90">
        <v>995</v>
      </c>
      <c r="C846" s="91">
        <v>9.0328372230619403E-2</v>
      </c>
      <c r="D846" s="92">
        <v>42</v>
      </c>
      <c r="E846" s="93">
        <v>0.64748201438848918</v>
      </c>
      <c r="G846" s="5"/>
      <c r="H846" s="5"/>
      <c r="L846" s="7"/>
      <c r="M846" s="7"/>
      <c r="O846" s="6"/>
      <c r="P846" s="6"/>
      <c r="T846" s="5"/>
      <c r="U846" s="5"/>
    </row>
    <row r="847" spans="2:21" x14ac:dyDescent="0.25">
      <c r="B847" s="90">
        <v>1269</v>
      </c>
      <c r="C847" s="91">
        <v>9.1881637456493692E-2</v>
      </c>
      <c r="D847" s="92">
        <v>42</v>
      </c>
      <c r="E847" s="93">
        <v>0.65467625899280579</v>
      </c>
      <c r="G847" s="5"/>
      <c r="H847" s="5"/>
      <c r="L847" s="7"/>
      <c r="M847" s="7"/>
      <c r="O847" s="6"/>
      <c r="P847" s="6"/>
      <c r="T847" s="5"/>
      <c r="U847" s="5"/>
    </row>
    <row r="848" spans="2:21" x14ac:dyDescent="0.25">
      <c r="B848" s="90">
        <v>897</v>
      </c>
      <c r="C848" s="91">
        <v>0.10307197917039979</v>
      </c>
      <c r="D848" s="92">
        <v>42</v>
      </c>
      <c r="E848" s="93">
        <v>0.64748201438848918</v>
      </c>
      <c r="G848" s="5"/>
      <c r="H848" s="5"/>
      <c r="L848" s="7"/>
      <c r="M848" s="7"/>
      <c r="O848" s="6"/>
      <c r="P848" s="6"/>
      <c r="T848" s="5"/>
      <c r="U848" s="5"/>
    </row>
    <row r="849" spans="2:21" x14ac:dyDescent="0.25">
      <c r="B849" s="90">
        <v>996</v>
      </c>
      <c r="C849" s="91">
        <v>0.1047212975729046</v>
      </c>
      <c r="D849" s="92">
        <v>42</v>
      </c>
      <c r="E849" s="93">
        <v>0.64748201438848918</v>
      </c>
      <c r="G849" s="5"/>
      <c r="H849" s="5"/>
      <c r="L849" s="7"/>
      <c r="M849" s="7"/>
      <c r="O849" s="6"/>
      <c r="P849" s="6"/>
      <c r="T849" s="5"/>
      <c r="U849" s="5"/>
    </row>
    <row r="850" spans="2:21" x14ac:dyDescent="0.25">
      <c r="B850" s="90">
        <v>281</v>
      </c>
      <c r="C850" s="91">
        <v>0.120362475053581</v>
      </c>
      <c r="D850" s="92">
        <v>42</v>
      </c>
      <c r="E850" s="93">
        <v>0.60431654676258995</v>
      </c>
      <c r="G850" s="5"/>
      <c r="H850" s="5"/>
      <c r="L850" s="7"/>
      <c r="M850" s="7"/>
      <c r="O850" s="6"/>
      <c r="P850" s="6"/>
      <c r="T850" s="5"/>
      <c r="U850" s="5"/>
    </row>
    <row r="851" spans="2:21" x14ac:dyDescent="0.25">
      <c r="B851" s="90">
        <v>342</v>
      </c>
      <c r="C851" s="91">
        <v>0.12859870224511694</v>
      </c>
      <c r="D851" s="92">
        <v>42</v>
      </c>
      <c r="E851" s="93">
        <v>0.60431654676258995</v>
      </c>
      <c r="G851" s="5"/>
      <c r="H851" s="5"/>
      <c r="L851" s="7"/>
      <c r="M851" s="7"/>
      <c r="O851" s="6"/>
      <c r="P851" s="6"/>
      <c r="T851" s="5"/>
      <c r="U851" s="5"/>
    </row>
    <row r="852" spans="2:21" x14ac:dyDescent="0.25">
      <c r="B852" s="90">
        <v>999</v>
      </c>
      <c r="C852" s="91">
        <v>0.19609125243355607</v>
      </c>
      <c r="D852" s="92">
        <v>42</v>
      </c>
      <c r="E852" s="93">
        <v>0.53237410071942448</v>
      </c>
      <c r="G852" s="5"/>
      <c r="H852" s="5"/>
      <c r="L852" s="7"/>
      <c r="M852" s="7"/>
      <c r="O852" s="6"/>
      <c r="P852" s="6"/>
      <c r="T852" s="5"/>
      <c r="U852" s="5"/>
    </row>
    <row r="853" spans="2:21" x14ac:dyDescent="0.25">
      <c r="B853" s="90">
        <v>1440</v>
      </c>
      <c r="C853" s="91">
        <v>0.1974941011681981</v>
      </c>
      <c r="D853" s="92">
        <v>42</v>
      </c>
      <c r="E853" s="93">
        <v>0.5539568345323741</v>
      </c>
      <c r="G853" s="5"/>
      <c r="H853" s="5"/>
      <c r="L853" s="7"/>
      <c r="M853" s="7"/>
      <c r="O853" s="6"/>
      <c r="P853" s="6"/>
      <c r="T853" s="5"/>
      <c r="U853" s="5"/>
    </row>
    <row r="854" spans="2:21" x14ac:dyDescent="0.25">
      <c r="B854" s="90">
        <v>948</v>
      </c>
      <c r="C854" s="91">
        <v>0.21235911063505841</v>
      </c>
      <c r="D854" s="92">
        <v>42</v>
      </c>
      <c r="E854" s="93">
        <v>0.5539568345323741</v>
      </c>
      <c r="G854" s="5"/>
      <c r="H854" s="5"/>
      <c r="L854" s="7"/>
      <c r="M854" s="7"/>
      <c r="O854" s="6"/>
      <c r="P854" s="6"/>
      <c r="T854" s="5"/>
      <c r="U854" s="5"/>
    </row>
    <row r="855" spans="2:21" x14ac:dyDescent="0.25">
      <c r="B855" s="90">
        <v>1442</v>
      </c>
      <c r="C855" s="91">
        <v>0.21783395967043817</v>
      </c>
      <c r="D855" s="92">
        <v>42</v>
      </c>
      <c r="E855" s="93">
        <v>0.5539568345323741</v>
      </c>
      <c r="G855" s="5"/>
      <c r="H855" s="5"/>
      <c r="L855" s="7"/>
      <c r="M855" s="7"/>
      <c r="O855" s="6"/>
      <c r="P855" s="6"/>
      <c r="T855" s="5"/>
      <c r="U855" s="5"/>
    </row>
    <row r="856" spans="2:21" x14ac:dyDescent="0.25">
      <c r="B856" s="90">
        <v>1441</v>
      </c>
      <c r="C856" s="91">
        <v>0.21846446438411604</v>
      </c>
      <c r="D856" s="92">
        <v>42</v>
      </c>
      <c r="E856" s="93">
        <v>0.5539568345323741</v>
      </c>
      <c r="G856" s="5"/>
      <c r="H856" s="5"/>
      <c r="L856" s="7"/>
      <c r="M856" s="7"/>
      <c r="O856" s="6"/>
      <c r="P856" s="6"/>
      <c r="T856" s="5"/>
      <c r="U856" s="5"/>
    </row>
    <row r="857" spans="2:21" x14ac:dyDescent="0.25">
      <c r="B857" s="90">
        <v>282</v>
      </c>
      <c r="C857" s="91">
        <v>0.23274568060269907</v>
      </c>
      <c r="D857" s="92">
        <v>42</v>
      </c>
      <c r="E857" s="93">
        <v>0.57553956834532372</v>
      </c>
      <c r="G857" s="5"/>
      <c r="H857" s="5"/>
      <c r="L857" s="7"/>
      <c r="M857" s="7"/>
      <c r="O857" s="6"/>
      <c r="P857" s="6"/>
      <c r="T857" s="5"/>
      <c r="U857" s="5"/>
    </row>
    <row r="858" spans="2:21" x14ac:dyDescent="0.25">
      <c r="B858" s="90">
        <v>1324</v>
      </c>
      <c r="C858" s="91">
        <v>0.2428619456404375</v>
      </c>
      <c r="D858" s="92">
        <v>42</v>
      </c>
      <c r="E858" s="93">
        <v>0.5467625899280576</v>
      </c>
      <c r="G858" s="5"/>
      <c r="H858" s="5"/>
      <c r="L858" s="7"/>
      <c r="M858" s="7"/>
      <c r="O858" s="6"/>
      <c r="P858" s="6"/>
      <c r="T858" s="5"/>
      <c r="U858" s="5"/>
    </row>
    <row r="859" spans="2:21" x14ac:dyDescent="0.25">
      <c r="B859" s="90">
        <v>343</v>
      </c>
      <c r="C859" s="91">
        <v>0.24288599474884687</v>
      </c>
      <c r="D859" s="92">
        <v>42</v>
      </c>
      <c r="E859" s="93">
        <v>0.56834532374100721</v>
      </c>
      <c r="G859" s="5"/>
      <c r="H859" s="5"/>
      <c r="L859" s="7"/>
      <c r="M859" s="7"/>
      <c r="O859" s="6"/>
      <c r="P859" s="6"/>
      <c r="T859" s="5"/>
      <c r="U859" s="5"/>
    </row>
    <row r="860" spans="2:21" x14ac:dyDescent="0.25">
      <c r="B860" s="90">
        <v>1325</v>
      </c>
      <c r="C860" s="91">
        <v>0.24734896780428506</v>
      </c>
      <c r="D860" s="92">
        <v>42</v>
      </c>
      <c r="E860" s="93">
        <v>0.53956834532374098</v>
      </c>
      <c r="G860" s="5"/>
      <c r="H860" s="5"/>
      <c r="L860" s="7"/>
      <c r="M860" s="7"/>
      <c r="O860" s="6"/>
      <c r="P860" s="6"/>
      <c r="T860" s="5"/>
      <c r="U860" s="5"/>
    </row>
    <row r="861" spans="2:21" x14ac:dyDescent="0.25">
      <c r="B861" s="90">
        <v>998</v>
      </c>
      <c r="C861" s="91">
        <v>0.25520626082281406</v>
      </c>
      <c r="D861" s="92">
        <v>42</v>
      </c>
      <c r="E861" s="93">
        <v>0.53237410071942448</v>
      </c>
      <c r="G861" s="5"/>
      <c r="H861" s="5"/>
      <c r="L861" s="7"/>
      <c r="M861" s="7"/>
      <c r="O861" s="6"/>
      <c r="P861" s="6"/>
      <c r="T861" s="5"/>
      <c r="U861" s="5"/>
    </row>
    <row r="862" spans="2:21" x14ac:dyDescent="0.25">
      <c r="B862" s="90">
        <v>997</v>
      </c>
      <c r="C862" s="91">
        <v>0.26485713084196916</v>
      </c>
      <c r="D862" s="92">
        <v>42</v>
      </c>
      <c r="E862" s="93">
        <v>0.53956834532374098</v>
      </c>
      <c r="G862" s="5"/>
      <c r="H862" s="5"/>
      <c r="L862" s="7"/>
      <c r="M862" s="7"/>
      <c r="O862" s="6"/>
      <c r="P862" s="6"/>
      <c r="T862" s="5"/>
      <c r="U862" s="5"/>
    </row>
    <row r="863" spans="2:21" x14ac:dyDescent="0.25">
      <c r="B863" s="90">
        <v>1401</v>
      </c>
      <c r="C863" s="91">
        <v>0.27359464989318583</v>
      </c>
      <c r="D863" s="92">
        <v>42</v>
      </c>
      <c r="E863" s="93">
        <v>0.37410071942446044</v>
      </c>
      <c r="G863" s="5"/>
      <c r="H863" s="5"/>
      <c r="L863" s="7"/>
      <c r="M863" s="7"/>
      <c r="O863" s="6"/>
      <c r="P863" s="6"/>
      <c r="T863" s="5"/>
      <c r="U863" s="5"/>
    </row>
    <row r="864" spans="2:21" x14ac:dyDescent="0.25">
      <c r="B864" s="90">
        <v>1402</v>
      </c>
      <c r="C864" s="91">
        <v>0.28410266385182015</v>
      </c>
      <c r="D864" s="92">
        <v>42</v>
      </c>
      <c r="E864" s="93">
        <v>0.37410071942446044</v>
      </c>
      <c r="G864" s="5"/>
      <c r="H864" s="5"/>
      <c r="L864" s="7"/>
      <c r="M864" s="7"/>
      <c r="O864" s="6"/>
      <c r="P864" s="6"/>
      <c r="T864" s="5"/>
      <c r="U864" s="5"/>
    </row>
    <row r="865" spans="2:21" x14ac:dyDescent="0.25">
      <c r="B865" s="90">
        <v>1403</v>
      </c>
      <c r="C865" s="91">
        <v>0.29012781884218286</v>
      </c>
      <c r="D865" s="92">
        <v>42</v>
      </c>
      <c r="E865" s="93">
        <v>0.37410071942446044</v>
      </c>
      <c r="G865" s="5"/>
      <c r="H865" s="5"/>
      <c r="L865" s="7"/>
      <c r="M865" s="7"/>
      <c r="O865" s="6"/>
      <c r="P865" s="6"/>
      <c r="T865" s="5"/>
      <c r="U865" s="5"/>
    </row>
    <row r="866" spans="2:21" x14ac:dyDescent="0.25">
      <c r="B866" s="90">
        <v>1355</v>
      </c>
      <c r="C866" s="91">
        <v>0.3006692106673392</v>
      </c>
      <c r="D866" s="92">
        <v>42</v>
      </c>
      <c r="E866" s="93">
        <v>0.46043165467625902</v>
      </c>
      <c r="G866" s="5"/>
      <c r="H866" s="5"/>
      <c r="L866" s="7"/>
      <c r="M866" s="7"/>
      <c r="O866" s="6"/>
      <c r="P866" s="6"/>
      <c r="T866" s="5"/>
      <c r="U866" s="5"/>
    </row>
    <row r="867" spans="2:21" x14ac:dyDescent="0.25">
      <c r="B867" s="90">
        <v>1323</v>
      </c>
      <c r="C867" s="91">
        <v>0.31611571930218252</v>
      </c>
      <c r="D867" s="92">
        <v>42</v>
      </c>
      <c r="E867" s="93">
        <v>0.37410071942446044</v>
      </c>
      <c r="G867" s="5"/>
      <c r="H867" s="5"/>
      <c r="L867" s="7"/>
      <c r="M867" s="7"/>
      <c r="O867" s="6"/>
      <c r="P867" s="6"/>
      <c r="T867" s="5"/>
      <c r="U867" s="5"/>
    </row>
    <row r="868" spans="2:21" x14ac:dyDescent="0.25">
      <c r="B868" s="90">
        <v>1354</v>
      </c>
      <c r="C868" s="91">
        <v>0.33567917194960195</v>
      </c>
      <c r="D868" s="92">
        <v>42</v>
      </c>
      <c r="E868" s="93">
        <v>0.56834532374100721</v>
      </c>
      <c r="G868" s="5"/>
      <c r="H868" s="5"/>
      <c r="L868" s="7"/>
      <c r="M868" s="7"/>
      <c r="O868" s="6"/>
      <c r="P868" s="6"/>
      <c r="T868" s="5"/>
      <c r="U868" s="5"/>
    </row>
    <row r="869" spans="2:21" x14ac:dyDescent="0.25">
      <c r="B869" s="90">
        <v>1320</v>
      </c>
      <c r="C869" s="91">
        <v>0.34027320793439864</v>
      </c>
      <c r="D869" s="92">
        <v>42</v>
      </c>
      <c r="E869" s="93">
        <v>0.2805755395683453</v>
      </c>
      <c r="G869" s="5"/>
      <c r="H869" s="5"/>
      <c r="L869" s="7"/>
      <c r="M869" s="7"/>
      <c r="O869" s="6"/>
      <c r="P869" s="6"/>
      <c r="T869" s="5"/>
      <c r="U869" s="5"/>
    </row>
    <row r="870" spans="2:21" x14ac:dyDescent="0.25">
      <c r="B870" s="90">
        <v>1322</v>
      </c>
      <c r="C870" s="91">
        <v>0.350342020169368</v>
      </c>
      <c r="D870" s="92">
        <v>42</v>
      </c>
      <c r="E870" s="93">
        <v>0.28776978417266186</v>
      </c>
      <c r="G870" s="5"/>
      <c r="H870" s="5"/>
      <c r="L870" s="7"/>
      <c r="M870" s="7"/>
      <c r="O870" s="6"/>
      <c r="P870" s="6"/>
      <c r="T870" s="5"/>
      <c r="U870" s="5"/>
    </row>
    <row r="871" spans="2:21" x14ac:dyDescent="0.25">
      <c r="B871" s="90">
        <v>1321</v>
      </c>
      <c r="C871" s="91">
        <v>0.35682432561644939</v>
      </c>
      <c r="D871" s="92">
        <v>42</v>
      </c>
      <c r="E871" s="93">
        <v>0.2805755395683453</v>
      </c>
      <c r="G871" s="5"/>
      <c r="H871" s="5"/>
      <c r="L871" s="7"/>
      <c r="M871" s="7"/>
      <c r="O871" s="6"/>
      <c r="P871" s="6"/>
      <c r="T871" s="5"/>
      <c r="U871" s="5"/>
    </row>
    <row r="872" spans="2:21" x14ac:dyDescent="0.25">
      <c r="B872" s="90">
        <v>1361</v>
      </c>
      <c r="C872" s="91">
        <v>0.36628638253521228</v>
      </c>
      <c r="D872" s="92">
        <v>42</v>
      </c>
      <c r="E872" s="93">
        <v>0.2733812949640288</v>
      </c>
      <c r="G872" s="5"/>
      <c r="H872" s="5"/>
      <c r="L872" s="7"/>
      <c r="M872" s="7"/>
      <c r="O872" s="6"/>
      <c r="P872" s="6"/>
      <c r="T872" s="5"/>
      <c r="U872" s="5"/>
    </row>
    <row r="873" spans="2:21" x14ac:dyDescent="0.25">
      <c r="B873" s="90">
        <v>1362</v>
      </c>
      <c r="C873" s="91">
        <v>0.37584067979364366</v>
      </c>
      <c r="D873" s="92">
        <v>42</v>
      </c>
      <c r="E873" s="93">
        <v>0.2805755395683453</v>
      </c>
      <c r="G873" s="5"/>
      <c r="H873" s="5"/>
      <c r="L873" s="7"/>
      <c r="M873" s="7"/>
      <c r="O873" s="6"/>
      <c r="P873" s="6"/>
      <c r="T873" s="5"/>
      <c r="U873" s="5"/>
    </row>
    <row r="874" spans="2:21" x14ac:dyDescent="0.25">
      <c r="B874" s="90">
        <v>1363</v>
      </c>
      <c r="C874" s="91">
        <v>0.3842771978181746</v>
      </c>
      <c r="D874" s="92">
        <v>42</v>
      </c>
      <c r="E874" s="93">
        <v>0.28776978417266186</v>
      </c>
      <c r="G874" s="5"/>
      <c r="H874" s="5"/>
      <c r="L874" s="7"/>
      <c r="M874" s="7"/>
      <c r="O874" s="6"/>
      <c r="P874" s="6"/>
      <c r="T874" s="5"/>
      <c r="U874" s="5"/>
    </row>
    <row r="875" spans="2:21" x14ac:dyDescent="0.25">
      <c r="B875" s="90">
        <v>1314</v>
      </c>
      <c r="C875" s="91">
        <v>0.42802054433138115</v>
      </c>
      <c r="D875" s="92">
        <v>42</v>
      </c>
      <c r="E875" s="93">
        <v>0.15827338129496402</v>
      </c>
      <c r="G875" s="5"/>
      <c r="H875" s="5"/>
      <c r="L875" s="7"/>
      <c r="M875" s="7"/>
      <c r="O875" s="6"/>
      <c r="P875" s="6"/>
      <c r="T875" s="5"/>
      <c r="U875" s="5"/>
    </row>
    <row r="876" spans="2:21" x14ac:dyDescent="0.25">
      <c r="B876" s="90">
        <v>1404</v>
      </c>
      <c r="C876" s="91">
        <v>0.43989183762095319</v>
      </c>
      <c r="D876" s="92">
        <v>42</v>
      </c>
      <c r="E876" s="93">
        <v>0.20863309352517986</v>
      </c>
      <c r="G876" s="5"/>
      <c r="H876" s="5"/>
      <c r="L876" s="7"/>
      <c r="M876" s="7"/>
      <c r="O876" s="6"/>
      <c r="P876" s="6"/>
      <c r="T876" s="5"/>
      <c r="U876" s="5"/>
    </row>
    <row r="877" spans="2:21" x14ac:dyDescent="0.25">
      <c r="B877" s="90">
        <v>1313</v>
      </c>
      <c r="C877" s="91">
        <v>0.46353186815367264</v>
      </c>
      <c r="D877" s="92">
        <v>42</v>
      </c>
      <c r="E877" s="93">
        <v>0.18705035971223022</v>
      </c>
      <c r="G877" s="5"/>
      <c r="H877" s="5"/>
      <c r="L877" s="7"/>
      <c r="M877" s="7"/>
      <c r="O877" s="6"/>
      <c r="P877" s="6"/>
      <c r="T877" s="5"/>
      <c r="U877" s="5"/>
    </row>
    <row r="878" spans="2:21" x14ac:dyDescent="0.25">
      <c r="B878" s="90">
        <v>1312</v>
      </c>
      <c r="C878" s="91">
        <v>0.46363232314432867</v>
      </c>
      <c r="D878" s="92">
        <v>42</v>
      </c>
      <c r="E878" s="93">
        <v>0.22302158273381295</v>
      </c>
      <c r="G878" s="5"/>
      <c r="H878" s="5"/>
      <c r="L878" s="7"/>
      <c r="M878" s="7"/>
      <c r="O878" s="6"/>
      <c r="P878" s="6"/>
      <c r="T878" s="5"/>
      <c r="U878" s="5"/>
    </row>
    <row r="879" spans="2:21" x14ac:dyDescent="0.25">
      <c r="B879" s="90">
        <v>1271</v>
      </c>
      <c r="C879" s="91">
        <v>0.4907240870740317</v>
      </c>
      <c r="D879" s="92">
        <v>42</v>
      </c>
      <c r="E879" s="93">
        <v>0.21582733812949639</v>
      </c>
      <c r="G879" s="5"/>
      <c r="H879" s="5"/>
      <c r="L879" s="7"/>
      <c r="M879" s="7"/>
      <c r="O879" s="6"/>
      <c r="P879" s="6"/>
      <c r="T879" s="5"/>
      <c r="U879" s="5"/>
    </row>
    <row r="880" spans="2:21" x14ac:dyDescent="0.25">
      <c r="B880" s="90">
        <v>1270</v>
      </c>
      <c r="C880" s="91">
        <v>0.49262024876802446</v>
      </c>
      <c r="D880" s="92">
        <v>42</v>
      </c>
      <c r="E880" s="93">
        <v>0.22302158273381295</v>
      </c>
      <c r="G880" s="5"/>
      <c r="H880" s="5"/>
      <c r="L880" s="7"/>
      <c r="M880" s="7"/>
      <c r="O880" s="6"/>
      <c r="P880" s="6"/>
      <c r="T880" s="5"/>
      <c r="U880" s="5"/>
    </row>
    <row r="881" spans="2:21" x14ac:dyDescent="0.25">
      <c r="B881" s="90">
        <v>1643</v>
      </c>
      <c r="C881" s="91">
        <v>0.69552130549120728</v>
      </c>
      <c r="D881" s="92">
        <v>43</v>
      </c>
      <c r="E881" s="93">
        <v>7.9136690647482008E-2</v>
      </c>
      <c r="G881" s="5"/>
      <c r="H881" s="5"/>
      <c r="L881" s="7"/>
      <c r="M881" s="7"/>
      <c r="O881" s="6"/>
      <c r="P881" s="6"/>
      <c r="T881" s="5"/>
      <c r="U881" s="5"/>
    </row>
    <row r="882" spans="2:21" x14ac:dyDescent="0.25">
      <c r="B882" s="90">
        <v>1470</v>
      </c>
      <c r="C882" s="91">
        <v>0.73538836079027003</v>
      </c>
      <c r="D882" s="92">
        <v>43</v>
      </c>
      <c r="E882" s="93">
        <v>0.14388489208633093</v>
      </c>
      <c r="G882" s="5"/>
      <c r="H882" s="5"/>
      <c r="L882" s="7"/>
      <c r="M882" s="7"/>
      <c r="O882" s="6"/>
      <c r="P882" s="6"/>
      <c r="T882" s="5"/>
      <c r="U882" s="5"/>
    </row>
    <row r="883" spans="2:21" x14ac:dyDescent="0.25">
      <c r="B883" s="90">
        <v>1429</v>
      </c>
      <c r="C883" s="91">
        <v>6.1353432206237235E-2</v>
      </c>
      <c r="D883" s="92">
        <v>44</v>
      </c>
      <c r="E883" s="93">
        <v>0.5467625899280576</v>
      </c>
      <c r="G883" s="5"/>
      <c r="H883" s="5"/>
      <c r="L883" s="7"/>
      <c r="M883" s="7"/>
      <c r="O883" s="6"/>
      <c r="P883" s="6"/>
      <c r="T883" s="5"/>
      <c r="U883" s="5"/>
    </row>
    <row r="884" spans="2:21" x14ac:dyDescent="0.25">
      <c r="B884" s="90">
        <v>1466</v>
      </c>
      <c r="C884" s="91">
        <v>6.769956948057565E-2</v>
      </c>
      <c r="D884" s="92">
        <v>44</v>
      </c>
      <c r="E884" s="93">
        <v>0.33093525179856115</v>
      </c>
      <c r="G884" s="5"/>
      <c r="H884" s="5"/>
      <c r="L884" s="7"/>
      <c r="M884" s="7"/>
      <c r="O884" s="6"/>
      <c r="P884" s="6"/>
      <c r="T884" s="5"/>
      <c r="U884" s="5"/>
    </row>
    <row r="885" spans="2:21" x14ac:dyDescent="0.25">
      <c r="B885" s="90">
        <v>1982</v>
      </c>
      <c r="C885" s="91">
        <v>6.8046403742011541E-2</v>
      </c>
      <c r="D885" s="92">
        <v>44</v>
      </c>
      <c r="E885" s="93">
        <v>0.28776978417266186</v>
      </c>
      <c r="G885" s="5"/>
      <c r="H885" s="5"/>
      <c r="L885" s="7"/>
      <c r="M885" s="7"/>
      <c r="O885" s="6"/>
      <c r="P885" s="6"/>
      <c r="T885" s="5"/>
      <c r="U885" s="5"/>
    </row>
    <row r="886" spans="2:21" x14ac:dyDescent="0.25">
      <c r="B886" s="90">
        <v>1467</v>
      </c>
      <c r="C886" s="91">
        <v>0.12029010053748446</v>
      </c>
      <c r="D886" s="92">
        <v>44</v>
      </c>
      <c r="E886" s="93">
        <v>0.30935251798561153</v>
      </c>
      <c r="G886" s="5"/>
      <c r="H886" s="5"/>
      <c r="L886" s="7"/>
      <c r="M886" s="7"/>
      <c r="O886" s="6"/>
      <c r="P886" s="6"/>
      <c r="T886" s="5"/>
      <c r="U886" s="5"/>
    </row>
    <row r="887" spans="2:21" x14ac:dyDescent="0.25">
      <c r="B887" s="90">
        <v>1503</v>
      </c>
      <c r="C887" s="91">
        <v>0.1708091825059822</v>
      </c>
      <c r="D887" s="92">
        <v>44</v>
      </c>
      <c r="E887" s="93">
        <v>0.23021582733812951</v>
      </c>
      <c r="G887" s="5"/>
      <c r="H887" s="5"/>
      <c r="L887" s="7"/>
      <c r="M887" s="7"/>
      <c r="O887" s="6"/>
      <c r="P887" s="6"/>
      <c r="T887" s="5"/>
      <c r="U887" s="5"/>
    </row>
    <row r="888" spans="2:21" x14ac:dyDescent="0.25">
      <c r="B888" s="90">
        <v>1504</v>
      </c>
      <c r="C888" s="91">
        <v>0.22064079204460352</v>
      </c>
      <c r="D888" s="92">
        <v>44</v>
      </c>
      <c r="E888" s="93">
        <v>0.16546762589928057</v>
      </c>
      <c r="G888" s="5"/>
      <c r="H888" s="5"/>
      <c r="L888" s="7"/>
      <c r="M888" s="7"/>
      <c r="O888" s="6"/>
      <c r="P888" s="6"/>
      <c r="T888" s="5"/>
      <c r="U888" s="5"/>
    </row>
    <row r="889" spans="2:21" x14ac:dyDescent="0.25">
      <c r="B889" s="90">
        <v>2043</v>
      </c>
      <c r="C889" s="91">
        <v>0.41942510142969069</v>
      </c>
      <c r="D889" s="92">
        <v>44</v>
      </c>
      <c r="E889" s="93">
        <v>0.15827338129496402</v>
      </c>
      <c r="G889" s="5"/>
      <c r="H889" s="5"/>
      <c r="L889" s="7"/>
      <c r="M889" s="7"/>
      <c r="O889" s="6"/>
      <c r="P889" s="6"/>
      <c r="T889" s="5"/>
      <c r="U889" s="5"/>
    </row>
    <row r="890" spans="2:21" x14ac:dyDescent="0.25">
      <c r="B890" s="90">
        <v>1611</v>
      </c>
      <c r="C890" s="91">
        <v>0.53766391759679111</v>
      </c>
      <c r="D890" s="92">
        <v>44</v>
      </c>
      <c r="E890" s="93">
        <v>8.6330935251798566E-2</v>
      </c>
      <c r="G890" s="5"/>
      <c r="H890" s="5"/>
      <c r="L890" s="7"/>
      <c r="M890" s="7"/>
      <c r="O890" s="6"/>
      <c r="P890" s="6"/>
      <c r="T890" s="5"/>
      <c r="U890" s="5"/>
    </row>
    <row r="891" spans="2:21" x14ac:dyDescent="0.25">
      <c r="B891" s="90">
        <v>1364</v>
      </c>
      <c r="C891" s="91">
        <v>0.57675507633144296</v>
      </c>
      <c r="D891" s="92">
        <v>45</v>
      </c>
      <c r="E891" s="93">
        <v>8.6330935251798566E-2</v>
      </c>
      <c r="G891" s="5"/>
      <c r="H891" s="5"/>
      <c r="L891" s="7"/>
      <c r="M891" s="7"/>
      <c r="O891" s="6"/>
      <c r="P891" s="6"/>
      <c r="T891" s="5"/>
      <c r="U891" s="5"/>
    </row>
    <row r="892" spans="2:21" x14ac:dyDescent="0.25">
      <c r="B892" s="90">
        <v>1365</v>
      </c>
      <c r="C892" s="91">
        <v>0.62446680811570643</v>
      </c>
      <c r="D892" s="92">
        <v>45</v>
      </c>
      <c r="E892" s="93">
        <v>8.6330935251798566E-2</v>
      </c>
      <c r="G892" s="5"/>
      <c r="H892" s="5"/>
      <c r="L892" s="7"/>
      <c r="M892" s="7"/>
      <c r="O892" s="6"/>
      <c r="P892" s="6"/>
      <c r="T892" s="5"/>
      <c r="U892" s="5"/>
    </row>
    <row r="893" spans="2:21" x14ac:dyDescent="0.25">
      <c r="B893" s="90">
        <v>1676</v>
      </c>
      <c r="C893" s="91">
        <v>0.81209070900045577</v>
      </c>
      <c r="D893" s="92">
        <v>45</v>
      </c>
      <c r="E893" s="93">
        <v>6.4748201438848921E-2</v>
      </c>
      <c r="G893" s="5"/>
      <c r="H893" s="5"/>
      <c r="L893" s="7"/>
      <c r="M893" s="7"/>
      <c r="O893" s="6"/>
      <c r="P893" s="6"/>
      <c r="T893" s="5"/>
      <c r="U893" s="5"/>
    </row>
    <row r="894" spans="2:21" x14ac:dyDescent="0.25">
      <c r="B894" s="90">
        <v>1309</v>
      </c>
      <c r="C894" s="91">
        <v>5.0764504112862263E-2</v>
      </c>
      <c r="D894" s="92">
        <v>46</v>
      </c>
      <c r="E894" s="93">
        <v>0.46762589928057552</v>
      </c>
      <c r="G894" s="5"/>
      <c r="H894" s="5"/>
      <c r="L894" s="7"/>
      <c r="M894" s="7"/>
      <c r="O894" s="6"/>
      <c r="P894" s="6"/>
      <c r="T894" s="5"/>
      <c r="U894" s="5"/>
    </row>
    <row r="895" spans="2:21" x14ac:dyDescent="0.25">
      <c r="B895" s="90">
        <v>1350</v>
      </c>
      <c r="C895" s="91">
        <v>5.0806539665699813E-2</v>
      </c>
      <c r="D895" s="92">
        <v>46</v>
      </c>
      <c r="E895" s="93">
        <v>0.38129496402877699</v>
      </c>
      <c r="G895" s="5"/>
      <c r="H895" s="5"/>
      <c r="L895" s="7"/>
      <c r="M895" s="7"/>
      <c r="O895" s="6"/>
      <c r="P895" s="6"/>
      <c r="T895" s="5"/>
      <c r="U895" s="5"/>
    </row>
    <row r="896" spans="2:21" x14ac:dyDescent="0.25">
      <c r="B896" s="90">
        <v>1390</v>
      </c>
      <c r="C896" s="91">
        <v>5.3400259223120417E-2</v>
      </c>
      <c r="D896" s="92">
        <v>46</v>
      </c>
      <c r="E896" s="93">
        <v>0.46762589928057552</v>
      </c>
      <c r="G896" s="5"/>
      <c r="H896" s="5"/>
      <c r="L896" s="7"/>
      <c r="M896" s="7"/>
      <c r="O896" s="6"/>
      <c r="P896" s="6"/>
      <c r="T896" s="5"/>
      <c r="U896" s="5"/>
    </row>
    <row r="897" spans="2:21" x14ac:dyDescent="0.25">
      <c r="B897" s="90">
        <v>1963</v>
      </c>
      <c r="C897" s="91">
        <v>9.1395708393741337E-2</v>
      </c>
      <c r="D897" s="92">
        <v>46</v>
      </c>
      <c r="E897" s="93">
        <v>0.41007194244604317</v>
      </c>
      <c r="G897" s="5"/>
      <c r="H897" s="5"/>
      <c r="L897" s="7"/>
      <c r="M897" s="7"/>
      <c r="O897" s="6"/>
      <c r="P897" s="6"/>
      <c r="T897" s="5"/>
      <c r="U897" s="5"/>
    </row>
    <row r="898" spans="2:21" x14ac:dyDescent="0.25">
      <c r="B898" s="90">
        <v>1465</v>
      </c>
      <c r="C898" s="91">
        <v>0.37399317829667222</v>
      </c>
      <c r="D898" s="92">
        <v>46</v>
      </c>
      <c r="E898" s="93">
        <v>9.3525179856115109E-2</v>
      </c>
      <c r="G898" s="5"/>
      <c r="H898" s="5"/>
      <c r="L898" s="7"/>
      <c r="M898" s="7"/>
      <c r="O898" s="6"/>
      <c r="P898" s="6"/>
      <c r="T898" s="5"/>
      <c r="U898" s="5"/>
    </row>
    <row r="899" spans="2:21" x14ac:dyDescent="0.25">
      <c r="B899" s="90">
        <v>879</v>
      </c>
      <c r="C899" s="91">
        <v>2.6526898056422055E-2</v>
      </c>
      <c r="D899" s="92">
        <v>47</v>
      </c>
      <c r="E899" s="93">
        <v>0.42446043165467628</v>
      </c>
      <c r="G899" s="5"/>
      <c r="H899" s="5"/>
      <c r="L899" s="7"/>
      <c r="M899" s="7"/>
      <c r="O899" s="6"/>
      <c r="P899" s="6"/>
      <c r="T899" s="5"/>
      <c r="U899" s="5"/>
    </row>
    <row r="900" spans="2:21" x14ac:dyDescent="0.25">
      <c r="B900" s="90">
        <v>828</v>
      </c>
      <c r="C900" s="91">
        <v>3.1048507589046537E-2</v>
      </c>
      <c r="D900" s="92">
        <v>47</v>
      </c>
      <c r="E900" s="93">
        <v>0.41726618705035973</v>
      </c>
      <c r="G900" s="5"/>
      <c r="H900" s="5"/>
      <c r="L900" s="7"/>
      <c r="M900" s="7"/>
      <c r="O900" s="6"/>
      <c r="P900" s="6"/>
      <c r="T900" s="5"/>
      <c r="U900" s="5"/>
    </row>
    <row r="901" spans="2:21" x14ac:dyDescent="0.25">
      <c r="B901" s="90">
        <v>776</v>
      </c>
      <c r="C901" s="91">
        <v>4.1357514060812894E-2</v>
      </c>
      <c r="D901" s="92">
        <v>47</v>
      </c>
      <c r="E901" s="93">
        <v>0.41726618705035973</v>
      </c>
      <c r="G901" s="5"/>
      <c r="H901" s="5"/>
      <c r="L901" s="7"/>
      <c r="M901" s="7"/>
      <c r="O901" s="6"/>
      <c r="P901" s="6"/>
      <c r="T901" s="5"/>
      <c r="U901" s="5"/>
    </row>
    <row r="902" spans="2:21" x14ac:dyDescent="0.25">
      <c r="B902" s="90">
        <v>723</v>
      </c>
      <c r="C902" s="91">
        <v>4.2792712184244408E-2</v>
      </c>
      <c r="D902" s="92">
        <v>47</v>
      </c>
      <c r="E902" s="93">
        <v>0.41726618705035973</v>
      </c>
      <c r="G902" s="5"/>
      <c r="H902" s="5"/>
      <c r="L902" s="7"/>
      <c r="M902" s="7"/>
      <c r="O902" s="6"/>
      <c r="P902" s="6"/>
      <c r="T902" s="5"/>
      <c r="U902" s="5"/>
    </row>
    <row r="903" spans="2:21" x14ac:dyDescent="0.25">
      <c r="B903" s="90">
        <v>669</v>
      </c>
      <c r="C903" s="91">
        <v>4.8841682061432468E-2</v>
      </c>
      <c r="D903" s="92">
        <v>47</v>
      </c>
      <c r="E903" s="93">
        <v>0.41726618705035973</v>
      </c>
      <c r="G903" s="5"/>
      <c r="H903" s="5"/>
      <c r="L903" s="7"/>
      <c r="M903" s="7"/>
      <c r="O903" s="6"/>
      <c r="P903" s="6"/>
      <c r="T903" s="5"/>
      <c r="U903" s="5"/>
    </row>
    <row r="904" spans="2:21" x14ac:dyDescent="0.25">
      <c r="B904" s="90">
        <v>1067</v>
      </c>
      <c r="C904" s="91">
        <v>8.1647959960495897E-2</v>
      </c>
      <c r="D904" s="92">
        <v>47</v>
      </c>
      <c r="E904" s="93">
        <v>0.39568345323741005</v>
      </c>
      <c r="G904" s="5"/>
      <c r="H904" s="5"/>
      <c r="L904" s="7"/>
      <c r="M904" s="7"/>
      <c r="O904" s="6"/>
      <c r="P904" s="6"/>
      <c r="T904" s="5"/>
      <c r="U904" s="5"/>
    </row>
    <row r="905" spans="2:21" x14ac:dyDescent="0.25">
      <c r="B905" s="90">
        <v>1113</v>
      </c>
      <c r="C905" s="91">
        <v>8.3130050631580188E-2</v>
      </c>
      <c r="D905" s="92">
        <v>47</v>
      </c>
      <c r="E905" s="93">
        <v>0.39568345323741005</v>
      </c>
      <c r="G905" s="5"/>
      <c r="H905" s="5"/>
      <c r="L905" s="7"/>
      <c r="M905" s="7"/>
      <c r="O905" s="6"/>
      <c r="P905" s="6"/>
      <c r="T905" s="5"/>
      <c r="U905" s="5"/>
    </row>
    <row r="906" spans="2:21" x14ac:dyDescent="0.25">
      <c r="B906" s="90">
        <v>1158</v>
      </c>
      <c r="C906" s="91">
        <v>0.14334343733727262</v>
      </c>
      <c r="D906" s="92">
        <v>47</v>
      </c>
      <c r="E906" s="93">
        <v>0.38848920863309355</v>
      </c>
      <c r="G906" s="5"/>
      <c r="H906" s="5"/>
      <c r="L906" s="7"/>
      <c r="M906" s="7"/>
      <c r="O906" s="6"/>
      <c r="P906" s="6"/>
      <c r="T906" s="5"/>
      <c r="U906" s="5"/>
    </row>
    <row r="907" spans="2:21" x14ac:dyDescent="0.25">
      <c r="B907" s="90">
        <v>1112</v>
      </c>
      <c r="C907" s="91">
        <v>0.20758984363864852</v>
      </c>
      <c r="D907" s="92">
        <v>47</v>
      </c>
      <c r="E907" s="93">
        <v>0.48201438848920863</v>
      </c>
      <c r="G907" s="5"/>
      <c r="H907" s="5"/>
      <c r="L907" s="7"/>
      <c r="M907" s="7"/>
      <c r="O907" s="6"/>
      <c r="P907" s="6"/>
      <c r="T907" s="5"/>
      <c r="U907" s="5"/>
    </row>
    <row r="908" spans="2:21" x14ac:dyDescent="0.25">
      <c r="B908" s="90">
        <v>1066</v>
      </c>
      <c r="C908" s="91">
        <v>0.20987610062978979</v>
      </c>
      <c r="D908" s="92">
        <v>47</v>
      </c>
      <c r="E908" s="93">
        <v>0.48201438848920863</v>
      </c>
      <c r="G908" s="5"/>
      <c r="H908" s="5"/>
      <c r="L908" s="7"/>
      <c r="M908" s="7"/>
      <c r="O908" s="6"/>
      <c r="P908" s="6"/>
      <c r="T908" s="5"/>
      <c r="U908" s="5"/>
    </row>
    <row r="909" spans="2:21" x14ac:dyDescent="0.25">
      <c r="B909" s="90">
        <v>665</v>
      </c>
      <c r="C909" s="91">
        <v>0.21610853504608429</v>
      </c>
      <c r="D909" s="92">
        <v>47</v>
      </c>
      <c r="E909" s="93">
        <v>0.51079136690647486</v>
      </c>
      <c r="G909" s="5"/>
      <c r="H909" s="5"/>
      <c r="L909" s="7"/>
      <c r="M909" s="7"/>
      <c r="O909" s="6"/>
      <c r="P909" s="6"/>
      <c r="T909" s="5"/>
      <c r="U909" s="5"/>
    </row>
    <row r="910" spans="2:21" x14ac:dyDescent="0.25">
      <c r="B910" s="90">
        <v>719</v>
      </c>
      <c r="C910" s="91">
        <v>0.22163032702420593</v>
      </c>
      <c r="D910" s="92">
        <v>47</v>
      </c>
      <c r="E910" s="93">
        <v>0.51079136690647486</v>
      </c>
      <c r="G910" s="5"/>
      <c r="H910" s="5"/>
      <c r="L910" s="7"/>
      <c r="M910" s="7"/>
      <c r="O910" s="6"/>
      <c r="P910" s="6"/>
      <c r="T910" s="5"/>
      <c r="U910" s="5"/>
    </row>
    <row r="911" spans="2:21" x14ac:dyDescent="0.25">
      <c r="B911" s="90">
        <v>772</v>
      </c>
      <c r="C911" s="91">
        <v>0.2219908983640948</v>
      </c>
      <c r="D911" s="92">
        <v>47</v>
      </c>
      <c r="E911" s="93">
        <v>0.51079136690647486</v>
      </c>
      <c r="G911" s="5"/>
      <c r="H911" s="5"/>
      <c r="L911" s="7"/>
      <c r="M911" s="7"/>
      <c r="O911" s="6"/>
      <c r="P911" s="6"/>
      <c r="T911" s="5"/>
      <c r="U911" s="5"/>
    </row>
    <row r="912" spans="2:21" x14ac:dyDescent="0.25">
      <c r="B912" s="90">
        <v>824</v>
      </c>
      <c r="C912" s="91">
        <v>0.23073232299074364</v>
      </c>
      <c r="D912" s="92">
        <v>47</v>
      </c>
      <c r="E912" s="93">
        <v>0.51079136690647486</v>
      </c>
      <c r="G912" s="5"/>
      <c r="H912" s="5"/>
      <c r="L912" s="7"/>
      <c r="M912" s="7"/>
      <c r="O912" s="6"/>
      <c r="P912" s="6"/>
      <c r="T912" s="5"/>
      <c r="U912" s="5"/>
    </row>
    <row r="913" spans="2:21" x14ac:dyDescent="0.25">
      <c r="B913" s="90">
        <v>971</v>
      </c>
      <c r="C913" s="91">
        <v>0.26842729773428597</v>
      </c>
      <c r="D913" s="92">
        <v>47</v>
      </c>
      <c r="E913" s="93">
        <v>0.40287769784172661</v>
      </c>
      <c r="G913" s="5"/>
      <c r="H913" s="5"/>
      <c r="L913" s="7"/>
      <c r="M913" s="7"/>
      <c r="O913" s="6"/>
      <c r="P913" s="6"/>
      <c r="T913" s="5"/>
      <c r="U913" s="5"/>
    </row>
    <row r="914" spans="2:21" x14ac:dyDescent="0.25">
      <c r="B914" s="90">
        <v>872</v>
      </c>
      <c r="C914" s="91">
        <v>0.29110063141008513</v>
      </c>
      <c r="D914" s="92">
        <v>47</v>
      </c>
      <c r="E914" s="93">
        <v>0.39568345323741005</v>
      </c>
      <c r="G914" s="5"/>
      <c r="H914" s="5"/>
      <c r="L914" s="7"/>
      <c r="M914" s="7"/>
      <c r="O914" s="6"/>
      <c r="P914" s="6"/>
      <c r="T914" s="5"/>
      <c r="U914" s="5"/>
    </row>
    <row r="915" spans="2:21" x14ac:dyDescent="0.25">
      <c r="B915" s="90">
        <v>922</v>
      </c>
      <c r="C915" s="91">
        <v>0.29583088014132741</v>
      </c>
      <c r="D915" s="92">
        <v>47</v>
      </c>
      <c r="E915" s="93">
        <v>0.39568345323741005</v>
      </c>
      <c r="G915" s="5"/>
      <c r="H915" s="5"/>
      <c r="L915" s="7"/>
      <c r="M915" s="7"/>
      <c r="O915" s="6"/>
      <c r="P915" s="6"/>
      <c r="T915" s="5"/>
      <c r="U915" s="5"/>
    </row>
    <row r="916" spans="2:21" x14ac:dyDescent="0.25">
      <c r="B916" s="90">
        <v>1502</v>
      </c>
      <c r="C916" s="91">
        <v>0.4249026354661305</v>
      </c>
      <c r="D916" s="92">
        <v>47</v>
      </c>
      <c r="E916" s="93">
        <v>0.10071942446043165</v>
      </c>
      <c r="G916" s="5"/>
      <c r="H916" s="5"/>
      <c r="L916" s="7"/>
      <c r="M916" s="7"/>
      <c r="O916" s="6"/>
      <c r="P916" s="6"/>
      <c r="T916" s="5"/>
      <c r="U916" s="5"/>
    </row>
    <row r="917" spans="2:21" x14ac:dyDescent="0.25">
      <c r="B917" s="90">
        <v>1538</v>
      </c>
      <c r="C917" s="91">
        <v>0.49354931276040337</v>
      </c>
      <c r="D917" s="92">
        <v>47</v>
      </c>
      <c r="E917" s="93">
        <v>8.6330935251798566E-2</v>
      </c>
      <c r="G917" s="5"/>
      <c r="H917" s="5"/>
      <c r="L917" s="7"/>
      <c r="M917" s="7"/>
      <c r="O917" s="6"/>
      <c r="P917" s="6"/>
      <c r="T917" s="5"/>
      <c r="U917" s="5"/>
    </row>
    <row r="918" spans="2:21" x14ac:dyDescent="0.25">
      <c r="B918" s="90">
        <v>1608</v>
      </c>
      <c r="C918" s="91">
        <v>0.50565760590251274</v>
      </c>
      <c r="D918" s="92">
        <v>47</v>
      </c>
      <c r="E918" s="93">
        <v>0.10071942446043165</v>
      </c>
      <c r="G918" s="5"/>
      <c r="H918" s="5"/>
      <c r="L918" s="7"/>
      <c r="M918" s="7"/>
      <c r="O918" s="6"/>
      <c r="P918" s="6"/>
      <c r="T918" s="5"/>
      <c r="U918" s="5"/>
    </row>
    <row r="919" spans="2:21" x14ac:dyDescent="0.25">
      <c r="B919" s="90">
        <v>1607</v>
      </c>
      <c r="C919" s="91">
        <v>0.61473612302387415</v>
      </c>
      <c r="D919" s="92">
        <v>47</v>
      </c>
      <c r="E919" s="93">
        <v>7.1942446043165464E-2</v>
      </c>
      <c r="G919" s="5"/>
      <c r="H919" s="5"/>
      <c r="L919" s="7"/>
      <c r="M919" s="7"/>
      <c r="O919" s="6"/>
      <c r="P919" s="6"/>
      <c r="T919" s="5"/>
      <c r="U919" s="5"/>
    </row>
    <row r="920" spans="2:21" x14ac:dyDescent="0.25">
      <c r="B920" s="90">
        <v>1703</v>
      </c>
      <c r="C920" s="91">
        <v>0.75512296140291446</v>
      </c>
      <c r="D920" s="92">
        <v>47</v>
      </c>
      <c r="E920" s="93">
        <v>7.1942446043165464E-2</v>
      </c>
      <c r="G920" s="5"/>
      <c r="H920" s="5"/>
      <c r="L920" s="7"/>
      <c r="M920" s="7"/>
      <c r="O920" s="6"/>
      <c r="P920" s="6"/>
      <c r="T920" s="5"/>
      <c r="U920" s="5"/>
    </row>
    <row r="921" spans="2:21" x14ac:dyDescent="0.25">
      <c r="B921" s="90">
        <v>1672</v>
      </c>
      <c r="C921" s="91">
        <v>0.68427992844869678</v>
      </c>
      <c r="D921" s="92">
        <v>49</v>
      </c>
      <c r="E921" s="93">
        <v>7.1942446043165464E-2</v>
      </c>
      <c r="G921" s="5"/>
      <c r="H921" s="5"/>
      <c r="L921" s="7"/>
      <c r="M921" s="7"/>
      <c r="O921" s="6"/>
      <c r="P921" s="6"/>
      <c r="T921" s="5"/>
      <c r="U921" s="5"/>
    </row>
    <row r="922" spans="2:21" x14ac:dyDescent="0.25">
      <c r="B922" s="90">
        <v>1970</v>
      </c>
      <c r="C922" s="91">
        <v>3.8206627054586884E-2</v>
      </c>
      <c r="D922" s="92">
        <v>52</v>
      </c>
      <c r="E922" s="93">
        <v>0.35251798561151076</v>
      </c>
      <c r="G922" s="5"/>
      <c r="H922" s="5"/>
      <c r="L922" s="7"/>
      <c r="M922" s="7"/>
      <c r="O922" s="6"/>
      <c r="P922" s="6"/>
      <c r="T922" s="5"/>
      <c r="U922" s="5"/>
    </row>
    <row r="923" spans="2:21" x14ac:dyDescent="0.25">
      <c r="B923" s="90">
        <v>1972</v>
      </c>
      <c r="C923" s="91">
        <v>6.3077930140838845E-2</v>
      </c>
      <c r="D923" s="92">
        <v>52</v>
      </c>
      <c r="E923" s="93">
        <v>0.31654676258992803</v>
      </c>
      <c r="G923" s="5"/>
      <c r="H923" s="5"/>
      <c r="L923" s="7"/>
      <c r="M923" s="7"/>
      <c r="O923" s="6"/>
      <c r="P923" s="6"/>
      <c r="T923" s="5"/>
      <c r="U923" s="5"/>
    </row>
    <row r="924" spans="2:21" x14ac:dyDescent="0.25">
      <c r="B924" s="90">
        <v>1378</v>
      </c>
      <c r="C924" s="91">
        <v>7.7253531971951728E-2</v>
      </c>
      <c r="D924" s="92">
        <v>52</v>
      </c>
      <c r="E924" s="93">
        <v>0.29496402877697842</v>
      </c>
      <c r="G924" s="5"/>
      <c r="H924" s="5"/>
      <c r="L924" s="7"/>
      <c r="M924" s="7"/>
      <c r="O924" s="6"/>
      <c r="P924" s="6"/>
      <c r="T924" s="5"/>
      <c r="U924" s="5"/>
    </row>
    <row r="925" spans="2:21" x14ac:dyDescent="0.25">
      <c r="B925" s="90">
        <v>1417</v>
      </c>
      <c r="C925" s="91">
        <v>0.10311097081838672</v>
      </c>
      <c r="D925" s="92">
        <v>52</v>
      </c>
      <c r="E925" s="93">
        <v>0.2733812949640288</v>
      </c>
      <c r="G925" s="5"/>
      <c r="H925" s="5"/>
      <c r="L925" s="7"/>
      <c r="M925" s="7"/>
      <c r="O925" s="6"/>
      <c r="P925" s="6"/>
      <c r="T925" s="5"/>
      <c r="U925" s="5"/>
    </row>
    <row r="926" spans="2:21" x14ac:dyDescent="0.25">
      <c r="B926" s="90">
        <v>1338</v>
      </c>
      <c r="C926" s="91">
        <v>0.11178111241203881</v>
      </c>
      <c r="D926" s="92">
        <v>52</v>
      </c>
      <c r="E926" s="93">
        <v>0.2733812949640288</v>
      </c>
      <c r="G926" s="5"/>
      <c r="H926" s="5"/>
      <c r="L926" s="7"/>
      <c r="M926" s="7"/>
      <c r="O926" s="6"/>
      <c r="P926" s="6"/>
      <c r="T926" s="5"/>
      <c r="U926" s="5"/>
    </row>
    <row r="927" spans="2:21" x14ac:dyDescent="0.25">
      <c r="B927" s="90">
        <v>1418</v>
      </c>
      <c r="C927" s="91">
        <v>0.2704455798635752</v>
      </c>
      <c r="D927" s="92">
        <v>52</v>
      </c>
      <c r="E927" s="93">
        <v>0.15827338129496402</v>
      </c>
      <c r="G927" s="5"/>
      <c r="H927" s="5"/>
      <c r="L927" s="7"/>
      <c r="M927" s="7"/>
      <c r="O927" s="6"/>
      <c r="P927" s="6"/>
      <c r="T927" s="5"/>
      <c r="U927" s="5"/>
    </row>
    <row r="928" spans="2:21" x14ac:dyDescent="0.25">
      <c r="B928" s="90">
        <v>1457</v>
      </c>
      <c r="C928" s="91">
        <v>0.29399144193837545</v>
      </c>
      <c r="D928" s="92">
        <v>52</v>
      </c>
      <c r="E928" s="93">
        <v>0.15107913669064749</v>
      </c>
      <c r="G928" s="5"/>
      <c r="H928" s="5"/>
      <c r="L928" s="7"/>
      <c r="M928" s="7"/>
      <c r="O928" s="6"/>
      <c r="P928" s="6"/>
      <c r="T928" s="5"/>
      <c r="U928" s="5"/>
    </row>
    <row r="929" spans="2:21" x14ac:dyDescent="0.25">
      <c r="B929" s="90">
        <v>1495</v>
      </c>
      <c r="C929" s="91">
        <v>0.34242020470300805</v>
      </c>
      <c r="D929" s="92">
        <v>52</v>
      </c>
      <c r="E929" s="93">
        <v>0.14388489208633093</v>
      </c>
      <c r="G929" s="5"/>
      <c r="H929" s="5"/>
      <c r="L929" s="7"/>
      <c r="M929" s="7"/>
      <c r="O929" s="6"/>
      <c r="P929" s="6"/>
      <c r="T929" s="5"/>
      <c r="U929" s="5"/>
    </row>
    <row r="930" spans="2:21" x14ac:dyDescent="0.25">
      <c r="B930" s="90">
        <v>1460</v>
      </c>
      <c r="C930" s="91">
        <v>0.36071152888045888</v>
      </c>
      <c r="D930" s="92">
        <v>52</v>
      </c>
      <c r="E930" s="93">
        <v>0.1223021582733813</v>
      </c>
      <c r="G930" s="5"/>
      <c r="H930" s="5"/>
      <c r="L930" s="7"/>
      <c r="M930" s="7"/>
      <c r="O930" s="6"/>
      <c r="P930" s="6"/>
      <c r="T930" s="5"/>
      <c r="U930" s="5"/>
    </row>
    <row r="931" spans="2:21" x14ac:dyDescent="0.25">
      <c r="B931" s="90">
        <v>1461</v>
      </c>
      <c r="C931" s="91">
        <v>0.36684204940472021</v>
      </c>
      <c r="D931" s="92">
        <v>52</v>
      </c>
      <c r="E931" s="93">
        <v>0.1223021582733813</v>
      </c>
      <c r="G931" s="5"/>
      <c r="H931" s="5"/>
      <c r="L931" s="7"/>
      <c r="M931" s="7"/>
      <c r="O931" s="6"/>
      <c r="P931" s="6"/>
      <c r="T931" s="5"/>
      <c r="U931" s="5"/>
    </row>
    <row r="932" spans="2:21" x14ac:dyDescent="0.25">
      <c r="B932" s="90">
        <v>1459</v>
      </c>
      <c r="C932" s="91">
        <v>0.39645116567327365</v>
      </c>
      <c r="D932" s="92">
        <v>52</v>
      </c>
      <c r="E932" s="93">
        <v>0.1366906474820144</v>
      </c>
      <c r="G932" s="5"/>
      <c r="H932" s="5"/>
      <c r="L932" s="7"/>
      <c r="M932" s="7"/>
      <c r="O932" s="6"/>
      <c r="P932" s="6"/>
      <c r="T932" s="5"/>
      <c r="U932" s="5"/>
    </row>
    <row r="933" spans="2:21" x14ac:dyDescent="0.25">
      <c r="B933" s="90">
        <v>1497</v>
      </c>
      <c r="C933" s="91">
        <v>0.397037403645633</v>
      </c>
      <c r="D933" s="92">
        <v>52</v>
      </c>
      <c r="E933" s="93">
        <v>8.6330935251798566E-2</v>
      </c>
      <c r="G933" s="5"/>
      <c r="H933" s="5"/>
      <c r="L933" s="7"/>
      <c r="M933" s="7"/>
      <c r="O933" s="6"/>
      <c r="P933" s="6"/>
      <c r="T933" s="5"/>
      <c r="U933" s="5"/>
    </row>
    <row r="934" spans="2:21" x14ac:dyDescent="0.25">
      <c r="B934" s="90">
        <v>1499</v>
      </c>
      <c r="C934" s="91">
        <v>0.40159788198474344</v>
      </c>
      <c r="D934" s="92">
        <v>52</v>
      </c>
      <c r="E934" s="93">
        <v>9.3525179856115109E-2</v>
      </c>
      <c r="G934" s="5"/>
      <c r="H934" s="5"/>
      <c r="L934" s="7"/>
      <c r="M934" s="7"/>
      <c r="O934" s="6"/>
      <c r="P934" s="6"/>
      <c r="T934" s="5"/>
      <c r="U934" s="5"/>
    </row>
    <row r="935" spans="2:21" x14ac:dyDescent="0.25">
      <c r="B935" s="90">
        <v>1498</v>
      </c>
      <c r="C935" s="91">
        <v>0.40572880780808385</v>
      </c>
      <c r="D935" s="92">
        <v>52</v>
      </c>
      <c r="E935" s="93">
        <v>8.6330935251798566E-2</v>
      </c>
      <c r="G935" s="5"/>
      <c r="H935" s="5"/>
      <c r="L935" s="7"/>
      <c r="M935" s="7"/>
      <c r="O935" s="6"/>
      <c r="P935" s="6"/>
      <c r="T935" s="5"/>
      <c r="U935" s="5"/>
    </row>
    <row r="936" spans="2:21" x14ac:dyDescent="0.25">
      <c r="B936" s="90">
        <v>1533</v>
      </c>
      <c r="C936" s="91">
        <v>0.44720822879138955</v>
      </c>
      <c r="D936" s="92">
        <v>52</v>
      </c>
      <c r="E936" s="93">
        <v>7.9136690647482008E-2</v>
      </c>
      <c r="G936" s="5"/>
      <c r="H936" s="5"/>
      <c r="L936" s="7"/>
      <c r="M936" s="7"/>
      <c r="O936" s="6"/>
      <c r="P936" s="6"/>
      <c r="T936" s="5"/>
      <c r="U936" s="5"/>
    </row>
    <row r="937" spans="2:21" x14ac:dyDescent="0.25">
      <c r="B937" s="90">
        <v>1534</v>
      </c>
      <c r="C937" s="91">
        <v>0.45839369154593435</v>
      </c>
      <c r="D937" s="92">
        <v>52</v>
      </c>
      <c r="E937" s="93">
        <v>7.1942446043165464E-2</v>
      </c>
      <c r="G937" s="5"/>
      <c r="H937" s="5"/>
      <c r="L937" s="7"/>
      <c r="M937" s="7"/>
      <c r="O937" s="6"/>
      <c r="P937" s="6"/>
      <c r="T937" s="5"/>
      <c r="U937" s="5"/>
    </row>
    <row r="938" spans="2:21" x14ac:dyDescent="0.25">
      <c r="B938" s="90">
        <v>1394</v>
      </c>
      <c r="C938" s="91">
        <v>0.57909595042062989</v>
      </c>
      <c r="D938" s="92">
        <v>52</v>
      </c>
      <c r="E938" s="93">
        <v>0.15827338129496402</v>
      </c>
      <c r="G938" s="5"/>
      <c r="H938" s="5"/>
      <c r="L938" s="7"/>
      <c r="M938" s="7"/>
      <c r="O938" s="6"/>
      <c r="P938" s="6"/>
      <c r="T938" s="5"/>
      <c r="U938" s="5"/>
    </row>
    <row r="939" spans="2:21" x14ac:dyDescent="0.25">
      <c r="B939" s="90">
        <v>1208</v>
      </c>
      <c r="C939" s="91">
        <v>9.8059028731139697E-2</v>
      </c>
      <c r="D939" s="92">
        <v>53</v>
      </c>
      <c r="E939" s="93">
        <v>0.30215827338129497</v>
      </c>
      <c r="G939" s="5"/>
      <c r="H939" s="5"/>
      <c r="L939" s="7"/>
      <c r="M939" s="7"/>
      <c r="O939" s="6"/>
      <c r="P939" s="6"/>
      <c r="T939" s="5"/>
      <c r="U939" s="5"/>
    </row>
    <row r="940" spans="2:21" x14ac:dyDescent="0.25">
      <c r="B940" s="90">
        <v>1204</v>
      </c>
      <c r="C940" s="91">
        <v>0.10081373217972311</v>
      </c>
      <c r="D940" s="92">
        <v>53</v>
      </c>
      <c r="E940" s="93">
        <v>0.37410071942446044</v>
      </c>
      <c r="G940" s="5"/>
      <c r="H940" s="5"/>
      <c r="L940" s="7"/>
      <c r="M940" s="7"/>
      <c r="O940" s="6"/>
      <c r="P940" s="6"/>
      <c r="T940" s="5"/>
      <c r="U940" s="5"/>
    </row>
    <row r="941" spans="2:21" x14ac:dyDescent="0.25">
      <c r="B941" s="90">
        <v>1287</v>
      </c>
      <c r="C941" s="91">
        <v>0.15549641647013623</v>
      </c>
      <c r="D941" s="92">
        <v>53</v>
      </c>
      <c r="E941" s="93">
        <v>0.30935251798561153</v>
      </c>
      <c r="G941" s="5"/>
      <c r="H941" s="5"/>
      <c r="L941" s="7"/>
      <c r="M941" s="7"/>
      <c r="O941" s="6"/>
      <c r="P941" s="6"/>
      <c r="T941" s="5"/>
      <c r="U941" s="5"/>
    </row>
    <row r="942" spans="2:21" x14ac:dyDescent="0.25">
      <c r="B942" s="90">
        <v>1160</v>
      </c>
      <c r="C942" s="91">
        <v>0.16419234232075364</v>
      </c>
      <c r="D942" s="92">
        <v>53</v>
      </c>
      <c r="E942" s="93">
        <v>0.46762589928057552</v>
      </c>
      <c r="G942" s="5"/>
      <c r="H942" s="5"/>
      <c r="L942" s="7"/>
      <c r="M942" s="7"/>
      <c r="O942" s="6"/>
      <c r="P942" s="6"/>
      <c r="T942" s="5"/>
      <c r="U942" s="5"/>
    </row>
    <row r="943" spans="2:21" x14ac:dyDescent="0.25">
      <c r="B943" s="90">
        <v>1161</v>
      </c>
      <c r="C943" s="91">
        <v>0.20747630044850696</v>
      </c>
      <c r="D943" s="92">
        <v>53</v>
      </c>
      <c r="E943" s="93">
        <v>0.46762589928057552</v>
      </c>
      <c r="G943" s="5"/>
      <c r="H943" s="5"/>
      <c r="L943" s="7"/>
      <c r="M943" s="7"/>
      <c r="O943" s="6"/>
      <c r="P943" s="6"/>
      <c r="T943" s="5"/>
      <c r="U943" s="5"/>
    </row>
    <row r="944" spans="2:21" x14ac:dyDescent="0.25">
      <c r="B944" s="90">
        <v>1286</v>
      </c>
      <c r="C944" s="91">
        <v>0.20861447160277113</v>
      </c>
      <c r="D944" s="92">
        <v>53</v>
      </c>
      <c r="E944" s="93">
        <v>0.36690647482014388</v>
      </c>
      <c r="G944" s="5"/>
      <c r="H944" s="5"/>
      <c r="L944" s="7"/>
      <c r="M944" s="7"/>
      <c r="O944" s="6"/>
      <c r="P944" s="6"/>
      <c r="T944" s="5"/>
      <c r="U944" s="5"/>
    </row>
    <row r="945" spans="2:21" x14ac:dyDescent="0.25">
      <c r="B945" s="90">
        <v>1115</v>
      </c>
      <c r="C945" s="91">
        <v>0.2552364824388873</v>
      </c>
      <c r="D945" s="92">
        <v>53</v>
      </c>
      <c r="E945" s="93">
        <v>0.48201438848920863</v>
      </c>
      <c r="G945" s="5"/>
      <c r="H945" s="5"/>
      <c r="L945" s="7"/>
      <c r="M945" s="7"/>
      <c r="O945" s="6"/>
      <c r="P945" s="6"/>
      <c r="T945" s="5"/>
      <c r="U945" s="5"/>
    </row>
    <row r="946" spans="2:21" x14ac:dyDescent="0.25">
      <c r="B946" s="90">
        <v>823</v>
      </c>
      <c r="C946" s="91">
        <v>0.27442250504096344</v>
      </c>
      <c r="D946" s="92">
        <v>53</v>
      </c>
      <c r="E946" s="93">
        <v>0.51798561151079137</v>
      </c>
      <c r="G946" s="5"/>
      <c r="H946" s="5"/>
      <c r="L946" s="7"/>
      <c r="M946" s="7"/>
      <c r="O946" s="6"/>
      <c r="P946" s="6"/>
      <c r="T946" s="5"/>
      <c r="U946" s="5"/>
    </row>
    <row r="947" spans="2:21" x14ac:dyDescent="0.25">
      <c r="B947" s="90">
        <v>667</v>
      </c>
      <c r="C947" s="91">
        <v>0.31023982520047522</v>
      </c>
      <c r="D947" s="92">
        <v>53</v>
      </c>
      <c r="E947" s="93">
        <v>0.53237410071942448</v>
      </c>
      <c r="G947" s="5"/>
      <c r="H947" s="5"/>
      <c r="L947" s="7"/>
      <c r="M947" s="7"/>
      <c r="O947" s="6"/>
      <c r="P947" s="6"/>
      <c r="T947" s="5"/>
      <c r="U947" s="5"/>
    </row>
    <row r="948" spans="2:21" x14ac:dyDescent="0.25">
      <c r="B948" s="90">
        <v>721</v>
      </c>
      <c r="C948" s="91">
        <v>0.31695939353160485</v>
      </c>
      <c r="D948" s="92">
        <v>53</v>
      </c>
      <c r="E948" s="93">
        <v>0.53237410071942448</v>
      </c>
      <c r="G948" s="5"/>
      <c r="H948" s="5"/>
      <c r="L948" s="7"/>
      <c r="M948" s="7"/>
      <c r="O948" s="6"/>
      <c r="P948" s="6"/>
      <c r="T948" s="5"/>
      <c r="U948" s="5"/>
    </row>
    <row r="949" spans="2:21" x14ac:dyDescent="0.25">
      <c r="B949" s="90">
        <v>774</v>
      </c>
      <c r="C949" s="91">
        <v>0.31750878638075197</v>
      </c>
      <c r="D949" s="92">
        <v>53</v>
      </c>
      <c r="E949" s="93">
        <v>0.53237410071942448</v>
      </c>
      <c r="G949" s="5"/>
      <c r="H949" s="5"/>
      <c r="L949" s="7"/>
      <c r="M949" s="7"/>
      <c r="O949" s="6"/>
      <c r="P949" s="6"/>
      <c r="T949" s="5"/>
      <c r="U949" s="5"/>
    </row>
    <row r="950" spans="2:21" x14ac:dyDescent="0.25">
      <c r="B950" s="90">
        <v>826</v>
      </c>
      <c r="C950" s="91">
        <v>0.32691390924630648</v>
      </c>
      <c r="D950" s="92">
        <v>53</v>
      </c>
      <c r="E950" s="93">
        <v>0.53237410071942448</v>
      </c>
      <c r="G950" s="5"/>
      <c r="H950" s="5"/>
      <c r="L950" s="7"/>
      <c r="M950" s="7"/>
      <c r="O950" s="6"/>
      <c r="P950" s="6"/>
      <c r="T950" s="5"/>
      <c r="U950" s="5"/>
    </row>
    <row r="951" spans="2:21" x14ac:dyDescent="0.25">
      <c r="B951" s="90">
        <v>2008</v>
      </c>
      <c r="C951" s="91">
        <v>3.7444802284988032E-2</v>
      </c>
      <c r="D951" s="92">
        <v>54</v>
      </c>
      <c r="E951" s="93">
        <v>0.32374100719424459</v>
      </c>
      <c r="G951" s="5"/>
      <c r="H951" s="5"/>
      <c r="L951" s="7"/>
      <c r="M951" s="7"/>
      <c r="O951" s="6"/>
      <c r="P951" s="6"/>
      <c r="T951" s="5"/>
      <c r="U951" s="5"/>
    </row>
    <row r="952" spans="2:21" x14ac:dyDescent="0.25">
      <c r="B952" s="90">
        <v>1255</v>
      </c>
      <c r="C952" s="91">
        <v>5.2167884168794476E-2</v>
      </c>
      <c r="D952" s="92">
        <v>54</v>
      </c>
      <c r="E952" s="93">
        <v>0.29496402877697842</v>
      </c>
      <c r="G952" s="5"/>
      <c r="H952" s="5"/>
      <c r="L952" s="7"/>
      <c r="M952" s="7"/>
      <c r="O952" s="6"/>
      <c r="P952" s="6"/>
      <c r="T952" s="5"/>
      <c r="U952" s="5"/>
    </row>
    <row r="953" spans="2:21" x14ac:dyDescent="0.25">
      <c r="B953" s="90">
        <v>614</v>
      </c>
      <c r="C953" s="91">
        <v>5.4124127691185575E-2</v>
      </c>
      <c r="D953" s="92">
        <v>54</v>
      </c>
      <c r="E953" s="93">
        <v>0.41726618705035973</v>
      </c>
      <c r="G953" s="5"/>
      <c r="H953" s="5"/>
      <c r="L953" s="7"/>
      <c r="M953" s="7"/>
      <c r="O953" s="6"/>
      <c r="P953" s="6"/>
      <c r="T953" s="5"/>
      <c r="U953" s="5"/>
    </row>
    <row r="954" spans="2:21" x14ac:dyDescent="0.25">
      <c r="B954" s="90">
        <v>1297</v>
      </c>
      <c r="C954" s="91">
        <v>6.4859722908963247E-2</v>
      </c>
      <c r="D954" s="92">
        <v>54</v>
      </c>
      <c r="E954" s="93">
        <v>0.29496402877697842</v>
      </c>
      <c r="G954" s="5"/>
      <c r="H954" s="5"/>
      <c r="L954" s="7"/>
      <c r="M954" s="7"/>
      <c r="O954" s="6"/>
      <c r="P954" s="6"/>
      <c r="T954" s="5"/>
      <c r="U954" s="5"/>
    </row>
    <row r="955" spans="2:21" x14ac:dyDescent="0.25">
      <c r="B955" s="90">
        <v>1020</v>
      </c>
      <c r="C955" s="91">
        <v>9.5585456437466187E-2</v>
      </c>
      <c r="D955" s="92">
        <v>54</v>
      </c>
      <c r="E955" s="93">
        <v>0.43165467625899279</v>
      </c>
      <c r="G955" s="5"/>
      <c r="H955" s="5"/>
      <c r="L955" s="7"/>
      <c r="M955" s="7"/>
      <c r="O955" s="6"/>
      <c r="P955" s="6"/>
      <c r="T955" s="5"/>
      <c r="U955" s="5"/>
    </row>
    <row r="956" spans="2:21" x14ac:dyDescent="0.25">
      <c r="B956" s="90">
        <v>610</v>
      </c>
      <c r="C956" s="91">
        <v>0.21237569848533089</v>
      </c>
      <c r="D956" s="92">
        <v>54</v>
      </c>
      <c r="E956" s="93">
        <v>0.51079136690647486</v>
      </c>
      <c r="G956" s="5"/>
      <c r="H956" s="5"/>
      <c r="L956" s="7"/>
      <c r="M956" s="7"/>
      <c r="O956" s="6"/>
      <c r="P956" s="6"/>
      <c r="T956" s="5"/>
      <c r="U956" s="5"/>
    </row>
    <row r="957" spans="2:21" x14ac:dyDescent="0.25">
      <c r="B957" s="90">
        <v>1990</v>
      </c>
      <c r="C957" s="91">
        <v>0.21824982575220431</v>
      </c>
      <c r="D957" s="92">
        <v>54</v>
      </c>
      <c r="E957" s="93">
        <v>0.18705035971223022</v>
      </c>
      <c r="G957" s="5"/>
      <c r="H957" s="5"/>
      <c r="L957" s="7"/>
      <c r="M957" s="7"/>
      <c r="O957" s="6"/>
      <c r="P957" s="6"/>
      <c r="T957" s="5"/>
      <c r="U957" s="5"/>
    </row>
    <row r="958" spans="2:21" x14ac:dyDescent="0.25">
      <c r="B958" s="90">
        <v>1379</v>
      </c>
      <c r="C958" s="91">
        <v>0.22847263552563057</v>
      </c>
      <c r="D958" s="92">
        <v>54</v>
      </c>
      <c r="E958" s="93">
        <v>0.21582733812949639</v>
      </c>
      <c r="G958" s="5"/>
      <c r="H958" s="5"/>
      <c r="L958" s="7"/>
      <c r="M958" s="7"/>
      <c r="O958" s="6"/>
      <c r="P958" s="6"/>
      <c r="T958" s="5"/>
      <c r="U958" s="5"/>
    </row>
    <row r="959" spans="2:21" x14ac:dyDescent="0.25">
      <c r="B959" s="90">
        <v>1019</v>
      </c>
      <c r="C959" s="91">
        <v>0.23232930846823885</v>
      </c>
      <c r="D959" s="92">
        <v>54</v>
      </c>
      <c r="E959" s="93">
        <v>0.41007194244604317</v>
      </c>
      <c r="G959" s="5"/>
      <c r="H959" s="5"/>
      <c r="L959" s="7"/>
      <c r="M959" s="7"/>
      <c r="O959" s="6"/>
      <c r="P959" s="6"/>
      <c r="T959" s="5"/>
      <c r="U959" s="5"/>
    </row>
    <row r="960" spans="2:21" x14ac:dyDescent="0.25">
      <c r="B960" s="90">
        <v>2048</v>
      </c>
      <c r="C960" s="91">
        <v>0.23576649273323358</v>
      </c>
      <c r="D960" s="92">
        <v>54</v>
      </c>
      <c r="E960" s="93">
        <v>0.20143884892086331</v>
      </c>
      <c r="G960" s="5"/>
      <c r="H960" s="5"/>
      <c r="L960" s="7"/>
      <c r="M960" s="7"/>
      <c r="O960" s="6"/>
      <c r="P960" s="6"/>
      <c r="T960" s="5"/>
      <c r="U960" s="5"/>
    </row>
    <row r="961" spans="2:21" x14ac:dyDescent="0.25">
      <c r="B961" s="90">
        <v>1339</v>
      </c>
      <c r="C961" s="91">
        <v>0.25907996594176008</v>
      </c>
      <c r="D961" s="92">
        <v>54</v>
      </c>
      <c r="E961" s="93">
        <v>0.20863309352517986</v>
      </c>
      <c r="G961" s="5"/>
      <c r="H961" s="5"/>
      <c r="L961" s="7"/>
      <c r="M961" s="7"/>
      <c r="O961" s="6"/>
      <c r="P961" s="6"/>
      <c r="T961" s="5"/>
      <c r="U961" s="5"/>
    </row>
    <row r="962" spans="2:21" x14ac:dyDescent="0.25">
      <c r="B962" s="90">
        <v>1458</v>
      </c>
      <c r="C962" s="91">
        <v>0.30940897929252498</v>
      </c>
      <c r="D962" s="92">
        <v>54</v>
      </c>
      <c r="E962" s="93">
        <v>0.14388489208633093</v>
      </c>
      <c r="G962" s="5"/>
      <c r="H962" s="5"/>
      <c r="L962" s="7"/>
      <c r="M962" s="7"/>
      <c r="O962" s="6"/>
      <c r="P962" s="6"/>
      <c r="T962" s="5"/>
      <c r="U962" s="5"/>
    </row>
    <row r="963" spans="2:21" x14ac:dyDescent="0.25">
      <c r="B963" s="90">
        <v>1535</v>
      </c>
      <c r="C963" s="91">
        <v>0.45814237490957122</v>
      </c>
      <c r="D963" s="92">
        <v>54</v>
      </c>
      <c r="E963" s="93">
        <v>7.1942446043165464E-2</v>
      </c>
      <c r="G963" s="5"/>
      <c r="H963" s="5"/>
      <c r="L963" s="7"/>
      <c r="M963" s="7"/>
      <c r="O963" s="6"/>
      <c r="P963" s="6"/>
      <c r="T963" s="5"/>
      <c r="U963" s="5"/>
    </row>
    <row r="964" spans="2:21" x14ac:dyDescent="0.25">
      <c r="B964" s="90">
        <v>1569</v>
      </c>
      <c r="C964" s="91">
        <v>0.48907860648504375</v>
      </c>
      <c r="D964" s="92">
        <v>54</v>
      </c>
      <c r="E964" s="93">
        <v>7.1942446043165464E-2</v>
      </c>
      <c r="G964" s="5"/>
      <c r="H964" s="5"/>
      <c r="L964" s="7"/>
      <c r="M964" s="7"/>
      <c r="O964" s="6"/>
      <c r="P964" s="6"/>
      <c r="T964" s="5"/>
      <c r="U964" s="5"/>
    </row>
    <row r="965" spans="2:21" x14ac:dyDescent="0.25">
      <c r="B965" s="90">
        <v>1293</v>
      </c>
      <c r="C965" s="91">
        <v>4.2614340843745158E-2</v>
      </c>
      <c r="D965" s="92">
        <v>55</v>
      </c>
      <c r="E965" s="93">
        <v>0.37410071942446044</v>
      </c>
      <c r="G965" s="5"/>
      <c r="H965" s="5"/>
      <c r="L965" s="7"/>
      <c r="M965" s="7"/>
      <c r="O965" s="6"/>
      <c r="P965" s="6"/>
      <c r="T965" s="5"/>
      <c r="U965" s="5"/>
    </row>
    <row r="966" spans="2:21" x14ac:dyDescent="0.25">
      <c r="B966" s="90">
        <v>928</v>
      </c>
      <c r="C966" s="91">
        <v>0.13436389033849849</v>
      </c>
      <c r="D966" s="92">
        <v>55</v>
      </c>
      <c r="E966" s="93">
        <v>0.48920863309352519</v>
      </c>
      <c r="G966" s="5"/>
      <c r="H966" s="5"/>
      <c r="L966" s="7"/>
      <c r="M966" s="7"/>
      <c r="O966" s="6"/>
      <c r="P966" s="6"/>
      <c r="T966" s="5"/>
      <c r="U966" s="5"/>
    </row>
    <row r="967" spans="2:21" x14ac:dyDescent="0.25">
      <c r="B967" s="90">
        <v>878</v>
      </c>
      <c r="C967" s="91">
        <v>0.14843141172758978</v>
      </c>
      <c r="D967" s="92">
        <v>55</v>
      </c>
      <c r="E967" s="93">
        <v>0.49640287769784175</v>
      </c>
      <c r="G967" s="5"/>
      <c r="H967" s="5"/>
      <c r="L967" s="7"/>
      <c r="M967" s="7"/>
      <c r="O967" s="6"/>
      <c r="P967" s="6"/>
      <c r="T967" s="5"/>
      <c r="U967" s="5"/>
    </row>
    <row r="968" spans="2:21" x14ac:dyDescent="0.25">
      <c r="B968" s="90">
        <v>1247</v>
      </c>
      <c r="C968" s="91">
        <v>0.15799965501245294</v>
      </c>
      <c r="D968" s="92">
        <v>55</v>
      </c>
      <c r="E968" s="93">
        <v>0.46762589928057552</v>
      </c>
      <c r="G968" s="5"/>
      <c r="H968" s="5"/>
      <c r="L968" s="7"/>
      <c r="M968" s="7"/>
      <c r="O968" s="6"/>
      <c r="P968" s="6"/>
      <c r="T968" s="5"/>
      <c r="U968" s="5"/>
    </row>
    <row r="969" spans="2:21" x14ac:dyDescent="0.25">
      <c r="B969" s="90">
        <v>977</v>
      </c>
      <c r="C969" s="91">
        <v>0.15959551935950134</v>
      </c>
      <c r="D969" s="92">
        <v>55</v>
      </c>
      <c r="E969" s="93">
        <v>0.49640287769784175</v>
      </c>
      <c r="G969" s="5"/>
      <c r="H969" s="5"/>
      <c r="L969" s="7"/>
      <c r="M969" s="7"/>
      <c r="O969" s="6"/>
      <c r="P969" s="6"/>
      <c r="T969" s="5"/>
      <c r="U969" s="5"/>
    </row>
    <row r="970" spans="2:21" x14ac:dyDescent="0.25">
      <c r="B970" s="90">
        <v>1206</v>
      </c>
      <c r="C970" s="91">
        <v>0.18910599307527165</v>
      </c>
      <c r="D970" s="92">
        <v>55</v>
      </c>
      <c r="E970" s="93">
        <v>0.38848920863309355</v>
      </c>
      <c r="G970" s="5"/>
      <c r="H970" s="5"/>
      <c r="L970" s="7"/>
      <c r="M970" s="7"/>
      <c r="O970" s="6"/>
      <c r="P970" s="6"/>
      <c r="T970" s="5"/>
      <c r="U970" s="5"/>
    </row>
    <row r="971" spans="2:21" x14ac:dyDescent="0.25">
      <c r="B971" s="90">
        <v>1162</v>
      </c>
      <c r="C971" s="91">
        <v>0.25803571613810483</v>
      </c>
      <c r="D971" s="92">
        <v>55</v>
      </c>
      <c r="E971" s="93">
        <v>0.49640287769784175</v>
      </c>
      <c r="G971" s="5"/>
      <c r="H971" s="5"/>
      <c r="L971" s="7"/>
      <c r="M971" s="7"/>
      <c r="O971" s="6"/>
      <c r="P971" s="6"/>
      <c r="T971" s="5"/>
      <c r="U971" s="5"/>
    </row>
    <row r="972" spans="2:21" x14ac:dyDescent="0.25">
      <c r="B972" s="90">
        <v>771</v>
      </c>
      <c r="C972" s="91">
        <v>0.26828604216405982</v>
      </c>
      <c r="D972" s="92">
        <v>55</v>
      </c>
      <c r="E972" s="93">
        <v>0.48201438848920863</v>
      </c>
      <c r="G972" s="5"/>
      <c r="H972" s="5"/>
      <c r="L972" s="7"/>
      <c r="M972" s="7"/>
      <c r="O972" s="6"/>
      <c r="P972" s="6"/>
      <c r="T972" s="5"/>
      <c r="U972" s="5"/>
    </row>
    <row r="973" spans="2:21" x14ac:dyDescent="0.25">
      <c r="B973" s="90">
        <v>1249</v>
      </c>
      <c r="C973" s="91">
        <v>0.27784100419637947</v>
      </c>
      <c r="D973" s="92">
        <v>55</v>
      </c>
      <c r="E973" s="93">
        <v>0.49640287769784175</v>
      </c>
      <c r="G973" s="5"/>
      <c r="H973" s="5"/>
      <c r="L973" s="7"/>
      <c r="M973" s="7"/>
      <c r="O973" s="6"/>
      <c r="P973" s="6"/>
      <c r="T973" s="5"/>
      <c r="U973" s="5"/>
    </row>
    <row r="974" spans="2:21" x14ac:dyDescent="0.25">
      <c r="B974" s="90">
        <v>919</v>
      </c>
      <c r="C974" s="91">
        <v>0.44134149645962351</v>
      </c>
      <c r="D974" s="92">
        <v>55</v>
      </c>
      <c r="E974" s="93">
        <v>0.41726618705035973</v>
      </c>
      <c r="G974" s="5"/>
      <c r="H974" s="5"/>
      <c r="L974" s="7"/>
      <c r="M974" s="7"/>
      <c r="O974" s="6"/>
      <c r="P974" s="6"/>
      <c r="T974" s="5"/>
      <c r="U974" s="5"/>
    </row>
    <row r="975" spans="2:21" x14ac:dyDescent="0.25">
      <c r="B975" s="90">
        <v>1572</v>
      </c>
      <c r="C975" s="91">
        <v>0.44367159477872797</v>
      </c>
      <c r="D975" s="92">
        <v>55</v>
      </c>
      <c r="E975" s="93">
        <v>8.6330935251798566E-2</v>
      </c>
      <c r="G975" s="5"/>
      <c r="H975" s="5"/>
      <c r="L975" s="7"/>
      <c r="M975" s="7"/>
      <c r="O975" s="6"/>
      <c r="P975" s="6"/>
      <c r="T975" s="5"/>
      <c r="U975" s="5"/>
    </row>
    <row r="976" spans="2:21" x14ac:dyDescent="0.25">
      <c r="B976" s="90">
        <v>920</v>
      </c>
      <c r="C976" s="91">
        <v>0.45617310121339094</v>
      </c>
      <c r="D976" s="92">
        <v>55</v>
      </c>
      <c r="E976" s="93">
        <v>0.32374100719424459</v>
      </c>
      <c r="G976" s="5"/>
      <c r="H976" s="5"/>
      <c r="L976" s="7"/>
      <c r="M976" s="7"/>
      <c r="O976" s="6"/>
      <c r="P976" s="6"/>
      <c r="T976" s="5"/>
      <c r="U976" s="5"/>
    </row>
    <row r="977" spans="2:21" x14ac:dyDescent="0.25">
      <c r="B977" s="90">
        <v>1571</v>
      </c>
      <c r="C977" s="91">
        <v>0.46329700384095807</v>
      </c>
      <c r="D977" s="92">
        <v>55</v>
      </c>
      <c r="E977" s="93">
        <v>7.9136690647482008E-2</v>
      </c>
      <c r="G977" s="5"/>
      <c r="H977" s="5"/>
      <c r="L977" s="7"/>
      <c r="M977" s="7"/>
      <c r="O977" s="6"/>
      <c r="P977" s="6"/>
      <c r="T977" s="5"/>
      <c r="U977" s="5"/>
    </row>
    <row r="978" spans="2:21" x14ac:dyDescent="0.25">
      <c r="B978" s="90">
        <v>1570</v>
      </c>
      <c r="C978" s="91">
        <v>0.49180082660186575</v>
      </c>
      <c r="D978" s="92">
        <v>55</v>
      </c>
      <c r="E978" s="93">
        <v>7.1942446043165464E-2</v>
      </c>
      <c r="G978" s="5"/>
      <c r="H978" s="5"/>
      <c r="L978" s="7"/>
      <c r="M978" s="7"/>
      <c r="O978" s="6"/>
      <c r="P978" s="6"/>
      <c r="T978" s="5"/>
      <c r="U978" s="5"/>
    </row>
    <row r="979" spans="2:21" x14ac:dyDescent="0.25">
      <c r="B979" s="90">
        <v>1603</v>
      </c>
      <c r="C979" s="91">
        <v>0.54318674351089546</v>
      </c>
      <c r="D979" s="92">
        <v>55</v>
      </c>
      <c r="E979" s="93">
        <v>7.1942446043165464E-2</v>
      </c>
      <c r="G979" s="5"/>
      <c r="H979" s="5"/>
      <c r="L979" s="7"/>
      <c r="M979" s="7"/>
      <c r="O979" s="6"/>
      <c r="P979" s="6"/>
      <c r="T979" s="5"/>
      <c r="U979" s="5"/>
    </row>
    <row r="980" spans="2:21" x14ac:dyDescent="0.25">
      <c r="B980" s="90">
        <v>1604</v>
      </c>
      <c r="C980" s="91">
        <v>0.55114046040458753</v>
      </c>
      <c r="D980" s="92">
        <v>55</v>
      </c>
      <c r="E980" s="93">
        <v>7.1942446043165464E-2</v>
      </c>
      <c r="G980" s="5"/>
      <c r="H980" s="5"/>
      <c r="L980" s="7"/>
      <c r="M980" s="7"/>
      <c r="O980" s="6"/>
      <c r="P980" s="6"/>
      <c r="T980" s="5"/>
      <c r="U980" s="5"/>
    </row>
    <row r="981" spans="2:21" x14ac:dyDescent="0.25">
      <c r="B981" s="90">
        <v>1636</v>
      </c>
      <c r="C981" s="91">
        <v>0.56826570605060445</v>
      </c>
      <c r="D981" s="92">
        <v>55</v>
      </c>
      <c r="E981" s="93">
        <v>7.9136690647482008E-2</v>
      </c>
      <c r="G981" s="5"/>
      <c r="H981" s="5"/>
      <c r="L981" s="7"/>
      <c r="M981" s="7"/>
      <c r="O981" s="6"/>
      <c r="P981" s="6"/>
      <c r="T981" s="5"/>
      <c r="U981" s="5"/>
    </row>
    <row r="982" spans="2:21" x14ac:dyDescent="0.25">
      <c r="B982" s="90">
        <v>1669</v>
      </c>
      <c r="C982" s="91">
        <v>0.59914427642283064</v>
      </c>
      <c r="D982" s="92">
        <v>55</v>
      </c>
      <c r="E982" s="93">
        <v>6.4748201438848921E-2</v>
      </c>
      <c r="G982" s="5"/>
      <c r="H982" s="5"/>
      <c r="L982" s="7"/>
      <c r="M982" s="7"/>
      <c r="O982" s="6"/>
      <c r="P982" s="6"/>
      <c r="T982" s="5"/>
      <c r="U982" s="5"/>
    </row>
    <row r="983" spans="2:21" x14ac:dyDescent="0.25">
      <c r="B983" s="90">
        <v>868</v>
      </c>
      <c r="C983" s="91">
        <v>0.50842578946634853</v>
      </c>
      <c r="D983" s="92">
        <v>56</v>
      </c>
      <c r="E983" s="93">
        <v>0.2446043165467626</v>
      </c>
      <c r="G983" s="5"/>
      <c r="H983" s="5"/>
      <c r="L983" s="7"/>
      <c r="M983" s="7"/>
      <c r="O983" s="6"/>
      <c r="P983" s="6"/>
      <c r="T983" s="5"/>
      <c r="U983" s="5"/>
    </row>
    <row r="984" spans="2:21" x14ac:dyDescent="0.25">
      <c r="B984" s="90">
        <v>430</v>
      </c>
      <c r="C984" s="91">
        <v>0.54516015874566193</v>
      </c>
      <c r="D984" s="92">
        <v>56</v>
      </c>
      <c r="E984" s="93">
        <v>0.33812949640287771</v>
      </c>
      <c r="G984" s="5"/>
      <c r="H984" s="5"/>
      <c r="L984" s="7"/>
      <c r="M984" s="7"/>
      <c r="O984" s="6"/>
      <c r="P984" s="6"/>
      <c r="T984" s="5"/>
      <c r="U984" s="5"/>
    </row>
    <row r="985" spans="2:21" x14ac:dyDescent="0.25">
      <c r="B985" s="90">
        <v>431</v>
      </c>
      <c r="C985" s="91">
        <v>0.55570814213450082</v>
      </c>
      <c r="D985" s="92">
        <v>56</v>
      </c>
      <c r="E985" s="93">
        <v>0.38129496402877699</v>
      </c>
      <c r="G985" s="5"/>
      <c r="H985" s="5"/>
      <c r="L985" s="7"/>
      <c r="M985" s="7"/>
      <c r="O985" s="6"/>
      <c r="P985" s="6"/>
      <c r="T985" s="5"/>
      <c r="U985" s="5"/>
    </row>
    <row r="986" spans="2:21" x14ac:dyDescent="0.25">
      <c r="B986" s="90">
        <v>433</v>
      </c>
      <c r="C986" s="91">
        <v>0.56486769271936432</v>
      </c>
      <c r="D986" s="92">
        <v>56</v>
      </c>
      <c r="E986" s="93">
        <v>0.33812949640287771</v>
      </c>
      <c r="G986" s="5"/>
      <c r="H986" s="5"/>
      <c r="L986" s="7"/>
      <c r="M986" s="7"/>
      <c r="O986" s="6"/>
      <c r="P986" s="6"/>
      <c r="T986" s="5"/>
      <c r="U986" s="5"/>
    </row>
    <row r="987" spans="2:21" x14ac:dyDescent="0.25">
      <c r="B987" s="90">
        <v>434</v>
      </c>
      <c r="C987" s="91">
        <v>0.58380704133199968</v>
      </c>
      <c r="D987" s="92">
        <v>56</v>
      </c>
      <c r="E987" s="93">
        <v>0.33093525179856115</v>
      </c>
      <c r="G987" s="5"/>
      <c r="H987" s="5"/>
      <c r="L987" s="7"/>
      <c r="M987" s="7"/>
      <c r="O987" s="6"/>
      <c r="P987" s="6"/>
      <c r="T987" s="5"/>
      <c r="U987" s="5"/>
    </row>
    <row r="988" spans="2:21" x14ac:dyDescent="0.25">
      <c r="B988" s="90">
        <v>315</v>
      </c>
      <c r="C988" s="91">
        <v>0.67165590849301782</v>
      </c>
      <c r="D988" s="92">
        <v>56</v>
      </c>
      <c r="E988" s="93">
        <v>0.22302158273381295</v>
      </c>
      <c r="G988" s="5"/>
      <c r="H988" s="5"/>
      <c r="L988" s="7"/>
      <c r="M988" s="7"/>
      <c r="O988" s="6"/>
      <c r="P988" s="6"/>
      <c r="T988" s="5"/>
      <c r="U988" s="5"/>
    </row>
    <row r="989" spans="2:21" x14ac:dyDescent="0.25">
      <c r="B989" s="90">
        <v>558</v>
      </c>
      <c r="C989" s="91">
        <v>4.9462602268447897E-2</v>
      </c>
      <c r="D989" s="92">
        <v>57</v>
      </c>
      <c r="E989" s="93">
        <v>0.41726618705035973</v>
      </c>
      <c r="G989" s="5"/>
      <c r="H989" s="5"/>
      <c r="L989" s="7"/>
      <c r="M989" s="7"/>
      <c r="O989" s="6"/>
      <c r="P989" s="6"/>
      <c r="T989" s="5"/>
      <c r="U989" s="5"/>
    </row>
    <row r="990" spans="2:21" x14ac:dyDescent="0.25">
      <c r="B990" s="90">
        <v>501</v>
      </c>
      <c r="C990" s="91">
        <v>5.2504151423128476E-2</v>
      </c>
      <c r="D990" s="92">
        <v>57</v>
      </c>
      <c r="E990" s="93">
        <v>0.41726618705035973</v>
      </c>
      <c r="G990" s="5"/>
      <c r="H990" s="5"/>
      <c r="L990" s="7"/>
      <c r="M990" s="7"/>
      <c r="O990" s="6"/>
      <c r="P990" s="6"/>
      <c r="T990" s="5"/>
      <c r="U990" s="5"/>
    </row>
    <row r="991" spans="2:21" x14ac:dyDescent="0.25">
      <c r="B991" s="90">
        <v>1431</v>
      </c>
      <c r="C991" s="91">
        <v>0.17155508484051407</v>
      </c>
      <c r="D991" s="92">
        <v>57</v>
      </c>
      <c r="E991" s="93">
        <v>0.64748201438848918</v>
      </c>
      <c r="G991" s="5"/>
      <c r="H991" s="5"/>
      <c r="L991" s="7"/>
      <c r="M991" s="7"/>
      <c r="O991" s="6"/>
      <c r="P991" s="6"/>
      <c r="T991" s="5"/>
      <c r="U991" s="5"/>
    </row>
    <row r="992" spans="2:21" x14ac:dyDescent="0.25">
      <c r="B992" s="90">
        <v>554</v>
      </c>
      <c r="C992" s="91">
        <v>0.21890253352527878</v>
      </c>
      <c r="D992" s="92">
        <v>57</v>
      </c>
      <c r="E992" s="93">
        <v>0.51079136690647486</v>
      </c>
      <c r="G992" s="5"/>
      <c r="H992" s="5"/>
      <c r="L992" s="7"/>
      <c r="M992" s="7"/>
      <c r="O992" s="6"/>
      <c r="P992" s="6"/>
      <c r="T992" s="5"/>
      <c r="U992" s="5"/>
    </row>
    <row r="993" spans="2:21" x14ac:dyDescent="0.25">
      <c r="B993" s="90">
        <v>497</v>
      </c>
      <c r="C993" s="91">
        <v>0.21988445394082956</v>
      </c>
      <c r="D993" s="92">
        <v>57</v>
      </c>
      <c r="E993" s="93">
        <v>0.51079136690647486</v>
      </c>
      <c r="G993" s="5"/>
      <c r="H993" s="5"/>
      <c r="L993" s="7"/>
      <c r="M993" s="7"/>
      <c r="O993" s="6"/>
      <c r="P993" s="6"/>
      <c r="T993" s="5"/>
      <c r="U993" s="5"/>
    </row>
    <row r="994" spans="2:21" x14ac:dyDescent="0.25">
      <c r="B994" s="90">
        <v>439</v>
      </c>
      <c r="C994" s="91">
        <v>0.2264439368217821</v>
      </c>
      <c r="D994" s="92">
        <v>57</v>
      </c>
      <c r="E994" s="93">
        <v>0.46762589928057552</v>
      </c>
      <c r="G994" s="5"/>
      <c r="H994" s="5"/>
      <c r="L994" s="7"/>
      <c r="M994" s="7"/>
      <c r="O994" s="6"/>
      <c r="P994" s="6"/>
      <c r="T994" s="5"/>
      <c r="U994" s="5"/>
    </row>
    <row r="995" spans="2:21" x14ac:dyDescent="0.25">
      <c r="B995" s="90">
        <v>1537</v>
      </c>
      <c r="C995" s="91">
        <v>0.40400942396643735</v>
      </c>
      <c r="D995" s="92">
        <v>57</v>
      </c>
      <c r="E995" s="93">
        <v>0.10071942446043165</v>
      </c>
      <c r="G995" s="5"/>
      <c r="H995" s="5"/>
      <c r="L995" s="7"/>
      <c r="M995" s="7"/>
      <c r="O995" s="6"/>
      <c r="P995" s="6"/>
      <c r="T995" s="5"/>
      <c r="U995" s="5"/>
    </row>
    <row r="996" spans="2:21" x14ac:dyDescent="0.25">
      <c r="B996" s="90">
        <v>1536</v>
      </c>
      <c r="C996" s="91">
        <v>0.42650072052188903</v>
      </c>
      <c r="D996" s="92">
        <v>57</v>
      </c>
      <c r="E996" s="93">
        <v>9.3525179856115109E-2</v>
      </c>
      <c r="G996" s="5"/>
      <c r="H996" s="5"/>
      <c r="L996" s="7"/>
      <c r="M996" s="7"/>
      <c r="O996" s="6"/>
      <c r="P996" s="6"/>
      <c r="T996" s="5"/>
      <c r="U996" s="5"/>
    </row>
    <row r="997" spans="2:21" x14ac:dyDescent="0.25">
      <c r="B997" s="90">
        <v>969</v>
      </c>
      <c r="C997" s="91">
        <v>0.50162312227720585</v>
      </c>
      <c r="D997" s="92">
        <v>57</v>
      </c>
      <c r="E997" s="93">
        <v>0.41726618705035973</v>
      </c>
      <c r="G997" s="5"/>
      <c r="H997" s="5"/>
      <c r="L997" s="7"/>
      <c r="M997" s="7"/>
      <c r="O997" s="6"/>
      <c r="P997" s="6"/>
      <c r="T997" s="5"/>
      <c r="U997" s="5"/>
    </row>
    <row r="998" spans="2:21" x14ac:dyDescent="0.25">
      <c r="B998" s="90">
        <v>367</v>
      </c>
      <c r="C998" s="91">
        <v>0.50245148099754922</v>
      </c>
      <c r="D998" s="92">
        <v>57</v>
      </c>
      <c r="E998" s="93">
        <v>0.33093525179856115</v>
      </c>
      <c r="G998" s="5"/>
      <c r="H998" s="5"/>
      <c r="L998" s="7"/>
      <c r="M998" s="7"/>
      <c r="O998" s="6"/>
      <c r="P998" s="6"/>
      <c r="T998" s="5"/>
      <c r="U998" s="5"/>
    </row>
    <row r="999" spans="2:21" x14ac:dyDescent="0.25">
      <c r="B999" s="90">
        <v>819</v>
      </c>
      <c r="C999" s="91">
        <v>0.50478897058950245</v>
      </c>
      <c r="D999" s="92">
        <v>57</v>
      </c>
      <c r="E999" s="93">
        <v>0.33093525179856115</v>
      </c>
      <c r="G999" s="5"/>
      <c r="H999" s="5"/>
      <c r="L999" s="7"/>
      <c r="M999" s="7"/>
      <c r="O999" s="6"/>
      <c r="P999" s="6"/>
      <c r="T999" s="5"/>
      <c r="U999" s="5"/>
    </row>
    <row r="1000" spans="2:21" x14ac:dyDescent="0.25">
      <c r="B1000" s="90">
        <v>766</v>
      </c>
      <c r="C1000" s="91">
        <v>0.51104886941316818</v>
      </c>
      <c r="D1000" s="92">
        <v>57</v>
      </c>
      <c r="E1000" s="93">
        <v>0.33093525179856115</v>
      </c>
      <c r="G1000" s="5"/>
      <c r="H1000" s="5"/>
      <c r="L1000" s="7"/>
      <c r="M1000" s="7"/>
      <c r="O1000" s="6"/>
      <c r="P1000" s="6"/>
      <c r="T1000" s="5"/>
      <c r="U1000" s="5"/>
    </row>
    <row r="1001" spans="2:21" x14ac:dyDescent="0.25">
      <c r="B1001" s="90">
        <v>306</v>
      </c>
      <c r="C1001" s="91">
        <v>0.51442929932052683</v>
      </c>
      <c r="D1001" s="92">
        <v>57</v>
      </c>
      <c r="E1001" s="93">
        <v>0.37410071942446044</v>
      </c>
      <c r="G1001" s="5"/>
      <c r="H1001" s="5"/>
      <c r="L1001" s="7"/>
      <c r="M1001" s="7"/>
      <c r="O1001" s="6"/>
      <c r="P1001" s="6"/>
      <c r="T1001" s="5"/>
      <c r="U1001" s="5"/>
    </row>
    <row r="1002" spans="2:21" x14ac:dyDescent="0.25">
      <c r="B1002" s="90">
        <v>368</v>
      </c>
      <c r="C1002" s="91">
        <v>0.53568166538910778</v>
      </c>
      <c r="D1002" s="92">
        <v>57</v>
      </c>
      <c r="E1002" s="93">
        <v>0.37410071942446044</v>
      </c>
      <c r="G1002" s="5"/>
      <c r="H1002" s="5"/>
      <c r="L1002" s="7"/>
      <c r="M1002" s="7"/>
      <c r="O1002" s="6"/>
      <c r="P1002" s="6"/>
      <c r="T1002" s="5"/>
      <c r="U1002" s="5"/>
    </row>
    <row r="1003" spans="2:21" x14ac:dyDescent="0.25">
      <c r="B1003" s="90">
        <v>369</v>
      </c>
      <c r="C1003" s="91">
        <v>0.53853836775653052</v>
      </c>
      <c r="D1003" s="92">
        <v>57</v>
      </c>
      <c r="E1003" s="93">
        <v>0.37410071942446044</v>
      </c>
      <c r="G1003" s="5"/>
      <c r="H1003" s="5"/>
      <c r="L1003" s="7"/>
      <c r="M1003" s="7"/>
      <c r="O1003" s="6"/>
      <c r="P1003" s="6"/>
      <c r="T1003" s="5"/>
      <c r="U1003" s="5"/>
    </row>
    <row r="1004" spans="2:21" x14ac:dyDescent="0.25">
      <c r="B1004" s="90">
        <v>370</v>
      </c>
      <c r="C1004" s="91">
        <v>0.54824687486819945</v>
      </c>
      <c r="D1004" s="92">
        <v>57</v>
      </c>
      <c r="E1004" s="93">
        <v>0.38129496402877699</v>
      </c>
      <c r="G1004" s="5"/>
      <c r="H1004" s="5"/>
      <c r="L1004" s="7"/>
      <c r="M1004" s="7"/>
      <c r="O1004" s="6"/>
      <c r="P1004" s="6"/>
      <c r="T1004" s="5"/>
      <c r="U1004" s="5"/>
    </row>
    <row r="1005" spans="2:21" x14ac:dyDescent="0.25">
      <c r="B1005" s="90">
        <v>490</v>
      </c>
      <c r="C1005" s="91">
        <v>0.55921978762574565</v>
      </c>
      <c r="D1005" s="92">
        <v>57</v>
      </c>
      <c r="E1005" s="93">
        <v>0.38129496402877699</v>
      </c>
      <c r="G1005" s="5"/>
      <c r="H1005" s="5"/>
      <c r="L1005" s="7"/>
      <c r="M1005" s="7"/>
      <c r="O1005" s="6"/>
      <c r="P1005" s="6"/>
      <c r="T1005" s="5"/>
      <c r="U1005" s="5"/>
    </row>
    <row r="1006" spans="2:21" x14ac:dyDescent="0.25">
      <c r="B1006" s="90">
        <v>371</v>
      </c>
      <c r="C1006" s="91">
        <v>0.56159038250036064</v>
      </c>
      <c r="D1006" s="92">
        <v>57</v>
      </c>
      <c r="E1006" s="93">
        <v>0.37410071942446044</v>
      </c>
      <c r="G1006" s="5"/>
      <c r="H1006" s="5"/>
      <c r="L1006" s="7"/>
      <c r="M1006" s="7"/>
      <c r="O1006" s="6"/>
      <c r="P1006" s="6"/>
      <c r="T1006" s="5"/>
      <c r="U1006" s="5"/>
    </row>
    <row r="1007" spans="2:21" x14ac:dyDescent="0.25">
      <c r="B1007" s="90">
        <v>372</v>
      </c>
      <c r="C1007" s="91">
        <v>0.57170444412381716</v>
      </c>
      <c r="D1007" s="92">
        <v>57</v>
      </c>
      <c r="E1007" s="93">
        <v>0.37410071942446044</v>
      </c>
      <c r="G1007" s="5"/>
      <c r="H1007" s="5"/>
      <c r="L1007" s="7"/>
      <c r="M1007" s="7"/>
      <c r="O1007" s="6"/>
      <c r="P1007" s="6"/>
      <c r="T1007" s="5"/>
      <c r="U1007" s="5"/>
    </row>
    <row r="1008" spans="2:21" x14ac:dyDescent="0.25">
      <c r="B1008" s="90">
        <v>373</v>
      </c>
      <c r="C1008" s="91">
        <v>0.57977331685318445</v>
      </c>
      <c r="D1008" s="92">
        <v>57</v>
      </c>
      <c r="E1008" s="93">
        <v>0.38129496402877699</v>
      </c>
      <c r="G1008" s="5"/>
      <c r="H1008" s="5"/>
      <c r="L1008" s="7"/>
      <c r="M1008" s="7"/>
      <c r="O1008" s="6"/>
      <c r="P1008" s="6"/>
      <c r="T1008" s="5"/>
      <c r="U1008" s="5"/>
    </row>
    <row r="1009" spans="2:21" x14ac:dyDescent="0.25">
      <c r="B1009" s="90">
        <v>1110</v>
      </c>
      <c r="C1009" s="91">
        <v>0.40501309319334111</v>
      </c>
      <c r="D1009" s="92">
        <v>58</v>
      </c>
      <c r="E1009" s="93">
        <v>0.36690647482014388</v>
      </c>
      <c r="G1009" s="5"/>
      <c r="H1009" s="5"/>
      <c r="L1009" s="7"/>
      <c r="M1009" s="7"/>
      <c r="O1009" s="6"/>
      <c r="P1009" s="6"/>
      <c r="T1009" s="5"/>
      <c r="U1009" s="5"/>
    </row>
    <row r="1010" spans="2:21" x14ac:dyDescent="0.25">
      <c r="B1010" s="90">
        <v>917</v>
      </c>
      <c r="C1010" s="91">
        <v>0.42186980521057593</v>
      </c>
      <c r="D1010" s="92">
        <v>58</v>
      </c>
      <c r="E1010" s="93">
        <v>0.36690647482014388</v>
      </c>
      <c r="G1010" s="5"/>
      <c r="H1010" s="5"/>
      <c r="L1010" s="7"/>
      <c r="M1010" s="7"/>
      <c r="O1010" s="6"/>
      <c r="P1010" s="6"/>
      <c r="T1010" s="5"/>
      <c r="U1010" s="5"/>
    </row>
    <row r="1011" spans="2:21" x14ac:dyDescent="0.25">
      <c r="B1011" s="90">
        <v>865</v>
      </c>
      <c r="C1011" s="91">
        <v>0.43576530398667934</v>
      </c>
      <c r="D1011" s="92">
        <v>58</v>
      </c>
      <c r="E1011" s="93">
        <v>0.28776978417266186</v>
      </c>
      <c r="G1011" s="5"/>
      <c r="H1011" s="5"/>
      <c r="L1011" s="7"/>
      <c r="M1011" s="7"/>
      <c r="O1011" s="6"/>
      <c r="P1011" s="6"/>
      <c r="T1011" s="5"/>
      <c r="U1011" s="5"/>
    </row>
    <row r="1012" spans="2:21" x14ac:dyDescent="0.25">
      <c r="B1012" s="90">
        <v>1017</v>
      </c>
      <c r="C1012" s="91">
        <v>0.46543519998563632</v>
      </c>
      <c r="D1012" s="92">
        <v>58</v>
      </c>
      <c r="E1012" s="93">
        <v>0.41726618705035973</v>
      </c>
      <c r="G1012" s="5"/>
      <c r="H1012" s="5"/>
      <c r="L1012" s="7"/>
      <c r="M1012" s="7"/>
      <c r="O1012" s="6"/>
      <c r="P1012" s="6"/>
      <c r="T1012" s="5"/>
      <c r="U1012" s="5"/>
    </row>
    <row r="1013" spans="2:21" x14ac:dyDescent="0.25">
      <c r="B1013" s="90">
        <v>427</v>
      </c>
      <c r="C1013" s="91">
        <v>0.50457886672111874</v>
      </c>
      <c r="D1013" s="92">
        <v>58</v>
      </c>
      <c r="E1013" s="93">
        <v>0.33093525179856115</v>
      </c>
      <c r="G1013" s="5"/>
      <c r="H1013" s="5"/>
      <c r="L1013" s="7"/>
      <c r="M1013" s="7"/>
      <c r="O1013" s="6"/>
      <c r="P1013" s="6"/>
      <c r="T1013" s="5"/>
      <c r="U1013" s="5"/>
    </row>
    <row r="1014" spans="2:21" x14ac:dyDescent="0.25">
      <c r="B1014" s="90">
        <v>712</v>
      </c>
      <c r="C1014" s="91">
        <v>0.51748980396030786</v>
      </c>
      <c r="D1014" s="92">
        <v>58</v>
      </c>
      <c r="E1014" s="93">
        <v>0.36690647482014388</v>
      </c>
      <c r="G1014" s="5"/>
      <c r="H1014" s="5"/>
      <c r="L1014" s="7"/>
      <c r="M1014" s="7"/>
      <c r="O1014" s="6"/>
      <c r="P1014" s="6"/>
      <c r="T1014" s="5"/>
      <c r="U1014" s="5"/>
    </row>
    <row r="1015" spans="2:21" x14ac:dyDescent="0.25">
      <c r="B1015" s="90">
        <v>428</v>
      </c>
      <c r="C1015" s="91">
        <v>0.53549579593357433</v>
      </c>
      <c r="D1015" s="92">
        <v>58</v>
      </c>
      <c r="E1015" s="93">
        <v>0.37410071942446044</v>
      </c>
      <c r="G1015" s="5"/>
      <c r="H1015" s="5"/>
      <c r="L1015" s="7"/>
      <c r="M1015" s="7"/>
      <c r="O1015" s="6"/>
      <c r="P1015" s="6"/>
      <c r="T1015" s="5"/>
      <c r="U1015" s="5"/>
    </row>
    <row r="1016" spans="2:21" x14ac:dyDescent="0.25">
      <c r="B1016" s="90">
        <v>429</v>
      </c>
      <c r="C1016" s="91">
        <v>0.53793469545809247</v>
      </c>
      <c r="D1016" s="92">
        <v>58</v>
      </c>
      <c r="E1016" s="93">
        <v>0.37410071942446044</v>
      </c>
      <c r="G1016" s="5"/>
      <c r="H1016" s="5"/>
      <c r="L1016" s="7"/>
      <c r="M1016" s="7"/>
      <c r="O1016" s="6"/>
      <c r="P1016" s="6"/>
      <c r="T1016" s="5"/>
      <c r="U1016" s="5"/>
    </row>
    <row r="1017" spans="2:21" x14ac:dyDescent="0.25">
      <c r="B1017" s="90">
        <v>487</v>
      </c>
      <c r="C1017" s="91">
        <v>0.53928535618449491</v>
      </c>
      <c r="D1017" s="92">
        <v>58</v>
      </c>
      <c r="E1017" s="93">
        <v>0.36690647482014388</v>
      </c>
      <c r="G1017" s="5"/>
      <c r="H1017" s="5"/>
      <c r="L1017" s="7"/>
      <c r="M1017" s="7"/>
      <c r="O1017" s="6"/>
      <c r="P1017" s="6"/>
      <c r="T1017" s="5"/>
      <c r="U1017" s="5"/>
    </row>
    <row r="1018" spans="2:21" x14ac:dyDescent="0.25">
      <c r="B1018" s="90">
        <v>488</v>
      </c>
      <c r="C1018" s="91">
        <v>0.54133455519370144</v>
      </c>
      <c r="D1018" s="92">
        <v>58</v>
      </c>
      <c r="E1018" s="93">
        <v>0.37410071942446044</v>
      </c>
      <c r="G1018" s="5"/>
      <c r="H1018" s="5"/>
      <c r="L1018" s="7"/>
      <c r="M1018" s="7"/>
      <c r="O1018" s="6"/>
      <c r="P1018" s="6"/>
      <c r="T1018" s="5"/>
      <c r="U1018" s="5"/>
    </row>
    <row r="1019" spans="2:21" x14ac:dyDescent="0.25">
      <c r="B1019" s="90">
        <v>1064</v>
      </c>
      <c r="C1019" s="91">
        <v>0.54202365425449928</v>
      </c>
      <c r="D1019" s="92">
        <v>58</v>
      </c>
      <c r="E1019" s="93">
        <v>0.1366906474820144</v>
      </c>
      <c r="G1019" s="5"/>
      <c r="H1019" s="5"/>
      <c r="L1019" s="7"/>
      <c r="M1019" s="7"/>
      <c r="O1019" s="6"/>
      <c r="P1019" s="6"/>
      <c r="T1019" s="5"/>
      <c r="U1019" s="5"/>
    </row>
    <row r="1020" spans="2:21" x14ac:dyDescent="0.25">
      <c r="B1020" s="90">
        <v>767</v>
      </c>
      <c r="C1020" s="91">
        <v>0.54538516829938144</v>
      </c>
      <c r="D1020" s="92">
        <v>58</v>
      </c>
      <c r="E1020" s="93">
        <v>0.36690647482014388</v>
      </c>
      <c r="G1020" s="5"/>
      <c r="H1020" s="5"/>
      <c r="L1020" s="7"/>
      <c r="M1020" s="7"/>
      <c r="O1020" s="6"/>
      <c r="P1020" s="6"/>
      <c r="T1020" s="5"/>
      <c r="U1020" s="5"/>
    </row>
    <row r="1021" spans="2:21" x14ac:dyDescent="0.25">
      <c r="B1021" s="90">
        <v>489</v>
      </c>
      <c r="C1021" s="91">
        <v>0.54825291454771474</v>
      </c>
      <c r="D1021" s="92">
        <v>58</v>
      </c>
      <c r="E1021" s="93">
        <v>0.38129496402877699</v>
      </c>
      <c r="G1021" s="5"/>
      <c r="H1021" s="5"/>
      <c r="L1021" s="7"/>
      <c r="M1021" s="7"/>
      <c r="O1021" s="6"/>
      <c r="P1021" s="6"/>
      <c r="T1021" s="5"/>
      <c r="U1021" s="5"/>
    </row>
    <row r="1022" spans="2:21" x14ac:dyDescent="0.25">
      <c r="B1022" s="90">
        <v>1395</v>
      </c>
      <c r="C1022" s="91">
        <v>0.54826482765943507</v>
      </c>
      <c r="D1022" s="92">
        <v>58</v>
      </c>
      <c r="E1022" s="93">
        <v>0.15107913669064749</v>
      </c>
      <c r="G1022" s="5"/>
      <c r="H1022" s="5"/>
      <c r="L1022" s="7"/>
      <c r="M1022" s="7"/>
      <c r="O1022" s="6"/>
      <c r="P1022" s="6"/>
      <c r="T1022" s="5"/>
      <c r="U1022" s="5"/>
    </row>
    <row r="1023" spans="2:21" x14ac:dyDescent="0.25">
      <c r="B1023" s="90">
        <v>307</v>
      </c>
      <c r="C1023" s="91">
        <v>0.54904384913059656</v>
      </c>
      <c r="D1023" s="92">
        <v>58</v>
      </c>
      <c r="E1023" s="93">
        <v>0.36690647482014388</v>
      </c>
      <c r="G1023" s="5"/>
      <c r="H1023" s="5"/>
      <c r="L1023" s="7"/>
      <c r="M1023" s="7"/>
      <c r="O1023" s="6"/>
      <c r="P1023" s="6"/>
      <c r="T1023" s="5"/>
      <c r="U1023" s="5"/>
    </row>
    <row r="1024" spans="2:21" x14ac:dyDescent="0.25">
      <c r="B1024" s="90">
        <v>308</v>
      </c>
      <c r="C1024" s="91">
        <v>0.55292209951727045</v>
      </c>
      <c r="D1024" s="92">
        <v>58</v>
      </c>
      <c r="E1024" s="93">
        <v>0.36690647482014388</v>
      </c>
      <c r="G1024" s="5"/>
      <c r="H1024" s="5"/>
      <c r="L1024" s="7"/>
      <c r="M1024" s="7"/>
      <c r="O1024" s="6"/>
      <c r="P1024" s="6"/>
      <c r="T1024" s="5"/>
      <c r="U1024" s="5"/>
    </row>
    <row r="1025" spans="2:21" x14ac:dyDescent="0.25">
      <c r="B1025" s="90">
        <v>713</v>
      </c>
      <c r="C1025" s="91">
        <v>0.55778719215614525</v>
      </c>
      <c r="D1025" s="92">
        <v>58</v>
      </c>
      <c r="E1025" s="93">
        <v>0.28776978417266186</v>
      </c>
      <c r="G1025" s="5"/>
      <c r="H1025" s="5"/>
      <c r="L1025" s="7"/>
      <c r="M1025" s="7"/>
      <c r="O1025" s="6"/>
      <c r="P1025" s="6"/>
      <c r="T1025" s="5"/>
      <c r="U1025" s="5"/>
    </row>
    <row r="1026" spans="2:21" x14ac:dyDescent="0.25">
      <c r="B1026" s="90">
        <v>714</v>
      </c>
      <c r="C1026" s="91">
        <v>0.56133958477025814</v>
      </c>
      <c r="D1026" s="92">
        <v>58</v>
      </c>
      <c r="E1026" s="93">
        <v>0.28776978417266186</v>
      </c>
      <c r="G1026" s="5"/>
      <c r="H1026" s="5"/>
      <c r="L1026" s="7"/>
      <c r="M1026" s="7"/>
      <c r="O1026" s="6"/>
      <c r="P1026" s="6"/>
      <c r="T1026" s="5"/>
      <c r="U1026" s="5"/>
    </row>
    <row r="1027" spans="2:21" x14ac:dyDescent="0.25">
      <c r="B1027" s="90">
        <v>432</v>
      </c>
      <c r="C1027" s="91">
        <v>0.56281067674138929</v>
      </c>
      <c r="D1027" s="92">
        <v>58</v>
      </c>
      <c r="E1027" s="93">
        <v>0.38129496402877699</v>
      </c>
      <c r="G1027" s="5"/>
      <c r="H1027" s="5"/>
      <c r="L1027" s="7"/>
      <c r="M1027" s="7"/>
      <c r="O1027" s="6"/>
      <c r="P1027" s="6"/>
      <c r="T1027" s="5"/>
      <c r="U1027" s="5"/>
    </row>
    <row r="1028" spans="2:21" x14ac:dyDescent="0.25">
      <c r="B1028" s="90">
        <v>309</v>
      </c>
      <c r="C1028" s="91">
        <v>0.56487516505137603</v>
      </c>
      <c r="D1028" s="92">
        <v>58</v>
      </c>
      <c r="E1028" s="93">
        <v>0.37410071942446044</v>
      </c>
      <c r="G1028" s="5"/>
      <c r="H1028" s="5"/>
      <c r="L1028" s="7"/>
      <c r="M1028" s="7"/>
      <c r="O1028" s="6"/>
      <c r="P1028" s="6"/>
      <c r="T1028" s="5"/>
      <c r="U1028" s="5"/>
    </row>
    <row r="1029" spans="2:21" x14ac:dyDescent="0.25">
      <c r="B1029" s="90">
        <v>491</v>
      </c>
      <c r="C1029" s="91">
        <v>0.56918771491695208</v>
      </c>
      <c r="D1029" s="92">
        <v>58</v>
      </c>
      <c r="E1029" s="93">
        <v>0.37410071942446044</v>
      </c>
      <c r="G1029" s="5"/>
      <c r="H1029" s="5"/>
      <c r="L1029" s="7"/>
      <c r="M1029" s="7"/>
      <c r="O1029" s="6"/>
      <c r="P1029" s="6"/>
      <c r="T1029" s="5"/>
      <c r="U1029" s="5"/>
    </row>
    <row r="1030" spans="2:21" x14ac:dyDescent="0.25">
      <c r="B1030" s="90">
        <v>658</v>
      </c>
      <c r="C1030" s="91">
        <v>0.56956518021279179</v>
      </c>
      <c r="D1030" s="92">
        <v>58</v>
      </c>
      <c r="E1030" s="93">
        <v>0.28776978417266186</v>
      </c>
      <c r="G1030" s="5"/>
      <c r="H1030" s="5"/>
      <c r="L1030" s="7"/>
      <c r="M1030" s="7"/>
      <c r="O1030" s="6"/>
      <c r="P1030" s="6"/>
      <c r="T1030" s="5"/>
      <c r="U1030" s="5"/>
    </row>
    <row r="1031" spans="2:21" x14ac:dyDescent="0.25">
      <c r="B1031" s="90">
        <v>659</v>
      </c>
      <c r="C1031" s="91">
        <v>0.57218880688713891</v>
      </c>
      <c r="D1031" s="92">
        <v>58</v>
      </c>
      <c r="E1031" s="93">
        <v>0.28776978417266186</v>
      </c>
      <c r="G1031" s="5"/>
      <c r="H1031" s="5"/>
      <c r="L1031" s="7"/>
      <c r="M1031" s="7"/>
      <c r="O1031" s="6"/>
      <c r="P1031" s="6"/>
      <c r="T1031" s="5"/>
      <c r="U1031" s="5"/>
    </row>
    <row r="1032" spans="2:21" x14ac:dyDescent="0.25">
      <c r="B1032" s="90">
        <v>310</v>
      </c>
      <c r="C1032" s="91">
        <v>0.57938504794663614</v>
      </c>
      <c r="D1032" s="92">
        <v>58</v>
      </c>
      <c r="E1032" s="93">
        <v>0.37410071942446044</v>
      </c>
      <c r="G1032" s="5"/>
      <c r="H1032" s="5"/>
      <c r="L1032" s="7"/>
      <c r="M1032" s="7"/>
      <c r="O1032" s="6"/>
      <c r="P1032" s="6"/>
      <c r="T1032" s="5"/>
      <c r="U1032" s="5"/>
    </row>
    <row r="1033" spans="2:21" x14ac:dyDescent="0.25">
      <c r="B1033" s="90">
        <v>660</v>
      </c>
      <c r="C1033" s="91">
        <v>0.58060862029485516</v>
      </c>
      <c r="D1033" s="92">
        <v>58</v>
      </c>
      <c r="E1033" s="93">
        <v>0.35251798561151076</v>
      </c>
      <c r="G1033" s="5"/>
      <c r="H1033" s="5"/>
      <c r="L1033" s="7"/>
      <c r="M1033" s="7"/>
      <c r="O1033" s="6"/>
      <c r="P1033" s="6"/>
      <c r="T1033" s="5"/>
      <c r="U1033" s="5"/>
    </row>
    <row r="1034" spans="2:21" x14ac:dyDescent="0.25">
      <c r="B1034" s="90">
        <v>311</v>
      </c>
      <c r="C1034" s="91">
        <v>0.58934301657996979</v>
      </c>
      <c r="D1034" s="92">
        <v>58</v>
      </c>
      <c r="E1034" s="93">
        <v>0.30215827338129497</v>
      </c>
      <c r="G1034" s="5"/>
      <c r="H1034" s="5"/>
      <c r="L1034" s="7"/>
      <c r="M1034" s="7"/>
      <c r="O1034" s="6"/>
      <c r="P1034" s="6"/>
      <c r="T1034" s="5"/>
      <c r="U1034" s="5"/>
    </row>
    <row r="1035" spans="2:21" x14ac:dyDescent="0.25">
      <c r="B1035" s="90">
        <v>870</v>
      </c>
      <c r="C1035" s="91">
        <v>0.59264114789215872</v>
      </c>
      <c r="D1035" s="92">
        <v>58</v>
      </c>
      <c r="E1035" s="93">
        <v>0.11510791366906475</v>
      </c>
      <c r="G1035" s="5"/>
      <c r="H1035" s="5"/>
      <c r="L1035" s="7"/>
      <c r="M1035" s="7"/>
      <c r="O1035" s="6"/>
      <c r="P1035" s="6"/>
      <c r="T1035" s="5"/>
      <c r="U1035" s="5"/>
    </row>
    <row r="1036" spans="2:21" x14ac:dyDescent="0.25">
      <c r="B1036" s="90">
        <v>374</v>
      </c>
      <c r="C1036" s="91">
        <v>0.62635108245030757</v>
      </c>
      <c r="D1036" s="92">
        <v>58</v>
      </c>
      <c r="E1036" s="93">
        <v>0.28776978417266186</v>
      </c>
      <c r="G1036" s="5"/>
      <c r="H1036" s="5"/>
      <c r="L1036" s="7"/>
      <c r="M1036" s="7"/>
      <c r="O1036" s="6"/>
      <c r="P1036" s="6"/>
      <c r="T1036" s="5"/>
      <c r="U1036" s="5"/>
    </row>
    <row r="1037" spans="2:21" x14ac:dyDescent="0.25">
      <c r="B1037" s="90">
        <v>375</v>
      </c>
      <c r="C1037" s="91">
        <v>0.62986075369719075</v>
      </c>
      <c r="D1037" s="92">
        <v>58</v>
      </c>
      <c r="E1037" s="93">
        <v>0.28776978417266186</v>
      </c>
      <c r="G1037" s="5"/>
      <c r="H1037" s="5"/>
      <c r="L1037" s="7"/>
      <c r="M1037" s="7"/>
      <c r="O1037" s="6"/>
      <c r="P1037" s="6"/>
      <c r="T1037" s="5"/>
      <c r="U1037" s="5"/>
    </row>
    <row r="1038" spans="2:21" x14ac:dyDescent="0.25">
      <c r="B1038" s="90">
        <v>313</v>
      </c>
      <c r="C1038" s="91">
        <v>0.64144600315188172</v>
      </c>
      <c r="D1038" s="92">
        <v>58</v>
      </c>
      <c r="E1038" s="93">
        <v>0.23021582733812951</v>
      </c>
      <c r="G1038" s="5"/>
      <c r="H1038" s="5"/>
      <c r="L1038" s="7"/>
      <c r="M1038" s="7"/>
      <c r="O1038" s="6"/>
      <c r="P1038" s="6"/>
      <c r="T1038" s="5"/>
      <c r="U1038" s="5"/>
    </row>
    <row r="1039" spans="2:21" x14ac:dyDescent="0.25">
      <c r="B1039" s="90">
        <v>1432</v>
      </c>
      <c r="C1039" s="91">
        <v>1.2811856921652232</v>
      </c>
      <c r="D1039" s="92">
        <v>58</v>
      </c>
      <c r="E1039" s="93">
        <v>0.14388489208633093</v>
      </c>
      <c r="G1039" s="5"/>
      <c r="H1039" s="5"/>
      <c r="L1039" s="7"/>
      <c r="M1039" s="7"/>
      <c r="O1039" s="6"/>
      <c r="P1039" s="6"/>
      <c r="T1039" s="5"/>
      <c r="U1039" s="5"/>
    </row>
    <row r="1040" spans="2:21" x14ac:dyDescent="0.25">
      <c r="B1040" s="90">
        <v>1433</v>
      </c>
      <c r="C1040" s="91">
        <v>1.341429822178918</v>
      </c>
      <c r="D1040" s="92">
        <v>58</v>
      </c>
      <c r="E1040" s="93">
        <v>0.14388489208633093</v>
      </c>
      <c r="G1040" s="5"/>
      <c r="H1040" s="5"/>
      <c r="L1040" s="7"/>
      <c r="M1040" s="7"/>
      <c r="O1040" s="6"/>
      <c r="P1040" s="6"/>
      <c r="T1040" s="5"/>
      <c r="U1040" s="5"/>
    </row>
    <row r="1041" spans="2:21" x14ac:dyDescent="0.25">
      <c r="B1041" s="90">
        <v>1434</v>
      </c>
      <c r="C1041" s="91">
        <v>1.3755056760493618</v>
      </c>
      <c r="D1041" s="92">
        <v>58</v>
      </c>
      <c r="E1041" s="93">
        <v>0.15107913669064749</v>
      </c>
      <c r="G1041" s="5"/>
      <c r="H1041" s="5"/>
      <c r="L1041" s="7"/>
      <c r="M1041" s="7"/>
      <c r="O1041" s="6"/>
      <c r="P1041" s="6"/>
      <c r="T1041" s="5"/>
      <c r="U1041" s="5"/>
    </row>
    <row r="1042" spans="2:21" x14ac:dyDescent="0.25">
      <c r="B1042" s="90">
        <v>1226</v>
      </c>
      <c r="C1042" s="91">
        <v>3.4774135952831298E-2</v>
      </c>
      <c r="D1042" s="92">
        <v>59</v>
      </c>
      <c r="E1042" s="93">
        <v>0.38129496402877699</v>
      </c>
      <c r="G1042" s="5"/>
      <c r="H1042" s="5"/>
      <c r="L1042" s="7"/>
      <c r="M1042" s="7"/>
      <c r="O1042" s="6"/>
      <c r="P1042" s="6"/>
      <c r="T1042" s="5"/>
      <c r="U1042" s="5"/>
    </row>
    <row r="1043" spans="2:21" x14ac:dyDescent="0.25">
      <c r="B1043" s="90">
        <v>1181</v>
      </c>
      <c r="C1043" s="91">
        <v>4.0986882953728876E-2</v>
      </c>
      <c r="D1043" s="92">
        <v>59</v>
      </c>
      <c r="E1043" s="93">
        <v>0.46762589928057552</v>
      </c>
      <c r="G1043" s="5"/>
      <c r="H1043" s="5"/>
      <c r="L1043" s="7"/>
      <c r="M1043" s="7"/>
      <c r="O1043" s="6"/>
      <c r="P1043" s="6"/>
      <c r="T1043" s="5"/>
      <c r="U1043" s="5"/>
    </row>
    <row r="1044" spans="2:21" x14ac:dyDescent="0.25">
      <c r="B1044" s="90">
        <v>1229</v>
      </c>
      <c r="C1044" s="91">
        <v>4.2082864806208375E-2</v>
      </c>
      <c r="D1044" s="92">
        <v>59</v>
      </c>
      <c r="E1044" s="93">
        <v>0.53237410071942448</v>
      </c>
      <c r="G1044" s="5"/>
      <c r="H1044" s="5"/>
      <c r="L1044" s="7"/>
      <c r="M1044" s="7"/>
      <c r="O1044" s="6"/>
      <c r="P1044" s="6"/>
      <c r="T1044" s="5"/>
      <c r="U1044" s="5"/>
    </row>
    <row r="1045" spans="2:21" x14ac:dyDescent="0.25">
      <c r="B1045" s="90">
        <v>1225</v>
      </c>
      <c r="C1045" s="91">
        <v>4.2713691675938525E-2</v>
      </c>
      <c r="D1045" s="92">
        <v>59</v>
      </c>
      <c r="E1045" s="93">
        <v>0.38129496402877699</v>
      </c>
      <c r="G1045" s="5"/>
      <c r="H1045" s="5"/>
      <c r="L1045" s="7"/>
      <c r="M1045" s="7"/>
      <c r="O1045" s="6"/>
      <c r="P1045" s="6"/>
      <c r="T1045" s="5"/>
      <c r="U1045" s="5"/>
    </row>
    <row r="1046" spans="2:21" x14ac:dyDescent="0.25">
      <c r="B1046" s="90">
        <v>1182</v>
      </c>
      <c r="C1046" s="91">
        <v>4.2987771724561141E-2</v>
      </c>
      <c r="D1046" s="92">
        <v>59</v>
      </c>
      <c r="E1046" s="93">
        <v>0.46762589928057552</v>
      </c>
      <c r="G1046" s="5"/>
      <c r="H1046" s="5"/>
      <c r="L1046" s="7"/>
      <c r="M1046" s="7"/>
      <c r="O1046" s="6"/>
      <c r="P1046" s="6"/>
      <c r="T1046" s="5"/>
      <c r="U1046" s="5"/>
    </row>
    <row r="1047" spans="2:21" x14ac:dyDescent="0.25">
      <c r="B1047" s="90">
        <v>1944</v>
      </c>
      <c r="C1047" s="91">
        <v>4.3810374997371171E-2</v>
      </c>
      <c r="D1047" s="92">
        <v>59</v>
      </c>
      <c r="E1047" s="93">
        <v>0.34532374100719426</v>
      </c>
      <c r="G1047" s="5"/>
      <c r="H1047" s="5"/>
      <c r="L1047" s="7"/>
      <c r="M1047" s="7"/>
      <c r="O1047" s="6"/>
      <c r="P1047" s="6"/>
      <c r="T1047" s="5"/>
      <c r="U1047" s="5"/>
    </row>
    <row r="1048" spans="2:21" x14ac:dyDescent="0.25">
      <c r="B1048" s="90">
        <v>1268</v>
      </c>
      <c r="C1048" s="91">
        <v>7.2491288056022007E-2</v>
      </c>
      <c r="D1048" s="92">
        <v>59</v>
      </c>
      <c r="E1048" s="93">
        <v>0.53956834532374098</v>
      </c>
      <c r="G1048" s="5"/>
      <c r="H1048" s="5"/>
      <c r="L1048" s="7"/>
      <c r="M1048" s="7"/>
      <c r="O1048" s="6"/>
      <c r="P1048" s="6"/>
      <c r="T1048" s="5"/>
      <c r="U1048" s="5"/>
    </row>
    <row r="1049" spans="2:21" x14ac:dyDescent="0.25">
      <c r="B1049" s="90">
        <v>946</v>
      </c>
      <c r="C1049" s="91">
        <v>7.3179811630295299E-2</v>
      </c>
      <c r="D1049" s="92">
        <v>59</v>
      </c>
      <c r="E1049" s="93">
        <v>0.57553956834532372</v>
      </c>
      <c r="G1049" s="5"/>
      <c r="H1049" s="5"/>
      <c r="L1049" s="7"/>
      <c r="M1049" s="7"/>
      <c r="O1049" s="6"/>
      <c r="P1049" s="6"/>
      <c r="T1049" s="5"/>
      <c r="U1049" s="5"/>
    </row>
    <row r="1050" spans="2:21" x14ac:dyDescent="0.25">
      <c r="B1050" s="90">
        <v>686</v>
      </c>
      <c r="C1050" s="91">
        <v>8.2526160327601517E-2</v>
      </c>
      <c r="D1050" s="92">
        <v>59</v>
      </c>
      <c r="E1050" s="93">
        <v>0.57553956834532372</v>
      </c>
      <c r="G1050" s="5"/>
      <c r="H1050" s="5"/>
      <c r="L1050" s="7"/>
      <c r="M1050" s="7"/>
      <c r="O1050" s="6"/>
      <c r="P1050" s="6"/>
      <c r="T1050" s="5"/>
      <c r="U1050" s="5"/>
    </row>
    <row r="1051" spans="2:21" x14ac:dyDescent="0.25">
      <c r="B1051" s="90">
        <v>793</v>
      </c>
      <c r="C1051" s="91">
        <v>8.6845200639890541E-2</v>
      </c>
      <c r="D1051" s="92">
        <v>59</v>
      </c>
      <c r="E1051" s="93">
        <v>0.57553956834532372</v>
      </c>
      <c r="G1051" s="5"/>
      <c r="H1051" s="5"/>
      <c r="L1051" s="7"/>
      <c r="M1051" s="7"/>
      <c r="O1051" s="6"/>
      <c r="P1051" s="6"/>
      <c r="T1051" s="5"/>
      <c r="U1051" s="5"/>
    </row>
    <row r="1052" spans="2:21" x14ac:dyDescent="0.25">
      <c r="B1052" s="90">
        <v>740</v>
      </c>
      <c r="C1052" s="91">
        <v>8.7083613002270077E-2</v>
      </c>
      <c r="D1052" s="92">
        <v>59</v>
      </c>
      <c r="E1052" s="93">
        <v>0.57553956834532372</v>
      </c>
      <c r="G1052" s="5"/>
      <c r="H1052" s="5"/>
      <c r="L1052" s="7"/>
      <c r="M1052" s="7"/>
      <c r="O1052" s="6"/>
      <c r="P1052" s="6"/>
      <c r="T1052" s="5"/>
      <c r="U1052" s="5"/>
    </row>
    <row r="1053" spans="2:21" x14ac:dyDescent="0.25">
      <c r="B1053" s="90">
        <v>896</v>
      </c>
      <c r="C1053" s="91">
        <v>8.9289832869277275E-2</v>
      </c>
      <c r="D1053" s="92">
        <v>59</v>
      </c>
      <c r="E1053" s="93">
        <v>0.64748201438848918</v>
      </c>
      <c r="G1053" s="5"/>
      <c r="H1053" s="5"/>
      <c r="L1053" s="7"/>
      <c r="M1053" s="7"/>
      <c r="O1053" s="6"/>
      <c r="P1053" s="6"/>
      <c r="T1053" s="5"/>
      <c r="U1053" s="5"/>
    </row>
    <row r="1054" spans="2:21" x14ac:dyDescent="0.25">
      <c r="B1054" s="90">
        <v>1228</v>
      </c>
      <c r="C1054" s="91">
        <v>9.0979700198437818E-2</v>
      </c>
      <c r="D1054" s="92">
        <v>59</v>
      </c>
      <c r="E1054" s="93">
        <v>0.5467625899280576</v>
      </c>
      <c r="G1054" s="5"/>
      <c r="H1054" s="5"/>
      <c r="L1054" s="7"/>
      <c r="M1054" s="7"/>
      <c r="O1054" s="6"/>
      <c r="P1054" s="6"/>
      <c r="T1054" s="5"/>
      <c r="U1054" s="5"/>
    </row>
    <row r="1055" spans="2:21" x14ac:dyDescent="0.25">
      <c r="B1055" s="90">
        <v>845</v>
      </c>
      <c r="C1055" s="91">
        <v>9.2328057092273985E-2</v>
      </c>
      <c r="D1055" s="92">
        <v>59</v>
      </c>
      <c r="E1055" s="93">
        <v>0.64748201438848918</v>
      </c>
      <c r="G1055" s="5"/>
      <c r="H1055" s="5"/>
      <c r="L1055" s="7"/>
      <c r="M1055" s="7"/>
      <c r="O1055" s="6"/>
      <c r="P1055" s="6"/>
      <c r="T1055" s="5"/>
      <c r="U1055" s="5"/>
    </row>
    <row r="1056" spans="2:21" x14ac:dyDescent="0.25">
      <c r="B1056" s="90">
        <v>632</v>
      </c>
      <c r="C1056" s="91">
        <v>9.4699724246433359E-2</v>
      </c>
      <c r="D1056" s="92">
        <v>59</v>
      </c>
      <c r="E1056" s="93">
        <v>0.57553956834532372</v>
      </c>
      <c r="G1056" s="5"/>
      <c r="H1056" s="5"/>
      <c r="L1056" s="7"/>
      <c r="M1056" s="7"/>
      <c r="O1056" s="6"/>
      <c r="P1056" s="6"/>
      <c r="T1056" s="5"/>
      <c r="U1056" s="5"/>
    </row>
    <row r="1057" spans="2:21" x14ac:dyDescent="0.25">
      <c r="B1057" s="90">
        <v>1709</v>
      </c>
      <c r="C1057" s="91">
        <v>9.4712352044751258E-2</v>
      </c>
      <c r="D1057" s="92">
        <v>59</v>
      </c>
      <c r="E1057" s="93">
        <v>0.32374100719424459</v>
      </c>
      <c r="G1057" s="5"/>
      <c r="H1057" s="5"/>
      <c r="L1057" s="7"/>
      <c r="M1057" s="7"/>
      <c r="O1057" s="6"/>
      <c r="P1057" s="6"/>
      <c r="T1057" s="5"/>
      <c r="U1057" s="5"/>
    </row>
    <row r="1058" spans="2:21" x14ac:dyDescent="0.25">
      <c r="B1058" s="90">
        <v>687</v>
      </c>
      <c r="C1058" s="91">
        <v>9.6414208485211983E-2</v>
      </c>
      <c r="D1058" s="92">
        <v>59</v>
      </c>
      <c r="E1058" s="93">
        <v>0.57553956834532372</v>
      </c>
      <c r="G1058" s="5"/>
      <c r="H1058" s="5"/>
      <c r="L1058" s="7"/>
      <c r="M1058" s="7"/>
      <c r="O1058" s="6"/>
      <c r="P1058" s="6"/>
      <c r="T1058" s="5"/>
      <c r="U1058" s="5"/>
    </row>
    <row r="1059" spans="2:21" x14ac:dyDescent="0.25">
      <c r="B1059" s="90">
        <v>1227</v>
      </c>
      <c r="C1059" s="91">
        <v>9.8293134183195185E-2</v>
      </c>
      <c r="D1059" s="92">
        <v>59</v>
      </c>
      <c r="E1059" s="93">
        <v>0.5467625899280576</v>
      </c>
      <c r="G1059" s="5"/>
      <c r="H1059" s="5"/>
      <c r="L1059" s="7"/>
      <c r="M1059" s="7"/>
      <c r="O1059" s="6"/>
      <c r="P1059" s="6"/>
      <c r="T1059" s="5"/>
      <c r="U1059" s="5"/>
    </row>
    <row r="1060" spans="2:21" x14ac:dyDescent="0.25">
      <c r="B1060" s="90">
        <v>794</v>
      </c>
      <c r="C1060" s="91">
        <v>0.10091060041462185</v>
      </c>
      <c r="D1060" s="92">
        <v>59</v>
      </c>
      <c r="E1060" s="93">
        <v>0.64748201438848918</v>
      </c>
      <c r="G1060" s="5"/>
      <c r="H1060" s="5"/>
      <c r="L1060" s="7"/>
      <c r="M1060" s="7"/>
      <c r="O1060" s="6"/>
      <c r="P1060" s="6"/>
      <c r="T1060" s="5"/>
      <c r="U1060" s="5"/>
    </row>
    <row r="1061" spans="2:21" x14ac:dyDescent="0.25">
      <c r="B1061" s="90">
        <v>741</v>
      </c>
      <c r="C1061" s="91">
        <v>0.10113673411141133</v>
      </c>
      <c r="D1061" s="92">
        <v>59</v>
      </c>
      <c r="E1061" s="93">
        <v>0.64748201438848918</v>
      </c>
      <c r="G1061" s="5"/>
      <c r="H1061" s="5"/>
      <c r="L1061" s="7"/>
      <c r="M1061" s="7"/>
      <c r="O1061" s="6"/>
      <c r="P1061" s="6"/>
      <c r="T1061" s="5"/>
      <c r="U1061" s="5"/>
    </row>
    <row r="1062" spans="2:21" x14ac:dyDescent="0.25">
      <c r="B1062" s="90">
        <v>280</v>
      </c>
      <c r="C1062" s="91">
        <v>0.10569783051600479</v>
      </c>
      <c r="D1062" s="92">
        <v>59</v>
      </c>
      <c r="E1062" s="93">
        <v>0.60431654676258995</v>
      </c>
      <c r="G1062" s="5"/>
      <c r="H1062" s="5"/>
      <c r="L1062" s="7"/>
      <c r="M1062" s="7"/>
      <c r="O1062" s="6"/>
      <c r="P1062" s="6"/>
      <c r="T1062" s="5"/>
      <c r="U1062" s="5"/>
    </row>
    <row r="1063" spans="2:21" x14ac:dyDescent="0.25">
      <c r="B1063" s="90">
        <v>846</v>
      </c>
      <c r="C1063" s="91">
        <v>0.10638424799375668</v>
      </c>
      <c r="D1063" s="92">
        <v>59</v>
      </c>
      <c r="E1063" s="93">
        <v>0.64748201438848918</v>
      </c>
      <c r="G1063" s="5"/>
      <c r="H1063" s="5"/>
      <c r="L1063" s="7"/>
      <c r="M1063" s="7"/>
      <c r="O1063" s="6"/>
      <c r="P1063" s="6"/>
      <c r="T1063" s="5"/>
      <c r="U1063" s="5"/>
    </row>
    <row r="1064" spans="2:21" x14ac:dyDescent="0.25">
      <c r="B1064" s="90">
        <v>341</v>
      </c>
      <c r="C1064" s="91">
        <v>0.11385059416414833</v>
      </c>
      <c r="D1064" s="92">
        <v>59</v>
      </c>
      <c r="E1064" s="93">
        <v>0.60431654676258995</v>
      </c>
      <c r="G1064" s="5"/>
      <c r="H1064" s="5"/>
      <c r="L1064" s="7"/>
      <c r="M1064" s="7"/>
      <c r="O1064" s="6"/>
      <c r="P1064" s="6"/>
      <c r="T1064" s="5"/>
      <c r="U1064" s="5"/>
    </row>
    <row r="1065" spans="2:21" x14ac:dyDescent="0.25">
      <c r="B1065" s="90">
        <v>1185</v>
      </c>
      <c r="C1065" s="91">
        <v>0.12242889159766013</v>
      </c>
      <c r="D1065" s="92">
        <v>59</v>
      </c>
      <c r="E1065" s="93">
        <v>0.64028776978417268</v>
      </c>
      <c r="G1065" s="5"/>
      <c r="H1065" s="5"/>
      <c r="L1065" s="7"/>
      <c r="M1065" s="7"/>
      <c r="O1065" s="6"/>
      <c r="P1065" s="6"/>
      <c r="T1065" s="5"/>
      <c r="U1065" s="5"/>
    </row>
    <row r="1066" spans="2:21" x14ac:dyDescent="0.25">
      <c r="B1066" s="90">
        <v>1136</v>
      </c>
      <c r="C1066" s="91">
        <v>0.12457000158008946</v>
      </c>
      <c r="D1066" s="92">
        <v>59</v>
      </c>
      <c r="E1066" s="93">
        <v>0.64748201438848918</v>
      </c>
      <c r="G1066" s="5"/>
      <c r="H1066" s="5"/>
      <c r="L1066" s="7"/>
      <c r="M1066" s="7"/>
      <c r="O1066" s="6"/>
      <c r="P1066" s="6"/>
      <c r="T1066" s="5"/>
      <c r="U1066" s="5"/>
    </row>
    <row r="1067" spans="2:21" x14ac:dyDescent="0.25">
      <c r="B1067" s="90">
        <v>1090</v>
      </c>
      <c r="C1067" s="91">
        <v>0.12725086564635757</v>
      </c>
      <c r="D1067" s="92">
        <v>59</v>
      </c>
      <c r="E1067" s="93">
        <v>0.64748201438848918</v>
      </c>
      <c r="G1067" s="5"/>
      <c r="H1067" s="5"/>
      <c r="L1067" s="7"/>
      <c r="M1067" s="7"/>
      <c r="O1067" s="6"/>
      <c r="P1067" s="6"/>
      <c r="T1067" s="5"/>
      <c r="U1067" s="5"/>
    </row>
    <row r="1068" spans="2:21" x14ac:dyDescent="0.25">
      <c r="B1068" s="90">
        <v>1137</v>
      </c>
      <c r="C1068" s="91">
        <v>0.13913049064592231</v>
      </c>
      <c r="D1068" s="92">
        <v>59</v>
      </c>
      <c r="E1068" s="93">
        <v>0.65467625899280579</v>
      </c>
      <c r="G1068" s="5"/>
      <c r="H1068" s="5"/>
      <c r="L1068" s="7"/>
      <c r="M1068" s="7"/>
      <c r="O1068" s="6"/>
      <c r="P1068" s="6"/>
      <c r="T1068" s="5"/>
      <c r="U1068" s="5"/>
    </row>
    <row r="1069" spans="2:21" x14ac:dyDescent="0.25">
      <c r="B1069" s="90">
        <v>1476</v>
      </c>
      <c r="C1069" s="91">
        <v>0.13975992954467653</v>
      </c>
      <c r="D1069" s="92">
        <v>59</v>
      </c>
      <c r="E1069" s="93">
        <v>0.49640287769784175</v>
      </c>
      <c r="G1069" s="5"/>
      <c r="H1069" s="5"/>
      <c r="L1069" s="7"/>
      <c r="M1069" s="7"/>
      <c r="O1069" s="6"/>
      <c r="P1069" s="6"/>
      <c r="T1069" s="5"/>
      <c r="U1069" s="5"/>
    </row>
    <row r="1070" spans="2:21" x14ac:dyDescent="0.25">
      <c r="B1070" s="90">
        <v>1475</v>
      </c>
      <c r="C1070" s="91">
        <v>0.14103518735557175</v>
      </c>
      <c r="D1070" s="92">
        <v>59</v>
      </c>
      <c r="E1070" s="93">
        <v>0.57553956834532372</v>
      </c>
      <c r="G1070" s="5"/>
      <c r="H1070" s="5"/>
      <c r="L1070" s="7"/>
      <c r="M1070" s="7"/>
      <c r="O1070" s="6"/>
      <c r="P1070" s="6"/>
      <c r="T1070" s="5"/>
      <c r="U1070" s="5"/>
    </row>
    <row r="1071" spans="2:21" x14ac:dyDescent="0.25">
      <c r="B1071" s="90">
        <v>1044</v>
      </c>
      <c r="C1071" s="91">
        <v>0.14139578054404645</v>
      </c>
      <c r="D1071" s="92">
        <v>59</v>
      </c>
      <c r="E1071" s="93">
        <v>0.65467625899280579</v>
      </c>
      <c r="G1071" s="5"/>
      <c r="H1071" s="5"/>
      <c r="L1071" s="7"/>
      <c r="M1071" s="7"/>
      <c r="O1071" s="6"/>
      <c r="P1071" s="6"/>
      <c r="T1071" s="5"/>
      <c r="U1071" s="5"/>
    </row>
    <row r="1072" spans="2:21" x14ac:dyDescent="0.25">
      <c r="B1072" s="90">
        <v>1091</v>
      </c>
      <c r="C1072" s="91">
        <v>0.14179422121988483</v>
      </c>
      <c r="D1072" s="92">
        <v>59</v>
      </c>
      <c r="E1072" s="93">
        <v>0.65467625899280579</v>
      </c>
      <c r="G1072" s="5"/>
      <c r="H1072" s="5"/>
      <c r="L1072" s="7"/>
      <c r="M1072" s="7"/>
      <c r="O1072" s="6"/>
      <c r="P1072" s="6"/>
      <c r="T1072" s="5"/>
      <c r="U1072" s="5"/>
    </row>
    <row r="1073" spans="2:21" x14ac:dyDescent="0.25">
      <c r="B1073" s="90">
        <v>950</v>
      </c>
      <c r="C1073" s="91">
        <v>0.14206278255149751</v>
      </c>
      <c r="D1073" s="92">
        <v>59</v>
      </c>
      <c r="E1073" s="93">
        <v>0.53956834532374098</v>
      </c>
      <c r="G1073" s="5"/>
      <c r="H1073" s="5"/>
      <c r="L1073" s="7"/>
      <c r="M1073" s="7"/>
      <c r="O1073" s="6"/>
      <c r="P1073" s="6"/>
      <c r="T1073" s="5"/>
      <c r="U1073" s="5"/>
    </row>
    <row r="1074" spans="2:21" x14ac:dyDescent="0.25">
      <c r="B1074" s="90">
        <v>1151</v>
      </c>
      <c r="C1074" s="91">
        <v>0.15016058965654455</v>
      </c>
      <c r="D1074" s="92">
        <v>59</v>
      </c>
      <c r="E1074" s="93">
        <v>0.32374100719424459</v>
      </c>
      <c r="G1074" s="5"/>
      <c r="H1074" s="5"/>
      <c r="L1074" s="7"/>
      <c r="M1074" s="7"/>
      <c r="O1074" s="6"/>
      <c r="P1074" s="6"/>
      <c r="T1074" s="5"/>
      <c r="U1074" s="5"/>
    </row>
    <row r="1075" spans="2:21" x14ac:dyDescent="0.25">
      <c r="B1075" s="90">
        <v>284</v>
      </c>
      <c r="C1075" s="91">
        <v>0.15176833469622952</v>
      </c>
      <c r="D1075" s="92">
        <v>59</v>
      </c>
      <c r="E1075" s="93">
        <v>0.56834532374100721</v>
      </c>
      <c r="G1075" s="5"/>
      <c r="H1075" s="5"/>
      <c r="L1075" s="7"/>
      <c r="M1075" s="7"/>
      <c r="O1075" s="6"/>
      <c r="P1075" s="6"/>
      <c r="T1075" s="5"/>
      <c r="U1075" s="5"/>
    </row>
    <row r="1076" spans="2:21" x14ac:dyDescent="0.25">
      <c r="B1076" s="90">
        <v>744</v>
      </c>
      <c r="C1076" s="91">
        <v>0.15214013057849818</v>
      </c>
      <c r="D1076" s="92">
        <v>59</v>
      </c>
      <c r="E1076" s="93">
        <v>0.53237410071942448</v>
      </c>
      <c r="G1076" s="5"/>
      <c r="H1076" s="5"/>
      <c r="L1076" s="7"/>
      <c r="M1076" s="7"/>
      <c r="O1076" s="6"/>
      <c r="P1076" s="6"/>
      <c r="T1076" s="5"/>
      <c r="U1076" s="5"/>
    </row>
    <row r="1077" spans="2:21" x14ac:dyDescent="0.25">
      <c r="B1077" s="90">
        <v>797</v>
      </c>
      <c r="C1077" s="91">
        <v>0.15437625770884966</v>
      </c>
      <c r="D1077" s="92">
        <v>59</v>
      </c>
      <c r="E1077" s="93">
        <v>0.53237410071942448</v>
      </c>
      <c r="G1077" s="5"/>
      <c r="H1077" s="5"/>
      <c r="L1077" s="7"/>
      <c r="M1077" s="7"/>
      <c r="O1077" s="6"/>
      <c r="P1077" s="6"/>
      <c r="T1077" s="5"/>
      <c r="U1077" s="5"/>
    </row>
    <row r="1078" spans="2:21" x14ac:dyDescent="0.25">
      <c r="B1078" s="90">
        <v>345</v>
      </c>
      <c r="C1078" s="91">
        <v>0.16166301106778236</v>
      </c>
      <c r="D1078" s="92">
        <v>59</v>
      </c>
      <c r="E1078" s="93">
        <v>0.5611510791366906</v>
      </c>
      <c r="G1078" s="5"/>
      <c r="H1078" s="5"/>
      <c r="L1078" s="7"/>
      <c r="M1078" s="7"/>
      <c r="O1078" s="6"/>
      <c r="P1078" s="6"/>
      <c r="T1078" s="5"/>
      <c r="U1078" s="5"/>
    </row>
    <row r="1079" spans="2:21" x14ac:dyDescent="0.25">
      <c r="B1079" s="90">
        <v>900</v>
      </c>
      <c r="C1079" s="91">
        <v>0.16263513276236652</v>
      </c>
      <c r="D1079" s="92">
        <v>59</v>
      </c>
      <c r="E1079" s="93">
        <v>0.53237410071942448</v>
      </c>
      <c r="G1079" s="5"/>
      <c r="H1079" s="5"/>
      <c r="L1079" s="7"/>
      <c r="M1079" s="7"/>
      <c r="O1079" s="6"/>
      <c r="P1079" s="6"/>
      <c r="T1079" s="5"/>
      <c r="U1079" s="5"/>
    </row>
    <row r="1080" spans="2:21" x14ac:dyDescent="0.25">
      <c r="B1080" s="90">
        <v>1150</v>
      </c>
      <c r="C1080" s="91">
        <v>0.16523756344032592</v>
      </c>
      <c r="D1080" s="92">
        <v>59</v>
      </c>
      <c r="E1080" s="93">
        <v>0.4460431654676259</v>
      </c>
      <c r="G1080" s="5"/>
      <c r="H1080" s="5"/>
      <c r="L1080" s="7"/>
      <c r="M1080" s="7"/>
      <c r="O1080" s="6"/>
      <c r="P1080" s="6"/>
      <c r="T1080" s="5"/>
      <c r="U1080" s="5"/>
    </row>
    <row r="1081" spans="2:21" x14ac:dyDescent="0.25">
      <c r="B1081" s="90">
        <v>849</v>
      </c>
      <c r="C1081" s="91">
        <v>0.16582761039760952</v>
      </c>
      <c r="D1081" s="92">
        <v>59</v>
      </c>
      <c r="E1081" s="93">
        <v>0.53237410071942448</v>
      </c>
      <c r="G1081" s="5"/>
      <c r="H1081" s="5"/>
      <c r="L1081" s="7"/>
      <c r="M1081" s="7"/>
      <c r="O1081" s="6"/>
      <c r="P1081" s="6"/>
      <c r="T1081" s="5"/>
      <c r="U1081" s="5"/>
    </row>
    <row r="1082" spans="2:21" x14ac:dyDescent="0.25">
      <c r="B1082" s="90">
        <v>1184</v>
      </c>
      <c r="C1082" s="91">
        <v>0.17417389925627846</v>
      </c>
      <c r="D1082" s="92">
        <v>59</v>
      </c>
      <c r="E1082" s="93">
        <v>0.64748201438848918</v>
      </c>
      <c r="G1082" s="5"/>
      <c r="H1082" s="5"/>
      <c r="L1082" s="7"/>
      <c r="M1082" s="7"/>
      <c r="O1082" s="6"/>
      <c r="P1082" s="6"/>
      <c r="T1082" s="5"/>
      <c r="U1082" s="5"/>
    </row>
    <row r="1083" spans="2:21" x14ac:dyDescent="0.25">
      <c r="B1083" s="90">
        <v>1183</v>
      </c>
      <c r="C1083" s="91">
        <v>0.18225741717851274</v>
      </c>
      <c r="D1083" s="92">
        <v>59</v>
      </c>
      <c r="E1083" s="93">
        <v>0.64748201438848918</v>
      </c>
      <c r="G1083" s="5"/>
      <c r="H1083" s="5"/>
      <c r="L1083" s="7"/>
      <c r="M1083" s="7"/>
      <c r="O1083" s="6"/>
      <c r="P1083" s="6"/>
      <c r="T1083" s="5"/>
      <c r="U1083" s="5"/>
    </row>
    <row r="1084" spans="2:21" x14ac:dyDescent="0.25">
      <c r="B1084" s="90">
        <v>1105</v>
      </c>
      <c r="C1084" s="91">
        <v>0.1850759600991293</v>
      </c>
      <c r="D1084" s="92">
        <v>59</v>
      </c>
      <c r="E1084" s="93">
        <v>0.43165467625899279</v>
      </c>
      <c r="G1084" s="5"/>
      <c r="H1084" s="5"/>
      <c r="L1084" s="7"/>
      <c r="M1084" s="7"/>
      <c r="O1084" s="6"/>
      <c r="P1084" s="6"/>
      <c r="T1084" s="5"/>
      <c r="U1084" s="5"/>
    </row>
    <row r="1085" spans="2:21" x14ac:dyDescent="0.25">
      <c r="B1085" s="90">
        <v>1104</v>
      </c>
      <c r="C1085" s="91">
        <v>0.18700451776607752</v>
      </c>
      <c r="D1085" s="92">
        <v>59</v>
      </c>
      <c r="E1085" s="93">
        <v>0.45323741007194246</v>
      </c>
      <c r="G1085" s="5"/>
      <c r="H1085" s="5"/>
      <c r="L1085" s="7"/>
      <c r="M1085" s="7"/>
      <c r="O1085" s="6"/>
      <c r="P1085" s="6"/>
      <c r="T1085" s="5"/>
      <c r="U1085" s="5"/>
    </row>
    <row r="1086" spans="2:21" x14ac:dyDescent="0.25">
      <c r="B1086" s="90">
        <v>1152</v>
      </c>
      <c r="C1086" s="91">
        <v>0.19263504298126755</v>
      </c>
      <c r="D1086" s="92">
        <v>59</v>
      </c>
      <c r="E1086" s="93">
        <v>0.41007194244604317</v>
      </c>
      <c r="G1086" s="5"/>
      <c r="H1086" s="5"/>
      <c r="L1086" s="7"/>
      <c r="M1086" s="7"/>
      <c r="O1086" s="6"/>
      <c r="P1086" s="6"/>
      <c r="T1086" s="5"/>
      <c r="U1086" s="5"/>
    </row>
    <row r="1087" spans="2:21" x14ac:dyDescent="0.25">
      <c r="B1087" s="90">
        <v>949</v>
      </c>
      <c r="C1087" s="91">
        <v>0.20272426618072914</v>
      </c>
      <c r="D1087" s="92">
        <v>59</v>
      </c>
      <c r="E1087" s="93">
        <v>0.5539568345323741</v>
      </c>
      <c r="G1087" s="5"/>
      <c r="H1087" s="5"/>
      <c r="L1087" s="7"/>
      <c r="M1087" s="7"/>
      <c r="O1087" s="6"/>
      <c r="P1087" s="6"/>
      <c r="T1087" s="5"/>
      <c r="U1087" s="5"/>
    </row>
    <row r="1088" spans="2:21" x14ac:dyDescent="0.25">
      <c r="B1088" s="90">
        <v>689</v>
      </c>
      <c r="C1088" s="91">
        <v>0.20562187070796556</v>
      </c>
      <c r="D1088" s="92">
        <v>59</v>
      </c>
      <c r="E1088" s="93">
        <v>0.60431654676258995</v>
      </c>
      <c r="G1088" s="5"/>
      <c r="H1088" s="5"/>
      <c r="L1088" s="7"/>
      <c r="M1088" s="7"/>
      <c r="O1088" s="6"/>
      <c r="P1088" s="6"/>
      <c r="T1088" s="5"/>
      <c r="U1088" s="5"/>
    </row>
    <row r="1089" spans="2:21" x14ac:dyDescent="0.25">
      <c r="B1089" s="90">
        <v>1938</v>
      </c>
      <c r="C1089" s="91">
        <v>0.20836775723482381</v>
      </c>
      <c r="D1089" s="92">
        <v>59</v>
      </c>
      <c r="E1089" s="93">
        <v>0.20863309352517986</v>
      </c>
      <c r="G1089" s="5"/>
      <c r="H1089" s="5"/>
      <c r="L1089" s="7"/>
      <c r="M1089" s="7"/>
      <c r="O1089" s="6"/>
      <c r="P1089" s="6"/>
      <c r="T1089" s="5"/>
      <c r="U1089" s="5"/>
    </row>
    <row r="1090" spans="2:21" x14ac:dyDescent="0.25">
      <c r="B1090" s="90">
        <v>1107</v>
      </c>
      <c r="C1090" s="91">
        <v>0.20911420872833097</v>
      </c>
      <c r="D1090" s="92">
        <v>59</v>
      </c>
      <c r="E1090" s="93">
        <v>0.32374100719424459</v>
      </c>
      <c r="G1090" s="5"/>
      <c r="H1090" s="5"/>
      <c r="L1090" s="7"/>
      <c r="M1090" s="7"/>
      <c r="O1090" s="6"/>
      <c r="P1090" s="6"/>
      <c r="T1090" s="5"/>
      <c r="U1090" s="5"/>
    </row>
    <row r="1091" spans="2:21" x14ac:dyDescent="0.25">
      <c r="B1091" s="90">
        <v>633</v>
      </c>
      <c r="C1091" s="91">
        <v>0.2141818068992567</v>
      </c>
      <c r="D1091" s="92">
        <v>59</v>
      </c>
      <c r="E1091" s="93">
        <v>0.60431654676258995</v>
      </c>
      <c r="G1091" s="5"/>
      <c r="H1091" s="5"/>
      <c r="L1091" s="7"/>
      <c r="M1091" s="7"/>
      <c r="O1091" s="6"/>
      <c r="P1091" s="6"/>
      <c r="T1091" s="5"/>
      <c r="U1091" s="5"/>
    </row>
    <row r="1092" spans="2:21" x14ac:dyDescent="0.25">
      <c r="B1092" s="90">
        <v>688</v>
      </c>
      <c r="C1092" s="91">
        <v>0.215557868021925</v>
      </c>
      <c r="D1092" s="92">
        <v>59</v>
      </c>
      <c r="E1092" s="93">
        <v>0.60431654676258995</v>
      </c>
      <c r="G1092" s="5"/>
      <c r="H1092" s="5"/>
      <c r="L1092" s="7"/>
      <c r="M1092" s="7"/>
      <c r="O1092" s="6"/>
      <c r="P1092" s="6"/>
      <c r="T1092" s="5"/>
      <c r="U1092" s="5"/>
    </row>
    <row r="1093" spans="2:21" x14ac:dyDescent="0.25">
      <c r="B1093" s="90">
        <v>743</v>
      </c>
      <c r="C1093" s="91">
        <v>0.21657924154320596</v>
      </c>
      <c r="D1093" s="92">
        <v>59</v>
      </c>
      <c r="E1093" s="93">
        <v>0.53956834532374098</v>
      </c>
      <c r="G1093" s="5"/>
      <c r="H1093" s="5"/>
      <c r="L1093" s="7"/>
      <c r="M1093" s="7"/>
      <c r="O1093" s="6"/>
      <c r="P1093" s="6"/>
      <c r="T1093" s="5"/>
      <c r="U1093" s="5"/>
    </row>
    <row r="1094" spans="2:21" x14ac:dyDescent="0.25">
      <c r="B1094" s="90">
        <v>796</v>
      </c>
      <c r="C1094" s="91">
        <v>0.21845182566128951</v>
      </c>
      <c r="D1094" s="92">
        <v>59</v>
      </c>
      <c r="E1094" s="93">
        <v>0.53956834532374098</v>
      </c>
      <c r="G1094" s="5"/>
      <c r="H1094" s="5"/>
      <c r="L1094" s="7"/>
      <c r="M1094" s="7"/>
      <c r="O1094" s="6"/>
      <c r="P1094" s="6"/>
      <c r="T1094" s="5"/>
      <c r="U1094" s="5"/>
    </row>
    <row r="1095" spans="2:21" x14ac:dyDescent="0.25">
      <c r="B1095" s="90">
        <v>1242</v>
      </c>
      <c r="C1095" s="91">
        <v>0.2185430451913527</v>
      </c>
      <c r="D1095" s="92">
        <v>59</v>
      </c>
      <c r="E1095" s="93">
        <v>0.25179856115107913</v>
      </c>
      <c r="G1095" s="5"/>
      <c r="H1095" s="5"/>
      <c r="L1095" s="7"/>
      <c r="M1095" s="7"/>
      <c r="O1095" s="6"/>
      <c r="P1095" s="6"/>
      <c r="T1095" s="5"/>
      <c r="U1095" s="5"/>
    </row>
    <row r="1096" spans="2:21" x14ac:dyDescent="0.25">
      <c r="B1096" s="90">
        <v>283</v>
      </c>
      <c r="C1096" s="91">
        <v>0.22243149228191927</v>
      </c>
      <c r="D1096" s="92">
        <v>59</v>
      </c>
      <c r="E1096" s="93">
        <v>0.57553956834532372</v>
      </c>
      <c r="G1096" s="5"/>
      <c r="H1096" s="5"/>
      <c r="L1096" s="7"/>
      <c r="M1096" s="7"/>
      <c r="O1096" s="6"/>
      <c r="P1096" s="6"/>
      <c r="T1096" s="5"/>
      <c r="U1096" s="5"/>
    </row>
    <row r="1097" spans="2:21" x14ac:dyDescent="0.25">
      <c r="B1097" s="90">
        <v>899</v>
      </c>
      <c r="C1097" s="91">
        <v>0.22437473497941141</v>
      </c>
      <c r="D1097" s="92">
        <v>59</v>
      </c>
      <c r="E1097" s="93">
        <v>0.53237410071942448</v>
      </c>
      <c r="G1097" s="5"/>
      <c r="H1097" s="5"/>
      <c r="L1097" s="7"/>
      <c r="M1097" s="7"/>
      <c r="O1097" s="6"/>
      <c r="P1097" s="6"/>
      <c r="T1097" s="5"/>
      <c r="U1097" s="5"/>
    </row>
    <row r="1098" spans="2:21" x14ac:dyDescent="0.25">
      <c r="B1098" s="90">
        <v>742</v>
      </c>
      <c r="C1098" s="91">
        <v>0.22659002664817707</v>
      </c>
      <c r="D1098" s="92">
        <v>59</v>
      </c>
      <c r="E1098" s="93">
        <v>0.53956834532374098</v>
      </c>
      <c r="G1098" s="5"/>
      <c r="H1098" s="5"/>
      <c r="L1098" s="7"/>
      <c r="M1098" s="7"/>
      <c r="O1098" s="6"/>
      <c r="P1098" s="6"/>
      <c r="T1098" s="5"/>
      <c r="U1098" s="5"/>
    </row>
    <row r="1099" spans="2:21" x14ac:dyDescent="0.25">
      <c r="B1099" s="90">
        <v>795</v>
      </c>
      <c r="C1099" s="91">
        <v>0.22845736564213293</v>
      </c>
      <c r="D1099" s="92">
        <v>59</v>
      </c>
      <c r="E1099" s="93">
        <v>0.53956834532374098</v>
      </c>
      <c r="G1099" s="5"/>
      <c r="H1099" s="5"/>
      <c r="L1099" s="7"/>
      <c r="M1099" s="7"/>
      <c r="O1099" s="6"/>
      <c r="P1099" s="6"/>
      <c r="T1099" s="5"/>
      <c r="U1099" s="5"/>
    </row>
    <row r="1100" spans="2:21" x14ac:dyDescent="0.25">
      <c r="B1100" s="90">
        <v>848</v>
      </c>
      <c r="C1100" s="91">
        <v>0.22887730106766568</v>
      </c>
      <c r="D1100" s="92">
        <v>59</v>
      </c>
      <c r="E1100" s="93">
        <v>0.53956834532374098</v>
      </c>
      <c r="G1100" s="5"/>
      <c r="H1100" s="5"/>
      <c r="L1100" s="7"/>
      <c r="M1100" s="7"/>
      <c r="O1100" s="6"/>
      <c r="P1100" s="6"/>
      <c r="T1100" s="5"/>
      <c r="U1100" s="5"/>
    </row>
    <row r="1101" spans="2:21" x14ac:dyDescent="0.25">
      <c r="B1101" s="90">
        <v>1106</v>
      </c>
      <c r="C1101" s="91">
        <v>0.23025134895557031</v>
      </c>
      <c r="D1101" s="92">
        <v>59</v>
      </c>
      <c r="E1101" s="93">
        <v>0.4460431654676259</v>
      </c>
      <c r="G1101" s="5"/>
      <c r="H1101" s="5"/>
      <c r="L1101" s="7"/>
      <c r="M1101" s="7"/>
      <c r="O1101" s="6"/>
      <c r="P1101" s="6"/>
      <c r="T1101" s="5"/>
      <c r="U1101" s="5"/>
    </row>
    <row r="1102" spans="2:21" x14ac:dyDescent="0.25">
      <c r="B1102" s="90">
        <v>344</v>
      </c>
      <c r="C1102" s="91">
        <v>0.23247076767064767</v>
      </c>
      <c r="D1102" s="92">
        <v>59</v>
      </c>
      <c r="E1102" s="93">
        <v>0.51798561151079137</v>
      </c>
      <c r="G1102" s="5"/>
      <c r="H1102" s="5"/>
      <c r="L1102" s="7"/>
      <c r="M1102" s="7"/>
      <c r="O1102" s="6"/>
      <c r="P1102" s="6"/>
      <c r="T1102" s="5"/>
      <c r="U1102" s="5"/>
    </row>
    <row r="1103" spans="2:21" x14ac:dyDescent="0.25">
      <c r="B1103" s="90">
        <v>898</v>
      </c>
      <c r="C1103" s="91">
        <v>0.23424590589943239</v>
      </c>
      <c r="D1103" s="92">
        <v>59</v>
      </c>
      <c r="E1103" s="93">
        <v>0.5467625899280576</v>
      </c>
      <c r="G1103" s="5"/>
      <c r="H1103" s="5"/>
      <c r="L1103" s="7"/>
      <c r="M1103" s="7"/>
      <c r="O1103" s="6"/>
      <c r="P1103" s="6"/>
      <c r="T1103" s="5"/>
      <c r="U1103" s="5"/>
    </row>
    <row r="1104" spans="2:21" x14ac:dyDescent="0.25">
      <c r="B1104" s="90">
        <v>847</v>
      </c>
      <c r="C1104" s="91">
        <v>0.23891239289496347</v>
      </c>
      <c r="D1104" s="92">
        <v>59</v>
      </c>
      <c r="E1104" s="93">
        <v>0.53956834532374098</v>
      </c>
      <c r="G1104" s="5"/>
      <c r="H1104" s="5"/>
      <c r="L1104" s="7"/>
      <c r="M1104" s="7"/>
      <c r="O1104" s="6"/>
      <c r="P1104" s="6"/>
      <c r="T1104" s="5"/>
      <c r="U1104" s="5"/>
    </row>
    <row r="1105" spans="2:21" x14ac:dyDescent="0.25">
      <c r="B1105" s="90">
        <v>1149</v>
      </c>
      <c r="C1105" s="91">
        <v>0.2404697755453965</v>
      </c>
      <c r="D1105" s="92">
        <v>59</v>
      </c>
      <c r="E1105" s="93">
        <v>0.5539568345323741</v>
      </c>
      <c r="G1105" s="5"/>
      <c r="H1105" s="5"/>
      <c r="L1105" s="7"/>
      <c r="M1105" s="7"/>
      <c r="O1105" s="6"/>
      <c r="P1105" s="6"/>
      <c r="T1105" s="5"/>
      <c r="U1105" s="5"/>
    </row>
    <row r="1106" spans="2:21" x14ac:dyDescent="0.25">
      <c r="B1106" s="90">
        <v>1103</v>
      </c>
      <c r="C1106" s="91">
        <v>0.24596707917076044</v>
      </c>
      <c r="D1106" s="92">
        <v>59</v>
      </c>
      <c r="E1106" s="93">
        <v>0.5539568345323741</v>
      </c>
      <c r="G1106" s="5"/>
      <c r="H1106" s="5"/>
      <c r="L1106" s="7"/>
      <c r="M1106" s="7"/>
      <c r="O1106" s="6"/>
      <c r="P1106" s="6"/>
      <c r="T1106" s="5"/>
      <c r="U1106" s="5"/>
    </row>
    <row r="1107" spans="2:21" x14ac:dyDescent="0.25">
      <c r="B1107" s="90">
        <v>1094</v>
      </c>
      <c r="C1107" s="91">
        <v>0.25179208361333139</v>
      </c>
      <c r="D1107" s="92">
        <v>59</v>
      </c>
      <c r="E1107" s="93">
        <v>0.45323741007194246</v>
      </c>
      <c r="G1107" s="5"/>
      <c r="H1107" s="5"/>
      <c r="L1107" s="7"/>
      <c r="M1107" s="7"/>
      <c r="O1107" s="6"/>
      <c r="P1107" s="6"/>
      <c r="T1107" s="5"/>
      <c r="U1107" s="5"/>
    </row>
    <row r="1108" spans="2:21" x14ac:dyDescent="0.25">
      <c r="B1108" s="90">
        <v>1140</v>
      </c>
      <c r="C1108" s="91">
        <v>0.25417395428950296</v>
      </c>
      <c r="D1108" s="92">
        <v>59</v>
      </c>
      <c r="E1108" s="93">
        <v>0.53237410071942448</v>
      </c>
      <c r="G1108" s="5"/>
      <c r="H1108" s="5"/>
      <c r="L1108" s="7"/>
      <c r="M1108" s="7"/>
      <c r="O1108" s="6"/>
      <c r="P1108" s="6"/>
      <c r="T1108" s="5"/>
      <c r="U1108" s="5"/>
    </row>
    <row r="1109" spans="2:21" x14ac:dyDescent="0.25">
      <c r="B1109" s="90">
        <v>1102</v>
      </c>
      <c r="C1109" s="91">
        <v>0.26607000810399373</v>
      </c>
      <c r="D1109" s="92">
        <v>59</v>
      </c>
      <c r="E1109" s="93">
        <v>0.37410071942446044</v>
      </c>
      <c r="G1109" s="5"/>
      <c r="H1109" s="5"/>
      <c r="L1109" s="7"/>
      <c r="M1109" s="7"/>
      <c r="O1109" s="6"/>
      <c r="P1109" s="6"/>
      <c r="T1109" s="5"/>
      <c r="U1109" s="5"/>
    </row>
    <row r="1110" spans="2:21" x14ac:dyDescent="0.25">
      <c r="B1110" s="90">
        <v>1148</v>
      </c>
      <c r="C1110" s="91">
        <v>0.26662084155346577</v>
      </c>
      <c r="D1110" s="92">
        <v>59</v>
      </c>
      <c r="E1110" s="93">
        <v>0.37410071942446044</v>
      </c>
      <c r="G1110" s="5"/>
      <c r="H1110" s="5"/>
      <c r="L1110" s="7"/>
      <c r="M1110" s="7"/>
      <c r="O1110" s="6"/>
      <c r="P1110" s="6"/>
      <c r="T1110" s="5"/>
      <c r="U1110" s="5"/>
    </row>
    <row r="1111" spans="2:21" x14ac:dyDescent="0.25">
      <c r="B1111" s="90">
        <v>1196</v>
      </c>
      <c r="C1111" s="91">
        <v>0.29229685867982957</v>
      </c>
      <c r="D1111" s="92">
        <v>59</v>
      </c>
      <c r="E1111" s="93">
        <v>0.53956834532374098</v>
      </c>
      <c r="G1111" s="5"/>
      <c r="H1111" s="5"/>
      <c r="L1111" s="7"/>
      <c r="M1111" s="7"/>
      <c r="O1111" s="6"/>
      <c r="P1111" s="6"/>
      <c r="T1111" s="5"/>
      <c r="U1111" s="5"/>
    </row>
    <row r="1112" spans="2:21" x14ac:dyDescent="0.25">
      <c r="B1112" s="90">
        <v>902</v>
      </c>
      <c r="C1112" s="91">
        <v>0.29475840797827957</v>
      </c>
      <c r="D1112" s="92">
        <v>59</v>
      </c>
      <c r="E1112" s="93">
        <v>0.34532374100719426</v>
      </c>
      <c r="G1112" s="5"/>
      <c r="H1112" s="5"/>
      <c r="L1112" s="7"/>
      <c r="M1112" s="7"/>
      <c r="O1112" s="6"/>
      <c r="P1112" s="6"/>
      <c r="T1112" s="5"/>
      <c r="U1112" s="5"/>
    </row>
    <row r="1113" spans="2:21" x14ac:dyDescent="0.25">
      <c r="B1113" s="90">
        <v>1101</v>
      </c>
      <c r="C1113" s="91">
        <v>0.29553932582931031</v>
      </c>
      <c r="D1113" s="92">
        <v>59</v>
      </c>
      <c r="E1113" s="93">
        <v>0.36690647482014388</v>
      </c>
      <c r="G1113" s="5"/>
      <c r="H1113" s="5"/>
      <c r="L1113" s="7"/>
      <c r="M1113" s="7"/>
      <c r="O1113" s="6"/>
      <c r="P1113" s="6"/>
      <c r="T1113" s="5"/>
      <c r="U1113" s="5"/>
    </row>
    <row r="1114" spans="2:21" x14ac:dyDescent="0.25">
      <c r="B1114" s="90">
        <v>1100</v>
      </c>
      <c r="C1114" s="91">
        <v>0.29771912299867886</v>
      </c>
      <c r="D1114" s="92">
        <v>59</v>
      </c>
      <c r="E1114" s="93">
        <v>0.35971223021582732</v>
      </c>
      <c r="G1114" s="5"/>
      <c r="H1114" s="5"/>
      <c r="L1114" s="7"/>
      <c r="M1114" s="7"/>
      <c r="O1114" s="6"/>
      <c r="P1114" s="6"/>
      <c r="T1114" s="5"/>
      <c r="U1114" s="5"/>
    </row>
    <row r="1115" spans="2:21" x14ac:dyDescent="0.25">
      <c r="B1115" s="90">
        <v>1147</v>
      </c>
      <c r="C1115" s="91">
        <v>0.29797195353637995</v>
      </c>
      <c r="D1115" s="92">
        <v>59</v>
      </c>
      <c r="E1115" s="93">
        <v>0.36690647482014388</v>
      </c>
      <c r="G1115" s="5"/>
      <c r="H1115" s="5"/>
      <c r="L1115" s="7"/>
      <c r="M1115" s="7"/>
      <c r="O1115" s="6"/>
      <c r="P1115" s="6"/>
      <c r="T1115" s="5"/>
      <c r="U1115" s="5"/>
    </row>
    <row r="1116" spans="2:21" x14ac:dyDescent="0.25">
      <c r="B1116" s="90">
        <v>1195</v>
      </c>
      <c r="C1116" s="91">
        <v>0.29805279356019954</v>
      </c>
      <c r="D1116" s="92">
        <v>59</v>
      </c>
      <c r="E1116" s="93">
        <v>0.4460431654676259</v>
      </c>
      <c r="G1116" s="5"/>
      <c r="H1116" s="5"/>
      <c r="L1116" s="7"/>
      <c r="M1116" s="7"/>
      <c r="O1116" s="6"/>
      <c r="P1116" s="6"/>
      <c r="T1116" s="5"/>
      <c r="U1116" s="5"/>
    </row>
    <row r="1117" spans="2:21" x14ac:dyDescent="0.25">
      <c r="B1117" s="90">
        <v>347</v>
      </c>
      <c r="C1117" s="91">
        <v>0.29891975700497875</v>
      </c>
      <c r="D1117" s="92">
        <v>59</v>
      </c>
      <c r="E1117" s="93">
        <v>0.34532374100719426</v>
      </c>
      <c r="G1117" s="5"/>
      <c r="H1117" s="5"/>
      <c r="L1117" s="7"/>
      <c r="M1117" s="7"/>
      <c r="O1117" s="6"/>
      <c r="P1117" s="6"/>
      <c r="T1117" s="5"/>
      <c r="U1117" s="5"/>
    </row>
    <row r="1118" spans="2:21" x14ac:dyDescent="0.25">
      <c r="B1118" s="90">
        <v>1001</v>
      </c>
      <c r="C1118" s="91">
        <v>0.29913631541943952</v>
      </c>
      <c r="D1118" s="92">
        <v>59</v>
      </c>
      <c r="E1118" s="93">
        <v>0.34532374100719426</v>
      </c>
      <c r="G1118" s="5"/>
      <c r="H1118" s="5"/>
      <c r="L1118" s="7"/>
      <c r="M1118" s="7"/>
      <c r="O1118" s="6"/>
      <c r="P1118" s="6"/>
      <c r="T1118" s="5"/>
      <c r="U1118" s="5"/>
    </row>
    <row r="1119" spans="2:21" x14ac:dyDescent="0.25">
      <c r="B1119" s="90">
        <v>1146</v>
      </c>
      <c r="C1119" s="91">
        <v>0.29952275174941256</v>
      </c>
      <c r="D1119" s="92">
        <v>59</v>
      </c>
      <c r="E1119" s="93">
        <v>0.35971223021582732</v>
      </c>
      <c r="G1119" s="5"/>
      <c r="H1119" s="5"/>
      <c r="L1119" s="7"/>
      <c r="M1119" s="7"/>
      <c r="O1119" s="6"/>
      <c r="P1119" s="6"/>
      <c r="T1119" s="5"/>
      <c r="U1119" s="5"/>
    </row>
    <row r="1120" spans="2:21" x14ac:dyDescent="0.25">
      <c r="B1120" s="90">
        <v>952</v>
      </c>
      <c r="C1120" s="91">
        <v>0.30308969161211263</v>
      </c>
      <c r="D1120" s="92">
        <v>59</v>
      </c>
      <c r="E1120" s="93">
        <v>0.34532374100719426</v>
      </c>
      <c r="G1120" s="5"/>
      <c r="H1120" s="5"/>
      <c r="L1120" s="7"/>
      <c r="M1120" s="7"/>
      <c r="O1120" s="6"/>
      <c r="P1120" s="6"/>
      <c r="T1120" s="5"/>
      <c r="U1120" s="5"/>
    </row>
    <row r="1121" spans="2:21" x14ac:dyDescent="0.25">
      <c r="B1121" s="90">
        <v>348</v>
      </c>
      <c r="C1121" s="91">
        <v>0.3046840491747278</v>
      </c>
      <c r="D1121" s="92">
        <v>59</v>
      </c>
      <c r="E1121" s="93">
        <v>0.34532374100719426</v>
      </c>
      <c r="G1121" s="5"/>
      <c r="H1121" s="5"/>
      <c r="L1121" s="7"/>
      <c r="M1121" s="7"/>
      <c r="O1121" s="6"/>
      <c r="P1121" s="6"/>
      <c r="T1121" s="5"/>
      <c r="U1121" s="5"/>
    </row>
    <row r="1122" spans="2:21" x14ac:dyDescent="0.25">
      <c r="B1122" s="90">
        <v>286</v>
      </c>
      <c r="C1122" s="91">
        <v>0.30636378428269218</v>
      </c>
      <c r="D1122" s="92">
        <v>59</v>
      </c>
      <c r="E1122" s="93">
        <v>0.34532374100719426</v>
      </c>
      <c r="G1122" s="5"/>
      <c r="H1122" s="5"/>
      <c r="L1122" s="7"/>
      <c r="M1122" s="7"/>
      <c r="O1122" s="6"/>
      <c r="P1122" s="6"/>
      <c r="T1122" s="5"/>
      <c r="U1122" s="5"/>
    </row>
    <row r="1123" spans="2:21" x14ac:dyDescent="0.25">
      <c r="B1123" s="90">
        <v>1093</v>
      </c>
      <c r="C1123" s="91">
        <v>0.30848759416992566</v>
      </c>
      <c r="D1123" s="92">
        <v>59</v>
      </c>
      <c r="E1123" s="93">
        <v>0.5611510791366906</v>
      </c>
      <c r="G1123" s="5"/>
      <c r="H1123" s="5"/>
      <c r="L1123" s="7"/>
      <c r="M1123" s="7"/>
      <c r="O1123" s="6"/>
      <c r="P1123" s="6"/>
      <c r="T1123" s="5"/>
      <c r="U1123" s="5"/>
    </row>
    <row r="1124" spans="2:21" x14ac:dyDescent="0.25">
      <c r="B1124" s="90">
        <v>1139</v>
      </c>
      <c r="C1124" s="91">
        <v>0.31002131957516865</v>
      </c>
      <c r="D1124" s="92">
        <v>59</v>
      </c>
      <c r="E1124" s="93">
        <v>0.5611510791366906</v>
      </c>
      <c r="G1124" s="5"/>
      <c r="H1124" s="5"/>
      <c r="L1124" s="7"/>
      <c r="M1124" s="7"/>
      <c r="O1124" s="6"/>
      <c r="P1124" s="6"/>
      <c r="T1124" s="5"/>
      <c r="U1124" s="5"/>
    </row>
    <row r="1125" spans="2:21" x14ac:dyDescent="0.25">
      <c r="B1125" s="90">
        <v>1002</v>
      </c>
      <c r="C1125" s="91">
        <v>0.31187455122846985</v>
      </c>
      <c r="D1125" s="92">
        <v>59</v>
      </c>
      <c r="E1125" s="93">
        <v>0.34532374100719426</v>
      </c>
      <c r="G1125" s="5"/>
      <c r="H1125" s="5"/>
      <c r="L1125" s="7"/>
      <c r="M1125" s="7"/>
      <c r="O1125" s="6"/>
      <c r="P1125" s="6"/>
      <c r="T1125" s="5"/>
      <c r="U1125" s="5"/>
    </row>
    <row r="1126" spans="2:21" x14ac:dyDescent="0.25">
      <c r="B1126" s="90">
        <v>346</v>
      </c>
      <c r="C1126" s="91">
        <v>0.31328536932878492</v>
      </c>
      <c r="D1126" s="92">
        <v>59</v>
      </c>
      <c r="E1126" s="93">
        <v>0.26618705035971224</v>
      </c>
      <c r="G1126" s="5"/>
      <c r="H1126" s="5"/>
      <c r="L1126" s="7"/>
      <c r="M1126" s="7"/>
      <c r="O1126" s="6"/>
      <c r="P1126" s="6"/>
      <c r="T1126" s="5"/>
      <c r="U1126" s="5"/>
    </row>
    <row r="1127" spans="2:21" x14ac:dyDescent="0.25">
      <c r="B1127" s="90">
        <v>352</v>
      </c>
      <c r="C1127" s="91">
        <v>0.31351671249446567</v>
      </c>
      <c r="D1127" s="92">
        <v>59</v>
      </c>
      <c r="E1127" s="93">
        <v>0.2805755395683453</v>
      </c>
      <c r="G1127" s="5"/>
      <c r="H1127" s="5"/>
      <c r="L1127" s="7"/>
      <c r="M1127" s="7"/>
      <c r="O1127" s="6"/>
      <c r="P1127" s="6"/>
      <c r="T1127" s="5"/>
      <c r="U1127" s="5"/>
    </row>
    <row r="1128" spans="2:21" x14ac:dyDescent="0.25">
      <c r="B1128" s="90">
        <v>1000</v>
      </c>
      <c r="C1128" s="91">
        <v>0.31709784974543953</v>
      </c>
      <c r="D1128" s="92">
        <v>59</v>
      </c>
      <c r="E1128" s="93">
        <v>0.26618705035971224</v>
      </c>
      <c r="G1128" s="5"/>
      <c r="H1128" s="5"/>
      <c r="L1128" s="7"/>
      <c r="M1128" s="7"/>
      <c r="O1128" s="6"/>
      <c r="P1128" s="6"/>
      <c r="T1128" s="5"/>
      <c r="U1128" s="5"/>
    </row>
    <row r="1129" spans="2:21" x14ac:dyDescent="0.25">
      <c r="B1129" s="90">
        <v>951</v>
      </c>
      <c r="C1129" s="91">
        <v>0.31748905433636609</v>
      </c>
      <c r="D1129" s="92">
        <v>59</v>
      </c>
      <c r="E1129" s="93">
        <v>0.34532374100719426</v>
      </c>
      <c r="G1129" s="5"/>
      <c r="H1129" s="5"/>
      <c r="L1129" s="7"/>
      <c r="M1129" s="7"/>
      <c r="O1129" s="6"/>
      <c r="P1129" s="6"/>
      <c r="T1129" s="5"/>
      <c r="U1129" s="5"/>
    </row>
    <row r="1130" spans="2:21" x14ac:dyDescent="0.25">
      <c r="B1130" s="90">
        <v>349</v>
      </c>
      <c r="C1130" s="91">
        <v>0.31760501710959266</v>
      </c>
      <c r="D1130" s="92">
        <v>59</v>
      </c>
      <c r="E1130" s="93">
        <v>0.35251798561151076</v>
      </c>
      <c r="G1130" s="5"/>
      <c r="H1130" s="5"/>
      <c r="L1130" s="7"/>
      <c r="M1130" s="7"/>
      <c r="O1130" s="6"/>
      <c r="P1130" s="6"/>
      <c r="T1130" s="5"/>
      <c r="U1130" s="5"/>
    </row>
    <row r="1131" spans="2:21" x14ac:dyDescent="0.25">
      <c r="B1131" s="90">
        <v>1092</v>
      </c>
      <c r="C1131" s="91">
        <v>0.31786764403329704</v>
      </c>
      <c r="D1131" s="92">
        <v>59</v>
      </c>
      <c r="E1131" s="93">
        <v>0.5611510791366906</v>
      </c>
      <c r="G1131" s="5"/>
      <c r="H1131" s="5"/>
      <c r="L1131" s="7"/>
      <c r="M1131" s="7"/>
      <c r="O1131" s="6"/>
      <c r="P1131" s="6"/>
      <c r="T1131" s="5"/>
      <c r="U1131" s="5"/>
    </row>
    <row r="1132" spans="2:21" x14ac:dyDescent="0.25">
      <c r="B1132" s="90">
        <v>1138</v>
      </c>
      <c r="C1132" s="91">
        <v>0.31922305906281712</v>
      </c>
      <c r="D1132" s="92">
        <v>59</v>
      </c>
      <c r="E1132" s="93">
        <v>0.5611510791366906</v>
      </c>
      <c r="G1132" s="5"/>
      <c r="H1132" s="5"/>
      <c r="L1132" s="7"/>
      <c r="M1132" s="7"/>
      <c r="O1132" s="6"/>
      <c r="P1132" s="6"/>
      <c r="T1132" s="5"/>
      <c r="U1132" s="5"/>
    </row>
    <row r="1133" spans="2:21" x14ac:dyDescent="0.25">
      <c r="B1133" s="90">
        <v>904</v>
      </c>
      <c r="C1133" s="91">
        <v>0.31999661213948605</v>
      </c>
      <c r="D1133" s="92">
        <v>59</v>
      </c>
      <c r="E1133" s="93">
        <v>0.35251798561151076</v>
      </c>
      <c r="G1133" s="5"/>
      <c r="H1133" s="5"/>
      <c r="L1133" s="7"/>
      <c r="M1133" s="7"/>
      <c r="O1133" s="6"/>
      <c r="P1133" s="6"/>
      <c r="T1133" s="5"/>
      <c r="U1133" s="5"/>
    </row>
    <row r="1134" spans="2:21" x14ac:dyDescent="0.25">
      <c r="B1134" s="90">
        <v>908</v>
      </c>
      <c r="C1134" s="91">
        <v>0.32015835304198159</v>
      </c>
      <c r="D1134" s="92">
        <v>59</v>
      </c>
      <c r="E1134" s="93">
        <v>0.36690647482014388</v>
      </c>
      <c r="G1134" s="5"/>
      <c r="H1134" s="5"/>
      <c r="L1134" s="7"/>
      <c r="M1134" s="7"/>
      <c r="O1134" s="6"/>
      <c r="P1134" s="6"/>
      <c r="T1134" s="5"/>
      <c r="U1134" s="5"/>
    </row>
    <row r="1135" spans="2:21" x14ac:dyDescent="0.25">
      <c r="B1135" s="90">
        <v>285</v>
      </c>
      <c r="C1135" s="91">
        <v>0.32035809917713209</v>
      </c>
      <c r="D1135" s="92">
        <v>59</v>
      </c>
      <c r="E1135" s="93">
        <v>0.26618705035971224</v>
      </c>
      <c r="G1135" s="5"/>
      <c r="H1135" s="5"/>
      <c r="L1135" s="7"/>
      <c r="M1135" s="7"/>
      <c r="O1135" s="6"/>
      <c r="P1135" s="6"/>
      <c r="T1135" s="5"/>
      <c r="U1135" s="5"/>
    </row>
    <row r="1136" spans="2:21" x14ac:dyDescent="0.25">
      <c r="B1136" s="90">
        <v>291</v>
      </c>
      <c r="C1136" s="91">
        <v>0.32169681042248466</v>
      </c>
      <c r="D1136" s="92">
        <v>59</v>
      </c>
      <c r="E1136" s="93">
        <v>0.2805755395683453</v>
      </c>
      <c r="G1136" s="5"/>
      <c r="H1136" s="5"/>
      <c r="L1136" s="7"/>
      <c r="M1136" s="7"/>
      <c r="O1136" s="6"/>
      <c r="P1136" s="6"/>
      <c r="T1136" s="5"/>
      <c r="U1136" s="5"/>
    </row>
    <row r="1137" spans="2:21" x14ac:dyDescent="0.25">
      <c r="B1137" s="90">
        <v>1009</v>
      </c>
      <c r="C1137" s="91">
        <v>0.3221429577748891</v>
      </c>
      <c r="D1137" s="92">
        <v>59</v>
      </c>
      <c r="E1137" s="93">
        <v>0.4460431654676259</v>
      </c>
      <c r="G1137" s="5"/>
      <c r="H1137" s="5"/>
      <c r="L1137" s="7"/>
      <c r="M1137" s="7"/>
      <c r="O1137" s="6"/>
      <c r="P1137" s="6"/>
      <c r="T1137" s="5"/>
      <c r="U1137" s="5"/>
    </row>
    <row r="1138" spans="2:21" x14ac:dyDescent="0.25">
      <c r="B1138" s="90">
        <v>351</v>
      </c>
      <c r="C1138" s="91">
        <v>0.32217469675046584</v>
      </c>
      <c r="D1138" s="92">
        <v>59</v>
      </c>
      <c r="E1138" s="93">
        <v>0.2733812949640288</v>
      </c>
      <c r="G1138" s="5"/>
      <c r="H1138" s="5"/>
      <c r="L1138" s="7"/>
      <c r="M1138" s="7"/>
      <c r="O1138" s="6"/>
      <c r="P1138" s="6"/>
      <c r="T1138" s="5"/>
      <c r="U1138" s="5"/>
    </row>
    <row r="1139" spans="2:21" x14ac:dyDescent="0.25">
      <c r="B1139" s="90">
        <v>1197</v>
      </c>
      <c r="C1139" s="91">
        <v>0.32293059766039989</v>
      </c>
      <c r="D1139" s="92">
        <v>59</v>
      </c>
      <c r="E1139" s="93">
        <v>0.43165467625899279</v>
      </c>
      <c r="G1139" s="5"/>
      <c r="H1139" s="5"/>
      <c r="L1139" s="7"/>
      <c r="M1139" s="7"/>
      <c r="O1139" s="6"/>
      <c r="P1139" s="6"/>
      <c r="T1139" s="5"/>
      <c r="U1139" s="5"/>
    </row>
    <row r="1140" spans="2:21" x14ac:dyDescent="0.25">
      <c r="B1140" s="90">
        <v>350</v>
      </c>
      <c r="C1140" s="91">
        <v>0.32408949798662756</v>
      </c>
      <c r="D1140" s="92">
        <v>59</v>
      </c>
      <c r="E1140" s="93">
        <v>0.2733812949640288</v>
      </c>
      <c r="G1140" s="5"/>
      <c r="H1140" s="5"/>
      <c r="L1140" s="7"/>
      <c r="M1140" s="7"/>
      <c r="O1140" s="6"/>
      <c r="P1140" s="6"/>
      <c r="T1140" s="5"/>
      <c r="U1140" s="5"/>
    </row>
    <row r="1141" spans="2:21" x14ac:dyDescent="0.25">
      <c r="B1141" s="90">
        <v>288</v>
      </c>
      <c r="C1141" s="91">
        <v>0.32512535532127695</v>
      </c>
      <c r="D1141" s="92">
        <v>59</v>
      </c>
      <c r="E1141" s="93">
        <v>0.2733812949640288</v>
      </c>
      <c r="G1141" s="5"/>
      <c r="H1141" s="5"/>
      <c r="L1141" s="7"/>
      <c r="M1141" s="7"/>
      <c r="O1141" s="6"/>
      <c r="P1141" s="6"/>
      <c r="T1141" s="5"/>
      <c r="U1141" s="5"/>
    </row>
    <row r="1142" spans="2:21" x14ac:dyDescent="0.25">
      <c r="B1142" s="90">
        <v>954</v>
      </c>
      <c r="C1142" s="91">
        <v>0.32822866992337885</v>
      </c>
      <c r="D1142" s="92">
        <v>59</v>
      </c>
      <c r="E1142" s="93">
        <v>0.35251798561151076</v>
      </c>
      <c r="G1142" s="5"/>
      <c r="H1142" s="5"/>
      <c r="L1142" s="7"/>
      <c r="M1142" s="7"/>
      <c r="O1142" s="6"/>
      <c r="P1142" s="6"/>
      <c r="T1142" s="5"/>
      <c r="U1142" s="5"/>
    </row>
    <row r="1143" spans="2:21" x14ac:dyDescent="0.25">
      <c r="B1143" s="90">
        <v>1003</v>
      </c>
      <c r="C1143" s="91">
        <v>0.32993842317122535</v>
      </c>
      <c r="D1143" s="92">
        <v>59</v>
      </c>
      <c r="E1143" s="93">
        <v>0.2733812949640288</v>
      </c>
      <c r="G1143" s="5"/>
      <c r="H1143" s="5"/>
      <c r="L1143" s="7"/>
      <c r="M1143" s="7"/>
      <c r="O1143" s="6"/>
      <c r="P1143" s="6"/>
      <c r="T1143" s="5"/>
      <c r="U1143" s="5"/>
    </row>
    <row r="1144" spans="2:21" x14ac:dyDescent="0.25">
      <c r="B1144" s="90">
        <v>290</v>
      </c>
      <c r="C1144" s="91">
        <v>0.3300883688211067</v>
      </c>
      <c r="D1144" s="92">
        <v>59</v>
      </c>
      <c r="E1144" s="93">
        <v>0.2733812949640288</v>
      </c>
      <c r="G1144" s="5"/>
      <c r="H1144" s="5"/>
      <c r="L1144" s="7"/>
      <c r="M1144" s="7"/>
      <c r="O1144" s="6"/>
      <c r="P1144" s="6"/>
      <c r="T1144" s="5"/>
      <c r="U1144" s="5"/>
    </row>
    <row r="1145" spans="2:21" x14ac:dyDescent="0.25">
      <c r="B1145" s="90">
        <v>1053</v>
      </c>
      <c r="C1145" s="91">
        <v>0.3317690772082259</v>
      </c>
      <c r="D1145" s="92">
        <v>59</v>
      </c>
      <c r="E1145" s="93">
        <v>0.2733812949640288</v>
      </c>
      <c r="G1145" s="5"/>
      <c r="H1145" s="5"/>
      <c r="L1145" s="7"/>
      <c r="M1145" s="7"/>
      <c r="O1145" s="6"/>
      <c r="P1145" s="6"/>
      <c r="T1145" s="5"/>
      <c r="U1145" s="5"/>
    </row>
    <row r="1146" spans="2:21" x14ac:dyDescent="0.25">
      <c r="B1146" s="90">
        <v>289</v>
      </c>
      <c r="C1146" s="91">
        <v>0.33178332133609711</v>
      </c>
      <c r="D1146" s="92">
        <v>59</v>
      </c>
      <c r="E1146" s="93">
        <v>0.2733812949640288</v>
      </c>
      <c r="G1146" s="5"/>
      <c r="H1146" s="5"/>
      <c r="L1146" s="7"/>
      <c r="M1146" s="7"/>
      <c r="O1146" s="6"/>
      <c r="P1146" s="6"/>
      <c r="T1146" s="5"/>
      <c r="U1146" s="5"/>
    </row>
    <row r="1147" spans="2:21" x14ac:dyDescent="0.25">
      <c r="B1147" s="90">
        <v>958</v>
      </c>
      <c r="C1147" s="91">
        <v>0.33200320059551103</v>
      </c>
      <c r="D1147" s="92">
        <v>59</v>
      </c>
      <c r="E1147" s="93">
        <v>0.28776978417266186</v>
      </c>
      <c r="G1147" s="5"/>
      <c r="H1147" s="5"/>
      <c r="L1147" s="7"/>
      <c r="M1147" s="7"/>
      <c r="O1147" s="6"/>
      <c r="P1147" s="6"/>
      <c r="T1147" s="5"/>
      <c r="U1147" s="5"/>
    </row>
    <row r="1148" spans="2:21" x14ac:dyDescent="0.25">
      <c r="B1148" s="90">
        <v>1054</v>
      </c>
      <c r="C1148" s="91">
        <v>0.33248053761215224</v>
      </c>
      <c r="D1148" s="92">
        <v>59</v>
      </c>
      <c r="E1148" s="93">
        <v>0.2805755395683453</v>
      </c>
      <c r="G1148" s="5"/>
      <c r="H1148" s="5"/>
      <c r="L1148" s="7"/>
      <c r="M1148" s="7"/>
      <c r="O1148" s="6"/>
      <c r="P1148" s="6"/>
      <c r="T1148" s="5"/>
      <c r="U1148" s="5"/>
    </row>
    <row r="1149" spans="2:21" x14ac:dyDescent="0.25">
      <c r="B1149" s="90">
        <v>907</v>
      </c>
      <c r="C1149" s="91">
        <v>0.33268642034847928</v>
      </c>
      <c r="D1149" s="92">
        <v>59</v>
      </c>
      <c r="E1149" s="93">
        <v>0.2805755395683453</v>
      </c>
      <c r="G1149" s="5"/>
      <c r="H1149" s="5"/>
      <c r="L1149" s="7"/>
      <c r="M1149" s="7"/>
      <c r="O1149" s="6"/>
      <c r="P1149" s="6"/>
      <c r="T1149" s="5"/>
      <c r="U1149" s="5"/>
    </row>
    <row r="1150" spans="2:21" x14ac:dyDescent="0.25">
      <c r="B1150" s="90">
        <v>905</v>
      </c>
      <c r="C1150" s="91">
        <v>0.33449584119649478</v>
      </c>
      <c r="D1150" s="92">
        <v>59</v>
      </c>
      <c r="E1150" s="93">
        <v>0.2733812949640288</v>
      </c>
      <c r="G1150" s="5"/>
      <c r="H1150" s="5"/>
      <c r="L1150" s="7"/>
      <c r="M1150" s="7"/>
      <c r="O1150" s="6"/>
      <c r="P1150" s="6"/>
      <c r="T1150" s="5"/>
      <c r="U1150" s="5"/>
    </row>
    <row r="1151" spans="2:21" x14ac:dyDescent="0.25">
      <c r="B1151" s="90">
        <v>1199</v>
      </c>
      <c r="C1151" s="91">
        <v>0.3359445100320152</v>
      </c>
      <c r="D1151" s="92">
        <v>59</v>
      </c>
      <c r="E1151" s="93">
        <v>0.36690647482014388</v>
      </c>
      <c r="G1151" s="5"/>
      <c r="H1151" s="5"/>
      <c r="L1151" s="7"/>
      <c r="M1151" s="7"/>
      <c r="O1151" s="6"/>
      <c r="P1151" s="6"/>
      <c r="T1151" s="5"/>
      <c r="U1151" s="5"/>
    </row>
    <row r="1152" spans="2:21" x14ac:dyDescent="0.25">
      <c r="B1152" s="90">
        <v>906</v>
      </c>
      <c r="C1152" s="91">
        <v>0.3360631317672238</v>
      </c>
      <c r="D1152" s="92">
        <v>59</v>
      </c>
      <c r="E1152" s="93">
        <v>0.2733812949640288</v>
      </c>
      <c r="G1152" s="5"/>
      <c r="H1152" s="5"/>
      <c r="L1152" s="7"/>
      <c r="M1152" s="7"/>
      <c r="O1152" s="6"/>
      <c r="P1152" s="6"/>
      <c r="T1152" s="5"/>
      <c r="U1152" s="5"/>
    </row>
    <row r="1153" spans="2:21" x14ac:dyDescent="0.25">
      <c r="B1153" s="90">
        <v>1008</v>
      </c>
      <c r="C1153" s="91">
        <v>0.33737447391551423</v>
      </c>
      <c r="D1153" s="92">
        <v>59</v>
      </c>
      <c r="E1153" s="93">
        <v>0.35971223021582732</v>
      </c>
      <c r="G1153" s="5"/>
      <c r="H1153" s="5"/>
      <c r="L1153" s="7"/>
      <c r="M1153" s="7"/>
      <c r="O1153" s="6"/>
      <c r="P1153" s="6"/>
      <c r="T1153" s="5"/>
      <c r="U1153" s="5"/>
    </row>
    <row r="1154" spans="2:21" x14ac:dyDescent="0.25">
      <c r="B1154" s="90">
        <v>856</v>
      </c>
      <c r="C1154" s="91">
        <v>0.33856447754875429</v>
      </c>
      <c r="D1154" s="92">
        <v>59</v>
      </c>
      <c r="E1154" s="93">
        <v>0.2805755395683453</v>
      </c>
      <c r="G1154" s="5"/>
      <c r="H1154" s="5"/>
      <c r="L1154" s="7"/>
      <c r="M1154" s="7"/>
      <c r="O1154" s="6"/>
      <c r="P1154" s="6"/>
      <c r="T1154" s="5"/>
      <c r="U1154" s="5"/>
    </row>
    <row r="1155" spans="2:21" x14ac:dyDescent="0.25">
      <c r="B1155" s="90">
        <v>1194</v>
      </c>
      <c r="C1155" s="91">
        <v>0.33868450176047282</v>
      </c>
      <c r="D1155" s="92">
        <v>59</v>
      </c>
      <c r="E1155" s="93">
        <v>0.28776978417266186</v>
      </c>
      <c r="G1155" s="5"/>
      <c r="H1155" s="5"/>
      <c r="L1155" s="7"/>
      <c r="M1155" s="7"/>
      <c r="O1155" s="6"/>
      <c r="P1155" s="6"/>
      <c r="T1155" s="5"/>
      <c r="U1155" s="5"/>
    </row>
    <row r="1156" spans="2:21" x14ac:dyDescent="0.25">
      <c r="B1156" s="90">
        <v>1007</v>
      </c>
      <c r="C1156" s="91">
        <v>0.34049847627227481</v>
      </c>
      <c r="D1156" s="92">
        <v>59</v>
      </c>
      <c r="E1156" s="93">
        <v>0.28776978417266186</v>
      </c>
      <c r="G1156" s="5"/>
      <c r="H1156" s="5"/>
      <c r="L1156" s="7"/>
      <c r="M1156" s="7"/>
      <c r="O1156" s="6"/>
      <c r="P1156" s="6"/>
      <c r="T1156" s="5"/>
      <c r="U1156" s="5"/>
    </row>
    <row r="1157" spans="2:21" x14ac:dyDescent="0.25">
      <c r="B1157" s="90">
        <v>1193</v>
      </c>
      <c r="C1157" s="91">
        <v>0.34162228761493441</v>
      </c>
      <c r="D1157" s="92">
        <v>59</v>
      </c>
      <c r="E1157" s="93">
        <v>0.28776978417266186</v>
      </c>
      <c r="G1157" s="5"/>
      <c r="H1157" s="5"/>
      <c r="L1157" s="7"/>
      <c r="M1157" s="7"/>
      <c r="O1157" s="6"/>
      <c r="P1157" s="6"/>
      <c r="T1157" s="5"/>
      <c r="U1157" s="5"/>
    </row>
    <row r="1158" spans="2:21" x14ac:dyDescent="0.25">
      <c r="B1158" s="90">
        <v>855</v>
      </c>
      <c r="C1158" s="91">
        <v>0.34235022000017235</v>
      </c>
      <c r="D1158" s="92">
        <v>59</v>
      </c>
      <c r="E1158" s="93">
        <v>0.2733812949640288</v>
      </c>
      <c r="G1158" s="5"/>
      <c r="H1158" s="5"/>
      <c r="L1158" s="7"/>
      <c r="M1158" s="7"/>
      <c r="O1158" s="6"/>
      <c r="P1158" s="6"/>
      <c r="T1158" s="5"/>
      <c r="U1158" s="5"/>
    </row>
    <row r="1159" spans="2:21" x14ac:dyDescent="0.25">
      <c r="B1159" s="90">
        <v>957</v>
      </c>
      <c r="C1159" s="91">
        <v>0.34273785219026964</v>
      </c>
      <c r="D1159" s="92">
        <v>59</v>
      </c>
      <c r="E1159" s="93">
        <v>0.2805755395683453</v>
      </c>
      <c r="G1159" s="5"/>
      <c r="H1159" s="5"/>
      <c r="L1159" s="7"/>
      <c r="M1159" s="7"/>
      <c r="O1159" s="6"/>
      <c r="P1159" s="6"/>
      <c r="T1159" s="5"/>
      <c r="U1159" s="5"/>
    </row>
    <row r="1160" spans="2:21" x14ac:dyDescent="0.25">
      <c r="B1160" s="90">
        <v>955</v>
      </c>
      <c r="C1160" s="91">
        <v>0.34300915852554492</v>
      </c>
      <c r="D1160" s="92">
        <v>59</v>
      </c>
      <c r="E1160" s="93">
        <v>0.2733812949640288</v>
      </c>
      <c r="G1160" s="5"/>
      <c r="H1160" s="5"/>
      <c r="L1160" s="7"/>
      <c r="M1160" s="7"/>
      <c r="O1160" s="6"/>
      <c r="P1160" s="6"/>
      <c r="T1160" s="5"/>
      <c r="U1160" s="5"/>
    </row>
    <row r="1161" spans="2:21" x14ac:dyDescent="0.25">
      <c r="B1161" s="90">
        <v>1010</v>
      </c>
      <c r="C1161" s="91">
        <v>0.3443372947370017</v>
      </c>
      <c r="D1161" s="92">
        <v>59</v>
      </c>
      <c r="E1161" s="93">
        <v>0.43165467625899279</v>
      </c>
      <c r="G1161" s="5"/>
      <c r="H1161" s="5"/>
      <c r="L1161" s="7"/>
      <c r="M1161" s="7"/>
      <c r="O1161" s="6"/>
      <c r="P1161" s="6"/>
      <c r="T1161" s="5"/>
      <c r="U1161" s="5"/>
    </row>
    <row r="1162" spans="2:21" x14ac:dyDescent="0.25">
      <c r="B1162" s="90">
        <v>956</v>
      </c>
      <c r="C1162" s="91">
        <v>0.34519842487960395</v>
      </c>
      <c r="D1162" s="92">
        <v>59</v>
      </c>
      <c r="E1162" s="93">
        <v>0.2733812949640288</v>
      </c>
      <c r="G1162" s="5"/>
      <c r="H1162" s="5"/>
      <c r="L1162" s="7"/>
      <c r="M1162" s="7"/>
      <c r="O1162" s="6"/>
      <c r="P1162" s="6"/>
      <c r="T1162" s="5"/>
      <c r="U1162" s="5"/>
    </row>
    <row r="1163" spans="2:21" x14ac:dyDescent="0.25">
      <c r="B1163" s="90">
        <v>1191</v>
      </c>
      <c r="C1163" s="91">
        <v>0.35012760482683947</v>
      </c>
      <c r="D1163" s="92">
        <v>59</v>
      </c>
      <c r="E1163" s="93">
        <v>0.2733812949640288</v>
      </c>
      <c r="G1163" s="5"/>
      <c r="H1163" s="5"/>
      <c r="L1163" s="7"/>
      <c r="M1163" s="7"/>
      <c r="O1163" s="6"/>
      <c r="P1163" s="6"/>
      <c r="T1163" s="5"/>
      <c r="U1163" s="5"/>
    </row>
    <row r="1164" spans="2:21" x14ac:dyDescent="0.25">
      <c r="B1164" s="90">
        <v>1004</v>
      </c>
      <c r="C1164" s="91">
        <v>0.35110025165754855</v>
      </c>
      <c r="D1164" s="92">
        <v>59</v>
      </c>
      <c r="E1164" s="93">
        <v>0.2733812949640288</v>
      </c>
      <c r="G1164" s="5"/>
      <c r="H1164" s="5"/>
      <c r="L1164" s="7"/>
      <c r="M1164" s="7"/>
      <c r="O1164" s="6"/>
      <c r="P1164" s="6"/>
      <c r="T1164" s="5"/>
      <c r="U1164" s="5"/>
    </row>
    <row r="1165" spans="2:21" x14ac:dyDescent="0.25">
      <c r="B1165" s="90">
        <v>1192</v>
      </c>
      <c r="C1165" s="91">
        <v>0.35286764626073619</v>
      </c>
      <c r="D1165" s="92">
        <v>59</v>
      </c>
      <c r="E1165" s="93">
        <v>0.2805755395683453</v>
      </c>
      <c r="G1165" s="5"/>
      <c r="H1165" s="5"/>
      <c r="L1165" s="7"/>
      <c r="M1165" s="7"/>
      <c r="O1165" s="6"/>
      <c r="P1165" s="6"/>
      <c r="T1165" s="5"/>
      <c r="U1165" s="5"/>
    </row>
    <row r="1166" spans="2:21" x14ac:dyDescent="0.25">
      <c r="B1166" s="90">
        <v>1282</v>
      </c>
      <c r="C1166" s="91">
        <v>0.35396916489614594</v>
      </c>
      <c r="D1166" s="92">
        <v>59</v>
      </c>
      <c r="E1166" s="93">
        <v>0.28776978417266186</v>
      </c>
      <c r="G1166" s="5"/>
      <c r="H1166" s="5"/>
      <c r="L1166" s="7"/>
      <c r="M1166" s="7"/>
      <c r="O1166" s="6"/>
      <c r="P1166" s="6"/>
      <c r="T1166" s="5"/>
      <c r="U1166" s="5"/>
    </row>
    <row r="1167" spans="2:21" x14ac:dyDescent="0.25">
      <c r="B1167" s="90">
        <v>1005</v>
      </c>
      <c r="C1167" s="91">
        <v>0.35508114711101191</v>
      </c>
      <c r="D1167" s="92">
        <v>59</v>
      </c>
      <c r="E1167" s="93">
        <v>0.2733812949640288</v>
      </c>
      <c r="G1167" s="5"/>
      <c r="H1167" s="5"/>
      <c r="L1167" s="7"/>
      <c r="M1167" s="7"/>
      <c r="O1167" s="6"/>
      <c r="P1167" s="6"/>
      <c r="T1167" s="5"/>
      <c r="U1167" s="5"/>
    </row>
    <row r="1168" spans="2:21" x14ac:dyDescent="0.25">
      <c r="B1168" s="90">
        <v>1006</v>
      </c>
      <c r="C1168" s="91">
        <v>0.35562795652266777</v>
      </c>
      <c r="D1168" s="92">
        <v>59</v>
      </c>
      <c r="E1168" s="93">
        <v>0.2805755395683453</v>
      </c>
      <c r="G1168" s="5"/>
      <c r="H1168" s="5"/>
      <c r="L1168" s="7"/>
      <c r="M1168" s="7"/>
      <c r="O1168" s="6"/>
      <c r="P1168" s="6"/>
      <c r="T1168" s="5"/>
      <c r="U1168" s="5"/>
    </row>
    <row r="1169" spans="2:21" x14ac:dyDescent="0.25">
      <c r="B1169" s="90">
        <v>1283</v>
      </c>
      <c r="C1169" s="91">
        <v>0.35971635856497253</v>
      </c>
      <c r="D1169" s="92">
        <v>59</v>
      </c>
      <c r="E1169" s="93">
        <v>0.2733812949640288</v>
      </c>
      <c r="G1169" s="5"/>
      <c r="H1169" s="5"/>
      <c r="L1169" s="7"/>
      <c r="M1169" s="7"/>
      <c r="O1169" s="6"/>
      <c r="P1169" s="6"/>
      <c r="T1169" s="5"/>
      <c r="U1169" s="5"/>
    </row>
    <row r="1170" spans="2:21" x14ac:dyDescent="0.25">
      <c r="B1170" s="90">
        <v>1995</v>
      </c>
      <c r="C1170" s="91">
        <v>0.36291018376649931</v>
      </c>
      <c r="D1170" s="92">
        <v>59</v>
      </c>
      <c r="E1170" s="93">
        <v>0.16546762589928057</v>
      </c>
      <c r="G1170" s="5"/>
      <c r="H1170" s="5"/>
      <c r="L1170" s="7"/>
      <c r="M1170" s="7"/>
      <c r="O1170" s="6"/>
      <c r="P1170" s="6"/>
      <c r="T1170" s="5"/>
      <c r="U1170" s="5"/>
    </row>
    <row r="1171" spans="2:21" x14ac:dyDescent="0.25">
      <c r="B1171" s="90">
        <v>1154</v>
      </c>
      <c r="C1171" s="91">
        <v>0.37396375372697221</v>
      </c>
      <c r="D1171" s="92">
        <v>59</v>
      </c>
      <c r="E1171" s="93">
        <v>0.46043165467625902</v>
      </c>
      <c r="G1171" s="5"/>
      <c r="H1171" s="5"/>
      <c r="L1171" s="7"/>
      <c r="M1171" s="7"/>
      <c r="O1171" s="6"/>
      <c r="P1171" s="6"/>
      <c r="T1171" s="5"/>
      <c r="U1171" s="5"/>
    </row>
    <row r="1172" spans="2:21" x14ac:dyDescent="0.25">
      <c r="B1172" s="90">
        <v>1648</v>
      </c>
      <c r="C1172" s="91">
        <v>0.37846314073873766</v>
      </c>
      <c r="D1172" s="92">
        <v>59</v>
      </c>
      <c r="E1172" s="93">
        <v>0.18705035971223022</v>
      </c>
      <c r="G1172" s="5"/>
      <c r="H1172" s="5"/>
      <c r="L1172" s="7"/>
      <c r="M1172" s="7"/>
      <c r="O1172" s="6"/>
      <c r="P1172" s="6"/>
      <c r="T1172" s="5"/>
      <c r="U1172" s="5"/>
    </row>
    <row r="1173" spans="2:21" x14ac:dyDescent="0.25">
      <c r="B1173" s="90">
        <v>1278</v>
      </c>
      <c r="C1173" s="91">
        <v>0.38551602221949344</v>
      </c>
      <c r="D1173" s="92">
        <v>59</v>
      </c>
      <c r="E1173" s="93">
        <v>0.2446043165467626</v>
      </c>
      <c r="G1173" s="5"/>
      <c r="H1173" s="5"/>
      <c r="L1173" s="7"/>
      <c r="M1173" s="7"/>
      <c r="O1173" s="6"/>
      <c r="P1173" s="6"/>
      <c r="T1173" s="5"/>
      <c r="U1173" s="5"/>
    </row>
    <row r="1174" spans="2:21" x14ac:dyDescent="0.25">
      <c r="B1174" s="90">
        <v>1240</v>
      </c>
      <c r="C1174" s="91">
        <v>0.3911725212054018</v>
      </c>
      <c r="D1174" s="92">
        <v>59</v>
      </c>
      <c r="E1174" s="93">
        <v>0.20143884892086331</v>
      </c>
      <c r="G1174" s="5"/>
      <c r="H1174" s="5"/>
      <c r="L1174" s="7"/>
      <c r="M1174" s="7"/>
      <c r="O1174" s="6"/>
      <c r="P1174" s="6"/>
      <c r="T1174" s="5"/>
      <c r="U1174" s="5"/>
    </row>
    <row r="1175" spans="2:21" x14ac:dyDescent="0.25">
      <c r="B1175" s="90">
        <v>1235</v>
      </c>
      <c r="C1175" s="91">
        <v>0.39299085919393739</v>
      </c>
      <c r="D1175" s="92">
        <v>59</v>
      </c>
      <c r="E1175" s="93">
        <v>0.17985611510791366</v>
      </c>
      <c r="G1175" s="5"/>
      <c r="H1175" s="5"/>
      <c r="L1175" s="7"/>
      <c r="M1175" s="7"/>
      <c r="O1175" s="6"/>
      <c r="P1175" s="6"/>
      <c r="T1175" s="5"/>
      <c r="U1175" s="5"/>
    </row>
    <row r="1176" spans="2:21" x14ac:dyDescent="0.25">
      <c r="B1176" s="90">
        <v>1281</v>
      </c>
      <c r="C1176" s="91">
        <v>0.39308779845734365</v>
      </c>
      <c r="D1176" s="92">
        <v>59</v>
      </c>
      <c r="E1176" s="93">
        <v>0.25899280575539568</v>
      </c>
      <c r="G1176" s="5"/>
      <c r="H1176" s="5"/>
      <c r="L1176" s="7"/>
      <c r="M1176" s="7"/>
      <c r="O1176" s="6"/>
      <c r="P1176" s="6"/>
      <c r="T1176" s="5"/>
      <c r="U1176" s="5"/>
    </row>
    <row r="1177" spans="2:21" x14ac:dyDescent="0.25">
      <c r="B1177" s="90">
        <v>1280</v>
      </c>
      <c r="C1177" s="91">
        <v>0.39417781354743786</v>
      </c>
      <c r="D1177" s="92">
        <v>59</v>
      </c>
      <c r="E1177" s="93">
        <v>0.20863309352517986</v>
      </c>
      <c r="G1177" s="5"/>
      <c r="H1177" s="5"/>
      <c r="L1177" s="7"/>
      <c r="M1177" s="7"/>
      <c r="O1177" s="6"/>
      <c r="P1177" s="6"/>
      <c r="T1177" s="5"/>
      <c r="U1177" s="5"/>
    </row>
    <row r="1178" spans="2:21" x14ac:dyDescent="0.25">
      <c r="B1178" s="90">
        <v>1237</v>
      </c>
      <c r="C1178" s="91">
        <v>0.39435402571690392</v>
      </c>
      <c r="D1178" s="92">
        <v>59</v>
      </c>
      <c r="E1178" s="93">
        <v>0.19424460431654678</v>
      </c>
      <c r="G1178" s="5"/>
      <c r="H1178" s="5"/>
      <c r="L1178" s="7"/>
      <c r="M1178" s="7"/>
      <c r="O1178" s="6"/>
      <c r="P1178" s="6"/>
      <c r="T1178" s="5"/>
      <c r="U1178" s="5"/>
    </row>
    <row r="1179" spans="2:21" x14ac:dyDescent="0.25">
      <c r="B1179" s="90">
        <v>72</v>
      </c>
      <c r="C1179" s="91">
        <v>0.39437995430600425</v>
      </c>
      <c r="D1179" s="92">
        <v>59</v>
      </c>
      <c r="E1179" s="93">
        <v>0.41726618705035973</v>
      </c>
      <c r="G1179" s="5"/>
      <c r="H1179" s="5"/>
      <c r="L1179" s="7"/>
      <c r="M1179" s="7"/>
      <c r="O1179" s="6"/>
      <c r="P1179" s="6"/>
      <c r="T1179" s="5"/>
      <c r="U1179" s="5"/>
    </row>
    <row r="1180" spans="2:21" x14ac:dyDescent="0.25">
      <c r="B1180" s="90">
        <v>1236</v>
      </c>
      <c r="C1180" s="91">
        <v>0.39693274716858673</v>
      </c>
      <c r="D1180" s="92">
        <v>59</v>
      </c>
      <c r="E1180" s="93">
        <v>0.17985611510791366</v>
      </c>
      <c r="G1180" s="5"/>
      <c r="H1180" s="5"/>
      <c r="L1180" s="7"/>
      <c r="M1180" s="7"/>
      <c r="O1180" s="6"/>
      <c r="P1180" s="6"/>
      <c r="T1180" s="5"/>
      <c r="U1180" s="5"/>
    </row>
    <row r="1181" spans="2:21" x14ac:dyDescent="0.25">
      <c r="B1181" s="90">
        <v>136</v>
      </c>
      <c r="C1181" s="91">
        <v>0.40527828160573898</v>
      </c>
      <c r="D1181" s="92">
        <v>59</v>
      </c>
      <c r="E1181" s="93">
        <v>0.41726618705035973</v>
      </c>
      <c r="G1181" s="5"/>
      <c r="H1181" s="5"/>
      <c r="L1181" s="7"/>
      <c r="M1181" s="7"/>
      <c r="O1181" s="6"/>
      <c r="P1181" s="6"/>
      <c r="T1181" s="5"/>
      <c r="U1181" s="5"/>
    </row>
    <row r="1182" spans="2:21" x14ac:dyDescent="0.25">
      <c r="B1182" s="90">
        <v>1279</v>
      </c>
      <c r="C1182" s="91">
        <v>0.40570539463002486</v>
      </c>
      <c r="D1182" s="92">
        <v>59</v>
      </c>
      <c r="E1182" s="93">
        <v>0.17985611510791366</v>
      </c>
      <c r="G1182" s="5"/>
      <c r="H1182" s="5"/>
      <c r="L1182" s="7"/>
      <c r="M1182" s="7"/>
      <c r="O1182" s="6"/>
      <c r="P1182" s="6"/>
      <c r="T1182" s="5"/>
      <c r="U1182" s="5"/>
    </row>
    <row r="1183" spans="2:21" x14ac:dyDescent="0.25">
      <c r="B1183" s="90">
        <v>2053</v>
      </c>
      <c r="C1183" s="91">
        <v>5.0454121877329228E-2</v>
      </c>
      <c r="D1183" s="92">
        <v>60</v>
      </c>
      <c r="E1183" s="93">
        <v>0.33812949640287771</v>
      </c>
      <c r="G1183" s="5"/>
      <c r="H1183" s="5"/>
      <c r="L1183" s="7"/>
      <c r="M1183" s="7"/>
      <c r="O1183" s="6"/>
      <c r="P1183" s="6"/>
      <c r="T1183" s="5"/>
      <c r="U1183" s="5"/>
    </row>
    <row r="1184" spans="2:21" x14ac:dyDescent="0.25">
      <c r="B1184" s="90">
        <v>401</v>
      </c>
      <c r="C1184" s="91">
        <v>0.10267078090747583</v>
      </c>
      <c r="D1184" s="92">
        <v>60</v>
      </c>
      <c r="E1184" s="93">
        <v>0.60431654676258995</v>
      </c>
      <c r="G1184" s="5"/>
      <c r="H1184" s="5"/>
      <c r="L1184" s="7"/>
      <c r="M1184" s="7"/>
      <c r="O1184" s="6"/>
      <c r="P1184" s="6"/>
      <c r="T1184" s="5"/>
      <c r="U1184" s="5"/>
    </row>
    <row r="1185" spans="2:21" x14ac:dyDescent="0.25">
      <c r="B1185" s="90">
        <v>519</v>
      </c>
      <c r="C1185" s="91">
        <v>0.10546639022850068</v>
      </c>
      <c r="D1185" s="92">
        <v>60</v>
      </c>
      <c r="E1185" s="93">
        <v>0.64748201438848918</v>
      </c>
      <c r="G1185" s="5"/>
      <c r="H1185" s="5"/>
      <c r="L1185" s="7"/>
      <c r="M1185" s="7"/>
      <c r="O1185" s="6"/>
      <c r="P1185" s="6"/>
      <c r="T1185" s="5"/>
      <c r="U1185" s="5"/>
    </row>
    <row r="1186" spans="2:21" x14ac:dyDescent="0.25">
      <c r="B1186" s="90">
        <v>402</v>
      </c>
      <c r="C1186" s="91">
        <v>0.11720600465247011</v>
      </c>
      <c r="D1186" s="92">
        <v>60</v>
      </c>
      <c r="E1186" s="93">
        <v>0.60431654676258995</v>
      </c>
      <c r="G1186" s="5"/>
      <c r="H1186" s="5"/>
      <c r="L1186" s="7"/>
      <c r="M1186" s="7"/>
      <c r="O1186" s="6"/>
      <c r="P1186" s="6"/>
      <c r="T1186" s="5"/>
      <c r="U1186" s="5"/>
    </row>
    <row r="1187" spans="2:21" x14ac:dyDescent="0.25">
      <c r="B1187" s="90">
        <v>405</v>
      </c>
      <c r="C1187" s="91">
        <v>0.15651502857583011</v>
      </c>
      <c r="D1187" s="92">
        <v>60</v>
      </c>
      <c r="E1187" s="93">
        <v>0.5611510791366906</v>
      </c>
      <c r="G1187" s="5"/>
      <c r="H1187" s="5"/>
      <c r="L1187" s="7"/>
      <c r="M1187" s="7"/>
      <c r="O1187" s="6"/>
      <c r="P1187" s="6"/>
      <c r="T1187" s="5"/>
      <c r="U1187" s="5"/>
    </row>
    <row r="1188" spans="2:21" x14ac:dyDescent="0.25">
      <c r="B1188" s="90">
        <v>404</v>
      </c>
      <c r="C1188" s="91">
        <v>0.22523964880011738</v>
      </c>
      <c r="D1188" s="92">
        <v>60</v>
      </c>
      <c r="E1188" s="93">
        <v>0.51798561151079137</v>
      </c>
      <c r="G1188" s="5"/>
      <c r="H1188" s="5"/>
      <c r="L1188" s="7"/>
      <c r="M1188" s="7"/>
      <c r="O1188" s="6"/>
      <c r="P1188" s="6"/>
      <c r="T1188" s="5"/>
      <c r="U1188" s="5"/>
    </row>
    <row r="1189" spans="2:21" x14ac:dyDescent="0.25">
      <c r="B1189" s="90">
        <v>520</v>
      </c>
      <c r="C1189" s="91">
        <v>0.22934457364713356</v>
      </c>
      <c r="D1189" s="92">
        <v>60</v>
      </c>
      <c r="E1189" s="93">
        <v>0.53956834532374098</v>
      </c>
      <c r="G1189" s="5"/>
      <c r="H1189" s="5"/>
      <c r="L1189" s="7"/>
      <c r="M1189" s="7"/>
      <c r="O1189" s="6"/>
      <c r="P1189" s="6"/>
      <c r="T1189" s="5"/>
      <c r="U1189" s="5"/>
    </row>
    <row r="1190" spans="2:21" x14ac:dyDescent="0.25">
      <c r="B1190" s="90">
        <v>403</v>
      </c>
      <c r="C1190" s="91">
        <v>0.23551095017509849</v>
      </c>
      <c r="D1190" s="92">
        <v>60</v>
      </c>
      <c r="E1190" s="93">
        <v>0.56834532374100721</v>
      </c>
      <c r="G1190" s="5"/>
      <c r="H1190" s="5"/>
      <c r="L1190" s="7"/>
      <c r="M1190" s="7"/>
      <c r="O1190" s="6"/>
      <c r="P1190" s="6"/>
      <c r="T1190" s="5"/>
      <c r="U1190" s="5"/>
    </row>
    <row r="1191" spans="2:21" x14ac:dyDescent="0.25">
      <c r="B1191" s="90">
        <v>1239</v>
      </c>
      <c r="C1191" s="91">
        <v>0.38487533390856798</v>
      </c>
      <c r="D1191" s="92">
        <v>60</v>
      </c>
      <c r="E1191" s="93">
        <v>0.21582733812949639</v>
      </c>
      <c r="G1191" s="5"/>
      <c r="H1191" s="5"/>
      <c r="L1191" s="7"/>
      <c r="M1191" s="7"/>
      <c r="O1191" s="6"/>
      <c r="P1191" s="6"/>
      <c r="T1191" s="5"/>
      <c r="U1191" s="5"/>
    </row>
    <row r="1192" spans="2:21" x14ac:dyDescent="0.25">
      <c r="B1192" s="90">
        <v>1238</v>
      </c>
      <c r="C1192" s="91">
        <v>0.40331170642084213</v>
      </c>
      <c r="D1192" s="92">
        <v>60</v>
      </c>
      <c r="E1192" s="93">
        <v>0.20143884892086331</v>
      </c>
      <c r="G1192" s="5"/>
      <c r="H1192" s="5"/>
      <c r="L1192" s="7"/>
      <c r="M1192" s="7"/>
      <c r="O1192" s="6"/>
      <c r="P1192" s="6"/>
      <c r="T1192" s="5"/>
      <c r="U1192" s="5"/>
    </row>
    <row r="1193" spans="2:21" x14ac:dyDescent="0.25">
      <c r="B1193" s="90">
        <v>486</v>
      </c>
      <c r="C1193" s="91">
        <v>0.50681180887427113</v>
      </c>
      <c r="D1193" s="92">
        <v>60</v>
      </c>
      <c r="E1193" s="93">
        <v>0.33093525179856115</v>
      </c>
      <c r="G1193" s="5"/>
      <c r="H1193" s="5"/>
      <c r="L1193" s="7"/>
      <c r="M1193" s="7"/>
      <c r="O1193" s="6"/>
      <c r="P1193" s="6"/>
      <c r="T1193" s="5"/>
      <c r="U1193" s="5"/>
    </row>
    <row r="1194" spans="2:21" x14ac:dyDescent="0.25">
      <c r="B1194" s="90">
        <v>1471</v>
      </c>
      <c r="C1194" s="91">
        <v>0.79996938354358282</v>
      </c>
      <c r="D1194" s="92">
        <v>61</v>
      </c>
      <c r="E1194" s="93">
        <v>0.14388489208633093</v>
      </c>
      <c r="G1194" s="5"/>
      <c r="H1194" s="5"/>
      <c r="L1194" s="7"/>
      <c r="M1194" s="7"/>
      <c r="O1194" s="6"/>
      <c r="P1194" s="6"/>
      <c r="T1194" s="5"/>
      <c r="U1194" s="5"/>
    </row>
    <row r="1195" spans="2:21" x14ac:dyDescent="0.25">
      <c r="B1195" s="90">
        <v>1472</v>
      </c>
      <c r="C1195" s="91">
        <v>0.82673697498149123</v>
      </c>
      <c r="D1195" s="92">
        <v>61</v>
      </c>
      <c r="E1195" s="93">
        <v>0.1366906474820144</v>
      </c>
      <c r="G1195" s="5"/>
      <c r="H1195" s="5"/>
      <c r="L1195" s="7"/>
      <c r="M1195" s="7"/>
      <c r="O1195" s="6"/>
      <c r="P1195" s="6"/>
      <c r="T1195" s="5"/>
      <c r="U1195" s="5"/>
    </row>
    <row r="1196" spans="2:21" x14ac:dyDescent="0.25">
      <c r="B1196" s="90">
        <v>576</v>
      </c>
      <c r="C1196" s="91">
        <v>0.10119924566655714</v>
      </c>
      <c r="D1196" s="92">
        <v>62</v>
      </c>
      <c r="E1196" s="93">
        <v>0.64748201438848918</v>
      </c>
      <c r="G1196" s="5"/>
      <c r="H1196" s="5"/>
      <c r="L1196" s="7"/>
      <c r="M1196" s="7"/>
      <c r="O1196" s="6"/>
      <c r="P1196" s="6"/>
      <c r="T1196" s="5"/>
      <c r="U1196" s="5"/>
    </row>
    <row r="1197" spans="2:21" x14ac:dyDescent="0.25">
      <c r="B1197" s="90">
        <v>461</v>
      </c>
      <c r="C1197" s="91">
        <v>0.11383633787074832</v>
      </c>
      <c r="D1197" s="92">
        <v>62</v>
      </c>
      <c r="E1197" s="93">
        <v>0.60431654676258995</v>
      </c>
      <c r="G1197" s="5"/>
      <c r="H1197" s="5"/>
      <c r="L1197" s="7"/>
      <c r="M1197" s="7"/>
      <c r="O1197" s="6"/>
      <c r="P1197" s="6"/>
      <c r="T1197" s="5"/>
      <c r="U1197" s="5"/>
    </row>
    <row r="1198" spans="2:21" x14ac:dyDescent="0.25">
      <c r="B1198" s="90">
        <v>92</v>
      </c>
      <c r="C1198" s="91">
        <v>0.19511789411969027</v>
      </c>
      <c r="D1198" s="92">
        <v>62</v>
      </c>
      <c r="E1198" s="93">
        <v>0.52517985611510787</v>
      </c>
      <c r="G1198" s="5"/>
      <c r="H1198" s="5"/>
      <c r="L1198" s="7"/>
      <c r="M1198" s="7"/>
      <c r="O1198" s="6"/>
      <c r="P1198" s="6"/>
      <c r="T1198" s="5"/>
      <c r="U1198" s="5"/>
    </row>
    <row r="1199" spans="2:21" x14ac:dyDescent="0.25">
      <c r="B1199" s="90">
        <v>156</v>
      </c>
      <c r="C1199" s="91">
        <v>0.20380522718659755</v>
      </c>
      <c r="D1199" s="92">
        <v>62</v>
      </c>
      <c r="E1199" s="93">
        <v>0.51798561151079137</v>
      </c>
      <c r="G1199" s="5"/>
      <c r="H1199" s="5"/>
      <c r="L1199" s="7"/>
      <c r="M1199" s="7"/>
      <c r="O1199" s="6"/>
      <c r="P1199" s="6"/>
      <c r="T1199" s="5"/>
      <c r="U1199" s="5"/>
    </row>
    <row r="1200" spans="2:21" x14ac:dyDescent="0.25">
      <c r="B1200" s="90">
        <v>462</v>
      </c>
      <c r="C1200" s="91">
        <v>0.23308501501510204</v>
      </c>
      <c r="D1200" s="92">
        <v>62</v>
      </c>
      <c r="E1200" s="93">
        <v>0.56834532374100721</v>
      </c>
      <c r="G1200" s="5"/>
      <c r="H1200" s="5"/>
      <c r="L1200" s="7"/>
      <c r="M1200" s="7"/>
      <c r="O1200" s="6"/>
      <c r="P1200" s="6"/>
      <c r="T1200" s="5"/>
      <c r="U1200" s="5"/>
    </row>
    <row r="1201" spans="2:21" x14ac:dyDescent="0.25">
      <c r="B1201" s="90">
        <v>93</v>
      </c>
      <c r="C1201" s="91">
        <v>0.35049920881637919</v>
      </c>
      <c r="D1201" s="92">
        <v>62</v>
      </c>
      <c r="E1201" s="93">
        <v>0.36690647482014388</v>
      </c>
      <c r="G1201" s="5"/>
      <c r="H1201" s="5"/>
      <c r="L1201" s="7"/>
      <c r="M1201" s="7"/>
      <c r="O1201" s="6"/>
      <c r="P1201" s="6"/>
      <c r="T1201" s="5"/>
      <c r="U1201" s="5"/>
    </row>
    <row r="1202" spans="2:21" x14ac:dyDescent="0.25">
      <c r="B1202" s="90">
        <v>157</v>
      </c>
      <c r="C1202" s="91">
        <v>0.36265666220691517</v>
      </c>
      <c r="D1202" s="92">
        <v>62</v>
      </c>
      <c r="E1202" s="93">
        <v>0.36690647482014388</v>
      </c>
      <c r="G1202" s="5"/>
      <c r="H1202" s="5"/>
      <c r="L1202" s="7"/>
      <c r="M1202" s="7"/>
      <c r="O1202" s="6"/>
      <c r="P1202" s="6"/>
      <c r="T1202" s="5"/>
      <c r="U1202" s="5"/>
    </row>
    <row r="1203" spans="2:21" x14ac:dyDescent="0.25">
      <c r="B1203" s="90">
        <v>1241</v>
      </c>
      <c r="C1203" s="91">
        <v>0.42505925322538263</v>
      </c>
      <c r="D1203" s="92">
        <v>62</v>
      </c>
      <c r="E1203" s="93">
        <v>0.25179856115107913</v>
      </c>
      <c r="G1203" s="5"/>
      <c r="H1203" s="5"/>
      <c r="L1203" s="7"/>
      <c r="M1203" s="7"/>
      <c r="O1203" s="6"/>
      <c r="P1203" s="6"/>
      <c r="T1203" s="5"/>
      <c r="U1203" s="5"/>
    </row>
    <row r="1204" spans="2:21" x14ac:dyDescent="0.25">
      <c r="B1204" s="90">
        <v>1284</v>
      </c>
      <c r="C1204" s="91">
        <v>0.42838247683720265</v>
      </c>
      <c r="D1204" s="92">
        <v>62</v>
      </c>
      <c r="E1204" s="93">
        <v>0.20143884892086331</v>
      </c>
      <c r="G1204" s="5"/>
      <c r="H1204" s="5"/>
      <c r="L1204" s="7"/>
      <c r="M1204" s="7"/>
      <c r="O1204" s="6"/>
      <c r="P1204" s="6"/>
      <c r="T1204" s="5"/>
      <c r="U1204" s="5"/>
    </row>
    <row r="1205" spans="2:21" x14ac:dyDescent="0.25">
      <c r="B1205" s="90">
        <v>1706</v>
      </c>
      <c r="C1205" s="91">
        <v>1.1017606574737036</v>
      </c>
      <c r="D1205" s="92">
        <v>62</v>
      </c>
      <c r="E1205" s="93">
        <v>6.4748201438848921E-2</v>
      </c>
      <c r="G1205" s="5"/>
      <c r="H1205" s="5"/>
      <c r="L1205" s="7"/>
      <c r="M1205" s="7"/>
      <c r="O1205" s="6"/>
      <c r="P1205" s="6"/>
      <c r="T1205" s="5"/>
      <c r="U1205" s="5"/>
    </row>
    <row r="1206" spans="2:21" x14ac:dyDescent="0.25">
      <c r="B1206" s="90">
        <v>1180</v>
      </c>
      <c r="C1206" s="91">
        <v>4.4274261729912556E-2</v>
      </c>
      <c r="D1206" s="92">
        <v>63</v>
      </c>
      <c r="E1206" s="93">
        <v>0.46043165467625902</v>
      </c>
      <c r="G1206" s="5"/>
      <c r="H1206" s="5"/>
      <c r="L1206" s="7"/>
      <c r="M1206" s="7"/>
      <c r="O1206" s="6"/>
      <c r="P1206" s="6"/>
      <c r="T1206" s="5"/>
      <c r="U1206" s="5"/>
    </row>
    <row r="1207" spans="2:21" x14ac:dyDescent="0.25">
      <c r="B1207" s="90">
        <v>1349</v>
      </c>
      <c r="C1207" s="91">
        <v>4.7353565731954483E-2</v>
      </c>
      <c r="D1207" s="92">
        <v>63</v>
      </c>
      <c r="E1207" s="93">
        <v>0.39568345323741005</v>
      </c>
      <c r="G1207" s="5"/>
      <c r="H1207" s="5"/>
      <c r="L1207" s="7"/>
      <c r="M1207" s="7"/>
      <c r="O1207" s="6"/>
      <c r="P1207" s="6"/>
      <c r="T1207" s="5"/>
      <c r="U1207" s="5"/>
    </row>
    <row r="1208" spans="2:21" x14ac:dyDescent="0.25">
      <c r="B1208" s="90">
        <v>1224</v>
      </c>
      <c r="C1208" s="91">
        <v>5.1137651337587298E-2</v>
      </c>
      <c r="D1208" s="92">
        <v>63</v>
      </c>
      <c r="E1208" s="93">
        <v>0.38129496402877699</v>
      </c>
      <c r="G1208" s="5"/>
      <c r="H1208" s="5"/>
      <c r="L1208" s="7"/>
      <c r="M1208" s="7"/>
      <c r="O1208" s="6"/>
      <c r="P1208" s="6"/>
      <c r="T1208" s="5"/>
      <c r="U1208" s="5"/>
    </row>
    <row r="1209" spans="2:21" x14ac:dyDescent="0.25">
      <c r="B1209" s="90">
        <v>1267</v>
      </c>
      <c r="C1209" s="91">
        <v>5.5100775259405821E-2</v>
      </c>
      <c r="D1209" s="92">
        <v>63</v>
      </c>
      <c r="E1209" s="93">
        <v>0.46762589928057552</v>
      </c>
      <c r="G1209" s="5"/>
      <c r="H1209" s="5"/>
      <c r="L1209" s="7"/>
      <c r="M1209" s="7"/>
      <c r="O1209" s="6"/>
      <c r="P1209" s="6"/>
      <c r="T1209" s="5"/>
      <c r="U1209" s="5"/>
    </row>
    <row r="1210" spans="2:21" x14ac:dyDescent="0.25">
      <c r="B1210" s="90">
        <v>945</v>
      </c>
      <c r="C1210" s="91">
        <v>6.639136326345163E-2</v>
      </c>
      <c r="D1210" s="92">
        <v>63</v>
      </c>
      <c r="E1210" s="93">
        <v>0.50359712230215825</v>
      </c>
      <c r="G1210" s="5"/>
      <c r="H1210" s="5"/>
      <c r="L1210" s="7"/>
      <c r="M1210" s="7"/>
      <c r="O1210" s="6"/>
      <c r="P1210" s="6"/>
      <c r="T1210" s="5"/>
      <c r="U1210" s="5"/>
    </row>
    <row r="1211" spans="2:21" x14ac:dyDescent="0.25">
      <c r="B1211" s="90">
        <v>994</v>
      </c>
      <c r="C1211" s="91">
        <v>7.962701357401869E-2</v>
      </c>
      <c r="D1211" s="92">
        <v>63</v>
      </c>
      <c r="E1211" s="93">
        <v>0.57553956834532372</v>
      </c>
      <c r="G1211" s="5"/>
      <c r="H1211" s="5"/>
      <c r="L1211" s="7"/>
      <c r="M1211" s="7"/>
      <c r="O1211" s="6"/>
      <c r="P1211" s="6"/>
      <c r="T1211" s="5"/>
      <c r="U1211" s="5"/>
    </row>
    <row r="1212" spans="2:21" x14ac:dyDescent="0.25">
      <c r="B1212" s="90">
        <v>895</v>
      </c>
      <c r="C1212" s="91">
        <v>8.1997843800254433E-2</v>
      </c>
      <c r="D1212" s="92">
        <v>63</v>
      </c>
      <c r="E1212" s="93">
        <v>0.57553956834532372</v>
      </c>
      <c r="G1212" s="5"/>
      <c r="H1212" s="5"/>
      <c r="L1212" s="7"/>
      <c r="M1212" s="7"/>
      <c r="O1212" s="6"/>
      <c r="P1212" s="6"/>
      <c r="T1212" s="5"/>
      <c r="U1212" s="5"/>
    </row>
    <row r="1213" spans="2:21" x14ac:dyDescent="0.25">
      <c r="B1213" s="90">
        <v>1389</v>
      </c>
      <c r="C1213" s="91">
        <v>9.4744591014530144E-2</v>
      </c>
      <c r="D1213" s="92">
        <v>63</v>
      </c>
      <c r="E1213" s="93">
        <v>0.5611510791366906</v>
      </c>
      <c r="G1213" s="5"/>
      <c r="H1213" s="5"/>
      <c r="L1213" s="7"/>
      <c r="M1213" s="7"/>
      <c r="O1213" s="6"/>
      <c r="P1213" s="6"/>
      <c r="T1213" s="5"/>
      <c r="U1213" s="5"/>
    </row>
    <row r="1214" spans="2:21" x14ac:dyDescent="0.25">
      <c r="B1214" s="90">
        <v>279</v>
      </c>
      <c r="C1214" s="91">
        <v>0.10129477300654988</v>
      </c>
      <c r="D1214" s="92">
        <v>63</v>
      </c>
      <c r="E1214" s="93">
        <v>0.53237410071942448</v>
      </c>
      <c r="G1214" s="5"/>
      <c r="H1214" s="5"/>
      <c r="L1214" s="7"/>
      <c r="M1214" s="7"/>
      <c r="O1214" s="6"/>
      <c r="P1214" s="6"/>
      <c r="T1214" s="5"/>
      <c r="U1214" s="5"/>
    </row>
    <row r="1215" spans="2:21" x14ac:dyDescent="0.25">
      <c r="B1215" s="90">
        <v>340</v>
      </c>
      <c r="C1215" s="91">
        <v>0.10924733437687761</v>
      </c>
      <c r="D1215" s="92">
        <v>63</v>
      </c>
      <c r="E1215" s="93">
        <v>0.60431654676258995</v>
      </c>
      <c r="G1215" s="5"/>
      <c r="H1215" s="5"/>
      <c r="L1215" s="7"/>
      <c r="M1215" s="7"/>
      <c r="O1215" s="6"/>
      <c r="P1215" s="6"/>
      <c r="T1215" s="5"/>
      <c r="U1215" s="5"/>
    </row>
    <row r="1216" spans="2:21" x14ac:dyDescent="0.25">
      <c r="B1216" s="90">
        <v>1135</v>
      </c>
      <c r="C1216" s="91">
        <v>0.11158700174548053</v>
      </c>
      <c r="D1216" s="92">
        <v>63</v>
      </c>
      <c r="E1216" s="93">
        <v>0.64748201438848918</v>
      </c>
      <c r="G1216" s="5"/>
      <c r="H1216" s="5"/>
      <c r="L1216" s="7"/>
      <c r="M1216" s="7"/>
      <c r="O1216" s="6"/>
      <c r="P1216" s="6"/>
      <c r="T1216" s="5"/>
      <c r="U1216" s="5"/>
    </row>
    <row r="1217" spans="2:21" x14ac:dyDescent="0.25">
      <c r="B1217" s="90">
        <v>944</v>
      </c>
      <c r="C1217" s="91">
        <v>0.11365883601225235</v>
      </c>
      <c r="D1217" s="92">
        <v>63</v>
      </c>
      <c r="E1217" s="93">
        <v>0.58992805755395683</v>
      </c>
      <c r="G1217" s="5"/>
      <c r="H1217" s="5"/>
      <c r="L1217" s="7"/>
      <c r="M1217" s="7"/>
      <c r="O1217" s="6"/>
      <c r="P1217" s="6"/>
      <c r="T1217" s="5"/>
      <c r="U1217" s="5"/>
    </row>
    <row r="1218" spans="2:21" x14ac:dyDescent="0.25">
      <c r="B1218" s="90">
        <v>1089</v>
      </c>
      <c r="C1218" s="91">
        <v>0.11475908595281448</v>
      </c>
      <c r="D1218" s="92">
        <v>63</v>
      </c>
      <c r="E1218" s="93">
        <v>0.64748201438848918</v>
      </c>
      <c r="G1218" s="5"/>
      <c r="H1218" s="5"/>
      <c r="L1218" s="7"/>
      <c r="M1218" s="7"/>
      <c r="O1218" s="6"/>
      <c r="P1218" s="6"/>
      <c r="T1218" s="5"/>
      <c r="U1218" s="5"/>
    </row>
    <row r="1219" spans="2:21" x14ac:dyDescent="0.25">
      <c r="B1219" s="90">
        <v>993</v>
      </c>
      <c r="C1219" s="91">
        <v>0.12899359614893546</v>
      </c>
      <c r="D1219" s="92">
        <v>63</v>
      </c>
      <c r="E1219" s="93">
        <v>0.66187050359712229</v>
      </c>
      <c r="G1219" s="5"/>
      <c r="H1219" s="5"/>
      <c r="L1219" s="7"/>
      <c r="M1219" s="7"/>
      <c r="O1219" s="6"/>
      <c r="P1219" s="6"/>
      <c r="T1219" s="5"/>
      <c r="U1219" s="5"/>
    </row>
    <row r="1220" spans="2:21" x14ac:dyDescent="0.25">
      <c r="B1220" s="90">
        <v>1428</v>
      </c>
      <c r="C1220" s="91">
        <v>0.1290645122987546</v>
      </c>
      <c r="D1220" s="92">
        <v>63</v>
      </c>
      <c r="E1220" s="93">
        <v>0.6690647482014388</v>
      </c>
      <c r="G1220" s="5"/>
      <c r="H1220" s="5"/>
      <c r="L1220" s="7"/>
      <c r="M1220" s="7"/>
      <c r="O1220" s="6"/>
      <c r="P1220" s="6"/>
      <c r="T1220" s="5"/>
      <c r="U1220" s="5"/>
    </row>
    <row r="1221" spans="2:21" x14ac:dyDescent="0.25">
      <c r="B1221" s="90">
        <v>218</v>
      </c>
      <c r="C1221" s="91">
        <v>0.1405272785317444</v>
      </c>
      <c r="D1221" s="92">
        <v>63</v>
      </c>
      <c r="E1221" s="93">
        <v>0.61151079136690645</v>
      </c>
      <c r="G1221" s="5"/>
      <c r="H1221" s="5"/>
      <c r="L1221" s="7"/>
      <c r="M1221" s="7"/>
      <c r="O1221" s="6"/>
      <c r="P1221" s="6"/>
      <c r="T1221" s="5"/>
      <c r="U1221" s="5"/>
    </row>
    <row r="1222" spans="2:21" x14ac:dyDescent="0.25">
      <c r="B1222" s="90">
        <v>278</v>
      </c>
      <c r="C1222" s="91">
        <v>0.15012398301103325</v>
      </c>
      <c r="D1222" s="92">
        <v>63</v>
      </c>
      <c r="E1222" s="93">
        <v>0.61870503597122306</v>
      </c>
      <c r="G1222" s="5"/>
      <c r="H1222" s="5"/>
      <c r="L1222" s="7"/>
      <c r="M1222" s="7"/>
      <c r="O1222" s="6"/>
      <c r="P1222" s="6"/>
      <c r="T1222" s="5"/>
      <c r="U1222" s="5"/>
    </row>
    <row r="1223" spans="2:21" x14ac:dyDescent="0.25">
      <c r="B1223" s="90">
        <v>219</v>
      </c>
      <c r="C1223" s="91">
        <v>0.1574946240145636</v>
      </c>
      <c r="D1223" s="92">
        <v>63</v>
      </c>
      <c r="E1223" s="93">
        <v>0.61151079136690645</v>
      </c>
      <c r="G1223" s="5"/>
      <c r="H1223" s="5"/>
      <c r="L1223" s="7"/>
      <c r="M1223" s="7"/>
      <c r="O1223" s="6"/>
      <c r="P1223" s="6"/>
      <c r="T1223" s="5"/>
      <c r="U1223" s="5"/>
    </row>
    <row r="1224" spans="2:21" x14ac:dyDescent="0.25">
      <c r="B1224" s="90">
        <v>339</v>
      </c>
      <c r="C1224" s="91">
        <v>0.15845591929973857</v>
      </c>
      <c r="D1224" s="92">
        <v>63</v>
      </c>
      <c r="E1224" s="93">
        <v>0.61870503597122306</v>
      </c>
      <c r="G1224" s="5"/>
      <c r="H1224" s="5"/>
      <c r="L1224" s="7"/>
      <c r="M1224" s="7"/>
      <c r="O1224" s="6"/>
      <c r="P1224" s="6"/>
      <c r="T1224" s="5"/>
      <c r="U1224" s="5"/>
    </row>
    <row r="1225" spans="2:21" x14ac:dyDescent="0.25">
      <c r="B1225" s="90">
        <v>2076</v>
      </c>
      <c r="C1225" s="91">
        <v>0.2014949251471938</v>
      </c>
      <c r="D1225" s="92">
        <v>63</v>
      </c>
      <c r="E1225" s="93">
        <v>0.18705035971223022</v>
      </c>
      <c r="G1225" s="5"/>
      <c r="H1225" s="5"/>
      <c r="L1225" s="7"/>
      <c r="M1225" s="7"/>
      <c r="O1225" s="6"/>
      <c r="P1225" s="6"/>
      <c r="T1225" s="5"/>
      <c r="U1225" s="5"/>
    </row>
    <row r="1226" spans="2:21" x14ac:dyDescent="0.25">
      <c r="B1226" s="90">
        <v>1119</v>
      </c>
      <c r="C1226" s="91">
        <v>3.2706862769343426E-2</v>
      </c>
      <c r="D1226" s="92">
        <v>64</v>
      </c>
      <c r="E1226" s="93">
        <v>0.48920863309352519</v>
      </c>
      <c r="G1226" s="5"/>
      <c r="H1226" s="5"/>
      <c r="L1226" s="7"/>
      <c r="M1226" s="7"/>
      <c r="O1226" s="6"/>
      <c r="P1226" s="6"/>
      <c r="T1226" s="5"/>
      <c r="U1226" s="5"/>
    </row>
    <row r="1227" spans="2:21" x14ac:dyDescent="0.25">
      <c r="B1227" s="90">
        <v>1073</v>
      </c>
      <c r="C1227" s="91">
        <v>3.3435544729816247E-2</v>
      </c>
      <c r="D1227" s="92">
        <v>64</v>
      </c>
      <c r="E1227" s="93">
        <v>0.48920863309352519</v>
      </c>
      <c r="G1227" s="5"/>
      <c r="H1227" s="5"/>
      <c r="L1227" s="7"/>
      <c r="M1227" s="7"/>
      <c r="O1227" s="6"/>
      <c r="P1227" s="6"/>
      <c r="T1227" s="5"/>
      <c r="U1227" s="5"/>
    </row>
    <row r="1228" spans="2:21" x14ac:dyDescent="0.25">
      <c r="B1228" s="90">
        <v>1164</v>
      </c>
      <c r="C1228" s="91">
        <v>4.4483274394993444E-2</v>
      </c>
      <c r="D1228" s="92">
        <v>64</v>
      </c>
      <c r="E1228" s="93">
        <v>0.37410071942446044</v>
      </c>
      <c r="G1228" s="5"/>
      <c r="H1228" s="5"/>
      <c r="L1228" s="7"/>
      <c r="M1228" s="7"/>
      <c r="O1228" s="6"/>
      <c r="P1228" s="6"/>
      <c r="T1228" s="5"/>
      <c r="U1228" s="5"/>
    </row>
    <row r="1229" spans="2:21" x14ac:dyDescent="0.25">
      <c r="B1229" s="90">
        <v>1245</v>
      </c>
      <c r="C1229" s="91">
        <v>0.14973680807807987</v>
      </c>
      <c r="D1229" s="92">
        <v>64</v>
      </c>
      <c r="E1229" s="93">
        <v>0.30935251798561153</v>
      </c>
      <c r="G1229" s="5"/>
      <c r="H1229" s="5"/>
      <c r="L1229" s="7"/>
      <c r="M1229" s="7"/>
      <c r="O1229" s="6"/>
      <c r="P1229" s="6"/>
      <c r="T1229" s="5"/>
      <c r="U1229" s="5"/>
    </row>
    <row r="1230" spans="2:21" x14ac:dyDescent="0.25">
      <c r="B1230" s="90">
        <v>1244</v>
      </c>
      <c r="C1230" s="91">
        <v>0.20939038403797217</v>
      </c>
      <c r="D1230" s="92">
        <v>64</v>
      </c>
      <c r="E1230" s="93">
        <v>0.37410071942446044</v>
      </c>
      <c r="G1230" s="5"/>
      <c r="H1230" s="5"/>
      <c r="L1230" s="7"/>
      <c r="M1230" s="7"/>
      <c r="O1230" s="6"/>
      <c r="P1230" s="6"/>
      <c r="T1230" s="5"/>
      <c r="U1230" s="5"/>
    </row>
    <row r="1231" spans="2:21" x14ac:dyDescent="0.25">
      <c r="B1231" s="90">
        <v>1157</v>
      </c>
      <c r="C1231" s="91">
        <v>0.24820774321122552</v>
      </c>
      <c r="D1231" s="92">
        <v>64</v>
      </c>
      <c r="E1231" s="93">
        <v>0.37410071942446044</v>
      </c>
      <c r="G1231" s="5"/>
      <c r="H1231" s="5"/>
      <c r="L1231" s="7"/>
      <c r="M1231" s="7"/>
      <c r="O1231" s="6"/>
      <c r="P1231" s="6"/>
      <c r="T1231" s="5"/>
      <c r="U1231" s="5"/>
    </row>
    <row r="1232" spans="2:21" x14ac:dyDescent="0.25">
      <c r="B1232" s="90">
        <v>1022</v>
      </c>
      <c r="C1232" s="91">
        <v>0.2586938640096812</v>
      </c>
      <c r="D1232" s="92">
        <v>64</v>
      </c>
      <c r="E1232" s="93">
        <v>0.51798561151079137</v>
      </c>
      <c r="G1232" s="5"/>
      <c r="H1232" s="5"/>
      <c r="L1232" s="7"/>
      <c r="M1232" s="7"/>
      <c r="O1232" s="6"/>
      <c r="P1232" s="6"/>
      <c r="T1232" s="5"/>
      <c r="U1232" s="5"/>
    </row>
    <row r="1233" spans="2:21" x14ac:dyDescent="0.25">
      <c r="B1233" s="90">
        <v>1069</v>
      </c>
      <c r="C1233" s="91">
        <v>0.25965090801210522</v>
      </c>
      <c r="D1233" s="92">
        <v>64</v>
      </c>
      <c r="E1233" s="93">
        <v>0.48920863309352519</v>
      </c>
      <c r="G1233" s="5"/>
      <c r="H1233" s="5"/>
      <c r="L1233" s="7"/>
      <c r="M1233" s="7"/>
      <c r="O1233" s="6"/>
      <c r="P1233" s="6"/>
      <c r="T1233" s="5"/>
      <c r="U1233" s="5"/>
    </row>
    <row r="1234" spans="2:21" x14ac:dyDescent="0.25">
      <c r="B1234" s="90">
        <v>1201</v>
      </c>
      <c r="C1234" s="91">
        <v>0.2833218258106508</v>
      </c>
      <c r="D1234" s="92">
        <v>64</v>
      </c>
      <c r="E1234" s="93">
        <v>0.36690647482014388</v>
      </c>
      <c r="G1234" s="5"/>
      <c r="H1234" s="5"/>
      <c r="L1234" s="7"/>
      <c r="M1234" s="7"/>
      <c r="O1234" s="6"/>
      <c r="P1234" s="6"/>
      <c r="T1234" s="5"/>
      <c r="U1234" s="5"/>
    </row>
    <row r="1235" spans="2:21" x14ac:dyDescent="0.25">
      <c r="B1235" s="90">
        <v>612</v>
      </c>
      <c r="C1235" s="91">
        <v>0.30672237892928989</v>
      </c>
      <c r="D1235" s="92">
        <v>64</v>
      </c>
      <c r="E1235" s="93">
        <v>0.53237410071942448</v>
      </c>
      <c r="G1235" s="5"/>
      <c r="H1235" s="5"/>
      <c r="L1235" s="7"/>
      <c r="M1235" s="7"/>
      <c r="O1235" s="6"/>
      <c r="P1235" s="6"/>
      <c r="T1235" s="5"/>
      <c r="U1235" s="5"/>
    </row>
    <row r="1236" spans="2:21" x14ac:dyDescent="0.25">
      <c r="B1236" s="90">
        <v>1023</v>
      </c>
      <c r="C1236" s="91">
        <v>0.30886334220261191</v>
      </c>
      <c r="D1236" s="92">
        <v>64</v>
      </c>
      <c r="E1236" s="93">
        <v>0.51798561151079137</v>
      </c>
      <c r="G1236" s="5"/>
      <c r="H1236" s="5"/>
      <c r="L1236" s="7"/>
      <c r="M1236" s="7"/>
      <c r="O1236" s="6"/>
      <c r="P1236" s="6"/>
      <c r="T1236" s="5"/>
      <c r="U1236" s="5"/>
    </row>
    <row r="1237" spans="2:21" x14ac:dyDescent="0.25">
      <c r="B1237" s="90">
        <v>222</v>
      </c>
      <c r="C1237" s="91">
        <v>0.21647263932829919</v>
      </c>
      <c r="D1237" s="92">
        <v>65</v>
      </c>
      <c r="E1237" s="93">
        <v>0.43884892086330934</v>
      </c>
      <c r="G1237" s="5"/>
      <c r="H1237" s="5"/>
      <c r="L1237" s="7"/>
      <c r="M1237" s="7"/>
      <c r="O1237" s="6"/>
      <c r="P1237" s="6"/>
      <c r="T1237" s="5"/>
      <c r="U1237" s="5"/>
    </row>
    <row r="1238" spans="2:21" x14ac:dyDescent="0.25">
      <c r="B1238" s="90">
        <v>221</v>
      </c>
      <c r="C1238" s="91">
        <v>0.2938703714678752</v>
      </c>
      <c r="D1238" s="92">
        <v>65</v>
      </c>
      <c r="E1238" s="93">
        <v>0.43884892086330934</v>
      </c>
      <c r="G1238" s="5"/>
      <c r="H1238" s="5"/>
      <c r="L1238" s="7"/>
      <c r="M1238" s="7"/>
      <c r="O1238" s="6"/>
      <c r="P1238" s="6"/>
      <c r="T1238" s="5"/>
      <c r="U1238" s="5"/>
    </row>
    <row r="1239" spans="2:21" x14ac:dyDescent="0.25">
      <c r="B1239" s="90">
        <v>220</v>
      </c>
      <c r="C1239" s="91">
        <v>0.30538855598049297</v>
      </c>
      <c r="D1239" s="92">
        <v>65</v>
      </c>
      <c r="E1239" s="93">
        <v>0.43884892086330934</v>
      </c>
      <c r="G1239" s="5"/>
      <c r="H1239" s="5"/>
      <c r="L1239" s="7"/>
      <c r="M1239" s="7"/>
      <c r="O1239" s="6"/>
      <c r="P1239" s="6"/>
      <c r="T1239" s="5"/>
      <c r="U1239" s="5"/>
    </row>
    <row r="1240" spans="2:21" x14ac:dyDescent="0.25">
      <c r="B1240" s="90">
        <v>492</v>
      </c>
      <c r="C1240" s="91">
        <v>0.56489748433141007</v>
      </c>
      <c r="D1240" s="92">
        <v>65</v>
      </c>
      <c r="E1240" s="93">
        <v>0.33812949640287771</v>
      </c>
      <c r="G1240" s="5"/>
      <c r="H1240" s="5"/>
      <c r="L1240" s="7"/>
      <c r="M1240" s="7"/>
      <c r="O1240" s="6"/>
      <c r="P1240" s="6"/>
      <c r="T1240" s="5"/>
      <c r="U1240" s="5"/>
    </row>
    <row r="1241" spans="2:21" x14ac:dyDescent="0.25">
      <c r="B1241" s="90">
        <v>1251</v>
      </c>
      <c r="C1241" s="91">
        <v>3.2665315493746072E-2</v>
      </c>
      <c r="D1241" s="92">
        <v>66</v>
      </c>
      <c r="E1241" s="93">
        <v>0.38129496402877699</v>
      </c>
      <c r="G1241" s="5"/>
      <c r="H1241" s="5"/>
      <c r="L1241" s="7"/>
      <c r="M1241" s="7"/>
      <c r="O1241" s="6"/>
      <c r="P1241" s="6"/>
      <c r="T1241" s="5"/>
      <c r="U1241" s="5"/>
    </row>
    <row r="1242" spans="2:21" x14ac:dyDescent="0.25">
      <c r="B1242" s="90">
        <v>1640</v>
      </c>
      <c r="C1242" s="91">
        <v>0.66180377127367396</v>
      </c>
      <c r="D1242" s="92">
        <v>66</v>
      </c>
      <c r="E1242" s="93">
        <v>7.1942446043165464E-2</v>
      </c>
      <c r="G1242" s="5"/>
      <c r="H1242" s="5"/>
      <c r="L1242" s="7"/>
      <c r="M1242" s="7"/>
      <c r="O1242" s="6"/>
      <c r="P1242" s="6"/>
      <c r="T1242" s="5"/>
      <c r="U1242" s="5"/>
    </row>
    <row r="1243" spans="2:21" x14ac:dyDescent="0.25">
      <c r="B1243" s="90">
        <v>577</v>
      </c>
      <c r="C1243" s="91">
        <v>0.21993006323422781</v>
      </c>
      <c r="D1243" s="92">
        <v>69</v>
      </c>
      <c r="E1243" s="93">
        <v>0.58992805755395683</v>
      </c>
      <c r="G1243" s="5"/>
      <c r="H1243" s="5"/>
      <c r="L1243" s="7"/>
      <c r="M1243" s="7"/>
      <c r="O1243" s="6"/>
      <c r="P1243" s="6"/>
      <c r="T1243" s="5"/>
      <c r="U1243" s="5"/>
    </row>
    <row r="1244" spans="2:21" x14ac:dyDescent="0.25">
      <c r="B1244" s="90">
        <v>1272</v>
      </c>
      <c r="C1244" s="91">
        <v>0.45260851695496984</v>
      </c>
      <c r="D1244" s="92">
        <v>69</v>
      </c>
      <c r="E1244" s="93">
        <v>0.16546762589928057</v>
      </c>
      <c r="G1244" s="5"/>
      <c r="H1244" s="5"/>
      <c r="L1244" s="7"/>
      <c r="M1244" s="7"/>
      <c r="O1244" s="6"/>
      <c r="P1244" s="6"/>
      <c r="T1244" s="5"/>
      <c r="U1244" s="5"/>
    </row>
    <row r="1245" spans="2:21" x14ac:dyDescent="0.25">
      <c r="B1245" s="90">
        <v>657</v>
      </c>
      <c r="C1245" s="91">
        <v>0.52253629693145243</v>
      </c>
      <c r="D1245" s="92">
        <v>69</v>
      </c>
      <c r="E1245" s="93">
        <v>0.36690647482014388</v>
      </c>
      <c r="G1245" s="5"/>
      <c r="H1245" s="5"/>
      <c r="L1245" s="7"/>
      <c r="M1245" s="7"/>
      <c r="O1245" s="6"/>
      <c r="P1245" s="6"/>
      <c r="T1245" s="5"/>
      <c r="U1245" s="5"/>
    </row>
    <row r="1246" spans="2:21" x14ac:dyDescent="0.25">
      <c r="B1246" s="90">
        <v>312</v>
      </c>
      <c r="C1246" s="91">
        <v>0.60127514461032572</v>
      </c>
      <c r="D1246" s="92">
        <v>69</v>
      </c>
      <c r="E1246" s="93">
        <v>0.35251798561151076</v>
      </c>
      <c r="G1246" s="5"/>
      <c r="H1246" s="5"/>
      <c r="L1246" s="7"/>
      <c r="M1246" s="7"/>
      <c r="O1246" s="6"/>
      <c r="P1246" s="6"/>
      <c r="T1246" s="5"/>
      <c r="U1246" s="5"/>
    </row>
    <row r="1247" spans="2:21" x14ac:dyDescent="0.25">
      <c r="B1247" s="90">
        <v>254</v>
      </c>
      <c r="C1247" s="91">
        <v>0.6014862729050201</v>
      </c>
      <c r="D1247" s="92">
        <v>70</v>
      </c>
      <c r="E1247" s="93">
        <v>0.23021582733812951</v>
      </c>
      <c r="G1247" s="5"/>
      <c r="H1247" s="5"/>
      <c r="L1247" s="7"/>
      <c r="M1247" s="7"/>
      <c r="O1247" s="6"/>
      <c r="P1247" s="6"/>
      <c r="T1247" s="5"/>
      <c r="U1247" s="5"/>
    </row>
    <row r="1248" spans="2:21" x14ac:dyDescent="0.25">
      <c r="B1248" s="90">
        <v>1026</v>
      </c>
      <c r="C1248" s="91">
        <v>3.1017106718225773E-2</v>
      </c>
      <c r="D1248" s="92">
        <v>71</v>
      </c>
      <c r="E1248" s="93">
        <v>0.41726618705035973</v>
      </c>
      <c r="G1248" s="5"/>
      <c r="H1248" s="5"/>
      <c r="L1248" s="7"/>
      <c r="M1248" s="7"/>
      <c r="O1248" s="6"/>
      <c r="P1248" s="6"/>
      <c r="T1248" s="5"/>
      <c r="U1248" s="5"/>
    </row>
    <row r="1249" spans="2:21" x14ac:dyDescent="0.25">
      <c r="B1249" s="90">
        <v>1168</v>
      </c>
      <c r="C1249" s="91">
        <v>4.3719734025674084E-2</v>
      </c>
      <c r="D1249" s="92">
        <v>71</v>
      </c>
      <c r="E1249" s="93">
        <v>0.29496402877697842</v>
      </c>
      <c r="G1249" s="5"/>
      <c r="H1249" s="5"/>
      <c r="L1249" s="7"/>
      <c r="M1249" s="7"/>
      <c r="O1249" s="6"/>
      <c r="P1249" s="6"/>
      <c r="T1249" s="5"/>
      <c r="U1249" s="5"/>
    </row>
    <row r="1250" spans="2:21" x14ac:dyDescent="0.25">
      <c r="B1250" s="90">
        <v>267</v>
      </c>
      <c r="C1250" s="91">
        <v>4.8662802636192048E-2</v>
      </c>
      <c r="D1250" s="92">
        <v>71</v>
      </c>
      <c r="E1250" s="93">
        <v>0.38129496402877699</v>
      </c>
      <c r="G1250" s="5"/>
      <c r="H1250" s="5"/>
      <c r="L1250" s="7"/>
      <c r="M1250" s="7"/>
      <c r="O1250" s="6"/>
      <c r="P1250" s="6"/>
      <c r="T1250" s="5"/>
      <c r="U1250" s="5"/>
    </row>
    <row r="1251" spans="2:21" x14ac:dyDescent="0.25">
      <c r="B1251" s="90">
        <v>982</v>
      </c>
      <c r="C1251" s="91">
        <v>4.9186378332219838E-2</v>
      </c>
      <c r="D1251" s="92">
        <v>71</v>
      </c>
      <c r="E1251" s="93">
        <v>0.38129496402877699</v>
      </c>
      <c r="G1251" s="5"/>
      <c r="H1251" s="5"/>
      <c r="L1251" s="7"/>
      <c r="M1251" s="7"/>
      <c r="O1251" s="6"/>
      <c r="P1251" s="6"/>
      <c r="T1251" s="5"/>
      <c r="U1251" s="5"/>
    </row>
    <row r="1252" spans="2:21" x14ac:dyDescent="0.25">
      <c r="B1252" s="90">
        <v>1971</v>
      </c>
      <c r="C1252" s="91">
        <v>4.9346006137479081E-2</v>
      </c>
      <c r="D1252" s="92">
        <v>71</v>
      </c>
      <c r="E1252" s="93">
        <v>0.34532374100719426</v>
      </c>
      <c r="G1252" s="5"/>
      <c r="H1252" s="5"/>
      <c r="L1252" s="7"/>
      <c r="M1252" s="7"/>
      <c r="O1252" s="6"/>
      <c r="P1252" s="6"/>
      <c r="T1252" s="5"/>
      <c r="U1252" s="5"/>
    </row>
    <row r="1253" spans="2:21" x14ac:dyDescent="0.25">
      <c r="B1253" s="90">
        <v>933</v>
      </c>
      <c r="C1253" s="91">
        <v>4.9580055109550658E-2</v>
      </c>
      <c r="D1253" s="92">
        <v>71</v>
      </c>
      <c r="E1253" s="93">
        <v>0.38129496402877699</v>
      </c>
      <c r="G1253" s="5"/>
      <c r="H1253" s="5"/>
      <c r="L1253" s="7"/>
      <c r="M1253" s="7"/>
      <c r="O1253" s="6"/>
      <c r="P1253" s="6"/>
      <c r="T1253" s="5"/>
      <c r="U1253" s="5"/>
    </row>
    <row r="1254" spans="2:21" x14ac:dyDescent="0.25">
      <c r="B1254" s="90">
        <v>328</v>
      </c>
      <c r="C1254" s="91">
        <v>5.131162619376195E-2</v>
      </c>
      <c r="D1254" s="92">
        <v>71</v>
      </c>
      <c r="E1254" s="93">
        <v>0.38129496402877699</v>
      </c>
      <c r="G1254" s="5"/>
      <c r="H1254" s="5"/>
      <c r="L1254" s="7"/>
      <c r="M1254" s="7"/>
      <c r="O1254" s="6"/>
      <c r="P1254" s="6"/>
      <c r="T1254" s="5"/>
      <c r="U1254" s="5"/>
    </row>
    <row r="1255" spans="2:21" x14ac:dyDescent="0.25">
      <c r="B1255" s="90">
        <v>883</v>
      </c>
      <c r="C1255" s="91">
        <v>5.4344010652578212E-2</v>
      </c>
      <c r="D1255" s="92">
        <v>71</v>
      </c>
      <c r="E1255" s="93">
        <v>0.38129496402877699</v>
      </c>
      <c r="G1255" s="5"/>
      <c r="H1255" s="5"/>
      <c r="L1255" s="7"/>
      <c r="M1255" s="7"/>
      <c r="O1255" s="6"/>
      <c r="P1255" s="6"/>
      <c r="T1255" s="5"/>
      <c r="U1255" s="5"/>
    </row>
    <row r="1256" spans="2:21" x14ac:dyDescent="0.25">
      <c r="B1256" s="90">
        <v>1212</v>
      </c>
      <c r="C1256" s="91">
        <v>8.5811393724950613E-2</v>
      </c>
      <c r="D1256" s="92">
        <v>71</v>
      </c>
      <c r="E1256" s="93">
        <v>0.22302158273381295</v>
      </c>
      <c r="G1256" s="5"/>
      <c r="H1256" s="5"/>
      <c r="L1256" s="7"/>
      <c r="M1256" s="7"/>
      <c r="O1256" s="6"/>
      <c r="P1256" s="6"/>
      <c r="T1256" s="5"/>
      <c r="U1256" s="5"/>
    </row>
    <row r="1257" spans="2:21" x14ac:dyDescent="0.25">
      <c r="B1257" s="90">
        <v>329</v>
      </c>
      <c r="C1257" s="91">
        <v>0.10342724333258457</v>
      </c>
      <c r="D1257" s="92">
        <v>71</v>
      </c>
      <c r="E1257" s="93">
        <v>0.38129496402877699</v>
      </c>
      <c r="G1257" s="5"/>
      <c r="H1257" s="5"/>
      <c r="L1257" s="7"/>
      <c r="M1257" s="7"/>
      <c r="O1257" s="6"/>
      <c r="P1257" s="6"/>
      <c r="T1257" s="5"/>
      <c r="U1257" s="5"/>
    </row>
    <row r="1258" spans="2:21" x14ac:dyDescent="0.25">
      <c r="B1258" s="90">
        <v>332</v>
      </c>
      <c r="C1258" s="91">
        <v>0.1053640366677463</v>
      </c>
      <c r="D1258" s="92">
        <v>71</v>
      </c>
      <c r="E1258" s="93">
        <v>0.36690647482014388</v>
      </c>
      <c r="G1258" s="5"/>
      <c r="H1258" s="5"/>
      <c r="L1258" s="7"/>
      <c r="M1258" s="7"/>
      <c r="O1258" s="6"/>
      <c r="P1258" s="6"/>
      <c r="T1258" s="5"/>
      <c r="U1258" s="5"/>
    </row>
    <row r="1259" spans="2:21" x14ac:dyDescent="0.25">
      <c r="B1259" s="90">
        <v>983</v>
      </c>
      <c r="C1259" s="91">
        <v>0.11135091072537728</v>
      </c>
      <c r="D1259" s="92">
        <v>71</v>
      </c>
      <c r="E1259" s="93">
        <v>0.37410071942446044</v>
      </c>
      <c r="G1259" s="5"/>
      <c r="H1259" s="5"/>
      <c r="L1259" s="7"/>
      <c r="M1259" s="7"/>
      <c r="O1259" s="6"/>
      <c r="P1259" s="6"/>
      <c r="T1259" s="5"/>
      <c r="U1259" s="5"/>
    </row>
    <row r="1260" spans="2:21" x14ac:dyDescent="0.25">
      <c r="B1260" s="90">
        <v>268</v>
      </c>
      <c r="C1260" s="91">
        <v>0.11229244450369968</v>
      </c>
      <c r="D1260" s="92">
        <v>71</v>
      </c>
      <c r="E1260" s="93">
        <v>0.38129496402877699</v>
      </c>
      <c r="G1260" s="5"/>
      <c r="H1260" s="5"/>
      <c r="L1260" s="7"/>
      <c r="M1260" s="7"/>
      <c r="O1260" s="6"/>
      <c r="P1260" s="6"/>
      <c r="T1260" s="5"/>
      <c r="U1260" s="5"/>
    </row>
    <row r="1261" spans="2:21" x14ac:dyDescent="0.25">
      <c r="B1261" s="90">
        <v>271</v>
      </c>
      <c r="C1261" s="91">
        <v>0.11397839208374516</v>
      </c>
      <c r="D1261" s="92">
        <v>71</v>
      </c>
      <c r="E1261" s="93">
        <v>0.36690647482014388</v>
      </c>
      <c r="G1261" s="5"/>
      <c r="H1261" s="5"/>
      <c r="L1261" s="7"/>
      <c r="M1261" s="7"/>
      <c r="O1261" s="6"/>
      <c r="P1261" s="6"/>
      <c r="T1261" s="5"/>
      <c r="U1261" s="5"/>
    </row>
    <row r="1262" spans="2:21" x14ac:dyDescent="0.25">
      <c r="B1262" s="90">
        <v>1153</v>
      </c>
      <c r="C1262" s="91">
        <v>0.12526692186298305</v>
      </c>
      <c r="D1262" s="92">
        <v>71</v>
      </c>
      <c r="E1262" s="93">
        <v>0.14388489208633093</v>
      </c>
      <c r="G1262" s="5"/>
      <c r="H1262" s="5"/>
      <c r="L1262" s="7"/>
      <c r="M1262" s="7"/>
      <c r="O1262" s="6"/>
      <c r="P1262" s="6"/>
      <c r="T1262" s="5"/>
      <c r="U1262" s="5"/>
    </row>
    <row r="1263" spans="2:21" x14ac:dyDescent="0.25">
      <c r="B1263" s="90">
        <v>986</v>
      </c>
      <c r="C1263" s="91">
        <v>0.12665838562102616</v>
      </c>
      <c r="D1263" s="92">
        <v>71</v>
      </c>
      <c r="E1263" s="93">
        <v>0.35971223021582732</v>
      </c>
      <c r="G1263" s="5"/>
      <c r="H1263" s="5"/>
      <c r="L1263" s="7"/>
      <c r="M1263" s="7"/>
      <c r="O1263" s="6"/>
      <c r="P1263" s="6"/>
      <c r="T1263" s="5"/>
      <c r="U1263" s="5"/>
    </row>
    <row r="1264" spans="2:21" x14ac:dyDescent="0.25">
      <c r="B1264" s="90">
        <v>1298</v>
      </c>
      <c r="C1264" s="91">
        <v>0.21811525930139863</v>
      </c>
      <c r="D1264" s="92">
        <v>71</v>
      </c>
      <c r="E1264" s="93">
        <v>0.21582733812949639</v>
      </c>
      <c r="G1264" s="5"/>
      <c r="H1264" s="5"/>
      <c r="L1264" s="7"/>
      <c r="M1264" s="7"/>
      <c r="O1264" s="6"/>
      <c r="P1264" s="6"/>
      <c r="T1264" s="5"/>
      <c r="U1264" s="5"/>
    </row>
    <row r="1265" spans="2:21" x14ac:dyDescent="0.25">
      <c r="B1265" s="90">
        <v>1382</v>
      </c>
      <c r="C1265" s="91">
        <v>0.2977340217659824</v>
      </c>
      <c r="D1265" s="92">
        <v>71</v>
      </c>
      <c r="E1265" s="93">
        <v>0.1366906474820144</v>
      </c>
      <c r="G1265" s="5"/>
      <c r="H1265" s="5"/>
      <c r="L1265" s="7"/>
      <c r="M1265" s="7"/>
      <c r="O1265" s="6"/>
      <c r="P1265" s="6"/>
      <c r="T1265" s="5"/>
      <c r="U1265" s="5"/>
    </row>
    <row r="1266" spans="2:21" x14ac:dyDescent="0.25">
      <c r="B1266" s="90">
        <v>1342</v>
      </c>
      <c r="C1266" s="91">
        <v>0.32631264006331906</v>
      </c>
      <c r="D1266" s="92">
        <v>71</v>
      </c>
      <c r="E1266" s="93">
        <v>0.1366906474820144</v>
      </c>
      <c r="G1266" s="5"/>
      <c r="H1266" s="5"/>
      <c r="L1266" s="7"/>
      <c r="M1266" s="7"/>
      <c r="O1266" s="6"/>
      <c r="P1266" s="6"/>
      <c r="T1266" s="5"/>
      <c r="U1266" s="5"/>
    </row>
    <row r="1267" spans="2:21" x14ac:dyDescent="0.25">
      <c r="B1267" s="90">
        <v>1462</v>
      </c>
      <c r="C1267" s="91">
        <v>0.3600567179298878</v>
      </c>
      <c r="D1267" s="92">
        <v>71</v>
      </c>
      <c r="E1267" s="93">
        <v>0.12949640287769784</v>
      </c>
      <c r="G1267" s="5"/>
      <c r="H1267" s="5"/>
      <c r="L1267" s="7"/>
      <c r="M1267" s="7"/>
      <c r="O1267" s="6"/>
      <c r="P1267" s="6"/>
      <c r="T1267" s="5"/>
      <c r="U1267" s="5"/>
    </row>
    <row r="1268" spans="2:21" x14ac:dyDescent="0.25">
      <c r="B1268" s="90">
        <v>1421</v>
      </c>
      <c r="C1268" s="91">
        <v>0.37057761189491967</v>
      </c>
      <c r="D1268" s="92">
        <v>71</v>
      </c>
      <c r="E1268" s="93">
        <v>0.14388489208633093</v>
      </c>
      <c r="G1268" s="5"/>
      <c r="H1268" s="5"/>
      <c r="L1268" s="7"/>
      <c r="M1268" s="7"/>
      <c r="O1268" s="6"/>
      <c r="P1268" s="6"/>
      <c r="T1268" s="5"/>
      <c r="U1268" s="5"/>
    </row>
    <row r="1269" spans="2:21" x14ac:dyDescent="0.25">
      <c r="B1269" s="90">
        <v>664</v>
      </c>
      <c r="C1269" s="91">
        <v>0.26465425515412067</v>
      </c>
      <c r="D1269" s="92">
        <v>73</v>
      </c>
      <c r="E1269" s="93">
        <v>0.48201438848920863</v>
      </c>
      <c r="G1269" s="5"/>
      <c r="H1269" s="5"/>
      <c r="L1269" s="7"/>
      <c r="M1269" s="7"/>
      <c r="O1269" s="6"/>
      <c r="P1269" s="6"/>
      <c r="T1269" s="5"/>
      <c r="U1269" s="5"/>
    </row>
    <row r="1270" spans="2:21" x14ac:dyDescent="0.25">
      <c r="B1270" s="90">
        <v>718</v>
      </c>
      <c r="C1270" s="91">
        <v>0.26874084253513697</v>
      </c>
      <c r="D1270" s="92">
        <v>73</v>
      </c>
      <c r="E1270" s="93">
        <v>0.51079136690647486</v>
      </c>
      <c r="G1270" s="5"/>
      <c r="H1270" s="5"/>
      <c r="L1270" s="7"/>
      <c r="M1270" s="7"/>
      <c r="O1270" s="6"/>
      <c r="P1270" s="6"/>
      <c r="T1270" s="5"/>
      <c r="U1270" s="5"/>
    </row>
    <row r="1271" spans="2:21" x14ac:dyDescent="0.25">
      <c r="B1271" s="90">
        <v>1117</v>
      </c>
      <c r="C1271" s="91">
        <v>0.35928152229981469</v>
      </c>
      <c r="D1271" s="92">
        <v>73</v>
      </c>
      <c r="E1271" s="93">
        <v>0.59712230215827333</v>
      </c>
      <c r="G1271" s="5"/>
      <c r="H1271" s="5"/>
      <c r="L1271" s="7"/>
      <c r="M1271" s="7"/>
      <c r="O1271" s="6"/>
      <c r="P1271" s="6"/>
      <c r="T1271" s="5"/>
      <c r="U1271" s="5"/>
    </row>
    <row r="1272" spans="2:21" x14ac:dyDescent="0.25">
      <c r="B1272" s="90">
        <v>1071</v>
      </c>
      <c r="C1272" s="91">
        <v>0.36351526284402325</v>
      </c>
      <c r="D1272" s="92">
        <v>73</v>
      </c>
      <c r="E1272" s="93">
        <v>0.59712230215827333</v>
      </c>
      <c r="G1272" s="5"/>
      <c r="H1272" s="5"/>
      <c r="L1272" s="7"/>
      <c r="M1272" s="7"/>
      <c r="O1272" s="6"/>
      <c r="P1272" s="6"/>
      <c r="T1272" s="5"/>
      <c r="U1272" s="5"/>
    </row>
    <row r="1273" spans="2:21" x14ac:dyDescent="0.25">
      <c r="B1273" s="90">
        <v>1500</v>
      </c>
      <c r="C1273" s="91">
        <v>0.36554945245308779</v>
      </c>
      <c r="D1273" s="92">
        <v>73</v>
      </c>
      <c r="E1273" s="93">
        <v>8.6330935251798566E-2</v>
      </c>
      <c r="G1273" s="5"/>
      <c r="H1273" s="5"/>
      <c r="L1273" s="7"/>
      <c r="M1273" s="7"/>
      <c r="O1273" s="6"/>
      <c r="P1273" s="6"/>
      <c r="T1273" s="5"/>
      <c r="U1273" s="5"/>
    </row>
    <row r="1274" spans="2:21" x14ac:dyDescent="0.25">
      <c r="B1274" s="90">
        <v>238</v>
      </c>
      <c r="C1274" s="91">
        <v>0.38056603135820244</v>
      </c>
      <c r="D1274" s="92">
        <v>73</v>
      </c>
      <c r="E1274" s="93">
        <v>0.41007194244604317</v>
      </c>
      <c r="G1274" s="5"/>
      <c r="H1274" s="5"/>
      <c r="L1274" s="7"/>
      <c r="M1274" s="7"/>
      <c r="O1274" s="6"/>
      <c r="P1274" s="6"/>
      <c r="T1274" s="5"/>
      <c r="U1274" s="5"/>
    </row>
    <row r="1275" spans="2:21" x14ac:dyDescent="0.25">
      <c r="B1275" s="90">
        <v>239</v>
      </c>
      <c r="C1275" s="91">
        <v>0.3808146896795046</v>
      </c>
      <c r="D1275" s="92">
        <v>73</v>
      </c>
      <c r="E1275" s="93">
        <v>0.41007194244604317</v>
      </c>
      <c r="G1275" s="5"/>
      <c r="H1275" s="5"/>
      <c r="L1275" s="7"/>
      <c r="M1275" s="7"/>
      <c r="O1275" s="6"/>
      <c r="P1275" s="6"/>
      <c r="T1275" s="5"/>
      <c r="U1275" s="5"/>
    </row>
    <row r="1276" spans="2:21" x14ac:dyDescent="0.25">
      <c r="B1276" s="90">
        <v>361</v>
      </c>
      <c r="C1276" s="91">
        <v>0.38098309163238542</v>
      </c>
      <c r="D1276" s="92">
        <v>73</v>
      </c>
      <c r="E1276" s="93">
        <v>0.39568345323741005</v>
      </c>
      <c r="G1276" s="5"/>
      <c r="H1276" s="5"/>
      <c r="L1276" s="7"/>
      <c r="M1276" s="7"/>
      <c r="O1276" s="6"/>
      <c r="P1276" s="6"/>
      <c r="T1276" s="5"/>
      <c r="U1276" s="5"/>
    </row>
    <row r="1277" spans="2:21" x14ac:dyDescent="0.25">
      <c r="B1277" s="90">
        <v>362</v>
      </c>
      <c r="C1277" s="91">
        <v>0.38273195506099689</v>
      </c>
      <c r="D1277" s="92">
        <v>73</v>
      </c>
      <c r="E1277" s="93">
        <v>0.40287769784172661</v>
      </c>
      <c r="G1277" s="5"/>
      <c r="H1277" s="5"/>
      <c r="L1277" s="7"/>
      <c r="M1277" s="7"/>
      <c r="O1277" s="6"/>
      <c r="P1277" s="6"/>
      <c r="T1277" s="5"/>
      <c r="U1277" s="5"/>
    </row>
    <row r="1278" spans="2:21" x14ac:dyDescent="0.25">
      <c r="B1278" s="90">
        <v>709</v>
      </c>
      <c r="C1278" s="91">
        <v>0.49387342217405017</v>
      </c>
      <c r="D1278" s="92">
        <v>73</v>
      </c>
      <c r="E1278" s="93">
        <v>0.41726618705035973</v>
      </c>
      <c r="G1278" s="5"/>
      <c r="H1278" s="5"/>
      <c r="L1278" s="7"/>
      <c r="M1278" s="7"/>
      <c r="O1278" s="6"/>
      <c r="P1278" s="6"/>
      <c r="T1278" s="5"/>
      <c r="U1278" s="5"/>
    </row>
    <row r="1279" spans="2:21" x14ac:dyDescent="0.25">
      <c r="B1279" s="90">
        <v>118</v>
      </c>
      <c r="C1279" s="91">
        <v>0.52351629120441978</v>
      </c>
      <c r="D1279" s="92">
        <v>73</v>
      </c>
      <c r="E1279" s="93">
        <v>0.32374100719424459</v>
      </c>
      <c r="G1279" s="5"/>
      <c r="H1279" s="5"/>
      <c r="L1279" s="7"/>
      <c r="M1279" s="7"/>
      <c r="O1279" s="6"/>
      <c r="P1279" s="6"/>
      <c r="T1279" s="5"/>
      <c r="U1279" s="5"/>
    </row>
    <row r="1280" spans="2:21" x14ac:dyDescent="0.25">
      <c r="B1280" s="90">
        <v>764</v>
      </c>
      <c r="C1280" s="91">
        <v>0.53274752573220407</v>
      </c>
      <c r="D1280" s="92">
        <v>73</v>
      </c>
      <c r="E1280" s="93">
        <v>0.34532374100719426</v>
      </c>
      <c r="G1280" s="5"/>
      <c r="H1280" s="5"/>
      <c r="L1280" s="7"/>
      <c r="M1280" s="7"/>
      <c r="O1280" s="6"/>
      <c r="P1280" s="6"/>
      <c r="T1280" s="5"/>
      <c r="U1280" s="5"/>
    </row>
    <row r="1281" spans="2:21" x14ac:dyDescent="0.25">
      <c r="B1281" s="90">
        <v>61</v>
      </c>
      <c r="C1281" s="91">
        <v>0.59493936536949699</v>
      </c>
      <c r="D1281" s="92">
        <v>73</v>
      </c>
      <c r="E1281" s="93">
        <v>0.29496402877697842</v>
      </c>
      <c r="G1281" s="5"/>
      <c r="H1281" s="5"/>
      <c r="L1281" s="7"/>
      <c r="M1281" s="7"/>
      <c r="O1281" s="6"/>
      <c r="P1281" s="6"/>
      <c r="T1281" s="5"/>
      <c r="U1281" s="5"/>
    </row>
    <row r="1282" spans="2:21" x14ac:dyDescent="0.25">
      <c r="B1282" s="90">
        <v>316</v>
      </c>
      <c r="C1282" s="91">
        <v>0.59493936536949699</v>
      </c>
      <c r="D1282" s="92">
        <v>73</v>
      </c>
      <c r="E1282" s="93">
        <v>0.29496402877697842</v>
      </c>
      <c r="G1282" s="5"/>
      <c r="H1282" s="5"/>
      <c r="L1282" s="7"/>
      <c r="M1282" s="7"/>
      <c r="O1282" s="6"/>
      <c r="P1282" s="6"/>
      <c r="T1282" s="5"/>
      <c r="U1282" s="5"/>
    </row>
    <row r="1283" spans="2:21" x14ac:dyDescent="0.25">
      <c r="B1283" s="90">
        <v>62</v>
      </c>
      <c r="C1283" s="91">
        <v>0.60473294616670825</v>
      </c>
      <c r="D1283" s="92">
        <v>73</v>
      </c>
      <c r="E1283" s="93">
        <v>0.29496402877697842</v>
      </c>
      <c r="G1283" s="5"/>
      <c r="H1283" s="5"/>
      <c r="L1283" s="7"/>
      <c r="M1283" s="7"/>
      <c r="O1283" s="6"/>
      <c r="P1283" s="6"/>
      <c r="T1283" s="5"/>
      <c r="U1283" s="5"/>
    </row>
    <row r="1284" spans="2:21" x14ac:dyDescent="0.25">
      <c r="B1284" s="90">
        <v>255</v>
      </c>
      <c r="C1284" s="91">
        <v>0.60473294616670825</v>
      </c>
      <c r="D1284" s="92">
        <v>73</v>
      </c>
      <c r="E1284" s="93">
        <v>0.29496402877697842</v>
      </c>
      <c r="G1284" s="5"/>
      <c r="H1284" s="5"/>
      <c r="L1284" s="7"/>
      <c r="M1284" s="7"/>
      <c r="O1284" s="6"/>
      <c r="P1284" s="6"/>
      <c r="T1284" s="5"/>
      <c r="U1284" s="5"/>
    </row>
    <row r="1285" spans="2:21" x14ac:dyDescent="0.25">
      <c r="B1285" s="90">
        <v>556</v>
      </c>
      <c r="C1285" s="91">
        <v>0.31366885517670373</v>
      </c>
      <c r="D1285" s="92">
        <v>74</v>
      </c>
      <c r="E1285" s="93">
        <v>0.53237410071942448</v>
      </c>
      <c r="G1285" s="5"/>
      <c r="H1285" s="5"/>
      <c r="L1285" s="7"/>
      <c r="M1285" s="7"/>
      <c r="O1285" s="6"/>
      <c r="P1285" s="6"/>
      <c r="T1285" s="5"/>
      <c r="U1285" s="5"/>
    </row>
    <row r="1286" spans="2:21" x14ac:dyDescent="0.25">
      <c r="B1286" s="90">
        <v>441</v>
      </c>
      <c r="C1286" s="91">
        <v>0.32326045752469823</v>
      </c>
      <c r="D1286" s="92">
        <v>74</v>
      </c>
      <c r="E1286" s="93">
        <v>0.48920863309352519</v>
      </c>
      <c r="G1286" s="5"/>
      <c r="H1286" s="5"/>
      <c r="L1286" s="7"/>
      <c r="M1286" s="7"/>
      <c r="O1286" s="6"/>
      <c r="P1286" s="6"/>
      <c r="T1286" s="5"/>
      <c r="U1286" s="5"/>
    </row>
    <row r="1287" spans="2:21" x14ac:dyDescent="0.25">
      <c r="B1287" s="90">
        <v>1501</v>
      </c>
      <c r="C1287" s="91">
        <v>0.33913807255743633</v>
      </c>
      <c r="D1287" s="92">
        <v>74</v>
      </c>
      <c r="E1287" s="93">
        <v>0.10071942446043165</v>
      </c>
      <c r="G1287" s="5"/>
      <c r="H1287" s="5"/>
      <c r="L1287" s="7"/>
      <c r="M1287" s="7"/>
      <c r="O1287" s="6"/>
      <c r="P1287" s="6"/>
      <c r="T1287" s="5"/>
      <c r="U1287" s="5"/>
    </row>
    <row r="1288" spans="2:21" x14ac:dyDescent="0.25">
      <c r="B1288" s="90">
        <v>363</v>
      </c>
      <c r="C1288" s="91">
        <v>0.4094616930371856</v>
      </c>
      <c r="D1288" s="92">
        <v>74</v>
      </c>
      <c r="E1288" s="93">
        <v>0.46043165467625902</v>
      </c>
      <c r="G1288" s="5"/>
      <c r="H1288" s="5"/>
      <c r="L1288" s="7"/>
      <c r="M1288" s="7"/>
      <c r="O1288" s="6"/>
      <c r="P1288" s="6"/>
      <c r="T1288" s="5"/>
      <c r="U1288" s="5"/>
    </row>
    <row r="1289" spans="2:21" x14ac:dyDescent="0.25">
      <c r="B1289" s="90">
        <v>763</v>
      </c>
      <c r="C1289" s="91">
        <v>0.49642932369826498</v>
      </c>
      <c r="D1289" s="92">
        <v>74</v>
      </c>
      <c r="E1289" s="93">
        <v>0.41726618705035973</v>
      </c>
      <c r="G1289" s="5"/>
      <c r="H1289" s="5"/>
      <c r="L1289" s="7"/>
      <c r="M1289" s="7"/>
      <c r="O1289" s="6"/>
      <c r="P1289" s="6"/>
      <c r="T1289" s="5"/>
      <c r="U1289" s="5"/>
    </row>
    <row r="1290" spans="2:21" x14ac:dyDescent="0.25">
      <c r="B1290" s="90">
        <v>816</v>
      </c>
      <c r="C1290" s="91">
        <v>0.50283444501989583</v>
      </c>
      <c r="D1290" s="92">
        <v>74</v>
      </c>
      <c r="E1290" s="93">
        <v>0.31654676258992803</v>
      </c>
      <c r="G1290" s="5"/>
      <c r="H1290" s="5"/>
      <c r="L1290" s="7"/>
      <c r="M1290" s="7"/>
      <c r="O1290" s="6"/>
      <c r="P1290" s="6"/>
      <c r="T1290" s="5"/>
      <c r="U1290" s="5"/>
    </row>
    <row r="1291" spans="2:21" x14ac:dyDescent="0.25">
      <c r="B1291" s="90">
        <v>710</v>
      </c>
      <c r="C1291" s="91">
        <v>0.52819912055260199</v>
      </c>
      <c r="D1291" s="92">
        <v>74</v>
      </c>
      <c r="E1291" s="93">
        <v>0.34532374100719426</v>
      </c>
      <c r="G1291" s="5"/>
      <c r="H1291" s="5"/>
      <c r="L1291" s="7"/>
      <c r="M1291" s="7"/>
      <c r="O1291" s="6"/>
      <c r="P1291" s="6"/>
      <c r="T1291" s="5"/>
      <c r="U1291" s="5"/>
    </row>
    <row r="1292" spans="2:21" x14ac:dyDescent="0.25">
      <c r="B1292" s="90">
        <v>1605</v>
      </c>
      <c r="C1292" s="91">
        <v>0.52848139416156825</v>
      </c>
      <c r="D1292" s="92">
        <v>74</v>
      </c>
      <c r="E1292" s="93">
        <v>7.9136690647482008E-2</v>
      </c>
      <c r="G1292" s="5"/>
      <c r="H1292" s="5"/>
      <c r="L1292" s="7"/>
      <c r="M1292" s="7"/>
      <c r="O1292" s="6"/>
      <c r="P1292" s="6"/>
      <c r="T1292" s="5"/>
      <c r="U1292" s="5"/>
    </row>
    <row r="1293" spans="2:21" x14ac:dyDescent="0.25">
      <c r="B1293" s="90">
        <v>817</v>
      </c>
      <c r="C1293" s="91">
        <v>0.5428869059098268</v>
      </c>
      <c r="D1293" s="92">
        <v>74</v>
      </c>
      <c r="E1293" s="93">
        <v>0.18705035971223022</v>
      </c>
      <c r="G1293" s="5"/>
      <c r="H1293" s="5"/>
      <c r="L1293" s="7"/>
      <c r="M1293" s="7"/>
      <c r="O1293" s="6"/>
      <c r="P1293" s="6"/>
      <c r="T1293" s="5"/>
      <c r="U1293" s="5"/>
    </row>
    <row r="1294" spans="2:21" x14ac:dyDescent="0.25">
      <c r="B1294" s="90">
        <v>1637</v>
      </c>
      <c r="C1294" s="91">
        <v>0.58074261747398237</v>
      </c>
      <c r="D1294" s="92">
        <v>74</v>
      </c>
      <c r="E1294" s="93">
        <v>6.4748201438848921E-2</v>
      </c>
      <c r="G1294" s="5"/>
      <c r="H1294" s="5"/>
      <c r="L1294" s="7"/>
      <c r="M1294" s="7"/>
      <c r="O1294" s="6"/>
      <c r="P1294" s="6"/>
      <c r="T1294" s="5"/>
      <c r="U1294" s="5"/>
    </row>
    <row r="1295" spans="2:21" x14ac:dyDescent="0.25">
      <c r="B1295" s="90">
        <v>190</v>
      </c>
      <c r="C1295" s="91">
        <v>0.58080022813588728</v>
      </c>
      <c r="D1295" s="92">
        <v>74</v>
      </c>
      <c r="E1295" s="93">
        <v>0.23021582733812951</v>
      </c>
      <c r="G1295" s="5"/>
      <c r="H1295" s="5"/>
      <c r="L1295" s="7"/>
      <c r="M1295" s="7"/>
      <c r="O1295" s="6"/>
      <c r="P1295" s="6"/>
      <c r="T1295" s="5"/>
      <c r="U1295" s="5"/>
    </row>
    <row r="1296" spans="2:21" x14ac:dyDescent="0.25">
      <c r="B1296" s="90">
        <v>1670</v>
      </c>
      <c r="C1296" s="91">
        <v>0.58425133119957084</v>
      </c>
      <c r="D1296" s="92">
        <v>74</v>
      </c>
      <c r="E1296" s="93">
        <v>6.4748201438848921E-2</v>
      </c>
      <c r="G1296" s="5"/>
      <c r="H1296" s="5"/>
      <c r="L1296" s="7"/>
      <c r="M1296" s="7"/>
      <c r="O1296" s="6"/>
      <c r="P1296" s="6"/>
      <c r="T1296" s="5"/>
      <c r="U1296" s="5"/>
    </row>
    <row r="1297" spans="2:21" x14ac:dyDescent="0.25">
      <c r="B1297" s="90">
        <v>191</v>
      </c>
      <c r="C1297" s="91">
        <v>0.5912282672430772</v>
      </c>
      <c r="D1297" s="92">
        <v>74</v>
      </c>
      <c r="E1297" s="93">
        <v>0.23021582733812951</v>
      </c>
      <c r="G1297" s="5"/>
      <c r="H1297" s="5"/>
      <c r="L1297" s="7"/>
      <c r="M1297" s="7"/>
      <c r="O1297" s="6"/>
      <c r="P1297" s="6"/>
      <c r="T1297" s="5"/>
      <c r="U1297" s="5"/>
    </row>
    <row r="1298" spans="2:21" x14ac:dyDescent="0.25">
      <c r="B1298" s="90">
        <v>126</v>
      </c>
      <c r="C1298" s="91">
        <v>0.59184113992228693</v>
      </c>
      <c r="D1298" s="92">
        <v>74</v>
      </c>
      <c r="E1298" s="93">
        <v>0.23021582733812951</v>
      </c>
      <c r="G1298" s="5"/>
      <c r="H1298" s="5"/>
      <c r="L1298" s="7"/>
      <c r="M1298" s="7"/>
      <c r="O1298" s="6"/>
      <c r="P1298" s="6"/>
      <c r="T1298" s="5"/>
      <c r="U1298" s="5"/>
    </row>
    <row r="1299" spans="2:21" x14ac:dyDescent="0.25">
      <c r="B1299" s="90">
        <v>127</v>
      </c>
      <c r="C1299" s="91">
        <v>0.6022910258072417</v>
      </c>
      <c r="D1299" s="92">
        <v>74</v>
      </c>
      <c r="E1299" s="93">
        <v>0.23021582733812951</v>
      </c>
      <c r="G1299" s="5"/>
      <c r="H1299" s="5"/>
      <c r="L1299" s="7"/>
      <c r="M1299" s="7"/>
      <c r="O1299" s="6"/>
      <c r="P1299" s="6"/>
      <c r="T1299" s="5"/>
      <c r="U1299" s="5"/>
    </row>
    <row r="1300" spans="2:21" x14ac:dyDescent="0.25">
      <c r="B1300" s="90">
        <v>1702</v>
      </c>
      <c r="C1300" s="91">
        <v>0.63252489077947627</v>
      </c>
      <c r="D1300" s="92">
        <v>74</v>
      </c>
      <c r="E1300" s="93">
        <v>7.1942446043165464E-2</v>
      </c>
      <c r="G1300" s="5"/>
      <c r="H1300" s="5"/>
      <c r="L1300" s="7"/>
      <c r="M1300" s="7"/>
      <c r="O1300" s="6"/>
      <c r="P1300" s="6"/>
      <c r="T1300" s="5"/>
      <c r="U1300" s="5"/>
    </row>
    <row r="1301" spans="2:21" x14ac:dyDescent="0.25">
      <c r="B1301" s="90">
        <v>1701</v>
      </c>
      <c r="C1301" s="91">
        <v>0.63777133924232088</v>
      </c>
      <c r="D1301" s="92">
        <v>74</v>
      </c>
      <c r="E1301" s="93">
        <v>6.4748201438848921E-2</v>
      </c>
      <c r="G1301" s="5"/>
      <c r="H1301" s="5"/>
      <c r="L1301" s="7"/>
      <c r="M1301" s="7"/>
      <c r="O1301" s="6"/>
      <c r="P1301" s="6"/>
      <c r="T1301" s="5"/>
      <c r="U1301" s="5"/>
    </row>
    <row r="1302" spans="2:21" x14ac:dyDescent="0.25">
      <c r="B1302" s="90">
        <v>301</v>
      </c>
      <c r="C1302" s="91">
        <v>0.39176830161102982</v>
      </c>
      <c r="D1302" s="92">
        <v>75</v>
      </c>
      <c r="E1302" s="93">
        <v>0.39568345323741005</v>
      </c>
      <c r="G1302" s="5"/>
      <c r="H1302" s="5"/>
      <c r="L1302" s="7"/>
      <c r="M1302" s="7"/>
      <c r="O1302" s="6"/>
      <c r="P1302" s="6"/>
      <c r="T1302" s="5"/>
      <c r="U1302" s="5"/>
    </row>
    <row r="1303" spans="2:21" x14ac:dyDescent="0.25">
      <c r="B1303" s="90">
        <v>422</v>
      </c>
      <c r="C1303" s="91">
        <v>0.39363003175818445</v>
      </c>
      <c r="D1303" s="92">
        <v>75</v>
      </c>
      <c r="E1303" s="93">
        <v>0.39568345323741005</v>
      </c>
      <c r="G1303" s="5"/>
      <c r="H1303" s="5"/>
      <c r="L1303" s="7"/>
      <c r="M1303" s="7"/>
      <c r="O1303" s="6"/>
      <c r="P1303" s="6"/>
      <c r="T1303" s="5"/>
      <c r="U1303" s="5"/>
    </row>
    <row r="1304" spans="2:21" x14ac:dyDescent="0.25">
      <c r="B1304" s="90">
        <v>423</v>
      </c>
      <c r="C1304" s="91">
        <v>0.41842272708849704</v>
      </c>
      <c r="D1304" s="92">
        <v>75</v>
      </c>
      <c r="E1304" s="93">
        <v>0.46043165467625902</v>
      </c>
      <c r="G1304" s="5"/>
      <c r="H1304" s="5"/>
      <c r="L1304" s="7"/>
      <c r="M1304" s="7"/>
      <c r="O1304" s="6"/>
      <c r="P1304" s="6"/>
      <c r="T1304" s="5"/>
      <c r="U1304" s="5"/>
    </row>
    <row r="1305" spans="2:21" x14ac:dyDescent="0.25">
      <c r="B1305" s="90">
        <v>302</v>
      </c>
      <c r="C1305" s="91">
        <v>0.41868105273812795</v>
      </c>
      <c r="D1305" s="92">
        <v>75</v>
      </c>
      <c r="E1305" s="93">
        <v>0.45323741007194246</v>
      </c>
      <c r="G1305" s="5"/>
      <c r="H1305" s="5"/>
      <c r="L1305" s="7"/>
      <c r="M1305" s="7"/>
      <c r="O1305" s="6"/>
      <c r="P1305" s="6"/>
      <c r="T1305" s="5"/>
      <c r="U1305" s="5"/>
    </row>
    <row r="1306" spans="2:21" x14ac:dyDescent="0.25">
      <c r="B1306" s="90">
        <v>364</v>
      </c>
      <c r="C1306" s="91">
        <v>0.45602670339347684</v>
      </c>
      <c r="D1306" s="92">
        <v>75</v>
      </c>
      <c r="E1306" s="93">
        <v>0.45323741007194246</v>
      </c>
      <c r="G1306" s="5"/>
      <c r="H1306" s="5"/>
      <c r="L1306" s="7"/>
      <c r="M1306" s="7"/>
      <c r="O1306" s="6"/>
      <c r="P1306" s="6"/>
      <c r="T1306" s="5"/>
      <c r="U1306" s="5"/>
    </row>
    <row r="1307" spans="2:21" x14ac:dyDescent="0.25">
      <c r="B1307" s="90">
        <v>303</v>
      </c>
      <c r="C1307" s="91">
        <v>0.46497587317444666</v>
      </c>
      <c r="D1307" s="92">
        <v>75</v>
      </c>
      <c r="E1307" s="93">
        <v>0.45323741007194246</v>
      </c>
      <c r="G1307" s="5"/>
      <c r="H1307" s="5"/>
      <c r="L1307" s="7"/>
      <c r="M1307" s="7"/>
      <c r="O1307" s="6"/>
      <c r="P1307" s="6"/>
      <c r="T1307" s="5"/>
      <c r="U1307" s="5"/>
    </row>
    <row r="1308" spans="2:21" x14ac:dyDescent="0.25">
      <c r="B1308" s="90">
        <v>365</v>
      </c>
      <c r="C1308" s="91">
        <v>0.48923792688482226</v>
      </c>
      <c r="D1308" s="92">
        <v>75</v>
      </c>
      <c r="E1308" s="93">
        <v>0.38848920863309355</v>
      </c>
      <c r="G1308" s="5"/>
      <c r="H1308" s="5"/>
      <c r="L1308" s="7"/>
      <c r="M1308" s="7"/>
      <c r="O1308" s="6"/>
      <c r="P1308" s="6"/>
      <c r="T1308" s="5"/>
      <c r="U1308" s="5"/>
    </row>
    <row r="1309" spans="2:21" x14ac:dyDescent="0.25">
      <c r="B1309" s="90">
        <v>366</v>
      </c>
      <c r="C1309" s="91">
        <v>0.49015924979487535</v>
      </c>
      <c r="D1309" s="92">
        <v>75</v>
      </c>
      <c r="E1309" s="93">
        <v>0.38129496402877699</v>
      </c>
      <c r="G1309" s="5"/>
      <c r="H1309" s="5"/>
      <c r="L1309" s="7"/>
      <c r="M1309" s="7"/>
      <c r="O1309" s="6"/>
      <c r="P1309" s="6"/>
      <c r="T1309" s="5"/>
      <c r="U1309" s="5"/>
    </row>
    <row r="1310" spans="2:21" x14ac:dyDescent="0.25">
      <c r="B1310" s="90">
        <v>654</v>
      </c>
      <c r="C1310" s="91">
        <v>0.49695724760852356</v>
      </c>
      <c r="D1310" s="92">
        <v>75</v>
      </c>
      <c r="E1310" s="93">
        <v>0.41726618705035973</v>
      </c>
      <c r="G1310" s="5"/>
      <c r="H1310" s="5"/>
      <c r="L1310" s="7"/>
      <c r="M1310" s="7"/>
      <c r="O1310" s="6"/>
      <c r="P1310" s="6"/>
      <c r="T1310" s="5"/>
      <c r="U1310" s="5"/>
    </row>
    <row r="1311" spans="2:21" x14ac:dyDescent="0.25">
      <c r="B1311" s="90">
        <v>52</v>
      </c>
      <c r="C1311" s="91">
        <v>0.49956529139670125</v>
      </c>
      <c r="D1311" s="92">
        <v>75</v>
      </c>
      <c r="E1311" s="93">
        <v>0.32374100719424459</v>
      </c>
      <c r="G1311" s="5"/>
      <c r="H1311" s="5"/>
      <c r="L1311" s="7"/>
      <c r="M1311" s="7"/>
      <c r="O1311" s="6"/>
      <c r="P1311" s="6"/>
      <c r="T1311" s="5"/>
      <c r="U1311" s="5"/>
    </row>
    <row r="1312" spans="2:21" x14ac:dyDescent="0.25">
      <c r="B1312" s="90">
        <v>820</v>
      </c>
      <c r="C1312" s="91">
        <v>0.49956529139670125</v>
      </c>
      <c r="D1312" s="92">
        <v>75</v>
      </c>
      <c r="E1312" s="93">
        <v>0.32374100719424459</v>
      </c>
      <c r="G1312" s="5"/>
      <c r="H1312" s="5"/>
      <c r="L1312" s="7"/>
      <c r="M1312" s="7"/>
      <c r="O1312" s="6"/>
      <c r="P1312" s="6"/>
      <c r="T1312" s="5"/>
      <c r="U1312" s="5"/>
    </row>
    <row r="1313" spans="2:21" x14ac:dyDescent="0.25">
      <c r="B1313" s="90">
        <v>304</v>
      </c>
      <c r="C1313" s="91">
        <v>0.49970273361470197</v>
      </c>
      <c r="D1313" s="92">
        <v>75</v>
      </c>
      <c r="E1313" s="93">
        <v>0.38129496402877699</v>
      </c>
      <c r="G1313" s="5"/>
      <c r="H1313" s="5"/>
      <c r="L1313" s="7"/>
      <c r="M1313" s="7"/>
      <c r="O1313" s="6"/>
      <c r="P1313" s="6"/>
      <c r="T1313" s="5"/>
      <c r="U1313" s="5"/>
    </row>
    <row r="1314" spans="2:21" x14ac:dyDescent="0.25">
      <c r="B1314" s="90">
        <v>305</v>
      </c>
      <c r="C1314" s="91">
        <v>0.50053700919161226</v>
      </c>
      <c r="D1314" s="92">
        <v>75</v>
      </c>
      <c r="E1314" s="93">
        <v>0.38129496402877699</v>
      </c>
      <c r="G1314" s="5"/>
      <c r="H1314" s="5"/>
      <c r="L1314" s="7"/>
      <c r="M1314" s="7"/>
      <c r="O1314" s="6"/>
      <c r="P1314" s="6"/>
      <c r="T1314" s="5"/>
      <c r="U1314" s="5"/>
    </row>
    <row r="1315" spans="2:21" x14ac:dyDescent="0.25">
      <c r="B1315" s="90">
        <v>53</v>
      </c>
      <c r="C1315" s="91">
        <v>0.52236986606812075</v>
      </c>
      <c r="D1315" s="92">
        <v>75</v>
      </c>
      <c r="E1315" s="93">
        <v>0.32374100719424459</v>
      </c>
      <c r="G1315" s="5"/>
      <c r="H1315" s="5"/>
      <c r="L1315" s="7"/>
      <c r="M1315" s="7"/>
      <c r="O1315" s="6"/>
      <c r="P1315" s="6"/>
      <c r="T1315" s="5"/>
      <c r="U1315" s="5"/>
    </row>
    <row r="1316" spans="2:21" x14ac:dyDescent="0.25">
      <c r="B1316" s="90">
        <v>768</v>
      </c>
      <c r="C1316" s="91">
        <v>0.52236986606812075</v>
      </c>
      <c r="D1316" s="92">
        <v>75</v>
      </c>
      <c r="E1316" s="93">
        <v>0.32374100719424459</v>
      </c>
      <c r="G1316" s="5"/>
      <c r="H1316" s="5"/>
      <c r="L1316" s="7"/>
      <c r="M1316" s="7"/>
      <c r="O1316" s="6"/>
      <c r="P1316" s="6"/>
      <c r="T1316" s="5"/>
      <c r="U1316" s="5"/>
    </row>
    <row r="1317" spans="2:21" x14ac:dyDescent="0.25">
      <c r="B1317" s="90">
        <v>54</v>
      </c>
      <c r="C1317" s="91">
        <v>0.52747682199815893</v>
      </c>
      <c r="D1317" s="92">
        <v>75</v>
      </c>
      <c r="E1317" s="93">
        <v>0.32374100719424459</v>
      </c>
      <c r="G1317" s="5"/>
      <c r="H1317" s="5"/>
      <c r="L1317" s="7"/>
      <c r="M1317" s="7"/>
      <c r="O1317" s="6"/>
      <c r="P1317" s="6"/>
      <c r="T1317" s="5"/>
      <c r="U1317" s="5"/>
    </row>
    <row r="1318" spans="2:21" x14ac:dyDescent="0.25">
      <c r="B1318" s="90">
        <v>715</v>
      </c>
      <c r="C1318" s="91">
        <v>0.52747682199815893</v>
      </c>
      <c r="D1318" s="92">
        <v>75</v>
      </c>
      <c r="E1318" s="93">
        <v>0.32374100719424459</v>
      </c>
      <c r="G1318" s="5"/>
      <c r="H1318" s="5"/>
      <c r="L1318" s="7"/>
      <c r="M1318" s="7"/>
      <c r="O1318" s="6"/>
      <c r="P1318" s="6"/>
      <c r="T1318" s="5"/>
      <c r="U1318" s="5"/>
    </row>
    <row r="1319" spans="2:21" x14ac:dyDescent="0.25">
      <c r="B1319" s="90">
        <v>119</v>
      </c>
      <c r="C1319" s="91">
        <v>0.52792190227866698</v>
      </c>
      <c r="D1319" s="92">
        <v>75</v>
      </c>
      <c r="E1319" s="93">
        <v>0.32374100719424459</v>
      </c>
      <c r="G1319" s="5"/>
      <c r="H1319" s="5"/>
      <c r="L1319" s="7"/>
      <c r="M1319" s="7"/>
      <c r="O1319" s="6"/>
      <c r="P1319" s="6"/>
      <c r="T1319" s="5"/>
      <c r="U1319" s="5"/>
    </row>
    <row r="1320" spans="2:21" x14ac:dyDescent="0.25">
      <c r="B1320" s="90">
        <v>711</v>
      </c>
      <c r="C1320" s="91">
        <v>0.52875123668782587</v>
      </c>
      <c r="D1320" s="92">
        <v>75</v>
      </c>
      <c r="E1320" s="93">
        <v>0.34532374100719426</v>
      </c>
      <c r="G1320" s="5"/>
      <c r="H1320" s="5"/>
      <c r="L1320" s="7"/>
      <c r="M1320" s="7"/>
      <c r="O1320" s="6"/>
      <c r="P1320" s="6"/>
      <c r="T1320" s="5"/>
      <c r="U1320" s="5"/>
    </row>
    <row r="1321" spans="2:21" x14ac:dyDescent="0.25">
      <c r="B1321" s="90">
        <v>655</v>
      </c>
      <c r="C1321" s="91">
        <v>0.53214714149055675</v>
      </c>
      <c r="D1321" s="92">
        <v>75</v>
      </c>
      <c r="E1321" s="93">
        <v>0.32374100719424459</v>
      </c>
      <c r="G1321" s="5"/>
      <c r="H1321" s="5"/>
      <c r="L1321" s="7"/>
      <c r="M1321" s="7"/>
      <c r="O1321" s="6"/>
      <c r="P1321" s="6"/>
      <c r="T1321" s="5"/>
      <c r="U1321" s="5"/>
    </row>
    <row r="1322" spans="2:21" x14ac:dyDescent="0.25">
      <c r="B1322" s="90">
        <v>765</v>
      </c>
      <c r="C1322" s="91">
        <v>0.53403281287508275</v>
      </c>
      <c r="D1322" s="92">
        <v>75</v>
      </c>
      <c r="E1322" s="93">
        <v>0.34532374100719426</v>
      </c>
      <c r="G1322" s="5"/>
      <c r="H1322" s="5"/>
      <c r="L1322" s="7"/>
      <c r="M1322" s="7"/>
      <c r="O1322" s="6"/>
      <c r="P1322" s="6"/>
      <c r="T1322" s="5"/>
      <c r="U1322" s="5"/>
    </row>
    <row r="1323" spans="2:21" x14ac:dyDescent="0.25">
      <c r="B1323" s="90">
        <v>55</v>
      </c>
      <c r="C1323" s="91">
        <v>0.53768106671305826</v>
      </c>
      <c r="D1323" s="92">
        <v>75</v>
      </c>
      <c r="E1323" s="93">
        <v>0.33093525179856115</v>
      </c>
      <c r="G1323" s="5"/>
      <c r="H1323" s="5"/>
      <c r="L1323" s="7"/>
      <c r="M1323" s="7"/>
      <c r="O1323" s="6"/>
      <c r="P1323" s="6"/>
      <c r="T1323" s="5"/>
      <c r="U1323" s="5"/>
    </row>
    <row r="1324" spans="2:21" x14ac:dyDescent="0.25">
      <c r="B1324" s="90">
        <v>661</v>
      </c>
      <c r="C1324" s="91">
        <v>0.53768106671305826</v>
      </c>
      <c r="D1324" s="92">
        <v>75</v>
      </c>
      <c r="E1324" s="93">
        <v>0.33093525179856115</v>
      </c>
      <c r="G1324" s="5"/>
      <c r="H1324" s="5"/>
      <c r="L1324" s="7"/>
      <c r="M1324" s="7"/>
      <c r="O1324" s="6"/>
      <c r="P1324" s="6"/>
      <c r="T1324" s="5"/>
      <c r="U1324" s="5"/>
    </row>
    <row r="1325" spans="2:21" x14ac:dyDescent="0.25">
      <c r="B1325" s="90">
        <v>120</v>
      </c>
      <c r="C1325" s="91">
        <v>0.53810161412143531</v>
      </c>
      <c r="D1325" s="92">
        <v>75</v>
      </c>
      <c r="E1325" s="93">
        <v>0.33093525179856115</v>
      </c>
      <c r="G1325" s="5"/>
      <c r="H1325" s="5"/>
      <c r="L1325" s="7"/>
      <c r="M1325" s="7"/>
      <c r="O1325" s="6"/>
      <c r="P1325" s="6"/>
      <c r="T1325" s="5"/>
      <c r="U1325" s="5"/>
    </row>
    <row r="1326" spans="2:21" x14ac:dyDescent="0.25">
      <c r="B1326" s="90">
        <v>818</v>
      </c>
      <c r="C1326" s="91">
        <v>0.54542416304960295</v>
      </c>
      <c r="D1326" s="92">
        <v>75</v>
      </c>
      <c r="E1326" s="93">
        <v>0.26618705035971224</v>
      </c>
      <c r="G1326" s="5"/>
      <c r="H1326" s="5"/>
      <c r="L1326" s="7"/>
      <c r="M1326" s="7"/>
      <c r="O1326" s="6"/>
      <c r="P1326" s="6"/>
      <c r="T1326" s="5"/>
      <c r="U1326" s="5"/>
    </row>
    <row r="1327" spans="2:21" x14ac:dyDescent="0.25">
      <c r="B1327" s="90">
        <v>56</v>
      </c>
      <c r="C1327" s="91">
        <v>0.54706945622285985</v>
      </c>
      <c r="D1327" s="92">
        <v>75</v>
      </c>
      <c r="E1327" s="93">
        <v>0.33093525179856115</v>
      </c>
      <c r="G1327" s="5"/>
      <c r="H1327" s="5"/>
      <c r="L1327" s="7"/>
      <c r="M1327" s="7"/>
      <c r="O1327" s="6"/>
      <c r="P1327" s="6"/>
      <c r="T1327" s="5"/>
      <c r="U1327" s="5"/>
    </row>
    <row r="1328" spans="2:21" x14ac:dyDescent="0.25">
      <c r="B1328" s="90">
        <v>606</v>
      </c>
      <c r="C1328" s="91">
        <v>0.54706945622285985</v>
      </c>
      <c r="D1328" s="92">
        <v>75</v>
      </c>
      <c r="E1328" s="93">
        <v>0.33093525179856115</v>
      </c>
      <c r="G1328" s="5"/>
      <c r="H1328" s="5"/>
      <c r="L1328" s="7"/>
      <c r="M1328" s="7"/>
      <c r="O1328" s="6"/>
      <c r="P1328" s="6"/>
      <c r="T1328" s="5"/>
      <c r="U1328" s="5"/>
    </row>
    <row r="1329" spans="2:21" x14ac:dyDescent="0.25">
      <c r="B1329" s="90">
        <v>121</v>
      </c>
      <c r="C1329" s="91">
        <v>0.54810322350533069</v>
      </c>
      <c r="D1329" s="92">
        <v>75</v>
      </c>
      <c r="E1329" s="93">
        <v>0.33093525179856115</v>
      </c>
      <c r="G1329" s="5"/>
      <c r="H1329" s="5"/>
      <c r="L1329" s="7"/>
      <c r="M1329" s="7"/>
      <c r="O1329" s="6"/>
      <c r="P1329" s="6"/>
      <c r="T1329" s="5"/>
      <c r="U1329" s="5"/>
    </row>
    <row r="1330" spans="2:21" x14ac:dyDescent="0.25">
      <c r="B1330" s="90">
        <v>122</v>
      </c>
      <c r="C1330" s="91">
        <v>0.54980216467901322</v>
      </c>
      <c r="D1330" s="92">
        <v>75</v>
      </c>
      <c r="E1330" s="93">
        <v>0.33093525179856115</v>
      </c>
      <c r="G1330" s="5"/>
      <c r="H1330" s="5"/>
      <c r="L1330" s="7"/>
      <c r="M1330" s="7"/>
      <c r="O1330" s="6"/>
      <c r="P1330" s="6"/>
      <c r="T1330" s="5"/>
      <c r="U1330" s="5"/>
    </row>
    <row r="1331" spans="2:21" x14ac:dyDescent="0.25">
      <c r="B1331" s="90">
        <v>123</v>
      </c>
      <c r="C1331" s="91">
        <v>0.56073007580157674</v>
      </c>
      <c r="D1331" s="92">
        <v>75</v>
      </c>
      <c r="E1331" s="93">
        <v>0.30935251798561153</v>
      </c>
      <c r="G1331" s="5"/>
      <c r="H1331" s="5"/>
      <c r="L1331" s="7"/>
      <c r="M1331" s="7"/>
      <c r="O1331" s="6"/>
      <c r="P1331" s="6"/>
      <c r="T1331" s="5"/>
      <c r="U1331" s="5"/>
    </row>
    <row r="1332" spans="2:21" x14ac:dyDescent="0.25">
      <c r="B1332" s="90">
        <v>869</v>
      </c>
      <c r="C1332" s="91">
        <v>0.57440408070207571</v>
      </c>
      <c r="D1332" s="92">
        <v>75</v>
      </c>
      <c r="E1332" s="93">
        <v>0.11510791366906475</v>
      </c>
      <c r="G1332" s="5"/>
      <c r="H1332" s="5"/>
      <c r="L1332" s="7"/>
      <c r="M1332" s="7"/>
      <c r="O1332" s="6"/>
      <c r="P1332" s="6"/>
      <c r="T1332" s="5"/>
      <c r="U1332" s="5"/>
    </row>
    <row r="1333" spans="2:21" x14ac:dyDescent="0.25">
      <c r="B1333" s="90">
        <v>124</v>
      </c>
      <c r="C1333" s="91">
        <v>0.57519798401828681</v>
      </c>
      <c r="D1333" s="92">
        <v>75</v>
      </c>
      <c r="E1333" s="93">
        <v>0.30215827338129497</v>
      </c>
      <c r="G1333" s="5"/>
      <c r="H1333" s="5"/>
      <c r="L1333" s="7"/>
      <c r="M1333" s="7"/>
      <c r="O1333" s="6"/>
      <c r="P1333" s="6"/>
      <c r="T1333" s="5"/>
      <c r="U1333" s="5"/>
    </row>
    <row r="1334" spans="2:21" x14ac:dyDescent="0.25">
      <c r="B1334" s="90">
        <v>125</v>
      </c>
      <c r="C1334" s="91">
        <v>0.57734196372103042</v>
      </c>
      <c r="D1334" s="92">
        <v>75</v>
      </c>
      <c r="E1334" s="93">
        <v>0.30215827338129497</v>
      </c>
      <c r="G1334" s="5"/>
      <c r="H1334" s="5"/>
      <c r="L1334" s="7"/>
      <c r="M1334" s="7"/>
      <c r="O1334" s="6"/>
      <c r="P1334" s="6"/>
      <c r="T1334" s="5"/>
      <c r="U1334" s="5"/>
    </row>
    <row r="1335" spans="2:21" x14ac:dyDescent="0.25">
      <c r="B1335" s="90">
        <v>383</v>
      </c>
      <c r="C1335" s="91">
        <v>0.12769933855609295</v>
      </c>
      <c r="D1335" s="92">
        <v>76</v>
      </c>
      <c r="E1335" s="93">
        <v>0.43165467625899279</v>
      </c>
      <c r="G1335" s="5"/>
      <c r="H1335" s="5"/>
      <c r="L1335" s="7"/>
      <c r="M1335" s="7"/>
      <c r="O1335" s="6"/>
      <c r="P1335" s="6"/>
      <c r="T1335" s="5"/>
      <c r="U1335" s="5"/>
    </row>
    <row r="1336" spans="2:21" x14ac:dyDescent="0.25">
      <c r="B1336" s="90">
        <v>499</v>
      </c>
      <c r="C1336" s="91">
        <v>0.31632295727772952</v>
      </c>
      <c r="D1336" s="92">
        <v>76</v>
      </c>
      <c r="E1336" s="93">
        <v>0.48920863309352519</v>
      </c>
      <c r="G1336" s="5"/>
      <c r="H1336" s="5"/>
      <c r="L1336" s="7"/>
      <c r="M1336" s="7"/>
      <c r="O1336" s="6"/>
      <c r="P1336" s="6"/>
      <c r="T1336" s="5"/>
      <c r="U1336" s="5"/>
    </row>
    <row r="1337" spans="2:21" x14ac:dyDescent="0.25">
      <c r="B1337" s="90">
        <v>421</v>
      </c>
      <c r="C1337" s="91">
        <v>0.39277318034390352</v>
      </c>
      <c r="D1337" s="92">
        <v>76</v>
      </c>
      <c r="E1337" s="93">
        <v>0.39568345323741005</v>
      </c>
      <c r="G1337" s="5"/>
      <c r="H1337" s="5"/>
      <c r="L1337" s="7"/>
      <c r="M1337" s="7"/>
      <c r="O1337" s="6"/>
      <c r="P1337" s="6"/>
      <c r="T1337" s="5"/>
      <c r="U1337" s="5"/>
    </row>
    <row r="1338" spans="2:21" x14ac:dyDescent="0.25">
      <c r="B1338" s="90">
        <v>707</v>
      </c>
      <c r="C1338" s="91">
        <v>0.42265340752719638</v>
      </c>
      <c r="D1338" s="92">
        <v>76</v>
      </c>
      <c r="E1338" s="93">
        <v>0.36690647482014388</v>
      </c>
      <c r="G1338" s="5"/>
      <c r="H1338" s="5"/>
      <c r="L1338" s="7"/>
      <c r="M1338" s="7"/>
      <c r="O1338" s="6"/>
      <c r="P1338" s="6"/>
      <c r="T1338" s="5"/>
      <c r="U1338" s="5"/>
    </row>
    <row r="1339" spans="2:21" x14ac:dyDescent="0.25">
      <c r="B1339" s="90">
        <v>706</v>
      </c>
      <c r="C1339" s="91">
        <v>0.42292948341994929</v>
      </c>
      <c r="D1339" s="92">
        <v>76</v>
      </c>
      <c r="E1339" s="93">
        <v>0.36690647482014388</v>
      </c>
      <c r="G1339" s="5"/>
      <c r="H1339" s="5"/>
      <c r="L1339" s="7"/>
      <c r="M1339" s="7"/>
      <c r="O1339" s="6"/>
      <c r="P1339" s="6"/>
      <c r="T1339" s="5"/>
      <c r="U1339" s="5"/>
    </row>
    <row r="1340" spans="2:21" x14ac:dyDescent="0.25">
      <c r="B1340" s="90">
        <v>761</v>
      </c>
      <c r="C1340" s="91">
        <v>0.42392710781023157</v>
      </c>
      <c r="D1340" s="92">
        <v>76</v>
      </c>
      <c r="E1340" s="93">
        <v>0.36690647482014388</v>
      </c>
      <c r="G1340" s="5"/>
      <c r="H1340" s="5"/>
      <c r="L1340" s="7"/>
      <c r="M1340" s="7"/>
      <c r="O1340" s="6"/>
      <c r="P1340" s="6"/>
      <c r="T1340" s="5"/>
      <c r="U1340" s="5"/>
    </row>
    <row r="1341" spans="2:21" x14ac:dyDescent="0.25">
      <c r="B1341" s="90">
        <v>651</v>
      </c>
      <c r="C1341" s="91">
        <v>0.42520292739752852</v>
      </c>
      <c r="D1341" s="92">
        <v>76</v>
      </c>
      <c r="E1341" s="93">
        <v>0.36690647482014388</v>
      </c>
      <c r="G1341" s="5"/>
      <c r="H1341" s="5"/>
      <c r="L1341" s="7"/>
      <c r="M1341" s="7"/>
      <c r="O1341" s="6"/>
      <c r="P1341" s="6"/>
      <c r="T1341" s="5"/>
      <c r="U1341" s="5"/>
    </row>
    <row r="1342" spans="2:21" x14ac:dyDescent="0.25">
      <c r="B1342" s="90">
        <v>760</v>
      </c>
      <c r="C1342" s="91">
        <v>0.42595564587552337</v>
      </c>
      <c r="D1342" s="92">
        <v>76</v>
      </c>
      <c r="E1342" s="93">
        <v>0.36690647482014388</v>
      </c>
      <c r="G1342" s="5"/>
      <c r="H1342" s="5"/>
      <c r="L1342" s="7"/>
      <c r="M1342" s="7"/>
      <c r="O1342" s="6"/>
      <c r="P1342" s="6"/>
      <c r="T1342" s="5"/>
      <c r="U1342" s="5"/>
    </row>
    <row r="1343" spans="2:21" x14ac:dyDescent="0.25">
      <c r="B1343" s="90">
        <v>814</v>
      </c>
      <c r="C1343" s="91">
        <v>0.42822533196700419</v>
      </c>
      <c r="D1343" s="92">
        <v>76</v>
      </c>
      <c r="E1343" s="93">
        <v>0.36690647482014388</v>
      </c>
      <c r="G1343" s="5"/>
      <c r="H1343" s="5"/>
      <c r="L1343" s="7"/>
      <c r="M1343" s="7"/>
      <c r="O1343" s="6"/>
      <c r="P1343" s="6"/>
      <c r="T1343" s="5"/>
      <c r="U1343" s="5"/>
    </row>
    <row r="1344" spans="2:21" x14ac:dyDescent="0.25">
      <c r="B1344" s="90">
        <v>916</v>
      </c>
      <c r="C1344" s="91">
        <v>0.42876835744809172</v>
      </c>
      <c r="D1344" s="92">
        <v>76</v>
      </c>
      <c r="E1344" s="93">
        <v>0.36690647482014388</v>
      </c>
      <c r="G1344" s="5"/>
      <c r="H1344" s="5"/>
      <c r="L1344" s="7"/>
      <c r="M1344" s="7"/>
      <c r="O1344" s="6"/>
      <c r="P1344" s="6"/>
      <c r="T1344" s="5"/>
      <c r="U1344" s="5"/>
    </row>
    <row r="1345" spans="2:21" x14ac:dyDescent="0.25">
      <c r="B1345" s="90">
        <v>866</v>
      </c>
      <c r="C1345" s="91">
        <v>0.42963753193568488</v>
      </c>
      <c r="D1345" s="92">
        <v>76</v>
      </c>
      <c r="E1345" s="93">
        <v>0.28776978417266186</v>
      </c>
      <c r="G1345" s="5"/>
      <c r="H1345" s="5"/>
      <c r="L1345" s="7"/>
      <c r="M1345" s="7"/>
      <c r="O1345" s="6"/>
      <c r="P1345" s="6"/>
      <c r="T1345" s="5"/>
      <c r="U1345" s="5"/>
    </row>
    <row r="1346" spans="2:21" x14ac:dyDescent="0.25">
      <c r="B1346" s="90">
        <v>813</v>
      </c>
      <c r="C1346" s="91">
        <v>0.43109153851628745</v>
      </c>
      <c r="D1346" s="92">
        <v>76</v>
      </c>
      <c r="E1346" s="93">
        <v>0.28776978417266186</v>
      </c>
      <c r="G1346" s="5"/>
      <c r="H1346" s="5"/>
      <c r="L1346" s="7"/>
      <c r="M1346" s="7"/>
      <c r="O1346" s="6"/>
      <c r="P1346" s="6"/>
      <c r="T1346" s="5"/>
      <c r="U1346" s="5"/>
    </row>
    <row r="1347" spans="2:21" x14ac:dyDescent="0.25">
      <c r="B1347" s="90">
        <v>967</v>
      </c>
      <c r="C1347" s="91">
        <v>0.44590272319345214</v>
      </c>
      <c r="D1347" s="92">
        <v>76</v>
      </c>
      <c r="E1347" s="93">
        <v>0.28776978417266186</v>
      </c>
      <c r="G1347" s="5"/>
      <c r="H1347" s="5"/>
      <c r="L1347" s="7"/>
      <c r="M1347" s="7"/>
      <c r="O1347" s="6"/>
      <c r="P1347" s="6"/>
      <c r="T1347" s="5"/>
      <c r="U1347" s="5"/>
    </row>
    <row r="1348" spans="2:21" x14ac:dyDescent="0.25">
      <c r="B1348" s="90">
        <v>424</v>
      </c>
      <c r="C1348" s="91">
        <v>0.46501599906446933</v>
      </c>
      <c r="D1348" s="92">
        <v>76</v>
      </c>
      <c r="E1348" s="93">
        <v>0.4460431654676259</v>
      </c>
      <c r="G1348" s="5"/>
      <c r="H1348" s="5"/>
      <c r="L1348" s="7"/>
      <c r="M1348" s="7"/>
      <c r="O1348" s="6"/>
      <c r="P1348" s="6"/>
      <c r="T1348" s="5"/>
      <c r="U1348" s="5"/>
    </row>
    <row r="1349" spans="2:21" x14ac:dyDescent="0.25">
      <c r="B1349" s="90">
        <v>541</v>
      </c>
      <c r="C1349" s="91">
        <v>0.48639674739721972</v>
      </c>
      <c r="D1349" s="92">
        <v>76</v>
      </c>
      <c r="E1349" s="93">
        <v>0.4460431654676259</v>
      </c>
      <c r="G1349" s="5"/>
      <c r="H1349" s="5"/>
      <c r="L1349" s="7"/>
      <c r="M1349" s="7"/>
      <c r="O1349" s="6"/>
      <c r="P1349" s="6"/>
      <c r="T1349" s="5"/>
      <c r="U1349" s="5"/>
    </row>
    <row r="1350" spans="2:21" x14ac:dyDescent="0.25">
      <c r="B1350" s="90">
        <v>242</v>
      </c>
      <c r="C1350" s="91">
        <v>0.49529405901118428</v>
      </c>
      <c r="D1350" s="92">
        <v>76</v>
      </c>
      <c r="E1350" s="93">
        <v>0.38848920863309355</v>
      </c>
      <c r="G1350" s="5"/>
      <c r="H1350" s="5"/>
      <c r="L1350" s="7"/>
      <c r="M1350" s="7"/>
      <c r="O1350" s="6"/>
      <c r="P1350" s="6"/>
      <c r="T1350" s="5"/>
      <c r="U1350" s="5"/>
    </row>
    <row r="1351" spans="2:21" x14ac:dyDescent="0.25">
      <c r="B1351" s="90">
        <v>425</v>
      </c>
      <c r="C1351" s="91">
        <v>0.49693435671039965</v>
      </c>
      <c r="D1351" s="92">
        <v>76</v>
      </c>
      <c r="E1351" s="93">
        <v>0.38129496402877699</v>
      </c>
      <c r="G1351" s="5"/>
      <c r="H1351" s="5"/>
      <c r="L1351" s="7"/>
      <c r="M1351" s="7"/>
      <c r="O1351" s="6"/>
      <c r="P1351" s="6"/>
      <c r="T1351" s="5"/>
      <c r="U1351" s="5"/>
    </row>
    <row r="1352" spans="2:21" x14ac:dyDescent="0.25">
      <c r="B1352" s="90">
        <v>426</v>
      </c>
      <c r="C1352" s="91">
        <v>0.49735368320314399</v>
      </c>
      <c r="D1352" s="92">
        <v>76</v>
      </c>
      <c r="E1352" s="93">
        <v>0.38129496402877699</v>
      </c>
      <c r="G1352" s="5"/>
      <c r="H1352" s="5"/>
      <c r="L1352" s="7"/>
      <c r="M1352" s="7"/>
      <c r="O1352" s="6"/>
      <c r="P1352" s="6"/>
      <c r="T1352" s="5"/>
      <c r="U1352" s="5"/>
    </row>
    <row r="1353" spans="2:21" x14ac:dyDescent="0.25">
      <c r="B1353" s="90">
        <v>656</v>
      </c>
      <c r="C1353" s="91">
        <v>0.53233826551513741</v>
      </c>
      <c r="D1353" s="92">
        <v>76</v>
      </c>
      <c r="E1353" s="93">
        <v>0.35251798561151076</v>
      </c>
      <c r="G1353" s="5"/>
      <c r="H1353" s="5"/>
      <c r="L1353" s="7"/>
      <c r="M1353" s="7"/>
      <c r="O1353" s="6"/>
      <c r="P1353" s="6"/>
      <c r="T1353" s="5"/>
      <c r="U1353" s="5"/>
    </row>
    <row r="1354" spans="2:21" x14ac:dyDescent="0.25">
      <c r="B1354" s="90">
        <v>605</v>
      </c>
      <c r="C1354" s="91">
        <v>0.54066411547827375</v>
      </c>
      <c r="D1354" s="92">
        <v>76</v>
      </c>
      <c r="E1354" s="93">
        <v>0.30935251798561153</v>
      </c>
      <c r="G1354" s="5"/>
      <c r="H1354" s="5"/>
      <c r="L1354" s="7"/>
      <c r="M1354" s="7"/>
      <c r="O1354" s="6"/>
      <c r="P1354" s="6"/>
      <c r="T1354" s="5"/>
      <c r="U1354" s="5"/>
    </row>
    <row r="1355" spans="2:21" x14ac:dyDescent="0.25">
      <c r="B1355" s="90">
        <v>57</v>
      </c>
      <c r="C1355" s="91">
        <v>0.54787647072450762</v>
      </c>
      <c r="D1355" s="92">
        <v>76</v>
      </c>
      <c r="E1355" s="93">
        <v>0.33093525179856115</v>
      </c>
      <c r="G1355" s="5"/>
      <c r="H1355" s="5"/>
      <c r="L1355" s="7"/>
      <c r="M1355" s="7"/>
      <c r="O1355" s="6"/>
      <c r="P1355" s="6"/>
      <c r="T1355" s="5"/>
      <c r="U1355" s="5"/>
    </row>
    <row r="1356" spans="2:21" x14ac:dyDescent="0.25">
      <c r="B1356" s="90">
        <v>550</v>
      </c>
      <c r="C1356" s="91">
        <v>0.54787647072450762</v>
      </c>
      <c r="D1356" s="92">
        <v>76</v>
      </c>
      <c r="E1356" s="93">
        <v>0.33093525179856115</v>
      </c>
      <c r="G1356" s="5"/>
      <c r="H1356" s="5"/>
      <c r="L1356" s="7"/>
      <c r="M1356" s="7"/>
      <c r="O1356" s="6"/>
      <c r="P1356" s="6"/>
      <c r="T1356" s="5"/>
      <c r="U1356" s="5"/>
    </row>
    <row r="1357" spans="2:21" x14ac:dyDescent="0.25">
      <c r="B1357" s="90">
        <v>58</v>
      </c>
      <c r="C1357" s="91">
        <v>0.55933971753155665</v>
      </c>
      <c r="D1357" s="92">
        <v>76</v>
      </c>
      <c r="E1357" s="93">
        <v>0.30935251798561153</v>
      </c>
      <c r="G1357" s="5"/>
      <c r="H1357" s="5"/>
      <c r="L1357" s="7"/>
      <c r="M1357" s="7"/>
      <c r="O1357" s="6"/>
      <c r="P1357" s="6"/>
      <c r="T1357" s="5"/>
      <c r="U1357" s="5"/>
    </row>
    <row r="1358" spans="2:21" x14ac:dyDescent="0.25">
      <c r="B1358" s="90">
        <v>493</v>
      </c>
      <c r="C1358" s="91">
        <v>0.55933971753155665</v>
      </c>
      <c r="D1358" s="92">
        <v>76</v>
      </c>
      <c r="E1358" s="93">
        <v>0.30935251798561153</v>
      </c>
      <c r="G1358" s="5"/>
      <c r="H1358" s="5"/>
      <c r="L1358" s="7"/>
      <c r="M1358" s="7"/>
      <c r="O1358" s="6"/>
      <c r="P1358" s="6"/>
      <c r="T1358" s="5"/>
      <c r="U1358" s="5"/>
    </row>
    <row r="1359" spans="2:21" x14ac:dyDescent="0.25">
      <c r="B1359" s="90">
        <v>59</v>
      </c>
      <c r="C1359" s="91">
        <v>0.5731175633535508</v>
      </c>
      <c r="D1359" s="92">
        <v>76</v>
      </c>
      <c r="E1359" s="93">
        <v>0.30215827338129497</v>
      </c>
      <c r="G1359" s="5"/>
      <c r="H1359" s="5"/>
      <c r="L1359" s="7"/>
      <c r="M1359" s="7"/>
      <c r="O1359" s="6"/>
      <c r="P1359" s="6"/>
      <c r="T1359" s="5"/>
      <c r="U1359" s="5"/>
    </row>
    <row r="1360" spans="2:21" x14ac:dyDescent="0.25">
      <c r="B1360" s="90">
        <v>435</v>
      </c>
      <c r="C1360" s="91">
        <v>0.5731175633535508</v>
      </c>
      <c r="D1360" s="92">
        <v>76</v>
      </c>
      <c r="E1360" s="93">
        <v>0.30215827338129497</v>
      </c>
      <c r="G1360" s="5"/>
      <c r="H1360" s="5"/>
      <c r="L1360" s="7"/>
      <c r="M1360" s="7"/>
      <c r="O1360" s="6"/>
      <c r="P1360" s="6"/>
      <c r="T1360" s="5"/>
      <c r="U1360" s="5"/>
    </row>
    <row r="1361" spans="2:21" x14ac:dyDescent="0.25">
      <c r="B1361" s="90">
        <v>60</v>
      </c>
      <c r="C1361" s="91">
        <v>0.57559637891186166</v>
      </c>
      <c r="D1361" s="92">
        <v>76</v>
      </c>
      <c r="E1361" s="93">
        <v>0.30215827338129497</v>
      </c>
      <c r="G1361" s="5"/>
      <c r="H1361" s="5"/>
      <c r="L1361" s="7"/>
      <c r="M1361" s="7"/>
      <c r="O1361" s="6"/>
      <c r="P1361" s="6"/>
      <c r="T1361" s="5"/>
      <c r="U1361" s="5"/>
    </row>
    <row r="1362" spans="2:21" x14ac:dyDescent="0.25">
      <c r="B1362" s="90">
        <v>376</v>
      </c>
      <c r="C1362" s="91">
        <v>0.57559637891186166</v>
      </c>
      <c r="D1362" s="92">
        <v>76</v>
      </c>
      <c r="E1362" s="93">
        <v>0.30215827338129497</v>
      </c>
      <c r="G1362" s="5"/>
      <c r="H1362" s="5"/>
      <c r="L1362" s="7"/>
      <c r="M1362" s="7"/>
      <c r="O1362" s="6"/>
      <c r="P1362" s="6"/>
      <c r="T1362" s="5"/>
      <c r="U1362" s="5"/>
    </row>
    <row r="1363" spans="2:21" x14ac:dyDescent="0.25">
      <c r="B1363" s="90">
        <v>314</v>
      </c>
      <c r="C1363" s="91">
        <v>0.64482856333214333</v>
      </c>
      <c r="D1363" s="92">
        <v>76</v>
      </c>
      <c r="E1363" s="93">
        <v>0.23021582733812951</v>
      </c>
      <c r="G1363" s="5"/>
      <c r="H1363" s="5"/>
      <c r="L1363" s="7"/>
      <c r="M1363" s="7"/>
      <c r="O1363" s="6"/>
      <c r="P1363" s="6"/>
      <c r="T1363" s="5"/>
      <c r="U1363" s="5"/>
    </row>
    <row r="1364" spans="2:21" x14ac:dyDescent="0.25">
      <c r="B1364" s="90">
        <v>192</v>
      </c>
      <c r="C1364" s="91">
        <v>0.66692080274311505</v>
      </c>
      <c r="D1364" s="92">
        <v>76</v>
      </c>
      <c r="E1364" s="93">
        <v>0.23741007194244604</v>
      </c>
      <c r="G1364" s="5"/>
      <c r="H1364" s="5"/>
      <c r="L1364" s="7"/>
      <c r="M1364" s="7"/>
      <c r="O1364" s="6"/>
      <c r="P1364" s="6"/>
      <c r="T1364" s="5"/>
      <c r="U1364" s="5"/>
    </row>
    <row r="1365" spans="2:21" x14ac:dyDescent="0.25">
      <c r="B1365" s="90">
        <v>128</v>
      </c>
      <c r="C1365" s="91">
        <v>0.66787501290748097</v>
      </c>
      <c r="D1365" s="92">
        <v>76</v>
      </c>
      <c r="E1365" s="93">
        <v>0.22302158273381295</v>
      </c>
      <c r="G1365" s="5"/>
      <c r="H1365" s="5"/>
      <c r="L1365" s="7"/>
      <c r="M1365" s="7"/>
      <c r="O1365" s="6"/>
      <c r="P1365" s="6"/>
      <c r="T1365" s="5"/>
      <c r="U1365" s="5"/>
    </row>
    <row r="1366" spans="2:21" x14ac:dyDescent="0.25">
      <c r="B1366" s="90">
        <v>64</v>
      </c>
      <c r="C1366" s="91">
        <v>0.72065217417743266</v>
      </c>
      <c r="D1366" s="92">
        <v>76</v>
      </c>
      <c r="E1366" s="93">
        <v>0.10071942446043165</v>
      </c>
      <c r="G1366" s="5"/>
      <c r="H1366" s="5"/>
      <c r="L1366" s="7"/>
      <c r="M1366" s="7"/>
      <c r="O1366" s="6"/>
      <c r="P1366" s="6"/>
      <c r="T1366" s="5"/>
      <c r="U1366" s="5"/>
    </row>
    <row r="1367" spans="2:21" x14ac:dyDescent="0.25">
      <c r="B1367" s="90">
        <v>129</v>
      </c>
      <c r="C1367" s="91">
        <v>0.72065217417743266</v>
      </c>
      <c r="D1367" s="92">
        <v>76</v>
      </c>
      <c r="E1367" s="93">
        <v>0.10071942446043165</v>
      </c>
      <c r="G1367" s="5"/>
      <c r="H1367" s="5"/>
      <c r="L1367" s="7"/>
      <c r="M1367" s="7"/>
      <c r="O1367" s="6"/>
      <c r="P1367" s="6"/>
      <c r="T1367" s="5"/>
      <c r="U1367" s="5"/>
    </row>
    <row r="1368" spans="2:21" x14ac:dyDescent="0.25">
      <c r="B1368" s="90">
        <v>130</v>
      </c>
      <c r="C1368" s="91">
        <v>0.72065217417743266</v>
      </c>
      <c r="D1368" s="92">
        <v>76</v>
      </c>
      <c r="E1368" s="93">
        <v>0.10071942446043165</v>
      </c>
      <c r="G1368" s="5"/>
      <c r="H1368" s="5"/>
      <c r="L1368" s="7"/>
      <c r="M1368" s="7"/>
      <c r="O1368" s="6"/>
      <c r="P1368" s="6"/>
      <c r="T1368" s="5"/>
      <c r="U1368" s="5"/>
    </row>
    <row r="1369" spans="2:21" x14ac:dyDescent="0.25">
      <c r="B1369" s="90">
        <v>65</v>
      </c>
      <c r="C1369" s="91">
        <v>0.73813939526943351</v>
      </c>
      <c r="D1369" s="92">
        <v>76</v>
      </c>
      <c r="E1369" s="93">
        <v>0.14388489208633093</v>
      </c>
      <c r="G1369" s="5"/>
      <c r="H1369" s="5"/>
      <c r="L1369" s="7"/>
      <c r="M1369" s="7"/>
      <c r="O1369" s="6"/>
      <c r="P1369" s="6"/>
      <c r="T1369" s="5"/>
      <c r="U1369" s="5"/>
    </row>
    <row r="1370" spans="2:21" x14ac:dyDescent="0.25">
      <c r="B1370" s="90">
        <v>66</v>
      </c>
      <c r="C1370" s="91">
        <v>0.73813939526943351</v>
      </c>
      <c r="D1370" s="92">
        <v>76</v>
      </c>
      <c r="E1370" s="93">
        <v>0.14388489208633093</v>
      </c>
      <c r="G1370" s="5"/>
      <c r="H1370" s="5"/>
      <c r="L1370" s="7"/>
      <c r="M1370" s="7"/>
      <c r="O1370" s="6"/>
      <c r="P1370" s="6"/>
      <c r="T1370" s="5"/>
      <c r="U1370" s="5"/>
    </row>
    <row r="1371" spans="2:21" x14ac:dyDescent="0.25">
      <c r="B1371" s="90">
        <v>631</v>
      </c>
      <c r="C1371" s="91">
        <v>8.0726528574761369E-2</v>
      </c>
      <c r="D1371" s="92">
        <v>77</v>
      </c>
      <c r="E1371" s="93">
        <v>0.57553956834532372</v>
      </c>
      <c r="G1371" s="5"/>
      <c r="H1371" s="5"/>
      <c r="L1371" s="7"/>
      <c r="M1371" s="7"/>
      <c r="O1371" s="6"/>
      <c r="P1371" s="6"/>
      <c r="T1371" s="5"/>
      <c r="U1371" s="5"/>
    </row>
    <row r="1372" spans="2:21" x14ac:dyDescent="0.25">
      <c r="B1372" s="90">
        <v>1043</v>
      </c>
      <c r="C1372" s="91">
        <v>0.12610442888056883</v>
      </c>
      <c r="D1372" s="92">
        <v>77</v>
      </c>
      <c r="E1372" s="93">
        <v>0.64748201438848918</v>
      </c>
      <c r="G1372" s="5"/>
      <c r="H1372" s="5"/>
      <c r="L1372" s="7"/>
      <c r="M1372" s="7"/>
      <c r="O1372" s="6"/>
      <c r="P1372" s="6"/>
      <c r="T1372" s="5"/>
      <c r="U1372" s="5"/>
    </row>
    <row r="1373" spans="2:21" x14ac:dyDescent="0.25">
      <c r="B1373" s="90">
        <v>1292</v>
      </c>
      <c r="C1373" s="91">
        <v>0.12655648735656566</v>
      </c>
      <c r="D1373" s="92">
        <v>77</v>
      </c>
      <c r="E1373" s="93">
        <v>0.47482014388489208</v>
      </c>
      <c r="G1373" s="5"/>
      <c r="H1373" s="5"/>
      <c r="L1373" s="7"/>
      <c r="M1373" s="7"/>
      <c r="O1373" s="6"/>
      <c r="P1373" s="6"/>
      <c r="T1373" s="5"/>
      <c r="U1373" s="5"/>
    </row>
    <row r="1374" spans="2:21" x14ac:dyDescent="0.25">
      <c r="B1374" s="90">
        <v>1435</v>
      </c>
      <c r="C1374" s="91">
        <v>0.13510021843914422</v>
      </c>
      <c r="D1374" s="92">
        <v>77</v>
      </c>
      <c r="E1374" s="93">
        <v>0.53237410071942448</v>
      </c>
      <c r="G1374" s="5"/>
      <c r="H1374" s="5"/>
      <c r="L1374" s="7"/>
      <c r="M1374" s="7"/>
      <c r="O1374" s="6"/>
      <c r="P1374" s="6"/>
      <c r="T1374" s="5"/>
      <c r="U1374" s="5"/>
    </row>
    <row r="1375" spans="2:21" x14ac:dyDescent="0.25">
      <c r="B1375" s="90">
        <v>635</v>
      </c>
      <c r="C1375" s="91">
        <v>0.13910808647163786</v>
      </c>
      <c r="D1375" s="92">
        <v>77</v>
      </c>
      <c r="E1375" s="93">
        <v>0.58273381294964033</v>
      </c>
      <c r="G1375" s="5"/>
      <c r="H1375" s="5"/>
      <c r="L1375" s="7"/>
      <c r="M1375" s="7"/>
      <c r="O1375" s="6"/>
      <c r="P1375" s="6"/>
      <c r="T1375" s="5"/>
      <c r="U1375" s="5"/>
    </row>
    <row r="1376" spans="2:21" x14ac:dyDescent="0.25">
      <c r="B1376" s="90">
        <v>690</v>
      </c>
      <c r="C1376" s="91">
        <v>0.14088736091621312</v>
      </c>
      <c r="D1376" s="92">
        <v>77</v>
      </c>
      <c r="E1376" s="93">
        <v>0.58273381294964033</v>
      </c>
      <c r="G1376" s="5"/>
      <c r="H1376" s="5"/>
      <c r="L1376" s="7"/>
      <c r="M1376" s="7"/>
      <c r="O1376" s="6"/>
      <c r="P1376" s="6"/>
      <c r="T1376" s="5"/>
      <c r="U1376" s="5"/>
    </row>
    <row r="1377" spans="2:21" x14ac:dyDescent="0.25">
      <c r="B1377" s="90">
        <v>1397</v>
      </c>
      <c r="C1377" s="91">
        <v>0.18998341270791119</v>
      </c>
      <c r="D1377" s="92">
        <v>77</v>
      </c>
      <c r="E1377" s="93">
        <v>0.5467625899280576</v>
      </c>
      <c r="G1377" s="5"/>
      <c r="H1377" s="5"/>
      <c r="L1377" s="7"/>
      <c r="M1377" s="7"/>
      <c r="O1377" s="6"/>
      <c r="P1377" s="6"/>
      <c r="T1377" s="5"/>
      <c r="U1377" s="5"/>
    </row>
    <row r="1378" spans="2:21" x14ac:dyDescent="0.25">
      <c r="B1378" s="90">
        <v>1478</v>
      </c>
      <c r="C1378" s="91">
        <v>0.19303842498068735</v>
      </c>
      <c r="D1378" s="92">
        <v>77</v>
      </c>
      <c r="E1378" s="93">
        <v>0.5539568345323741</v>
      </c>
      <c r="G1378" s="5"/>
      <c r="H1378" s="5"/>
      <c r="L1378" s="7"/>
      <c r="M1378" s="7"/>
      <c r="O1378" s="6"/>
      <c r="P1378" s="6"/>
      <c r="T1378" s="5"/>
      <c r="U1378" s="5"/>
    </row>
    <row r="1379" spans="2:21" x14ac:dyDescent="0.25">
      <c r="B1379" s="90">
        <v>634</v>
      </c>
      <c r="C1379" s="91">
        <v>0.20424525730718224</v>
      </c>
      <c r="D1379" s="92">
        <v>77</v>
      </c>
      <c r="E1379" s="93">
        <v>0.60431654676258995</v>
      </c>
      <c r="G1379" s="5"/>
      <c r="H1379" s="5"/>
      <c r="L1379" s="7"/>
      <c r="M1379" s="7"/>
      <c r="O1379" s="6"/>
      <c r="P1379" s="6"/>
      <c r="T1379" s="5"/>
      <c r="U1379" s="5"/>
    </row>
    <row r="1380" spans="2:21" x14ac:dyDescent="0.25">
      <c r="B1380" s="90">
        <v>1396</v>
      </c>
      <c r="C1380" s="91">
        <v>0.22198603531642347</v>
      </c>
      <c r="D1380" s="92">
        <v>77</v>
      </c>
      <c r="E1380" s="93">
        <v>0.43884892086330934</v>
      </c>
      <c r="G1380" s="5"/>
      <c r="H1380" s="5"/>
      <c r="L1380" s="7"/>
      <c r="M1380" s="7"/>
      <c r="O1380" s="6"/>
      <c r="P1380" s="6"/>
      <c r="T1380" s="5"/>
      <c r="U1380" s="5"/>
    </row>
    <row r="1381" spans="2:21" x14ac:dyDescent="0.25">
      <c r="B1381" s="90">
        <v>1399</v>
      </c>
      <c r="C1381" s="91">
        <v>0.23301152715971929</v>
      </c>
      <c r="D1381" s="92">
        <v>77</v>
      </c>
      <c r="E1381" s="93">
        <v>0.4460431654676259</v>
      </c>
      <c r="G1381" s="5"/>
      <c r="H1381" s="5"/>
      <c r="L1381" s="7"/>
      <c r="M1381" s="7"/>
      <c r="O1381" s="6"/>
      <c r="P1381" s="6"/>
      <c r="T1381" s="5"/>
      <c r="U1381" s="5"/>
    </row>
    <row r="1382" spans="2:21" x14ac:dyDescent="0.25">
      <c r="B1382" s="90">
        <v>1057</v>
      </c>
      <c r="C1382" s="91">
        <v>0.25743604205736126</v>
      </c>
      <c r="D1382" s="92">
        <v>77</v>
      </c>
      <c r="E1382" s="93">
        <v>0.5539568345323741</v>
      </c>
      <c r="G1382" s="5"/>
      <c r="H1382" s="5"/>
      <c r="L1382" s="7"/>
      <c r="M1382" s="7"/>
      <c r="O1382" s="6"/>
      <c r="P1382" s="6"/>
      <c r="T1382" s="5"/>
      <c r="U1382" s="5"/>
    </row>
    <row r="1383" spans="2:21" x14ac:dyDescent="0.25">
      <c r="B1383" s="90">
        <v>1047</v>
      </c>
      <c r="C1383" s="91">
        <v>0.26308434250679102</v>
      </c>
      <c r="D1383" s="92">
        <v>77</v>
      </c>
      <c r="E1383" s="93">
        <v>0.46043165467625902</v>
      </c>
      <c r="G1383" s="5"/>
      <c r="H1383" s="5"/>
      <c r="L1383" s="7"/>
      <c r="M1383" s="7"/>
      <c r="O1383" s="6"/>
      <c r="P1383" s="6"/>
      <c r="T1383" s="5"/>
      <c r="U1383" s="5"/>
    </row>
    <row r="1384" spans="2:21" x14ac:dyDescent="0.25">
      <c r="B1384" s="90">
        <v>1400</v>
      </c>
      <c r="C1384" s="91">
        <v>0.26387082771790493</v>
      </c>
      <c r="D1384" s="92">
        <v>77</v>
      </c>
      <c r="E1384" s="93">
        <v>0.4460431654676259</v>
      </c>
      <c r="G1384" s="5"/>
      <c r="H1384" s="5"/>
      <c r="L1384" s="7"/>
      <c r="M1384" s="7"/>
      <c r="O1384" s="6"/>
      <c r="P1384" s="6"/>
      <c r="T1384" s="5"/>
      <c r="U1384" s="5"/>
    </row>
    <row r="1385" spans="2:21" x14ac:dyDescent="0.25">
      <c r="B1385" s="90">
        <v>1058</v>
      </c>
      <c r="C1385" s="91">
        <v>0.2748716626029849</v>
      </c>
      <c r="D1385" s="92">
        <v>77</v>
      </c>
      <c r="E1385" s="93">
        <v>0.53956834532374098</v>
      </c>
      <c r="G1385" s="5"/>
      <c r="H1385" s="5"/>
      <c r="L1385" s="7"/>
      <c r="M1385" s="7"/>
      <c r="O1385" s="6"/>
      <c r="P1385" s="6"/>
      <c r="T1385" s="5"/>
      <c r="U1385" s="5"/>
    </row>
    <row r="1386" spans="2:21" x14ac:dyDescent="0.25">
      <c r="B1386" s="90">
        <v>1098</v>
      </c>
      <c r="C1386" s="91">
        <v>0.275758290961996</v>
      </c>
      <c r="D1386" s="92">
        <v>77</v>
      </c>
      <c r="E1386" s="93">
        <v>0.35971223021582732</v>
      </c>
      <c r="G1386" s="5"/>
      <c r="H1386" s="5"/>
      <c r="L1386" s="7"/>
      <c r="M1386" s="7"/>
      <c r="O1386" s="6"/>
      <c r="P1386" s="6"/>
      <c r="T1386" s="5"/>
      <c r="U1386" s="5"/>
    </row>
    <row r="1387" spans="2:21" x14ac:dyDescent="0.25">
      <c r="B1387" s="90">
        <v>1144</v>
      </c>
      <c r="C1387" s="91">
        <v>0.2763608085394561</v>
      </c>
      <c r="D1387" s="92">
        <v>77</v>
      </c>
      <c r="E1387" s="93">
        <v>0.35971223021582732</v>
      </c>
      <c r="G1387" s="5"/>
      <c r="H1387" s="5"/>
      <c r="L1387" s="7"/>
      <c r="M1387" s="7"/>
      <c r="O1387" s="6"/>
      <c r="P1387" s="6"/>
      <c r="T1387" s="5"/>
      <c r="U1387" s="5"/>
    </row>
    <row r="1388" spans="2:21" x14ac:dyDescent="0.25">
      <c r="B1388" s="90">
        <v>355</v>
      </c>
      <c r="C1388" s="91">
        <v>0.28902118825161138</v>
      </c>
      <c r="D1388" s="92">
        <v>77</v>
      </c>
      <c r="E1388" s="93">
        <v>0.52517985611510787</v>
      </c>
      <c r="G1388" s="5"/>
      <c r="H1388" s="5"/>
      <c r="L1388" s="7"/>
      <c r="M1388" s="7"/>
      <c r="O1388" s="6"/>
      <c r="P1388" s="6"/>
      <c r="T1388" s="5"/>
      <c r="U1388" s="5"/>
    </row>
    <row r="1389" spans="2:21" x14ac:dyDescent="0.25">
      <c r="B1389" s="90">
        <v>354</v>
      </c>
      <c r="C1389" s="91">
        <v>0.29214988185758384</v>
      </c>
      <c r="D1389" s="92">
        <v>77</v>
      </c>
      <c r="E1389" s="93">
        <v>0.4460431654676259</v>
      </c>
      <c r="G1389" s="5"/>
      <c r="H1389" s="5"/>
      <c r="L1389" s="7"/>
      <c r="M1389" s="7"/>
      <c r="O1389" s="6"/>
      <c r="P1389" s="6"/>
      <c r="T1389" s="5"/>
      <c r="U1389" s="5"/>
    </row>
    <row r="1390" spans="2:21" x14ac:dyDescent="0.25">
      <c r="B1390" s="90">
        <v>1357</v>
      </c>
      <c r="C1390" s="91">
        <v>0.29272557450814718</v>
      </c>
      <c r="D1390" s="92">
        <v>77</v>
      </c>
      <c r="E1390" s="93">
        <v>0.35251798561151076</v>
      </c>
      <c r="G1390" s="5"/>
      <c r="H1390" s="5"/>
      <c r="L1390" s="7"/>
      <c r="M1390" s="7"/>
      <c r="O1390" s="6"/>
      <c r="P1390" s="6"/>
      <c r="T1390" s="5"/>
      <c r="U1390" s="5"/>
    </row>
    <row r="1391" spans="2:21" x14ac:dyDescent="0.25">
      <c r="B1391" s="90">
        <v>1056</v>
      </c>
      <c r="C1391" s="91">
        <v>0.29516837089579384</v>
      </c>
      <c r="D1391" s="92">
        <v>77</v>
      </c>
      <c r="E1391" s="93">
        <v>0.4460431654676259</v>
      </c>
      <c r="G1391" s="5"/>
      <c r="H1391" s="5"/>
      <c r="L1391" s="7"/>
      <c r="M1391" s="7"/>
      <c r="O1391" s="6"/>
      <c r="P1391" s="6"/>
      <c r="T1391" s="5"/>
      <c r="U1391" s="5"/>
    </row>
    <row r="1392" spans="2:21" x14ac:dyDescent="0.25">
      <c r="B1392" s="90">
        <v>1099</v>
      </c>
      <c r="C1392" s="91">
        <v>0.2957176606595342</v>
      </c>
      <c r="D1392" s="92">
        <v>77</v>
      </c>
      <c r="E1392" s="93">
        <v>0.35251798561151076</v>
      </c>
      <c r="G1392" s="5"/>
      <c r="H1392" s="5"/>
      <c r="L1392" s="7"/>
      <c r="M1392" s="7"/>
      <c r="O1392" s="6"/>
      <c r="P1392" s="6"/>
      <c r="T1392" s="5"/>
      <c r="U1392" s="5"/>
    </row>
    <row r="1393" spans="2:21" x14ac:dyDescent="0.25">
      <c r="B1393" s="90">
        <v>1145</v>
      </c>
      <c r="C1393" s="91">
        <v>0.29718015445796098</v>
      </c>
      <c r="D1393" s="92">
        <v>77</v>
      </c>
      <c r="E1393" s="93">
        <v>0.35251798561151076</v>
      </c>
      <c r="G1393" s="5"/>
      <c r="H1393" s="5"/>
      <c r="L1393" s="7"/>
      <c r="M1393" s="7"/>
      <c r="O1393" s="6"/>
      <c r="P1393" s="6"/>
      <c r="T1393" s="5"/>
      <c r="U1393" s="5"/>
    </row>
    <row r="1394" spans="2:21" x14ac:dyDescent="0.25">
      <c r="B1394" s="90">
        <v>294</v>
      </c>
      <c r="C1394" s="91">
        <v>0.2972025204796267</v>
      </c>
      <c r="D1394" s="92">
        <v>77</v>
      </c>
      <c r="E1394" s="93">
        <v>0.4460431654676259</v>
      </c>
      <c r="G1394" s="5"/>
      <c r="H1394" s="5"/>
      <c r="L1394" s="7"/>
      <c r="M1394" s="7"/>
      <c r="O1394" s="6"/>
      <c r="P1394" s="6"/>
      <c r="T1394" s="5"/>
      <c r="U1394" s="5"/>
    </row>
    <row r="1395" spans="2:21" x14ac:dyDescent="0.25">
      <c r="B1395" s="90">
        <v>293</v>
      </c>
      <c r="C1395" s="91">
        <v>0.29984108118218622</v>
      </c>
      <c r="D1395" s="92">
        <v>77</v>
      </c>
      <c r="E1395" s="93">
        <v>0.4460431654676259</v>
      </c>
      <c r="G1395" s="5"/>
      <c r="H1395" s="5"/>
      <c r="L1395" s="7"/>
      <c r="M1395" s="7"/>
      <c r="O1395" s="6"/>
      <c r="P1395" s="6"/>
      <c r="T1395" s="5"/>
      <c r="U1395" s="5"/>
    </row>
    <row r="1396" spans="2:21" x14ac:dyDescent="0.25">
      <c r="B1396" s="90">
        <v>353</v>
      </c>
      <c r="C1396" s="91">
        <v>0.30078124283286201</v>
      </c>
      <c r="D1396" s="92">
        <v>77</v>
      </c>
      <c r="E1396" s="93">
        <v>0.36690647482014388</v>
      </c>
      <c r="G1396" s="5"/>
      <c r="H1396" s="5"/>
      <c r="L1396" s="7"/>
      <c r="M1396" s="7"/>
      <c r="O1396" s="6"/>
      <c r="P1396" s="6"/>
      <c r="T1396" s="5"/>
      <c r="U1396" s="5"/>
    </row>
    <row r="1397" spans="2:21" x14ac:dyDescent="0.25">
      <c r="B1397" s="90">
        <v>851</v>
      </c>
      <c r="C1397" s="91">
        <v>0.30114434570797632</v>
      </c>
      <c r="D1397" s="92">
        <v>77</v>
      </c>
      <c r="E1397" s="93">
        <v>0.34532374100719426</v>
      </c>
      <c r="G1397" s="5"/>
      <c r="H1397" s="5"/>
      <c r="L1397" s="7"/>
      <c r="M1397" s="7"/>
      <c r="O1397" s="6"/>
      <c r="P1397" s="6"/>
      <c r="T1397" s="5"/>
      <c r="U1397" s="5"/>
    </row>
    <row r="1398" spans="2:21" x14ac:dyDescent="0.25">
      <c r="B1398" s="90">
        <v>903</v>
      </c>
      <c r="C1398" s="91">
        <v>0.30429211860140015</v>
      </c>
      <c r="D1398" s="92">
        <v>77</v>
      </c>
      <c r="E1398" s="93">
        <v>0.34532374100719426</v>
      </c>
      <c r="G1398" s="5"/>
      <c r="H1398" s="5"/>
      <c r="L1398" s="7"/>
      <c r="M1398" s="7"/>
      <c r="O1398" s="6"/>
      <c r="P1398" s="6"/>
      <c r="T1398" s="5"/>
      <c r="U1398" s="5"/>
    </row>
    <row r="1399" spans="2:21" x14ac:dyDescent="0.25">
      <c r="B1399" s="90">
        <v>1055</v>
      </c>
      <c r="C1399" s="91">
        <v>0.3074704646324592</v>
      </c>
      <c r="D1399" s="92">
        <v>77</v>
      </c>
      <c r="E1399" s="93">
        <v>0.36690647482014388</v>
      </c>
      <c r="G1399" s="5"/>
      <c r="H1399" s="5"/>
      <c r="L1399" s="7"/>
      <c r="M1399" s="7"/>
      <c r="O1399" s="6"/>
      <c r="P1399" s="6"/>
      <c r="T1399" s="5"/>
      <c r="U1399" s="5"/>
    </row>
    <row r="1400" spans="2:21" x14ac:dyDescent="0.25">
      <c r="B1400" s="90">
        <v>746</v>
      </c>
      <c r="C1400" s="91">
        <v>0.30856138545683076</v>
      </c>
      <c r="D1400" s="92">
        <v>77</v>
      </c>
      <c r="E1400" s="93">
        <v>0.34532374100719426</v>
      </c>
      <c r="G1400" s="5"/>
      <c r="H1400" s="5"/>
      <c r="L1400" s="7"/>
      <c r="M1400" s="7"/>
      <c r="O1400" s="6"/>
      <c r="P1400" s="6"/>
      <c r="T1400" s="5"/>
      <c r="U1400" s="5"/>
    </row>
    <row r="1401" spans="2:21" x14ac:dyDescent="0.25">
      <c r="B1401" s="90">
        <v>799</v>
      </c>
      <c r="C1401" s="91">
        <v>0.3087523549803588</v>
      </c>
      <c r="D1401" s="92">
        <v>77</v>
      </c>
      <c r="E1401" s="93">
        <v>0.34532374100719426</v>
      </c>
      <c r="G1401" s="5"/>
      <c r="H1401" s="5"/>
      <c r="L1401" s="7"/>
      <c r="M1401" s="7"/>
      <c r="O1401" s="6"/>
      <c r="P1401" s="6"/>
      <c r="T1401" s="5"/>
      <c r="U1401" s="5"/>
    </row>
    <row r="1402" spans="2:21" x14ac:dyDescent="0.25">
      <c r="B1402" s="90">
        <v>292</v>
      </c>
      <c r="C1402" s="91">
        <v>0.30935450451624169</v>
      </c>
      <c r="D1402" s="92">
        <v>77</v>
      </c>
      <c r="E1402" s="93">
        <v>0.36690647482014388</v>
      </c>
      <c r="G1402" s="5"/>
      <c r="H1402" s="5"/>
      <c r="L1402" s="7"/>
      <c r="M1402" s="7"/>
      <c r="O1402" s="6"/>
      <c r="P1402" s="6"/>
      <c r="T1402" s="5"/>
      <c r="U1402" s="5"/>
    </row>
    <row r="1403" spans="2:21" x14ac:dyDescent="0.25">
      <c r="B1403" s="90">
        <v>901</v>
      </c>
      <c r="C1403" s="91">
        <v>0.31006907433174025</v>
      </c>
      <c r="D1403" s="92">
        <v>77</v>
      </c>
      <c r="E1403" s="93">
        <v>0.34532374100719426</v>
      </c>
      <c r="G1403" s="5"/>
      <c r="H1403" s="5"/>
      <c r="L1403" s="7"/>
      <c r="M1403" s="7"/>
      <c r="O1403" s="6"/>
      <c r="P1403" s="6"/>
      <c r="T1403" s="5"/>
      <c r="U1403" s="5"/>
    </row>
    <row r="1404" spans="2:21" x14ac:dyDescent="0.25">
      <c r="B1404" s="90">
        <v>692</v>
      </c>
      <c r="C1404" s="91">
        <v>0.31019332233993613</v>
      </c>
      <c r="D1404" s="92">
        <v>77</v>
      </c>
      <c r="E1404" s="93">
        <v>0.34532374100719426</v>
      </c>
      <c r="G1404" s="5"/>
      <c r="H1404" s="5"/>
      <c r="L1404" s="7"/>
      <c r="M1404" s="7"/>
      <c r="O1404" s="6"/>
      <c r="P1404" s="6"/>
      <c r="T1404" s="5"/>
      <c r="U1404" s="5"/>
    </row>
    <row r="1405" spans="2:21" x14ac:dyDescent="0.25">
      <c r="B1405" s="90">
        <v>1358</v>
      </c>
      <c r="C1405" s="91">
        <v>0.31058825406056811</v>
      </c>
      <c r="D1405" s="92">
        <v>77</v>
      </c>
      <c r="E1405" s="93">
        <v>0.2733812949640288</v>
      </c>
      <c r="G1405" s="5"/>
      <c r="H1405" s="5"/>
      <c r="L1405" s="7"/>
      <c r="M1405" s="7"/>
      <c r="O1405" s="6"/>
      <c r="P1405" s="6"/>
      <c r="T1405" s="5"/>
      <c r="U1405" s="5"/>
    </row>
    <row r="1406" spans="2:21" x14ac:dyDescent="0.25">
      <c r="B1406" s="90">
        <v>852</v>
      </c>
      <c r="C1406" s="91">
        <v>0.31071719014815669</v>
      </c>
      <c r="D1406" s="92">
        <v>77</v>
      </c>
      <c r="E1406" s="93">
        <v>0.34532374100719426</v>
      </c>
      <c r="G1406" s="5"/>
      <c r="H1406" s="5"/>
      <c r="L1406" s="7"/>
      <c r="M1406" s="7"/>
      <c r="O1406" s="6"/>
      <c r="P1406" s="6"/>
      <c r="T1406" s="5"/>
      <c r="U1406" s="5"/>
    </row>
    <row r="1407" spans="2:21" x14ac:dyDescent="0.25">
      <c r="B1407" s="90">
        <v>910</v>
      </c>
      <c r="C1407" s="91">
        <v>0.3108709518199082</v>
      </c>
      <c r="D1407" s="92">
        <v>77</v>
      </c>
      <c r="E1407" s="93">
        <v>0.4460431654676259</v>
      </c>
      <c r="G1407" s="5"/>
      <c r="H1407" s="5"/>
      <c r="L1407" s="7"/>
      <c r="M1407" s="7"/>
      <c r="O1407" s="6"/>
      <c r="P1407" s="6"/>
      <c r="T1407" s="5"/>
      <c r="U1407" s="5"/>
    </row>
    <row r="1408" spans="2:21" x14ac:dyDescent="0.25">
      <c r="B1408" s="90">
        <v>356</v>
      </c>
      <c r="C1408" s="91">
        <v>0.31128468802534948</v>
      </c>
      <c r="D1408" s="92">
        <v>77</v>
      </c>
      <c r="E1408" s="93">
        <v>0.43165467625899279</v>
      </c>
      <c r="G1408" s="5"/>
      <c r="H1408" s="5"/>
      <c r="L1408" s="7"/>
      <c r="M1408" s="7"/>
      <c r="O1408" s="6"/>
      <c r="P1408" s="6"/>
      <c r="T1408" s="5"/>
      <c r="U1408" s="5"/>
    </row>
    <row r="1409" spans="2:21" x14ac:dyDescent="0.25">
      <c r="B1409" s="90">
        <v>287</v>
      </c>
      <c r="C1409" s="91">
        <v>0.31202693274349114</v>
      </c>
      <c r="D1409" s="92">
        <v>77</v>
      </c>
      <c r="E1409" s="93">
        <v>0.26618705035971224</v>
      </c>
      <c r="G1409" s="5"/>
      <c r="H1409" s="5"/>
      <c r="L1409" s="7"/>
      <c r="M1409" s="7"/>
      <c r="O1409" s="6"/>
      <c r="P1409" s="6"/>
      <c r="T1409" s="5"/>
      <c r="U1409" s="5"/>
    </row>
    <row r="1410" spans="2:21" x14ac:dyDescent="0.25">
      <c r="B1410" s="90">
        <v>953</v>
      </c>
      <c r="C1410" s="91">
        <v>0.31235107323883626</v>
      </c>
      <c r="D1410" s="92">
        <v>77</v>
      </c>
      <c r="E1410" s="93">
        <v>0.34532374100719426</v>
      </c>
      <c r="G1410" s="5"/>
      <c r="H1410" s="5"/>
      <c r="L1410" s="7"/>
      <c r="M1410" s="7"/>
      <c r="O1410" s="6"/>
      <c r="P1410" s="6"/>
      <c r="T1410" s="5"/>
      <c r="U1410" s="5"/>
    </row>
    <row r="1411" spans="2:21" x14ac:dyDescent="0.25">
      <c r="B1411" s="90">
        <v>357</v>
      </c>
      <c r="C1411" s="91">
        <v>0.31236535020604606</v>
      </c>
      <c r="D1411" s="92">
        <v>77</v>
      </c>
      <c r="E1411" s="93">
        <v>0.50359712230215825</v>
      </c>
      <c r="G1411" s="5"/>
      <c r="H1411" s="5"/>
      <c r="L1411" s="7"/>
      <c r="M1411" s="7"/>
      <c r="O1411" s="6"/>
      <c r="P1411" s="6"/>
      <c r="T1411" s="5"/>
      <c r="U1411" s="5"/>
    </row>
    <row r="1412" spans="2:21" x14ac:dyDescent="0.25">
      <c r="B1412" s="90">
        <v>166</v>
      </c>
      <c r="C1412" s="91">
        <v>0.31421922337043695</v>
      </c>
      <c r="D1412" s="92">
        <v>77</v>
      </c>
      <c r="E1412" s="93">
        <v>0.35971223021582732</v>
      </c>
      <c r="G1412" s="5"/>
      <c r="H1412" s="5"/>
      <c r="L1412" s="7"/>
      <c r="M1412" s="7"/>
      <c r="O1412" s="6"/>
      <c r="P1412" s="6"/>
      <c r="T1412" s="5"/>
      <c r="U1412" s="5"/>
    </row>
    <row r="1413" spans="2:21" x14ac:dyDescent="0.25">
      <c r="B1413" s="90">
        <v>637</v>
      </c>
      <c r="C1413" s="91">
        <v>0.31457886861654549</v>
      </c>
      <c r="D1413" s="92">
        <v>77</v>
      </c>
      <c r="E1413" s="93">
        <v>0.34532374100719426</v>
      </c>
      <c r="G1413" s="5"/>
      <c r="H1413" s="5"/>
      <c r="L1413" s="7"/>
      <c r="M1413" s="7"/>
      <c r="O1413" s="6"/>
      <c r="P1413" s="6"/>
      <c r="T1413" s="5"/>
      <c r="U1413" s="5"/>
    </row>
    <row r="1414" spans="2:21" x14ac:dyDescent="0.25">
      <c r="B1414" s="90">
        <v>1356</v>
      </c>
      <c r="C1414" s="91">
        <v>0.31496892724782899</v>
      </c>
      <c r="D1414" s="92">
        <v>77</v>
      </c>
      <c r="E1414" s="93">
        <v>0.26618705035971224</v>
      </c>
      <c r="G1414" s="5"/>
      <c r="H1414" s="5"/>
      <c r="L1414" s="7"/>
      <c r="M1414" s="7"/>
      <c r="O1414" s="6"/>
      <c r="P1414" s="6"/>
      <c r="T1414" s="5"/>
      <c r="U1414" s="5"/>
    </row>
    <row r="1415" spans="2:21" x14ac:dyDescent="0.25">
      <c r="B1415" s="90">
        <v>859</v>
      </c>
      <c r="C1415" s="91">
        <v>0.31541295616592513</v>
      </c>
      <c r="D1415" s="92">
        <v>77</v>
      </c>
      <c r="E1415" s="93">
        <v>0.4460431654676259</v>
      </c>
      <c r="G1415" s="5"/>
      <c r="H1415" s="5"/>
      <c r="L1415" s="7"/>
      <c r="M1415" s="7"/>
      <c r="O1415" s="6"/>
      <c r="P1415" s="6"/>
      <c r="T1415" s="5"/>
      <c r="U1415" s="5"/>
    </row>
    <row r="1416" spans="2:21" x14ac:dyDescent="0.25">
      <c r="B1416" s="90">
        <v>850</v>
      </c>
      <c r="C1416" s="91">
        <v>0.31672228485273413</v>
      </c>
      <c r="D1416" s="92">
        <v>77</v>
      </c>
      <c r="E1416" s="93">
        <v>0.34532374100719426</v>
      </c>
      <c r="G1416" s="5"/>
      <c r="H1416" s="5"/>
      <c r="L1416" s="7"/>
      <c r="M1416" s="7"/>
      <c r="O1416" s="6"/>
      <c r="P1416" s="6"/>
      <c r="T1416" s="5"/>
      <c r="U1416" s="5"/>
    </row>
    <row r="1417" spans="2:21" x14ac:dyDescent="0.25">
      <c r="B1417" s="90">
        <v>747</v>
      </c>
      <c r="C1417" s="91">
        <v>0.31713270714406894</v>
      </c>
      <c r="D1417" s="92">
        <v>77</v>
      </c>
      <c r="E1417" s="93">
        <v>0.34532374100719426</v>
      </c>
      <c r="G1417" s="5"/>
      <c r="H1417" s="5"/>
      <c r="L1417" s="7"/>
      <c r="M1417" s="7"/>
      <c r="O1417" s="6"/>
      <c r="P1417" s="6"/>
      <c r="T1417" s="5"/>
      <c r="U1417" s="5"/>
    </row>
    <row r="1418" spans="2:21" x14ac:dyDescent="0.25">
      <c r="B1418" s="90">
        <v>800</v>
      </c>
      <c r="C1418" s="91">
        <v>0.31763296200515612</v>
      </c>
      <c r="D1418" s="92">
        <v>77</v>
      </c>
      <c r="E1418" s="93">
        <v>0.34532374100719426</v>
      </c>
      <c r="G1418" s="5"/>
      <c r="H1418" s="5"/>
      <c r="L1418" s="7"/>
      <c r="M1418" s="7"/>
      <c r="O1418" s="6"/>
      <c r="P1418" s="6"/>
      <c r="T1418" s="5"/>
      <c r="U1418" s="5"/>
    </row>
    <row r="1419" spans="2:21" x14ac:dyDescent="0.25">
      <c r="B1419" s="90">
        <v>693</v>
      </c>
      <c r="C1419" s="91">
        <v>0.31805794263878218</v>
      </c>
      <c r="D1419" s="92">
        <v>77</v>
      </c>
      <c r="E1419" s="93">
        <v>0.26618705035971224</v>
      </c>
      <c r="G1419" s="5"/>
      <c r="H1419" s="5"/>
      <c r="L1419" s="7"/>
      <c r="M1419" s="7"/>
      <c r="O1419" s="6"/>
      <c r="P1419" s="6"/>
      <c r="T1419" s="5"/>
      <c r="U1419" s="5"/>
    </row>
    <row r="1420" spans="2:21" x14ac:dyDescent="0.25">
      <c r="B1420" s="90">
        <v>754</v>
      </c>
      <c r="C1420" s="91">
        <v>0.31872774940190152</v>
      </c>
      <c r="D1420" s="92">
        <v>77</v>
      </c>
      <c r="E1420" s="93">
        <v>0.4460431654676259</v>
      </c>
      <c r="G1420" s="5"/>
      <c r="H1420" s="5"/>
      <c r="L1420" s="7"/>
      <c r="M1420" s="7"/>
      <c r="O1420" s="6"/>
      <c r="P1420" s="6"/>
      <c r="T1420" s="5"/>
      <c r="U1420" s="5"/>
    </row>
    <row r="1421" spans="2:21" x14ac:dyDescent="0.25">
      <c r="B1421" s="90">
        <v>909</v>
      </c>
      <c r="C1421" s="91">
        <v>0.31914286355980992</v>
      </c>
      <c r="D1421" s="92">
        <v>77</v>
      </c>
      <c r="E1421" s="93">
        <v>0.4460431654676259</v>
      </c>
      <c r="G1421" s="5"/>
      <c r="H1421" s="5"/>
      <c r="L1421" s="7"/>
      <c r="M1421" s="7"/>
      <c r="O1421" s="6"/>
      <c r="P1421" s="6"/>
      <c r="T1421" s="5"/>
      <c r="U1421" s="5"/>
    </row>
    <row r="1422" spans="2:21" x14ac:dyDescent="0.25">
      <c r="B1422" s="90">
        <v>295</v>
      </c>
      <c r="C1422" s="91">
        <v>0.31955423896682611</v>
      </c>
      <c r="D1422" s="92">
        <v>77</v>
      </c>
      <c r="E1422" s="93">
        <v>0.43165467625899279</v>
      </c>
      <c r="G1422" s="5"/>
      <c r="H1422" s="5"/>
      <c r="L1422" s="7"/>
      <c r="M1422" s="7"/>
      <c r="O1422" s="6"/>
      <c r="P1422" s="6"/>
      <c r="T1422" s="5"/>
      <c r="U1422" s="5"/>
    </row>
    <row r="1423" spans="2:21" x14ac:dyDescent="0.25">
      <c r="B1423" s="90">
        <v>700</v>
      </c>
      <c r="C1423" s="91">
        <v>0.31964341806974028</v>
      </c>
      <c r="D1423" s="92">
        <v>77</v>
      </c>
      <c r="E1423" s="93">
        <v>0.4460431654676259</v>
      </c>
      <c r="G1423" s="5"/>
      <c r="H1423" s="5"/>
      <c r="L1423" s="7"/>
      <c r="M1423" s="7"/>
      <c r="O1423" s="6"/>
      <c r="P1423" s="6"/>
      <c r="T1423" s="5"/>
      <c r="U1423" s="5"/>
    </row>
    <row r="1424" spans="2:21" x14ac:dyDescent="0.25">
      <c r="B1424" s="90">
        <v>807</v>
      </c>
      <c r="C1424" s="91">
        <v>0.32027132839377614</v>
      </c>
      <c r="D1424" s="92">
        <v>77</v>
      </c>
      <c r="E1424" s="93">
        <v>0.4460431654676259</v>
      </c>
      <c r="G1424" s="5"/>
      <c r="H1424" s="5"/>
      <c r="L1424" s="7"/>
      <c r="M1424" s="7"/>
      <c r="O1424" s="6"/>
      <c r="P1424" s="6"/>
      <c r="T1424" s="5"/>
      <c r="U1424" s="5"/>
    </row>
    <row r="1425" spans="2:21" x14ac:dyDescent="0.25">
      <c r="B1425" s="90">
        <v>230</v>
      </c>
      <c r="C1425" s="91">
        <v>0.32067926220876641</v>
      </c>
      <c r="D1425" s="92">
        <v>77</v>
      </c>
      <c r="E1425" s="93">
        <v>0.36690647482014388</v>
      </c>
      <c r="G1425" s="5"/>
      <c r="H1425" s="5"/>
      <c r="L1425" s="7"/>
      <c r="M1425" s="7"/>
      <c r="O1425" s="6"/>
      <c r="P1425" s="6"/>
      <c r="T1425" s="5"/>
      <c r="U1425" s="5"/>
    </row>
    <row r="1426" spans="2:21" x14ac:dyDescent="0.25">
      <c r="B1426" s="90">
        <v>1046</v>
      </c>
      <c r="C1426" s="91">
        <v>0.32133261815512393</v>
      </c>
      <c r="D1426" s="92">
        <v>77</v>
      </c>
      <c r="E1426" s="93">
        <v>0.46043165467625902</v>
      </c>
      <c r="G1426" s="5"/>
      <c r="H1426" s="5"/>
      <c r="L1426" s="7"/>
      <c r="M1426" s="7"/>
      <c r="O1426" s="6"/>
      <c r="P1426" s="6"/>
      <c r="T1426" s="5"/>
      <c r="U1426" s="5"/>
    </row>
    <row r="1427" spans="2:21" x14ac:dyDescent="0.25">
      <c r="B1427" s="90">
        <v>638</v>
      </c>
      <c r="C1427" s="91">
        <v>0.32240699749139989</v>
      </c>
      <c r="D1427" s="92">
        <v>77</v>
      </c>
      <c r="E1427" s="93">
        <v>0.26618705035971224</v>
      </c>
      <c r="G1427" s="5"/>
      <c r="H1427" s="5"/>
      <c r="L1427" s="7"/>
      <c r="M1427" s="7"/>
      <c r="O1427" s="6"/>
      <c r="P1427" s="6"/>
      <c r="T1427" s="5"/>
      <c r="U1427" s="5"/>
    </row>
    <row r="1428" spans="2:21" x14ac:dyDescent="0.25">
      <c r="B1428" s="90">
        <v>645</v>
      </c>
      <c r="C1428" s="91">
        <v>0.32277626446171581</v>
      </c>
      <c r="D1428" s="92">
        <v>77</v>
      </c>
      <c r="E1428" s="93">
        <v>0.4460431654676259</v>
      </c>
      <c r="G1428" s="5"/>
      <c r="H1428" s="5"/>
      <c r="L1428" s="7"/>
      <c r="M1428" s="7"/>
      <c r="O1428" s="6"/>
      <c r="P1428" s="6"/>
      <c r="T1428" s="5"/>
      <c r="U1428" s="5"/>
    </row>
    <row r="1429" spans="2:21" x14ac:dyDescent="0.25">
      <c r="B1429" s="90">
        <v>858</v>
      </c>
      <c r="C1429" s="91">
        <v>0.32300203886284429</v>
      </c>
      <c r="D1429" s="92">
        <v>77</v>
      </c>
      <c r="E1429" s="93">
        <v>0.4460431654676259</v>
      </c>
      <c r="G1429" s="5"/>
      <c r="H1429" s="5"/>
      <c r="L1429" s="7"/>
      <c r="M1429" s="7"/>
      <c r="O1429" s="6"/>
      <c r="P1429" s="6"/>
      <c r="T1429" s="5"/>
      <c r="U1429" s="5"/>
    </row>
    <row r="1430" spans="2:21" x14ac:dyDescent="0.25">
      <c r="B1430" s="90">
        <v>745</v>
      </c>
      <c r="C1430" s="91">
        <v>0.32341038583964576</v>
      </c>
      <c r="D1430" s="92">
        <v>77</v>
      </c>
      <c r="E1430" s="93">
        <v>0.26618705035971224</v>
      </c>
      <c r="G1430" s="5"/>
      <c r="H1430" s="5"/>
      <c r="L1430" s="7"/>
      <c r="M1430" s="7"/>
      <c r="O1430" s="6"/>
      <c r="P1430" s="6"/>
      <c r="T1430" s="5"/>
      <c r="U1430" s="5"/>
    </row>
    <row r="1431" spans="2:21" x14ac:dyDescent="0.25">
      <c r="B1431" s="90">
        <v>224</v>
      </c>
      <c r="C1431" s="91">
        <v>0.32367543887681938</v>
      </c>
      <c r="D1431" s="92">
        <v>77</v>
      </c>
      <c r="E1431" s="93">
        <v>0.26618705035971224</v>
      </c>
      <c r="G1431" s="5"/>
      <c r="H1431" s="5"/>
      <c r="L1431" s="7"/>
      <c r="M1431" s="7"/>
      <c r="O1431" s="6"/>
      <c r="P1431" s="6"/>
      <c r="T1431" s="5"/>
      <c r="U1431" s="5"/>
    </row>
    <row r="1432" spans="2:21" x14ac:dyDescent="0.25">
      <c r="B1432" s="90">
        <v>798</v>
      </c>
      <c r="C1432" s="91">
        <v>0.32378889373013309</v>
      </c>
      <c r="D1432" s="92">
        <v>77</v>
      </c>
      <c r="E1432" s="93">
        <v>0.26618705035971224</v>
      </c>
      <c r="G1432" s="5"/>
      <c r="H1432" s="5"/>
      <c r="L1432" s="7"/>
      <c r="M1432" s="7"/>
      <c r="O1432" s="6"/>
      <c r="P1432" s="6"/>
      <c r="T1432" s="5"/>
      <c r="U1432" s="5"/>
    </row>
    <row r="1433" spans="2:21" x14ac:dyDescent="0.25">
      <c r="B1433" s="90">
        <v>699</v>
      </c>
      <c r="C1433" s="91">
        <v>0.32418212695737003</v>
      </c>
      <c r="D1433" s="92">
        <v>77</v>
      </c>
      <c r="E1433" s="93">
        <v>0.4460431654676259</v>
      </c>
      <c r="G1433" s="5"/>
      <c r="H1433" s="5"/>
      <c r="L1433" s="7"/>
      <c r="M1433" s="7"/>
      <c r="O1433" s="6"/>
      <c r="P1433" s="6"/>
      <c r="T1433" s="5"/>
      <c r="U1433" s="5"/>
    </row>
    <row r="1434" spans="2:21" x14ac:dyDescent="0.25">
      <c r="B1434" s="90">
        <v>691</v>
      </c>
      <c r="C1434" s="91">
        <v>0.32434104962735255</v>
      </c>
      <c r="D1434" s="92">
        <v>77</v>
      </c>
      <c r="E1434" s="93">
        <v>0.26618705035971224</v>
      </c>
      <c r="G1434" s="5"/>
      <c r="H1434" s="5"/>
      <c r="L1434" s="7"/>
      <c r="M1434" s="7"/>
      <c r="O1434" s="6"/>
      <c r="P1434" s="6"/>
      <c r="T1434" s="5"/>
      <c r="U1434" s="5"/>
    </row>
    <row r="1435" spans="2:21" x14ac:dyDescent="0.25">
      <c r="B1435" s="90">
        <v>753</v>
      </c>
      <c r="C1435" s="91">
        <v>0.32440961016720404</v>
      </c>
      <c r="D1435" s="92">
        <v>77</v>
      </c>
      <c r="E1435" s="93">
        <v>0.4460431654676259</v>
      </c>
      <c r="G1435" s="5"/>
      <c r="H1435" s="5"/>
      <c r="L1435" s="7"/>
      <c r="M1435" s="7"/>
      <c r="O1435" s="6"/>
      <c r="P1435" s="6"/>
      <c r="T1435" s="5"/>
      <c r="U1435" s="5"/>
    </row>
    <row r="1436" spans="2:21" x14ac:dyDescent="0.25">
      <c r="B1436" s="90">
        <v>960</v>
      </c>
      <c r="C1436" s="91">
        <v>0.32517493233066141</v>
      </c>
      <c r="D1436" s="92">
        <v>77</v>
      </c>
      <c r="E1436" s="93">
        <v>0.4460431654676259</v>
      </c>
      <c r="G1436" s="5"/>
      <c r="H1436" s="5"/>
      <c r="L1436" s="7"/>
      <c r="M1436" s="7"/>
      <c r="O1436" s="6"/>
      <c r="P1436" s="6"/>
      <c r="T1436" s="5"/>
      <c r="U1436" s="5"/>
    </row>
    <row r="1437" spans="2:21" x14ac:dyDescent="0.25">
      <c r="B1437" s="90">
        <v>857</v>
      </c>
      <c r="C1437" s="91">
        <v>0.32580605878691427</v>
      </c>
      <c r="D1437" s="92">
        <v>77</v>
      </c>
      <c r="E1437" s="93">
        <v>0.28776978417266186</v>
      </c>
      <c r="G1437" s="5"/>
      <c r="H1437" s="5"/>
      <c r="L1437" s="7"/>
      <c r="M1437" s="7"/>
      <c r="O1437" s="6"/>
      <c r="P1437" s="6"/>
      <c r="T1437" s="5"/>
      <c r="U1437" s="5"/>
    </row>
    <row r="1438" spans="2:21" x14ac:dyDescent="0.25">
      <c r="B1438" s="90">
        <v>806</v>
      </c>
      <c r="C1438" s="91">
        <v>0.32637296939796601</v>
      </c>
      <c r="D1438" s="92">
        <v>77</v>
      </c>
      <c r="E1438" s="93">
        <v>0.4460431654676259</v>
      </c>
      <c r="G1438" s="5"/>
      <c r="H1438" s="5"/>
      <c r="L1438" s="7"/>
      <c r="M1438" s="7"/>
      <c r="O1438" s="6"/>
      <c r="P1438" s="6"/>
      <c r="T1438" s="5"/>
      <c r="U1438" s="5"/>
    </row>
    <row r="1439" spans="2:21" x14ac:dyDescent="0.25">
      <c r="B1439" s="90">
        <v>853</v>
      </c>
      <c r="C1439" s="91">
        <v>0.32659439570450521</v>
      </c>
      <c r="D1439" s="92">
        <v>77</v>
      </c>
      <c r="E1439" s="93">
        <v>0.35251798561151076</v>
      </c>
      <c r="G1439" s="5"/>
      <c r="H1439" s="5"/>
      <c r="L1439" s="7"/>
      <c r="M1439" s="7"/>
      <c r="O1439" s="6"/>
      <c r="P1439" s="6"/>
      <c r="T1439" s="5"/>
      <c r="U1439" s="5"/>
    </row>
    <row r="1440" spans="2:21" x14ac:dyDescent="0.25">
      <c r="B1440" s="90">
        <v>1059</v>
      </c>
      <c r="C1440" s="91">
        <v>0.3269057140145174</v>
      </c>
      <c r="D1440" s="92">
        <v>77</v>
      </c>
      <c r="E1440" s="93">
        <v>0.43165467625899279</v>
      </c>
      <c r="G1440" s="5"/>
      <c r="H1440" s="5"/>
      <c r="L1440" s="7"/>
      <c r="M1440" s="7"/>
      <c r="O1440" s="6"/>
      <c r="P1440" s="6"/>
      <c r="T1440" s="5"/>
      <c r="U1440" s="5"/>
    </row>
    <row r="1441" spans="2:21" x14ac:dyDescent="0.25">
      <c r="B1441" s="90">
        <v>1189</v>
      </c>
      <c r="C1441" s="91">
        <v>0.32695816022536672</v>
      </c>
      <c r="D1441" s="92">
        <v>77</v>
      </c>
      <c r="E1441" s="93">
        <v>0.2733812949640288</v>
      </c>
      <c r="G1441" s="5"/>
      <c r="H1441" s="5"/>
      <c r="L1441" s="7"/>
      <c r="M1441" s="7"/>
      <c r="O1441" s="6"/>
      <c r="P1441" s="6"/>
      <c r="T1441" s="5"/>
      <c r="U1441" s="5"/>
    </row>
    <row r="1442" spans="2:21" x14ac:dyDescent="0.25">
      <c r="B1442" s="90">
        <v>644</v>
      </c>
      <c r="C1442" s="91">
        <v>0.32713575763338221</v>
      </c>
      <c r="D1442" s="92">
        <v>77</v>
      </c>
      <c r="E1442" s="93">
        <v>0.4460431654676259</v>
      </c>
      <c r="G1442" s="5"/>
      <c r="H1442" s="5"/>
      <c r="L1442" s="7"/>
      <c r="M1442" s="7"/>
      <c r="O1442" s="6"/>
      <c r="P1442" s="6"/>
      <c r="T1442" s="5"/>
      <c r="U1442" s="5"/>
    </row>
    <row r="1443" spans="2:21" x14ac:dyDescent="0.25">
      <c r="B1443" s="90">
        <v>165</v>
      </c>
      <c r="C1443" s="91">
        <v>0.32844311727800335</v>
      </c>
      <c r="D1443" s="92">
        <v>77</v>
      </c>
      <c r="E1443" s="93">
        <v>0.2733812949640288</v>
      </c>
      <c r="G1443" s="5"/>
      <c r="H1443" s="5"/>
      <c r="L1443" s="7"/>
      <c r="M1443" s="7"/>
      <c r="O1443" s="6"/>
      <c r="P1443" s="6"/>
      <c r="T1443" s="5"/>
      <c r="U1443" s="5"/>
    </row>
    <row r="1444" spans="2:21" x14ac:dyDescent="0.25">
      <c r="B1444" s="90">
        <v>698</v>
      </c>
      <c r="C1444" s="91">
        <v>0.32866147195154127</v>
      </c>
      <c r="D1444" s="92">
        <v>77</v>
      </c>
      <c r="E1444" s="93">
        <v>0.28776978417266186</v>
      </c>
      <c r="G1444" s="5"/>
      <c r="H1444" s="5"/>
      <c r="L1444" s="7"/>
      <c r="M1444" s="7"/>
      <c r="O1444" s="6"/>
      <c r="P1444" s="6"/>
      <c r="T1444" s="5"/>
      <c r="U1444" s="5"/>
    </row>
    <row r="1445" spans="2:21" x14ac:dyDescent="0.25">
      <c r="B1445" s="90">
        <v>636</v>
      </c>
      <c r="C1445" s="91">
        <v>0.32874829982409082</v>
      </c>
      <c r="D1445" s="92">
        <v>77</v>
      </c>
      <c r="E1445" s="93">
        <v>0.26618705035971224</v>
      </c>
      <c r="G1445" s="5"/>
      <c r="H1445" s="5"/>
      <c r="L1445" s="7"/>
      <c r="M1445" s="7"/>
      <c r="O1445" s="6"/>
      <c r="P1445" s="6"/>
      <c r="T1445" s="5"/>
      <c r="U1445" s="5"/>
    </row>
    <row r="1446" spans="2:21" x14ac:dyDescent="0.25">
      <c r="B1446" s="90">
        <v>752</v>
      </c>
      <c r="C1446" s="91">
        <v>0.3290731782378491</v>
      </c>
      <c r="D1446" s="92">
        <v>77</v>
      </c>
      <c r="E1446" s="93">
        <v>0.28776978417266186</v>
      </c>
      <c r="G1446" s="5"/>
      <c r="H1446" s="5"/>
      <c r="L1446" s="7"/>
      <c r="M1446" s="7"/>
      <c r="O1446" s="6"/>
      <c r="P1446" s="6"/>
      <c r="T1446" s="5"/>
      <c r="U1446" s="5"/>
    </row>
    <row r="1447" spans="2:21" x14ac:dyDescent="0.25">
      <c r="B1447" s="90">
        <v>1359</v>
      </c>
      <c r="C1447" s="91">
        <v>0.33021813580402737</v>
      </c>
      <c r="D1447" s="92">
        <v>77</v>
      </c>
      <c r="E1447" s="93">
        <v>0.2733812949640288</v>
      </c>
      <c r="G1447" s="5"/>
      <c r="H1447" s="5"/>
      <c r="L1447" s="7"/>
      <c r="M1447" s="7"/>
      <c r="O1447" s="6"/>
      <c r="P1447" s="6"/>
      <c r="T1447" s="5"/>
      <c r="U1447" s="5"/>
    </row>
    <row r="1448" spans="2:21" x14ac:dyDescent="0.25">
      <c r="B1448" s="90">
        <v>805</v>
      </c>
      <c r="C1448" s="91">
        <v>0.33086114014298851</v>
      </c>
      <c r="D1448" s="92">
        <v>77</v>
      </c>
      <c r="E1448" s="93">
        <v>0.28776978417266186</v>
      </c>
      <c r="G1448" s="5"/>
      <c r="H1448" s="5"/>
      <c r="L1448" s="7"/>
      <c r="M1448" s="7"/>
      <c r="O1448" s="6"/>
      <c r="P1448" s="6"/>
      <c r="T1448" s="5"/>
      <c r="U1448" s="5"/>
    </row>
    <row r="1449" spans="2:21" x14ac:dyDescent="0.25">
      <c r="B1449" s="90">
        <v>1045</v>
      </c>
      <c r="C1449" s="91">
        <v>0.33093321089376615</v>
      </c>
      <c r="D1449" s="92">
        <v>77</v>
      </c>
      <c r="E1449" s="93">
        <v>0.46043165467625902</v>
      </c>
      <c r="G1449" s="5"/>
      <c r="H1449" s="5"/>
      <c r="L1449" s="7"/>
      <c r="M1449" s="7"/>
      <c r="O1449" s="6"/>
      <c r="P1449" s="6"/>
      <c r="T1449" s="5"/>
      <c r="U1449" s="5"/>
    </row>
    <row r="1450" spans="2:21" x14ac:dyDescent="0.25">
      <c r="B1450" s="90">
        <v>225</v>
      </c>
      <c r="C1450" s="91">
        <v>0.33109608334269081</v>
      </c>
      <c r="D1450" s="92">
        <v>77</v>
      </c>
      <c r="E1450" s="93">
        <v>0.26618705035971224</v>
      </c>
      <c r="G1450" s="5"/>
      <c r="H1450" s="5"/>
      <c r="L1450" s="7"/>
      <c r="M1450" s="7"/>
      <c r="O1450" s="6"/>
      <c r="P1450" s="6"/>
      <c r="T1450" s="5"/>
      <c r="U1450" s="5"/>
    </row>
    <row r="1451" spans="2:21" x14ac:dyDescent="0.25">
      <c r="B1451" s="90">
        <v>911</v>
      </c>
      <c r="C1451" s="91">
        <v>0.33171077689443129</v>
      </c>
      <c r="D1451" s="92">
        <v>77</v>
      </c>
      <c r="E1451" s="93">
        <v>0.43165467625899279</v>
      </c>
      <c r="G1451" s="5"/>
      <c r="H1451" s="5"/>
      <c r="L1451" s="7"/>
      <c r="M1451" s="7"/>
      <c r="O1451" s="6"/>
      <c r="P1451" s="6"/>
      <c r="T1451" s="5"/>
      <c r="U1451" s="5"/>
    </row>
    <row r="1452" spans="2:21" x14ac:dyDescent="0.25">
      <c r="B1452" s="90">
        <v>959</v>
      </c>
      <c r="C1452" s="91">
        <v>0.33210211248240129</v>
      </c>
      <c r="D1452" s="92">
        <v>77</v>
      </c>
      <c r="E1452" s="93">
        <v>0.4460431654676259</v>
      </c>
      <c r="G1452" s="5"/>
      <c r="H1452" s="5"/>
      <c r="L1452" s="7"/>
      <c r="M1452" s="7"/>
      <c r="O1452" s="6"/>
      <c r="P1452" s="6"/>
      <c r="T1452" s="5"/>
      <c r="U1452" s="5"/>
    </row>
    <row r="1453" spans="2:21" x14ac:dyDescent="0.25">
      <c r="B1453" s="90">
        <v>748</v>
      </c>
      <c r="C1453" s="91">
        <v>0.33247045400706909</v>
      </c>
      <c r="D1453" s="92">
        <v>77</v>
      </c>
      <c r="E1453" s="93">
        <v>0.2733812949640288</v>
      </c>
      <c r="G1453" s="5"/>
      <c r="H1453" s="5"/>
      <c r="L1453" s="7"/>
      <c r="M1453" s="7"/>
      <c r="O1453" s="6"/>
      <c r="P1453" s="6"/>
      <c r="T1453" s="5"/>
      <c r="U1453" s="5"/>
    </row>
    <row r="1454" spans="2:21" x14ac:dyDescent="0.25">
      <c r="B1454" s="90">
        <v>643</v>
      </c>
      <c r="C1454" s="91">
        <v>0.33280997471712581</v>
      </c>
      <c r="D1454" s="92">
        <v>77</v>
      </c>
      <c r="E1454" s="93">
        <v>0.28776978417266186</v>
      </c>
      <c r="G1454" s="5"/>
      <c r="H1454" s="5"/>
      <c r="L1454" s="7"/>
      <c r="M1454" s="7"/>
      <c r="O1454" s="6"/>
      <c r="P1454" s="6"/>
      <c r="T1454" s="5"/>
      <c r="U1454" s="5"/>
    </row>
    <row r="1455" spans="2:21" x14ac:dyDescent="0.25">
      <c r="B1455" s="90">
        <v>694</v>
      </c>
      <c r="C1455" s="91">
        <v>0.33298100349825122</v>
      </c>
      <c r="D1455" s="92">
        <v>77</v>
      </c>
      <c r="E1455" s="93">
        <v>0.2733812949640288</v>
      </c>
      <c r="G1455" s="5"/>
      <c r="H1455" s="5"/>
      <c r="L1455" s="7"/>
      <c r="M1455" s="7"/>
      <c r="O1455" s="6"/>
      <c r="P1455" s="6"/>
      <c r="T1455" s="5"/>
      <c r="U1455" s="5"/>
    </row>
    <row r="1456" spans="2:21" x14ac:dyDescent="0.25">
      <c r="B1456" s="90">
        <v>801</v>
      </c>
      <c r="C1456" s="91">
        <v>0.33320513554611486</v>
      </c>
      <c r="D1456" s="92">
        <v>77</v>
      </c>
      <c r="E1456" s="93">
        <v>0.2733812949640288</v>
      </c>
      <c r="G1456" s="5"/>
      <c r="H1456" s="5"/>
      <c r="L1456" s="7"/>
      <c r="M1456" s="7"/>
      <c r="O1456" s="6"/>
      <c r="P1456" s="6"/>
      <c r="T1456" s="5"/>
      <c r="U1456" s="5"/>
    </row>
    <row r="1457" spans="2:21" x14ac:dyDescent="0.25">
      <c r="B1457" s="90">
        <v>164</v>
      </c>
      <c r="C1457" s="91">
        <v>0.33419328872075638</v>
      </c>
      <c r="D1457" s="92">
        <v>77</v>
      </c>
      <c r="E1457" s="93">
        <v>0.2733812949640288</v>
      </c>
      <c r="G1457" s="5"/>
      <c r="H1457" s="5"/>
      <c r="L1457" s="7"/>
      <c r="M1457" s="7"/>
      <c r="O1457" s="6"/>
      <c r="P1457" s="6"/>
      <c r="T1457" s="5"/>
      <c r="U1457" s="5"/>
    </row>
    <row r="1458" spans="2:21" x14ac:dyDescent="0.25">
      <c r="B1458" s="90">
        <v>860</v>
      </c>
      <c r="C1458" s="91">
        <v>0.33697356298397951</v>
      </c>
      <c r="D1458" s="92">
        <v>77</v>
      </c>
      <c r="E1458" s="93">
        <v>0.43165467625899279</v>
      </c>
      <c r="G1458" s="5"/>
      <c r="H1458" s="5"/>
      <c r="L1458" s="7"/>
      <c r="M1458" s="7"/>
      <c r="O1458" s="6"/>
      <c r="P1458" s="6"/>
      <c r="T1458" s="5"/>
      <c r="U1458" s="5"/>
    </row>
    <row r="1459" spans="2:21" x14ac:dyDescent="0.25">
      <c r="B1459" s="90">
        <v>639</v>
      </c>
      <c r="C1459" s="91">
        <v>0.33739223844412936</v>
      </c>
      <c r="D1459" s="92">
        <v>77</v>
      </c>
      <c r="E1459" s="93">
        <v>0.2733812949640288</v>
      </c>
      <c r="G1459" s="5"/>
      <c r="H1459" s="5"/>
      <c r="L1459" s="7"/>
      <c r="M1459" s="7"/>
      <c r="O1459" s="6"/>
      <c r="P1459" s="6"/>
      <c r="T1459" s="5"/>
      <c r="U1459" s="5"/>
    </row>
    <row r="1460" spans="2:21" x14ac:dyDescent="0.25">
      <c r="B1460" s="90">
        <v>101</v>
      </c>
      <c r="C1460" s="91">
        <v>0.33916846654987787</v>
      </c>
      <c r="D1460" s="92">
        <v>77</v>
      </c>
      <c r="E1460" s="93">
        <v>0.2733812949640288</v>
      </c>
      <c r="G1460" s="5"/>
      <c r="H1460" s="5"/>
      <c r="L1460" s="7"/>
      <c r="M1460" s="7"/>
      <c r="O1460" s="6"/>
      <c r="P1460" s="6"/>
      <c r="T1460" s="5"/>
      <c r="U1460" s="5"/>
    </row>
    <row r="1461" spans="2:21" x14ac:dyDescent="0.25">
      <c r="B1461" s="90">
        <v>229</v>
      </c>
      <c r="C1461" s="91">
        <v>0.33955589176727274</v>
      </c>
      <c r="D1461" s="92">
        <v>77</v>
      </c>
      <c r="E1461" s="93">
        <v>0.2805755395683453</v>
      </c>
      <c r="G1461" s="5"/>
      <c r="H1461" s="5"/>
      <c r="L1461" s="7"/>
      <c r="M1461" s="7"/>
      <c r="O1461" s="6"/>
      <c r="P1461" s="6"/>
      <c r="T1461" s="5"/>
      <c r="U1461" s="5"/>
    </row>
    <row r="1462" spans="2:21" x14ac:dyDescent="0.25">
      <c r="B1462" s="90">
        <v>697</v>
      </c>
      <c r="C1462" s="91">
        <v>0.33996272215502277</v>
      </c>
      <c r="D1462" s="92">
        <v>77</v>
      </c>
      <c r="E1462" s="93">
        <v>0.2805755395683453</v>
      </c>
      <c r="G1462" s="5"/>
      <c r="H1462" s="5"/>
      <c r="L1462" s="7"/>
      <c r="M1462" s="7"/>
      <c r="O1462" s="6"/>
      <c r="P1462" s="6"/>
      <c r="T1462" s="5"/>
      <c r="U1462" s="5"/>
    </row>
    <row r="1463" spans="2:21" x14ac:dyDescent="0.25">
      <c r="B1463" s="90">
        <v>755</v>
      </c>
      <c r="C1463" s="91">
        <v>0.34044224833714698</v>
      </c>
      <c r="D1463" s="92">
        <v>77</v>
      </c>
      <c r="E1463" s="93">
        <v>0.43165467625899279</v>
      </c>
      <c r="G1463" s="5"/>
      <c r="H1463" s="5"/>
      <c r="L1463" s="7"/>
      <c r="M1463" s="7"/>
      <c r="O1463" s="6"/>
      <c r="P1463" s="6"/>
      <c r="T1463" s="5"/>
      <c r="U1463" s="5"/>
    </row>
    <row r="1464" spans="2:21" x14ac:dyDescent="0.25">
      <c r="B1464" s="90">
        <v>854</v>
      </c>
      <c r="C1464" s="91">
        <v>0.34101457859147855</v>
      </c>
      <c r="D1464" s="92">
        <v>77</v>
      </c>
      <c r="E1464" s="93">
        <v>0.2733812949640288</v>
      </c>
      <c r="G1464" s="5"/>
      <c r="H1464" s="5"/>
      <c r="L1464" s="7"/>
      <c r="M1464" s="7"/>
      <c r="O1464" s="6"/>
      <c r="P1464" s="6"/>
      <c r="T1464" s="5"/>
      <c r="U1464" s="5"/>
    </row>
    <row r="1465" spans="2:21" x14ac:dyDescent="0.25">
      <c r="B1465" s="90">
        <v>701</v>
      </c>
      <c r="C1465" s="91">
        <v>0.34117648607952966</v>
      </c>
      <c r="D1465" s="92">
        <v>77</v>
      </c>
      <c r="E1465" s="93">
        <v>0.43165467625899279</v>
      </c>
      <c r="G1465" s="5"/>
      <c r="H1465" s="5"/>
      <c r="L1465" s="7"/>
      <c r="M1465" s="7"/>
      <c r="O1465" s="6"/>
      <c r="P1465" s="6"/>
      <c r="T1465" s="5"/>
      <c r="U1465" s="5"/>
    </row>
    <row r="1466" spans="2:21" x14ac:dyDescent="0.25">
      <c r="B1466" s="90">
        <v>751</v>
      </c>
      <c r="C1466" s="91">
        <v>0.34119692820464376</v>
      </c>
      <c r="D1466" s="92">
        <v>77</v>
      </c>
      <c r="E1466" s="93">
        <v>0.2805755395683453</v>
      </c>
      <c r="G1466" s="5"/>
      <c r="H1466" s="5"/>
      <c r="L1466" s="7"/>
      <c r="M1466" s="7"/>
      <c r="O1466" s="6"/>
      <c r="P1466" s="6"/>
      <c r="T1466" s="5"/>
      <c r="U1466" s="5"/>
    </row>
    <row r="1467" spans="2:21" x14ac:dyDescent="0.25">
      <c r="B1467" s="90">
        <v>223</v>
      </c>
      <c r="C1467" s="91">
        <v>0.34173125112364489</v>
      </c>
      <c r="D1467" s="92">
        <v>77</v>
      </c>
      <c r="E1467" s="93">
        <v>0.26618705035971224</v>
      </c>
      <c r="G1467" s="5"/>
      <c r="H1467" s="5"/>
      <c r="L1467" s="7"/>
      <c r="M1467" s="7"/>
      <c r="O1467" s="6"/>
      <c r="P1467" s="6"/>
      <c r="T1467" s="5"/>
      <c r="U1467" s="5"/>
    </row>
    <row r="1468" spans="2:21" x14ac:dyDescent="0.25">
      <c r="B1468" s="90">
        <v>808</v>
      </c>
      <c r="C1468" s="91">
        <v>0.34204486189920014</v>
      </c>
      <c r="D1468" s="92">
        <v>77</v>
      </c>
      <c r="E1468" s="93">
        <v>0.43165467625899279</v>
      </c>
      <c r="G1468" s="5"/>
      <c r="H1468" s="5"/>
      <c r="L1468" s="7"/>
      <c r="M1468" s="7"/>
      <c r="O1468" s="6"/>
      <c r="P1468" s="6"/>
      <c r="T1468" s="5"/>
      <c r="U1468" s="5"/>
    </row>
    <row r="1469" spans="2:21" x14ac:dyDescent="0.25">
      <c r="B1469" s="90">
        <v>804</v>
      </c>
      <c r="C1469" s="91">
        <v>0.34311292255559023</v>
      </c>
      <c r="D1469" s="92">
        <v>77</v>
      </c>
      <c r="E1469" s="93">
        <v>0.2805755395683453</v>
      </c>
      <c r="G1469" s="5"/>
      <c r="H1469" s="5"/>
      <c r="L1469" s="7"/>
      <c r="M1469" s="7"/>
      <c r="O1469" s="6"/>
      <c r="P1469" s="6"/>
      <c r="T1469" s="5"/>
      <c r="U1469" s="5"/>
    </row>
    <row r="1470" spans="2:21" x14ac:dyDescent="0.25">
      <c r="B1470" s="90">
        <v>642</v>
      </c>
      <c r="C1470" s="91">
        <v>0.34424781842517493</v>
      </c>
      <c r="D1470" s="92">
        <v>77</v>
      </c>
      <c r="E1470" s="93">
        <v>0.2805755395683453</v>
      </c>
      <c r="G1470" s="5"/>
      <c r="H1470" s="5"/>
      <c r="L1470" s="7"/>
      <c r="M1470" s="7"/>
      <c r="O1470" s="6"/>
      <c r="P1470" s="6"/>
      <c r="T1470" s="5"/>
      <c r="U1470" s="5"/>
    </row>
    <row r="1471" spans="2:21" x14ac:dyDescent="0.25">
      <c r="B1471" s="90">
        <v>695</v>
      </c>
      <c r="C1471" s="91">
        <v>0.3445124256794927</v>
      </c>
      <c r="D1471" s="92">
        <v>77</v>
      </c>
      <c r="E1471" s="93">
        <v>0.2733812949640288</v>
      </c>
      <c r="G1471" s="5"/>
      <c r="H1471" s="5"/>
      <c r="L1471" s="7"/>
      <c r="M1471" s="7"/>
      <c r="O1471" s="6"/>
      <c r="P1471" s="6"/>
      <c r="T1471" s="5"/>
      <c r="U1471" s="5"/>
    </row>
    <row r="1472" spans="2:21" x14ac:dyDescent="0.25">
      <c r="B1472" s="90">
        <v>646</v>
      </c>
      <c r="C1472" s="91">
        <v>0.34453177901816923</v>
      </c>
      <c r="D1472" s="92">
        <v>77</v>
      </c>
      <c r="E1472" s="93">
        <v>0.43165467625899279</v>
      </c>
      <c r="G1472" s="5"/>
      <c r="H1472" s="5"/>
      <c r="L1472" s="7"/>
      <c r="M1472" s="7"/>
      <c r="O1472" s="6"/>
      <c r="P1472" s="6"/>
      <c r="T1472" s="5"/>
      <c r="U1472" s="5"/>
    </row>
    <row r="1473" spans="2:21" x14ac:dyDescent="0.25">
      <c r="B1473" s="90">
        <v>226</v>
      </c>
      <c r="C1473" s="91">
        <v>0.34501145155757484</v>
      </c>
      <c r="D1473" s="92">
        <v>77</v>
      </c>
      <c r="E1473" s="93">
        <v>0.2733812949640288</v>
      </c>
      <c r="G1473" s="5"/>
      <c r="H1473" s="5"/>
      <c r="L1473" s="7"/>
      <c r="M1473" s="7"/>
      <c r="O1473" s="6"/>
      <c r="P1473" s="6"/>
      <c r="T1473" s="5"/>
      <c r="U1473" s="5"/>
    </row>
    <row r="1474" spans="2:21" x14ac:dyDescent="0.25">
      <c r="B1474" s="90">
        <v>696</v>
      </c>
      <c r="C1474" s="91">
        <v>0.34504431778678701</v>
      </c>
      <c r="D1474" s="92">
        <v>77</v>
      </c>
      <c r="E1474" s="93">
        <v>0.2733812949640288</v>
      </c>
      <c r="G1474" s="5"/>
      <c r="H1474" s="5"/>
      <c r="L1474" s="7"/>
      <c r="M1474" s="7"/>
      <c r="O1474" s="6"/>
      <c r="P1474" s="6"/>
      <c r="T1474" s="5"/>
      <c r="U1474" s="5"/>
    </row>
    <row r="1475" spans="2:21" x14ac:dyDescent="0.25">
      <c r="B1475" s="90">
        <v>749</v>
      </c>
      <c r="C1475" s="91">
        <v>0.34513808536138124</v>
      </c>
      <c r="D1475" s="92">
        <v>77</v>
      </c>
      <c r="E1475" s="93">
        <v>0.2733812949640288</v>
      </c>
      <c r="G1475" s="5"/>
      <c r="H1475" s="5"/>
      <c r="L1475" s="7"/>
      <c r="M1475" s="7"/>
      <c r="O1475" s="6"/>
      <c r="P1475" s="6"/>
      <c r="T1475" s="5"/>
      <c r="U1475" s="5"/>
    </row>
    <row r="1476" spans="2:21" x14ac:dyDescent="0.25">
      <c r="B1476" s="90">
        <v>1190</v>
      </c>
      <c r="C1476" s="91">
        <v>0.34522105205630627</v>
      </c>
      <c r="D1476" s="92">
        <v>77</v>
      </c>
      <c r="E1476" s="93">
        <v>0.2733812949640288</v>
      </c>
      <c r="G1476" s="5"/>
      <c r="H1476" s="5"/>
      <c r="L1476" s="7"/>
      <c r="M1476" s="7"/>
      <c r="O1476" s="6"/>
      <c r="P1476" s="6"/>
      <c r="T1476" s="5"/>
      <c r="U1476" s="5"/>
    </row>
    <row r="1477" spans="2:21" x14ac:dyDescent="0.25">
      <c r="B1477" s="90">
        <v>750</v>
      </c>
      <c r="C1477" s="91">
        <v>0.34590701647428168</v>
      </c>
      <c r="D1477" s="92">
        <v>77</v>
      </c>
      <c r="E1477" s="93">
        <v>0.2733812949640288</v>
      </c>
      <c r="G1477" s="5"/>
      <c r="H1477" s="5"/>
      <c r="L1477" s="7"/>
      <c r="M1477" s="7"/>
      <c r="O1477" s="6"/>
      <c r="P1477" s="6"/>
      <c r="T1477" s="5"/>
      <c r="U1477" s="5"/>
    </row>
    <row r="1478" spans="2:21" x14ac:dyDescent="0.25">
      <c r="B1478" s="90">
        <v>961</v>
      </c>
      <c r="C1478" s="91">
        <v>0.34595560900047184</v>
      </c>
      <c r="D1478" s="92">
        <v>77</v>
      </c>
      <c r="E1478" s="93">
        <v>0.43165467625899279</v>
      </c>
      <c r="G1478" s="5"/>
      <c r="H1478" s="5"/>
      <c r="L1478" s="7"/>
      <c r="M1478" s="7"/>
      <c r="O1478" s="6"/>
      <c r="P1478" s="6"/>
      <c r="T1478" s="5"/>
      <c r="U1478" s="5"/>
    </row>
    <row r="1479" spans="2:21" x14ac:dyDescent="0.25">
      <c r="B1479" s="90">
        <v>1231</v>
      </c>
      <c r="C1479" s="91">
        <v>0.34602833672774147</v>
      </c>
      <c r="D1479" s="92">
        <v>77</v>
      </c>
      <c r="E1479" s="93">
        <v>0.19424460431654678</v>
      </c>
      <c r="G1479" s="5"/>
      <c r="H1479" s="5"/>
      <c r="L1479" s="7"/>
      <c r="M1479" s="7"/>
      <c r="O1479" s="6"/>
      <c r="P1479" s="6"/>
      <c r="T1479" s="5"/>
      <c r="U1479" s="5"/>
    </row>
    <row r="1480" spans="2:21" x14ac:dyDescent="0.25">
      <c r="B1480" s="90">
        <v>802</v>
      </c>
      <c r="C1480" s="91">
        <v>0.34649173929684007</v>
      </c>
      <c r="D1480" s="92">
        <v>77</v>
      </c>
      <c r="E1480" s="93">
        <v>0.2733812949640288</v>
      </c>
      <c r="G1480" s="5"/>
      <c r="H1480" s="5"/>
      <c r="L1480" s="7"/>
      <c r="M1480" s="7"/>
      <c r="O1480" s="6"/>
      <c r="P1480" s="6"/>
      <c r="T1480" s="5"/>
      <c r="U1480" s="5"/>
    </row>
    <row r="1481" spans="2:21" x14ac:dyDescent="0.25">
      <c r="B1481" s="90">
        <v>702</v>
      </c>
      <c r="C1481" s="91">
        <v>0.34702378552193458</v>
      </c>
      <c r="D1481" s="92">
        <v>77</v>
      </c>
      <c r="E1481" s="93">
        <v>0.43165467625899279</v>
      </c>
      <c r="G1481" s="5"/>
      <c r="H1481" s="5"/>
      <c r="L1481" s="7"/>
      <c r="M1481" s="7"/>
      <c r="O1481" s="6"/>
      <c r="P1481" s="6"/>
      <c r="T1481" s="5"/>
      <c r="U1481" s="5"/>
    </row>
    <row r="1482" spans="2:21" x14ac:dyDescent="0.25">
      <c r="B1482" s="90">
        <v>803</v>
      </c>
      <c r="C1482" s="91">
        <v>0.34748340104491615</v>
      </c>
      <c r="D1482" s="92">
        <v>77</v>
      </c>
      <c r="E1482" s="93">
        <v>0.2733812949640288</v>
      </c>
      <c r="G1482" s="5"/>
      <c r="H1482" s="5"/>
      <c r="L1482" s="7"/>
      <c r="M1482" s="7"/>
      <c r="O1482" s="6"/>
      <c r="P1482" s="6"/>
      <c r="T1482" s="5"/>
      <c r="U1482" s="5"/>
    </row>
    <row r="1483" spans="2:21" x14ac:dyDescent="0.25">
      <c r="B1483" s="90">
        <v>756</v>
      </c>
      <c r="C1483" s="91">
        <v>0.34823222559205524</v>
      </c>
      <c r="D1483" s="92">
        <v>77</v>
      </c>
      <c r="E1483" s="93">
        <v>0.43165467625899279</v>
      </c>
      <c r="G1483" s="5"/>
      <c r="H1483" s="5"/>
      <c r="L1483" s="7"/>
      <c r="M1483" s="7"/>
      <c r="O1483" s="6"/>
      <c r="P1483" s="6"/>
      <c r="T1483" s="5"/>
      <c r="U1483" s="5"/>
    </row>
    <row r="1484" spans="2:21" x14ac:dyDescent="0.25">
      <c r="B1484" s="90">
        <v>640</v>
      </c>
      <c r="C1484" s="91">
        <v>0.34891101111766454</v>
      </c>
      <c r="D1484" s="92">
        <v>77</v>
      </c>
      <c r="E1484" s="93">
        <v>0.2733812949640288</v>
      </c>
      <c r="G1484" s="5"/>
      <c r="H1484" s="5"/>
      <c r="L1484" s="7"/>
      <c r="M1484" s="7"/>
      <c r="O1484" s="6"/>
      <c r="P1484" s="6"/>
      <c r="T1484" s="5"/>
      <c r="U1484" s="5"/>
    </row>
    <row r="1485" spans="2:21" x14ac:dyDescent="0.25">
      <c r="B1485" s="90">
        <v>861</v>
      </c>
      <c r="C1485" s="91">
        <v>0.34893869205570383</v>
      </c>
      <c r="D1485" s="92">
        <v>77</v>
      </c>
      <c r="E1485" s="93">
        <v>0.35251798561151076</v>
      </c>
      <c r="G1485" s="5"/>
      <c r="H1485" s="5"/>
      <c r="L1485" s="7"/>
      <c r="M1485" s="7"/>
      <c r="O1485" s="6"/>
      <c r="P1485" s="6"/>
      <c r="T1485" s="5"/>
      <c r="U1485" s="5"/>
    </row>
    <row r="1486" spans="2:21" x14ac:dyDescent="0.25">
      <c r="B1486" s="90">
        <v>641</v>
      </c>
      <c r="C1486" s="91">
        <v>0.34940990365091207</v>
      </c>
      <c r="D1486" s="92">
        <v>77</v>
      </c>
      <c r="E1486" s="93">
        <v>0.2733812949640288</v>
      </c>
      <c r="G1486" s="5"/>
      <c r="H1486" s="5"/>
      <c r="L1486" s="7"/>
      <c r="M1486" s="7"/>
      <c r="O1486" s="6"/>
      <c r="P1486" s="6"/>
      <c r="T1486" s="5"/>
      <c r="U1486" s="5"/>
    </row>
    <row r="1487" spans="2:21" x14ac:dyDescent="0.25">
      <c r="B1487" s="90">
        <v>647</v>
      </c>
      <c r="C1487" s="91">
        <v>0.34972120312198995</v>
      </c>
      <c r="D1487" s="92">
        <v>77</v>
      </c>
      <c r="E1487" s="93">
        <v>0.43165467625899279</v>
      </c>
      <c r="G1487" s="5"/>
      <c r="H1487" s="5"/>
      <c r="L1487" s="7"/>
      <c r="M1487" s="7"/>
      <c r="O1487" s="6"/>
      <c r="P1487" s="6"/>
      <c r="T1487" s="5"/>
      <c r="U1487" s="5"/>
    </row>
    <row r="1488" spans="2:21" x14ac:dyDescent="0.25">
      <c r="B1488" s="90">
        <v>228</v>
      </c>
      <c r="C1488" s="91">
        <v>0.34994700548192903</v>
      </c>
      <c r="D1488" s="92">
        <v>77</v>
      </c>
      <c r="E1488" s="93">
        <v>0.2733812949640288</v>
      </c>
      <c r="G1488" s="5"/>
      <c r="H1488" s="5"/>
      <c r="L1488" s="7"/>
      <c r="M1488" s="7"/>
      <c r="O1488" s="6"/>
      <c r="P1488" s="6"/>
      <c r="T1488" s="5"/>
      <c r="U1488" s="5"/>
    </row>
    <row r="1489" spans="2:21" x14ac:dyDescent="0.25">
      <c r="B1489" s="90">
        <v>809</v>
      </c>
      <c r="C1489" s="91">
        <v>0.35079471582565336</v>
      </c>
      <c r="D1489" s="92">
        <v>77</v>
      </c>
      <c r="E1489" s="93">
        <v>0.35251798561151076</v>
      </c>
      <c r="G1489" s="5"/>
      <c r="H1489" s="5"/>
      <c r="L1489" s="7"/>
      <c r="M1489" s="7"/>
      <c r="O1489" s="6"/>
      <c r="P1489" s="6"/>
      <c r="T1489" s="5"/>
      <c r="U1489" s="5"/>
    </row>
    <row r="1490" spans="2:21" x14ac:dyDescent="0.25">
      <c r="B1490" s="90">
        <v>227</v>
      </c>
      <c r="C1490" s="91">
        <v>0.3529625337209138</v>
      </c>
      <c r="D1490" s="92">
        <v>77</v>
      </c>
      <c r="E1490" s="93">
        <v>0.2733812949640288</v>
      </c>
      <c r="G1490" s="5"/>
      <c r="H1490" s="5"/>
      <c r="L1490" s="7"/>
      <c r="M1490" s="7"/>
      <c r="O1490" s="6"/>
      <c r="P1490" s="6"/>
      <c r="T1490" s="5"/>
      <c r="U1490" s="5"/>
    </row>
    <row r="1491" spans="2:21" x14ac:dyDescent="0.25">
      <c r="B1491" s="90">
        <v>1155</v>
      </c>
      <c r="C1491" s="91">
        <v>0.35682967730420034</v>
      </c>
      <c r="D1491" s="92">
        <v>77</v>
      </c>
      <c r="E1491" s="93">
        <v>0.46043165467625902</v>
      </c>
      <c r="G1491" s="5"/>
      <c r="H1491" s="5"/>
      <c r="L1491" s="7"/>
      <c r="M1491" s="7"/>
      <c r="O1491" s="6"/>
      <c r="P1491" s="6"/>
      <c r="T1491" s="5"/>
      <c r="U1491" s="5"/>
    </row>
    <row r="1492" spans="2:21" x14ac:dyDescent="0.25">
      <c r="B1492" s="90">
        <v>1360</v>
      </c>
      <c r="C1492" s="91">
        <v>0.3570256458809159</v>
      </c>
      <c r="D1492" s="92">
        <v>77</v>
      </c>
      <c r="E1492" s="93">
        <v>0.2733812949640288</v>
      </c>
      <c r="G1492" s="5"/>
      <c r="H1492" s="5"/>
      <c r="L1492" s="7"/>
      <c r="M1492" s="7"/>
      <c r="O1492" s="6"/>
      <c r="P1492" s="6"/>
      <c r="T1492" s="5"/>
      <c r="U1492" s="5"/>
    </row>
    <row r="1493" spans="2:21" x14ac:dyDescent="0.25">
      <c r="B1493" s="90">
        <v>1230</v>
      </c>
      <c r="C1493" s="91">
        <v>0.35771283985476465</v>
      </c>
      <c r="D1493" s="92">
        <v>77</v>
      </c>
      <c r="E1493" s="93">
        <v>0.18705035971223022</v>
      </c>
      <c r="G1493" s="5"/>
      <c r="H1493" s="5"/>
      <c r="L1493" s="7"/>
      <c r="M1493" s="7"/>
      <c r="O1493" s="6"/>
      <c r="P1493" s="6"/>
      <c r="T1493" s="5"/>
      <c r="U1493" s="5"/>
    </row>
    <row r="1494" spans="2:21" x14ac:dyDescent="0.25">
      <c r="B1494" s="90">
        <v>1233</v>
      </c>
      <c r="C1494" s="91">
        <v>0.37062941394645443</v>
      </c>
      <c r="D1494" s="92">
        <v>77</v>
      </c>
      <c r="E1494" s="93">
        <v>0.19424460431654678</v>
      </c>
      <c r="G1494" s="5"/>
      <c r="H1494" s="5"/>
      <c r="L1494" s="7"/>
      <c r="M1494" s="7"/>
      <c r="O1494" s="6"/>
      <c r="P1494" s="6"/>
      <c r="T1494" s="5"/>
      <c r="U1494" s="5"/>
    </row>
    <row r="1495" spans="2:21" x14ac:dyDescent="0.25">
      <c r="B1495" s="90">
        <v>1234</v>
      </c>
      <c r="C1495" s="91">
        <v>0.38737893147491986</v>
      </c>
      <c r="D1495" s="92">
        <v>77</v>
      </c>
      <c r="E1495" s="93">
        <v>0.18705035971223022</v>
      </c>
      <c r="G1495" s="5"/>
      <c r="H1495" s="5"/>
      <c r="L1495" s="7"/>
      <c r="M1495" s="7"/>
      <c r="O1495" s="6"/>
      <c r="P1495" s="6"/>
      <c r="T1495" s="5"/>
      <c r="U1495" s="5"/>
    </row>
    <row r="1496" spans="2:21" x14ac:dyDescent="0.25">
      <c r="B1496" s="90">
        <v>300</v>
      </c>
      <c r="C1496" s="91">
        <v>0.3896012825113544</v>
      </c>
      <c r="D1496" s="92">
        <v>77</v>
      </c>
      <c r="E1496" s="93">
        <v>0.39568345323741005</v>
      </c>
      <c r="G1496" s="5"/>
      <c r="H1496" s="5"/>
      <c r="L1496" s="7"/>
      <c r="M1496" s="7"/>
      <c r="O1496" s="6"/>
      <c r="P1496" s="6"/>
      <c r="T1496" s="5"/>
      <c r="U1496" s="5"/>
    </row>
    <row r="1497" spans="2:21" x14ac:dyDescent="0.25">
      <c r="B1497" s="90">
        <v>1109</v>
      </c>
      <c r="C1497" s="91">
        <v>0.39262339608241226</v>
      </c>
      <c r="D1497" s="92">
        <v>77</v>
      </c>
      <c r="E1497" s="93">
        <v>0.46043165467625902</v>
      </c>
      <c r="G1497" s="5"/>
      <c r="H1497" s="5"/>
      <c r="L1497" s="7"/>
      <c r="M1497" s="7"/>
      <c r="O1497" s="6"/>
      <c r="P1497" s="6"/>
      <c r="T1497" s="5"/>
      <c r="U1497" s="5"/>
    </row>
    <row r="1498" spans="2:21" x14ac:dyDescent="0.25">
      <c r="B1498" s="90">
        <v>1108</v>
      </c>
      <c r="C1498" s="91">
        <v>0.4005591254911286</v>
      </c>
      <c r="D1498" s="92">
        <v>77</v>
      </c>
      <c r="E1498" s="93">
        <v>0.42446043165467628</v>
      </c>
      <c r="G1498" s="5"/>
      <c r="H1498" s="5"/>
      <c r="L1498" s="7"/>
      <c r="M1498" s="7"/>
      <c r="O1498" s="6"/>
      <c r="P1498" s="6"/>
      <c r="T1498" s="5"/>
      <c r="U1498" s="5"/>
    </row>
    <row r="1499" spans="2:21" x14ac:dyDescent="0.25">
      <c r="B1499" s="90">
        <v>241</v>
      </c>
      <c r="C1499" s="91">
        <v>0.45850406360585549</v>
      </c>
      <c r="D1499" s="92">
        <v>77</v>
      </c>
      <c r="E1499" s="93">
        <v>0.46043165467625902</v>
      </c>
      <c r="G1499" s="5"/>
      <c r="H1499" s="5"/>
      <c r="L1499" s="7"/>
      <c r="M1499" s="7"/>
      <c r="O1499" s="6"/>
      <c r="P1499" s="6"/>
      <c r="T1499" s="5"/>
      <c r="U1499" s="5"/>
    </row>
    <row r="1500" spans="2:21" x14ac:dyDescent="0.25">
      <c r="B1500" s="90">
        <v>117</v>
      </c>
      <c r="C1500" s="91">
        <v>0.49624210379645162</v>
      </c>
      <c r="D1500" s="92">
        <v>77</v>
      </c>
      <c r="E1500" s="93">
        <v>0.30935251798561153</v>
      </c>
      <c r="G1500" s="5"/>
      <c r="H1500" s="5"/>
      <c r="L1500" s="7"/>
      <c r="M1500" s="7"/>
      <c r="O1500" s="6"/>
      <c r="P1500" s="6"/>
      <c r="T1500" s="5"/>
      <c r="U1500" s="5"/>
    </row>
    <row r="1501" spans="2:21" x14ac:dyDescent="0.25">
      <c r="B1501" s="90">
        <v>543</v>
      </c>
      <c r="C1501" s="91">
        <v>0.52127181261419209</v>
      </c>
      <c r="D1501" s="92">
        <v>77</v>
      </c>
      <c r="E1501" s="93">
        <v>0.37410071942446044</v>
      </c>
      <c r="G1501" s="5"/>
      <c r="H1501" s="5"/>
      <c r="L1501" s="7"/>
      <c r="M1501" s="7"/>
      <c r="O1501" s="6"/>
      <c r="P1501" s="6"/>
      <c r="T1501" s="5"/>
      <c r="U1501" s="5"/>
    </row>
    <row r="1502" spans="2:21" x14ac:dyDescent="0.25">
      <c r="B1502" s="90">
        <v>253</v>
      </c>
      <c r="C1502" s="91">
        <v>0.59213462411213424</v>
      </c>
      <c r="D1502" s="92">
        <v>77</v>
      </c>
      <c r="E1502" s="93">
        <v>0.23021582733812951</v>
      </c>
      <c r="G1502" s="5"/>
      <c r="H1502" s="5"/>
      <c r="L1502" s="7"/>
      <c r="M1502" s="7"/>
      <c r="O1502" s="6"/>
      <c r="P1502" s="6"/>
      <c r="T1502" s="5"/>
      <c r="U1502" s="5"/>
    </row>
    <row r="1503" spans="2:21" x14ac:dyDescent="0.25">
      <c r="B1503" s="90">
        <v>518</v>
      </c>
      <c r="C1503" s="91">
        <v>9.1076122199426957E-2</v>
      </c>
      <c r="D1503" s="92">
        <v>78</v>
      </c>
      <c r="E1503" s="93">
        <v>0.57553956834532372</v>
      </c>
      <c r="G1503" s="5"/>
      <c r="H1503" s="5"/>
      <c r="L1503" s="7"/>
      <c r="M1503" s="7"/>
      <c r="O1503" s="6"/>
      <c r="P1503" s="6"/>
      <c r="T1503" s="5"/>
      <c r="U1503" s="5"/>
    </row>
    <row r="1504" spans="2:21" x14ac:dyDescent="0.25">
      <c r="B1504" s="90">
        <v>522</v>
      </c>
      <c r="C1504" s="91">
        <v>0.15248537074435231</v>
      </c>
      <c r="D1504" s="92">
        <v>78</v>
      </c>
      <c r="E1504" s="93">
        <v>0.5611510791366906</v>
      </c>
      <c r="G1504" s="5"/>
      <c r="H1504" s="5"/>
      <c r="L1504" s="7"/>
      <c r="M1504" s="7"/>
      <c r="O1504" s="6"/>
      <c r="P1504" s="6"/>
      <c r="T1504" s="5"/>
      <c r="U1504" s="5"/>
    </row>
    <row r="1505" spans="2:21" x14ac:dyDescent="0.25">
      <c r="B1505" s="90">
        <v>137</v>
      </c>
      <c r="C1505" s="91">
        <v>0.15348848990111841</v>
      </c>
      <c r="D1505" s="92">
        <v>78</v>
      </c>
      <c r="E1505" s="93">
        <v>0.36690647482014388</v>
      </c>
      <c r="G1505" s="5"/>
      <c r="H1505" s="5"/>
      <c r="L1505" s="7"/>
      <c r="M1505" s="7"/>
      <c r="O1505" s="6"/>
      <c r="P1505" s="6"/>
      <c r="T1505" s="5"/>
      <c r="U1505" s="5"/>
    </row>
    <row r="1506" spans="2:21" x14ac:dyDescent="0.25">
      <c r="B1506" s="90">
        <v>521</v>
      </c>
      <c r="C1506" s="91">
        <v>0.21920707543542117</v>
      </c>
      <c r="D1506" s="92">
        <v>78</v>
      </c>
      <c r="E1506" s="93">
        <v>0.53956834532374098</v>
      </c>
      <c r="G1506" s="5"/>
      <c r="H1506" s="5"/>
      <c r="L1506" s="7"/>
      <c r="M1506" s="7"/>
      <c r="O1506" s="6"/>
      <c r="P1506" s="6"/>
      <c r="T1506" s="5"/>
      <c r="U1506" s="5"/>
    </row>
    <row r="1507" spans="2:21" x14ac:dyDescent="0.25">
      <c r="B1507" s="90">
        <v>413</v>
      </c>
      <c r="C1507" s="91">
        <v>0.31232064567663864</v>
      </c>
      <c r="D1507" s="92">
        <v>78</v>
      </c>
      <c r="E1507" s="93">
        <v>0.36690647482014388</v>
      </c>
      <c r="G1507" s="5"/>
      <c r="H1507" s="5"/>
      <c r="L1507" s="7"/>
      <c r="M1507" s="7"/>
      <c r="O1507" s="6"/>
      <c r="P1507" s="6"/>
      <c r="T1507" s="5"/>
      <c r="U1507" s="5"/>
    </row>
    <row r="1508" spans="2:21" x14ac:dyDescent="0.25">
      <c r="B1508" s="90">
        <v>412</v>
      </c>
      <c r="C1508" s="91">
        <v>0.32510587179496475</v>
      </c>
      <c r="D1508" s="92">
        <v>78</v>
      </c>
      <c r="E1508" s="93">
        <v>0.2805755395683453</v>
      </c>
      <c r="G1508" s="5"/>
      <c r="H1508" s="5"/>
      <c r="L1508" s="7"/>
      <c r="M1508" s="7"/>
      <c r="O1508" s="6"/>
      <c r="P1508" s="6"/>
      <c r="T1508" s="5"/>
      <c r="U1508" s="5"/>
    </row>
    <row r="1509" spans="2:21" x14ac:dyDescent="0.25">
      <c r="B1509" s="90">
        <v>409</v>
      </c>
      <c r="C1509" s="91">
        <v>0.32541717152910066</v>
      </c>
      <c r="D1509" s="92">
        <v>78</v>
      </c>
      <c r="E1509" s="93">
        <v>0.2733812949640288</v>
      </c>
      <c r="G1509" s="5"/>
      <c r="H1509" s="5"/>
      <c r="L1509" s="7"/>
      <c r="M1509" s="7"/>
      <c r="O1509" s="6"/>
      <c r="P1509" s="6"/>
      <c r="T1509" s="5"/>
      <c r="U1509" s="5"/>
    </row>
    <row r="1510" spans="2:21" x14ac:dyDescent="0.25">
      <c r="B1510" s="90">
        <v>530</v>
      </c>
      <c r="C1510" s="91">
        <v>0.32885545679205352</v>
      </c>
      <c r="D1510" s="92">
        <v>78</v>
      </c>
      <c r="E1510" s="93">
        <v>0.28776978417266186</v>
      </c>
      <c r="G1510" s="5"/>
      <c r="H1510" s="5"/>
      <c r="L1510" s="7"/>
      <c r="M1510" s="7"/>
      <c r="O1510" s="6"/>
      <c r="P1510" s="6"/>
      <c r="T1510" s="5"/>
      <c r="U1510" s="5"/>
    </row>
    <row r="1511" spans="2:21" x14ac:dyDescent="0.25">
      <c r="B1511" s="90">
        <v>411</v>
      </c>
      <c r="C1511" s="91">
        <v>0.33267055807180046</v>
      </c>
      <c r="D1511" s="92">
        <v>78</v>
      </c>
      <c r="E1511" s="93">
        <v>0.2733812949640288</v>
      </c>
      <c r="G1511" s="5"/>
      <c r="H1511" s="5"/>
      <c r="L1511" s="7"/>
      <c r="M1511" s="7"/>
      <c r="O1511" s="6"/>
      <c r="P1511" s="6"/>
      <c r="T1511" s="5"/>
      <c r="U1511" s="5"/>
    </row>
    <row r="1512" spans="2:21" x14ac:dyDescent="0.25">
      <c r="B1512" s="90">
        <v>410</v>
      </c>
      <c r="C1512" s="91">
        <v>0.33383053977058896</v>
      </c>
      <c r="D1512" s="92">
        <v>78</v>
      </c>
      <c r="E1512" s="93">
        <v>0.2733812949640288</v>
      </c>
      <c r="G1512" s="5"/>
      <c r="H1512" s="5"/>
      <c r="L1512" s="7"/>
      <c r="M1512" s="7"/>
      <c r="O1512" s="6"/>
      <c r="P1512" s="6"/>
      <c r="T1512" s="5"/>
      <c r="U1512" s="5"/>
    </row>
    <row r="1513" spans="2:21" x14ac:dyDescent="0.25">
      <c r="B1513" s="90">
        <v>526</v>
      </c>
      <c r="C1513" s="91">
        <v>0.3365177164005253</v>
      </c>
      <c r="D1513" s="92">
        <v>78</v>
      </c>
      <c r="E1513" s="93">
        <v>0.2733812949640288</v>
      </c>
      <c r="G1513" s="5"/>
      <c r="H1513" s="5"/>
      <c r="L1513" s="7"/>
      <c r="M1513" s="7"/>
      <c r="O1513" s="6"/>
      <c r="P1513" s="6"/>
      <c r="T1513" s="5"/>
      <c r="U1513" s="5"/>
    </row>
    <row r="1514" spans="2:21" x14ac:dyDescent="0.25">
      <c r="B1514" s="90">
        <v>529</v>
      </c>
      <c r="C1514" s="91">
        <v>0.34158070705299814</v>
      </c>
      <c r="D1514" s="92">
        <v>78</v>
      </c>
      <c r="E1514" s="93">
        <v>0.2805755395683453</v>
      </c>
      <c r="G1514" s="5"/>
      <c r="H1514" s="5"/>
      <c r="L1514" s="7"/>
      <c r="M1514" s="7"/>
      <c r="O1514" s="6"/>
      <c r="P1514" s="6"/>
      <c r="T1514" s="5"/>
      <c r="U1514" s="5"/>
    </row>
    <row r="1515" spans="2:21" x14ac:dyDescent="0.25">
      <c r="B1515" s="90">
        <v>528</v>
      </c>
      <c r="C1515" s="91">
        <v>0.34755509225521519</v>
      </c>
      <c r="D1515" s="92">
        <v>78</v>
      </c>
      <c r="E1515" s="93">
        <v>0.2733812949640288</v>
      </c>
      <c r="G1515" s="5"/>
      <c r="H1515" s="5"/>
      <c r="L1515" s="7"/>
      <c r="M1515" s="7"/>
      <c r="O1515" s="6"/>
      <c r="P1515" s="6"/>
      <c r="T1515" s="5"/>
      <c r="U1515" s="5"/>
    </row>
    <row r="1516" spans="2:21" x14ac:dyDescent="0.25">
      <c r="B1516" s="90">
        <v>527</v>
      </c>
      <c r="C1516" s="91">
        <v>0.34759951351361396</v>
      </c>
      <c r="D1516" s="92">
        <v>78</v>
      </c>
      <c r="E1516" s="93">
        <v>0.2733812949640288</v>
      </c>
      <c r="G1516" s="5"/>
      <c r="H1516" s="5"/>
      <c r="L1516" s="7"/>
      <c r="M1516" s="7"/>
      <c r="O1516" s="6"/>
      <c r="P1516" s="6"/>
      <c r="T1516" s="5"/>
      <c r="U1516" s="5"/>
    </row>
    <row r="1517" spans="2:21" x14ac:dyDescent="0.25">
      <c r="B1517" s="90">
        <v>483</v>
      </c>
      <c r="C1517" s="91">
        <v>0.46939952833699872</v>
      </c>
      <c r="D1517" s="92">
        <v>78</v>
      </c>
      <c r="E1517" s="93">
        <v>0.4460431654676259</v>
      </c>
      <c r="G1517" s="5"/>
      <c r="H1517" s="5"/>
      <c r="L1517" s="7"/>
      <c r="M1517" s="7"/>
      <c r="O1517" s="6"/>
      <c r="P1517" s="6"/>
      <c r="T1517" s="5"/>
      <c r="U1517" s="5"/>
    </row>
    <row r="1518" spans="2:21" x14ac:dyDescent="0.25">
      <c r="B1518" s="90">
        <v>484</v>
      </c>
      <c r="C1518" s="91">
        <v>0.50158336429995387</v>
      </c>
      <c r="D1518" s="92">
        <v>78</v>
      </c>
      <c r="E1518" s="93">
        <v>0.38129496402877699</v>
      </c>
      <c r="G1518" s="5"/>
      <c r="H1518" s="5"/>
      <c r="L1518" s="7"/>
      <c r="M1518" s="7"/>
      <c r="O1518" s="6"/>
      <c r="P1518" s="6"/>
      <c r="T1518" s="5"/>
      <c r="U1518" s="5"/>
    </row>
    <row r="1519" spans="2:21" x14ac:dyDescent="0.25">
      <c r="B1519" s="90">
        <v>485</v>
      </c>
      <c r="C1519" s="91">
        <v>0.50188351724534463</v>
      </c>
      <c r="D1519" s="92">
        <v>78</v>
      </c>
      <c r="E1519" s="93">
        <v>0.38129496402877699</v>
      </c>
      <c r="G1519" s="5"/>
      <c r="H1519" s="5"/>
      <c r="L1519" s="7"/>
      <c r="M1519" s="7"/>
      <c r="O1519" s="6"/>
      <c r="P1519" s="6"/>
      <c r="T1519" s="5"/>
      <c r="U1519" s="5"/>
    </row>
    <row r="1520" spans="2:21" x14ac:dyDescent="0.25">
      <c r="B1520" s="90">
        <v>601</v>
      </c>
      <c r="C1520" s="91">
        <v>0.50999881399270497</v>
      </c>
      <c r="D1520" s="92">
        <v>78</v>
      </c>
      <c r="E1520" s="93">
        <v>0.33093525179856115</v>
      </c>
      <c r="G1520" s="5"/>
      <c r="H1520" s="5"/>
      <c r="L1520" s="7"/>
      <c r="M1520" s="7"/>
      <c r="O1520" s="6"/>
      <c r="P1520" s="6"/>
      <c r="T1520" s="5"/>
      <c r="U1520" s="5"/>
    </row>
    <row r="1521" spans="2:21" x14ac:dyDescent="0.25">
      <c r="B1521" s="90">
        <v>182</v>
      </c>
      <c r="C1521" s="91">
        <v>0.51518866342187197</v>
      </c>
      <c r="D1521" s="92">
        <v>78</v>
      </c>
      <c r="E1521" s="93">
        <v>0.23741007194244604</v>
      </c>
      <c r="G1521" s="5"/>
      <c r="H1521" s="5"/>
      <c r="L1521" s="7"/>
      <c r="M1521" s="7"/>
      <c r="O1521" s="6"/>
      <c r="P1521" s="6"/>
      <c r="T1521" s="5"/>
      <c r="U1521" s="5"/>
    </row>
    <row r="1522" spans="2:21" x14ac:dyDescent="0.25">
      <c r="B1522" s="90">
        <v>183</v>
      </c>
      <c r="C1522" s="91">
        <v>0.51933632312290012</v>
      </c>
      <c r="D1522" s="92">
        <v>78</v>
      </c>
      <c r="E1522" s="93">
        <v>0.23741007194244604</v>
      </c>
      <c r="G1522" s="5"/>
      <c r="H1522" s="5"/>
      <c r="L1522" s="7"/>
      <c r="M1522" s="7"/>
      <c r="O1522" s="6"/>
      <c r="P1522" s="6"/>
      <c r="T1522" s="5"/>
      <c r="U1522" s="5"/>
    </row>
    <row r="1523" spans="2:21" x14ac:dyDescent="0.25">
      <c r="B1523" s="90">
        <v>603</v>
      </c>
      <c r="C1523" s="91">
        <v>0.54260659105578257</v>
      </c>
      <c r="D1523" s="92">
        <v>78</v>
      </c>
      <c r="E1523" s="93">
        <v>0.37410071942446044</v>
      </c>
      <c r="G1523" s="5"/>
      <c r="H1523" s="5"/>
      <c r="L1523" s="7"/>
      <c r="M1523" s="7"/>
      <c r="O1523" s="6"/>
      <c r="P1523" s="6"/>
      <c r="T1523" s="5"/>
      <c r="U1523" s="5"/>
    </row>
    <row r="1524" spans="2:21" x14ac:dyDescent="0.25">
      <c r="B1524" s="90">
        <v>188</v>
      </c>
      <c r="C1524" s="91">
        <v>0.56732851747076285</v>
      </c>
      <c r="D1524" s="92">
        <v>78</v>
      </c>
      <c r="E1524" s="93">
        <v>0.23741007194244604</v>
      </c>
      <c r="G1524" s="5"/>
      <c r="H1524" s="5"/>
      <c r="L1524" s="7"/>
      <c r="M1524" s="7"/>
      <c r="O1524" s="6"/>
      <c r="P1524" s="6"/>
      <c r="T1524" s="5"/>
      <c r="U1524" s="5"/>
    </row>
    <row r="1525" spans="2:21" x14ac:dyDescent="0.25">
      <c r="B1525" s="90">
        <v>189</v>
      </c>
      <c r="C1525" s="91">
        <v>0.56937481343240348</v>
      </c>
      <c r="D1525" s="92">
        <v>78</v>
      </c>
      <c r="E1525" s="93">
        <v>0.23741007194244604</v>
      </c>
      <c r="G1525" s="5"/>
      <c r="H1525" s="5"/>
      <c r="L1525" s="7"/>
      <c r="M1525" s="7"/>
      <c r="O1525" s="6"/>
      <c r="P1525" s="6"/>
      <c r="T1525" s="5"/>
      <c r="U1525" s="5"/>
    </row>
    <row r="1526" spans="2:21" x14ac:dyDescent="0.25">
      <c r="B1526" s="90">
        <v>250</v>
      </c>
      <c r="C1526" s="91">
        <v>0.57934272447092106</v>
      </c>
      <c r="D1526" s="92">
        <v>78</v>
      </c>
      <c r="E1526" s="93">
        <v>0.33812949640287771</v>
      </c>
      <c r="G1526" s="5"/>
      <c r="H1526" s="5"/>
      <c r="L1526" s="7"/>
      <c r="M1526" s="7"/>
      <c r="O1526" s="6"/>
      <c r="P1526" s="6"/>
      <c r="T1526" s="5"/>
      <c r="U1526" s="5"/>
    </row>
    <row r="1527" spans="2:21" x14ac:dyDescent="0.25">
      <c r="B1527" s="90">
        <v>703</v>
      </c>
      <c r="C1527" s="91">
        <v>0.36200716628132812</v>
      </c>
      <c r="D1527" s="92">
        <v>79</v>
      </c>
      <c r="E1527" s="93">
        <v>0.50359712230215825</v>
      </c>
      <c r="G1527" s="5"/>
      <c r="H1527" s="5"/>
      <c r="L1527" s="7"/>
      <c r="M1527" s="7"/>
      <c r="O1527" s="6"/>
      <c r="P1527" s="6"/>
      <c r="T1527" s="5"/>
      <c r="U1527" s="5"/>
    </row>
    <row r="1528" spans="2:21" x14ac:dyDescent="0.25">
      <c r="B1528" s="90">
        <v>757</v>
      </c>
      <c r="C1528" s="91">
        <v>0.36294836866173141</v>
      </c>
      <c r="D1528" s="92">
        <v>79</v>
      </c>
      <c r="E1528" s="93">
        <v>0.50359712230215825</v>
      </c>
      <c r="G1528" s="5"/>
      <c r="H1528" s="5"/>
      <c r="L1528" s="7"/>
      <c r="M1528" s="7"/>
      <c r="O1528" s="6"/>
      <c r="P1528" s="6"/>
      <c r="T1528" s="5"/>
      <c r="U1528" s="5"/>
    </row>
    <row r="1529" spans="2:21" x14ac:dyDescent="0.25">
      <c r="B1529" s="90">
        <v>862</v>
      </c>
      <c r="C1529" s="91">
        <v>0.36448366712533753</v>
      </c>
      <c r="D1529" s="92">
        <v>79</v>
      </c>
      <c r="E1529" s="93">
        <v>0.50359712230215825</v>
      </c>
      <c r="G1529" s="5"/>
      <c r="H1529" s="5"/>
      <c r="L1529" s="7"/>
      <c r="M1529" s="7"/>
      <c r="O1529" s="6"/>
      <c r="P1529" s="6"/>
      <c r="T1529" s="5"/>
      <c r="U1529" s="5"/>
    </row>
    <row r="1530" spans="2:21" x14ac:dyDescent="0.25">
      <c r="B1530" s="90">
        <v>810</v>
      </c>
      <c r="C1530" s="91">
        <v>0.36546165221419091</v>
      </c>
      <c r="D1530" s="92">
        <v>79</v>
      </c>
      <c r="E1530" s="93">
        <v>0.50359712230215825</v>
      </c>
      <c r="G1530" s="5"/>
      <c r="H1530" s="5"/>
      <c r="L1530" s="7"/>
      <c r="M1530" s="7"/>
      <c r="O1530" s="6"/>
      <c r="P1530" s="6"/>
      <c r="T1530" s="5"/>
      <c r="U1530" s="5"/>
    </row>
    <row r="1531" spans="2:21" x14ac:dyDescent="0.25">
      <c r="B1531" s="90">
        <v>914</v>
      </c>
      <c r="C1531" s="91">
        <v>0.47701730894804062</v>
      </c>
      <c r="D1531" s="92">
        <v>79</v>
      </c>
      <c r="E1531" s="93">
        <v>0.2446043165467626</v>
      </c>
      <c r="G1531" s="5"/>
      <c r="H1531" s="5"/>
      <c r="L1531" s="7"/>
      <c r="M1531" s="7"/>
      <c r="O1531" s="6"/>
      <c r="P1531" s="6"/>
      <c r="T1531" s="5"/>
      <c r="U1531" s="5"/>
    </row>
    <row r="1532" spans="2:21" x14ac:dyDescent="0.25">
      <c r="B1532" s="90">
        <v>964</v>
      </c>
      <c r="C1532" s="91">
        <v>0.48408248555667199</v>
      </c>
      <c r="D1532" s="92">
        <v>79</v>
      </c>
      <c r="E1532" s="93">
        <v>0.18705035971223022</v>
      </c>
      <c r="G1532" s="5"/>
      <c r="H1532" s="5"/>
      <c r="L1532" s="7"/>
      <c r="M1532" s="7"/>
      <c r="O1532" s="6"/>
      <c r="P1532" s="6"/>
      <c r="T1532" s="5"/>
      <c r="U1532" s="5"/>
    </row>
    <row r="1533" spans="2:21" x14ac:dyDescent="0.25">
      <c r="B1533" s="90">
        <v>1061</v>
      </c>
      <c r="C1533" s="91">
        <v>0.52090954967705327</v>
      </c>
      <c r="D1533" s="92">
        <v>79</v>
      </c>
      <c r="E1533" s="93">
        <v>0.17266187050359713</v>
      </c>
      <c r="G1533" s="5"/>
      <c r="H1533" s="5"/>
      <c r="L1533" s="7"/>
      <c r="M1533" s="7"/>
      <c r="O1533" s="6"/>
      <c r="P1533" s="6"/>
      <c r="T1533" s="5"/>
      <c r="U1533" s="5"/>
    </row>
    <row r="1534" spans="2:21" x14ac:dyDescent="0.25">
      <c r="B1534" s="90">
        <v>602</v>
      </c>
      <c r="C1534" s="91">
        <v>0.54181012007798901</v>
      </c>
      <c r="D1534" s="92">
        <v>79</v>
      </c>
      <c r="E1534" s="93">
        <v>0.37410071942446044</v>
      </c>
      <c r="G1534" s="5"/>
      <c r="H1534" s="5"/>
      <c r="L1534" s="7"/>
      <c r="M1534" s="7"/>
      <c r="O1534" s="6"/>
      <c r="P1534" s="6"/>
      <c r="T1534" s="5"/>
      <c r="U1534" s="5"/>
    </row>
    <row r="1535" spans="2:21" x14ac:dyDescent="0.25">
      <c r="B1535" s="90">
        <v>246</v>
      </c>
      <c r="C1535" s="91">
        <v>0.54651385754119697</v>
      </c>
      <c r="D1535" s="92">
        <v>79</v>
      </c>
      <c r="E1535" s="93">
        <v>0.33093525179856115</v>
      </c>
      <c r="G1535" s="5"/>
      <c r="H1535" s="5"/>
      <c r="L1535" s="7"/>
      <c r="M1535" s="7"/>
      <c r="O1535" s="6"/>
      <c r="P1535" s="6"/>
      <c r="T1535" s="5"/>
      <c r="U1535" s="5"/>
    </row>
    <row r="1536" spans="2:21" x14ac:dyDescent="0.25">
      <c r="B1536" s="90">
        <v>545</v>
      </c>
      <c r="C1536" s="91">
        <v>0.55986672219513833</v>
      </c>
      <c r="D1536" s="92">
        <v>79</v>
      </c>
      <c r="E1536" s="93">
        <v>0.36690647482014388</v>
      </c>
      <c r="G1536" s="5"/>
      <c r="H1536" s="5"/>
      <c r="L1536" s="7"/>
      <c r="M1536" s="7"/>
      <c r="O1536" s="6"/>
      <c r="P1536" s="6"/>
      <c r="T1536" s="5"/>
      <c r="U1536" s="5"/>
    </row>
    <row r="1537" spans="2:21" x14ac:dyDescent="0.25">
      <c r="B1537" s="90">
        <v>546</v>
      </c>
      <c r="C1537" s="91">
        <v>0.56211522880330245</v>
      </c>
      <c r="D1537" s="92">
        <v>79</v>
      </c>
      <c r="E1537" s="93">
        <v>0.36690647482014388</v>
      </c>
      <c r="G1537" s="5"/>
      <c r="H1537" s="5"/>
      <c r="L1537" s="7"/>
      <c r="M1537" s="7"/>
      <c r="O1537" s="6"/>
      <c r="P1537" s="6"/>
      <c r="T1537" s="5"/>
      <c r="U1537" s="5"/>
    </row>
    <row r="1538" spans="2:21" x14ac:dyDescent="0.25">
      <c r="B1538" s="90">
        <v>248</v>
      </c>
      <c r="C1538" s="91">
        <v>0.56756130005911587</v>
      </c>
      <c r="D1538" s="92">
        <v>79</v>
      </c>
      <c r="E1538" s="93">
        <v>0.33812949640287771</v>
      </c>
      <c r="G1538" s="5"/>
      <c r="H1538" s="5"/>
      <c r="L1538" s="7"/>
      <c r="M1538" s="7"/>
      <c r="O1538" s="6"/>
      <c r="P1538" s="6"/>
      <c r="T1538" s="5"/>
      <c r="U1538" s="5"/>
    </row>
    <row r="1539" spans="2:21" x14ac:dyDescent="0.25">
      <c r="B1539" s="90">
        <v>249</v>
      </c>
      <c r="C1539" s="91">
        <v>0.57243719655024705</v>
      </c>
      <c r="D1539" s="92">
        <v>79</v>
      </c>
      <c r="E1539" s="93">
        <v>0.38129496402877699</v>
      </c>
      <c r="G1539" s="5"/>
      <c r="H1539" s="5"/>
      <c r="L1539" s="7"/>
      <c r="M1539" s="7"/>
      <c r="O1539" s="6"/>
      <c r="P1539" s="6"/>
      <c r="T1539" s="5"/>
      <c r="U1539" s="5"/>
    </row>
    <row r="1540" spans="2:21" x14ac:dyDescent="0.25">
      <c r="B1540" s="90">
        <v>548</v>
      </c>
      <c r="C1540" s="91">
        <v>0.58557413848319251</v>
      </c>
      <c r="D1540" s="92">
        <v>79</v>
      </c>
      <c r="E1540" s="93">
        <v>0.37410071942446044</v>
      </c>
      <c r="G1540" s="5"/>
      <c r="H1540" s="5"/>
      <c r="L1540" s="7"/>
      <c r="M1540" s="7"/>
      <c r="O1540" s="6"/>
      <c r="P1540" s="6"/>
      <c r="T1540" s="5"/>
      <c r="U1540" s="5"/>
    </row>
    <row r="1541" spans="2:21" x14ac:dyDescent="0.25">
      <c r="B1541" s="90">
        <v>549</v>
      </c>
      <c r="C1541" s="91">
        <v>0.59282205944063782</v>
      </c>
      <c r="D1541" s="92">
        <v>79</v>
      </c>
      <c r="E1541" s="93">
        <v>0.30215827338129497</v>
      </c>
      <c r="G1541" s="5"/>
      <c r="H1541" s="5"/>
      <c r="L1541" s="7"/>
      <c r="M1541" s="7"/>
      <c r="O1541" s="6"/>
      <c r="P1541" s="6"/>
      <c r="T1541" s="5"/>
      <c r="U1541" s="5"/>
    </row>
    <row r="1542" spans="2:21" x14ac:dyDescent="0.25">
      <c r="B1542" s="90">
        <v>63</v>
      </c>
      <c r="C1542" s="91">
        <v>0.66039612645912582</v>
      </c>
      <c r="D1542" s="92">
        <v>79</v>
      </c>
      <c r="E1542" s="93">
        <v>0.22302158273381295</v>
      </c>
      <c r="G1542" s="5"/>
      <c r="H1542" s="5"/>
      <c r="L1542" s="7"/>
      <c r="M1542" s="7"/>
      <c r="O1542" s="6"/>
      <c r="P1542" s="6"/>
      <c r="T1542" s="5"/>
      <c r="U1542" s="5"/>
    </row>
    <row r="1543" spans="2:21" x14ac:dyDescent="0.25">
      <c r="B1543" s="90">
        <v>193</v>
      </c>
      <c r="C1543" s="91">
        <v>0.66039612645912582</v>
      </c>
      <c r="D1543" s="92">
        <v>79</v>
      </c>
      <c r="E1543" s="93">
        <v>0.22302158273381295</v>
      </c>
      <c r="G1543" s="5"/>
      <c r="H1543" s="5"/>
      <c r="L1543" s="7"/>
      <c r="M1543" s="7"/>
      <c r="O1543" s="6"/>
      <c r="P1543" s="6"/>
      <c r="T1543" s="5"/>
      <c r="U1543" s="5"/>
    </row>
    <row r="1544" spans="2:21" x14ac:dyDescent="0.25">
      <c r="B1544" s="90">
        <v>464</v>
      </c>
      <c r="C1544" s="91">
        <v>0.15456968493419754</v>
      </c>
      <c r="D1544" s="92">
        <v>80</v>
      </c>
      <c r="E1544" s="93">
        <v>0.5611510791366906</v>
      </c>
      <c r="G1544" s="5"/>
      <c r="H1544" s="5"/>
      <c r="L1544" s="7"/>
      <c r="M1544" s="7"/>
      <c r="O1544" s="6"/>
      <c r="P1544" s="6"/>
      <c r="T1544" s="5"/>
      <c r="U1544" s="5"/>
    </row>
    <row r="1545" spans="2:21" x14ac:dyDescent="0.25">
      <c r="B1545" s="90">
        <v>91</v>
      </c>
      <c r="C1545" s="91">
        <v>0.17642994686745661</v>
      </c>
      <c r="D1545" s="92">
        <v>80</v>
      </c>
      <c r="E1545" s="93">
        <v>0.51798561151079137</v>
      </c>
      <c r="G1545" s="5"/>
      <c r="H1545" s="5"/>
      <c r="L1545" s="7"/>
      <c r="M1545" s="7"/>
      <c r="O1545" s="6"/>
      <c r="P1545" s="6"/>
      <c r="T1545" s="5"/>
      <c r="U1545" s="5"/>
    </row>
    <row r="1546" spans="2:21" x14ac:dyDescent="0.25">
      <c r="B1546" s="90">
        <v>155</v>
      </c>
      <c r="C1546" s="91">
        <v>0.18506623896716734</v>
      </c>
      <c r="D1546" s="92">
        <v>80</v>
      </c>
      <c r="E1546" s="93">
        <v>0.51798561151079137</v>
      </c>
      <c r="G1546" s="5"/>
      <c r="H1546" s="5"/>
      <c r="L1546" s="7"/>
      <c r="M1546" s="7"/>
      <c r="O1546" s="6"/>
      <c r="P1546" s="6"/>
      <c r="T1546" s="5"/>
      <c r="U1546" s="5"/>
    </row>
    <row r="1547" spans="2:21" x14ac:dyDescent="0.25">
      <c r="B1547" s="90">
        <v>463</v>
      </c>
      <c r="C1547" s="91">
        <v>0.22285241383280741</v>
      </c>
      <c r="D1547" s="92">
        <v>80</v>
      </c>
      <c r="E1547" s="93">
        <v>0.51798561151079137</v>
      </c>
      <c r="G1547" s="5"/>
      <c r="H1547" s="5"/>
      <c r="L1547" s="7"/>
      <c r="M1547" s="7"/>
      <c r="O1547" s="6"/>
      <c r="P1547" s="6"/>
      <c r="T1547" s="5"/>
      <c r="U1547" s="5"/>
    </row>
    <row r="1548" spans="2:21" x14ac:dyDescent="0.25">
      <c r="B1548" s="90">
        <v>95</v>
      </c>
      <c r="C1548" s="91">
        <v>0.25094359910407049</v>
      </c>
      <c r="D1548" s="92">
        <v>80</v>
      </c>
      <c r="E1548" s="93">
        <v>0.35971223021582732</v>
      </c>
      <c r="G1548" s="5"/>
      <c r="H1548" s="5"/>
      <c r="L1548" s="7"/>
      <c r="M1548" s="7"/>
      <c r="O1548" s="6"/>
      <c r="P1548" s="6"/>
      <c r="T1548" s="5"/>
      <c r="U1548" s="5"/>
    </row>
    <row r="1549" spans="2:21" x14ac:dyDescent="0.25">
      <c r="B1549" s="90">
        <v>159</v>
      </c>
      <c r="C1549" s="91">
        <v>0.26365119312525964</v>
      </c>
      <c r="D1549" s="92">
        <v>80</v>
      </c>
      <c r="E1549" s="93">
        <v>0.35251798561151076</v>
      </c>
      <c r="G1549" s="5"/>
      <c r="H1549" s="5"/>
      <c r="L1549" s="7"/>
      <c r="M1549" s="7"/>
      <c r="O1549" s="6"/>
      <c r="P1549" s="6"/>
      <c r="T1549" s="5"/>
      <c r="U1549" s="5"/>
    </row>
    <row r="1550" spans="2:21" x14ac:dyDescent="0.25">
      <c r="B1550" s="90">
        <v>407</v>
      </c>
      <c r="C1550" s="91">
        <v>0.30503335719912417</v>
      </c>
      <c r="D1550" s="92">
        <v>80</v>
      </c>
      <c r="E1550" s="93">
        <v>0.34532374100719426</v>
      </c>
      <c r="G1550" s="5"/>
      <c r="H1550" s="5"/>
      <c r="L1550" s="7"/>
      <c r="M1550" s="7"/>
      <c r="O1550" s="6"/>
      <c r="P1550" s="6"/>
      <c r="T1550" s="5"/>
      <c r="U1550" s="5"/>
    </row>
    <row r="1551" spans="2:21" x14ac:dyDescent="0.25">
      <c r="B1551" s="90">
        <v>408</v>
      </c>
      <c r="C1551" s="91">
        <v>0.31172349318607273</v>
      </c>
      <c r="D1551" s="92">
        <v>80</v>
      </c>
      <c r="E1551" s="93">
        <v>0.34532374100719426</v>
      </c>
      <c r="G1551" s="5"/>
      <c r="H1551" s="5"/>
      <c r="L1551" s="7"/>
      <c r="M1551" s="7"/>
      <c r="O1551" s="6"/>
      <c r="P1551" s="6"/>
      <c r="T1551" s="5"/>
      <c r="U1551" s="5"/>
    </row>
    <row r="1552" spans="2:21" x14ac:dyDescent="0.25">
      <c r="B1552" s="90">
        <v>589</v>
      </c>
      <c r="C1552" s="91">
        <v>0.31457305982864714</v>
      </c>
      <c r="D1552" s="92">
        <v>80</v>
      </c>
      <c r="E1552" s="93">
        <v>0.4460431654676259</v>
      </c>
      <c r="G1552" s="5"/>
      <c r="H1552" s="5"/>
      <c r="L1552" s="7"/>
      <c r="M1552" s="7"/>
      <c r="O1552" s="6"/>
      <c r="P1552" s="6"/>
      <c r="T1552" s="5"/>
      <c r="U1552" s="5"/>
    </row>
    <row r="1553" spans="2:21" x14ac:dyDescent="0.25">
      <c r="B1553" s="90">
        <v>472</v>
      </c>
      <c r="C1553" s="91">
        <v>0.31649224713460844</v>
      </c>
      <c r="D1553" s="92">
        <v>80</v>
      </c>
      <c r="E1553" s="93">
        <v>0.36690647482014388</v>
      </c>
      <c r="G1553" s="5"/>
      <c r="H1553" s="5"/>
      <c r="L1553" s="7"/>
      <c r="M1553" s="7"/>
      <c r="O1553" s="6"/>
      <c r="P1553" s="6"/>
      <c r="T1553" s="5"/>
      <c r="U1553" s="5"/>
    </row>
    <row r="1554" spans="2:21" x14ac:dyDescent="0.25">
      <c r="B1554" s="90">
        <v>588</v>
      </c>
      <c r="C1554" s="91">
        <v>0.31899372029640161</v>
      </c>
      <c r="D1554" s="92">
        <v>80</v>
      </c>
      <c r="E1554" s="93">
        <v>0.4460431654676259</v>
      </c>
      <c r="G1554" s="5"/>
      <c r="H1554" s="5"/>
      <c r="L1554" s="7"/>
      <c r="M1554" s="7"/>
      <c r="O1554" s="6"/>
      <c r="P1554" s="6"/>
      <c r="T1554" s="5"/>
      <c r="U1554" s="5"/>
    </row>
    <row r="1555" spans="2:21" x14ac:dyDescent="0.25">
      <c r="B1555" s="90">
        <v>406</v>
      </c>
      <c r="C1555" s="91">
        <v>0.31961141456865694</v>
      </c>
      <c r="D1555" s="92">
        <v>80</v>
      </c>
      <c r="E1555" s="93">
        <v>0.26618705035971224</v>
      </c>
      <c r="G1555" s="5"/>
      <c r="H1555" s="5"/>
      <c r="L1555" s="7"/>
      <c r="M1555" s="7"/>
      <c r="O1555" s="6"/>
      <c r="P1555" s="6"/>
      <c r="T1555" s="5"/>
      <c r="U1555" s="5"/>
    </row>
    <row r="1556" spans="2:21" x14ac:dyDescent="0.25">
      <c r="B1556" s="90">
        <v>587</v>
      </c>
      <c r="C1556" s="91">
        <v>0.32451615139978496</v>
      </c>
      <c r="D1556" s="92">
        <v>80</v>
      </c>
      <c r="E1556" s="93">
        <v>0.28776978417266186</v>
      </c>
      <c r="G1556" s="5"/>
      <c r="H1556" s="5"/>
      <c r="L1556" s="7"/>
      <c r="M1556" s="7"/>
      <c r="O1556" s="6"/>
      <c r="P1556" s="6"/>
      <c r="T1556" s="5"/>
      <c r="U1556" s="5"/>
    </row>
    <row r="1557" spans="2:21" x14ac:dyDescent="0.25">
      <c r="B1557" s="90">
        <v>471</v>
      </c>
      <c r="C1557" s="91">
        <v>0.32925402239346513</v>
      </c>
      <c r="D1557" s="92">
        <v>80</v>
      </c>
      <c r="E1557" s="93">
        <v>0.2805755395683453</v>
      </c>
      <c r="G1557" s="5"/>
      <c r="H1557" s="5"/>
      <c r="L1557" s="7"/>
      <c r="M1557" s="7"/>
      <c r="O1557" s="6"/>
      <c r="P1557" s="6"/>
      <c r="T1557" s="5"/>
      <c r="U1557" s="5"/>
    </row>
    <row r="1558" spans="2:21" x14ac:dyDescent="0.25">
      <c r="B1558" s="90">
        <v>590</v>
      </c>
      <c r="C1558" s="91">
        <v>0.33620794963464729</v>
      </c>
      <c r="D1558" s="92">
        <v>80</v>
      </c>
      <c r="E1558" s="93">
        <v>0.43165467625899279</v>
      </c>
      <c r="G1558" s="5"/>
      <c r="H1558" s="5"/>
      <c r="L1558" s="7"/>
      <c r="M1558" s="7"/>
      <c r="O1558" s="6"/>
      <c r="P1558" s="6"/>
      <c r="T1558" s="5"/>
      <c r="U1558" s="5"/>
    </row>
    <row r="1559" spans="2:21" x14ac:dyDescent="0.25">
      <c r="B1559" s="90">
        <v>586</v>
      </c>
      <c r="C1559" s="91">
        <v>0.336279660917712</v>
      </c>
      <c r="D1559" s="92">
        <v>80</v>
      </c>
      <c r="E1559" s="93">
        <v>0.2805755395683453</v>
      </c>
      <c r="G1559" s="5"/>
      <c r="H1559" s="5"/>
      <c r="L1559" s="7"/>
      <c r="M1559" s="7"/>
      <c r="O1559" s="6"/>
      <c r="P1559" s="6"/>
      <c r="T1559" s="5"/>
      <c r="U1559" s="5"/>
    </row>
    <row r="1560" spans="2:21" x14ac:dyDescent="0.25">
      <c r="B1560" s="90">
        <v>470</v>
      </c>
      <c r="C1560" s="91">
        <v>0.33649313676060022</v>
      </c>
      <c r="D1560" s="92">
        <v>80</v>
      </c>
      <c r="E1560" s="93">
        <v>0.2733812949640288</v>
      </c>
      <c r="G1560" s="5"/>
      <c r="H1560" s="5"/>
      <c r="L1560" s="7"/>
      <c r="M1560" s="7"/>
      <c r="O1560" s="6"/>
      <c r="P1560" s="6"/>
      <c r="T1560" s="5"/>
      <c r="U1560" s="5"/>
    </row>
    <row r="1561" spans="2:21" x14ac:dyDescent="0.25">
      <c r="B1561" s="90">
        <v>469</v>
      </c>
      <c r="C1561" s="91">
        <v>0.33742163427184435</v>
      </c>
      <c r="D1561" s="92">
        <v>80</v>
      </c>
      <c r="E1561" s="93">
        <v>0.2733812949640288</v>
      </c>
      <c r="G1561" s="5"/>
      <c r="H1561" s="5"/>
      <c r="L1561" s="7"/>
      <c r="M1561" s="7"/>
      <c r="O1561" s="6"/>
      <c r="P1561" s="6"/>
      <c r="T1561" s="5"/>
      <c r="U1561" s="5"/>
    </row>
    <row r="1562" spans="2:21" x14ac:dyDescent="0.25">
      <c r="B1562" s="90">
        <v>94</v>
      </c>
      <c r="C1562" s="91">
        <v>0.33772484861163177</v>
      </c>
      <c r="D1562" s="92">
        <v>80</v>
      </c>
      <c r="E1562" s="93">
        <v>0.35971223021582732</v>
      </c>
      <c r="G1562" s="5"/>
      <c r="H1562" s="5"/>
      <c r="L1562" s="7"/>
      <c r="M1562" s="7"/>
      <c r="O1562" s="6"/>
      <c r="P1562" s="6"/>
      <c r="T1562" s="5"/>
      <c r="U1562" s="5"/>
    </row>
    <row r="1563" spans="2:21" x14ac:dyDescent="0.25">
      <c r="B1563" s="90">
        <v>585</v>
      </c>
      <c r="C1563" s="91">
        <v>0.34207047928547929</v>
      </c>
      <c r="D1563" s="92">
        <v>80</v>
      </c>
      <c r="E1563" s="93">
        <v>0.2733812949640288</v>
      </c>
      <c r="G1563" s="5"/>
      <c r="H1563" s="5"/>
      <c r="L1563" s="7"/>
      <c r="M1563" s="7"/>
      <c r="O1563" s="6"/>
      <c r="P1563" s="6"/>
      <c r="T1563" s="5"/>
      <c r="U1563" s="5"/>
    </row>
    <row r="1564" spans="2:21" x14ac:dyDescent="0.25">
      <c r="B1564" s="90">
        <v>158</v>
      </c>
      <c r="C1564" s="91">
        <v>0.34988883060936526</v>
      </c>
      <c r="D1564" s="92">
        <v>80</v>
      </c>
      <c r="E1564" s="93">
        <v>0.35971223021582732</v>
      </c>
      <c r="G1564" s="5"/>
      <c r="H1564" s="5"/>
      <c r="L1564" s="7"/>
      <c r="M1564" s="7"/>
      <c r="O1564" s="6"/>
      <c r="P1564" s="6"/>
      <c r="T1564" s="5"/>
      <c r="U1564" s="5"/>
    </row>
    <row r="1565" spans="2:21" x14ac:dyDescent="0.25">
      <c r="B1565" s="90">
        <v>915</v>
      </c>
      <c r="C1565" s="91">
        <v>0.4640031187712097</v>
      </c>
      <c r="D1565" s="92">
        <v>80</v>
      </c>
      <c r="E1565" s="93">
        <v>0.2733812949640288</v>
      </c>
      <c r="G1565" s="5"/>
      <c r="H1565" s="5"/>
      <c r="L1565" s="7"/>
      <c r="M1565" s="7"/>
      <c r="O1565" s="6"/>
      <c r="P1565" s="6"/>
      <c r="T1565" s="5"/>
      <c r="U1565" s="5"/>
    </row>
    <row r="1566" spans="2:21" x14ac:dyDescent="0.25">
      <c r="B1566" s="90">
        <v>864</v>
      </c>
      <c r="C1566" s="91">
        <v>0.47293594945176787</v>
      </c>
      <c r="D1566" s="92">
        <v>80</v>
      </c>
      <c r="E1566" s="93">
        <v>0.17985611510791366</v>
      </c>
      <c r="G1566" s="5"/>
      <c r="H1566" s="5"/>
      <c r="L1566" s="7"/>
      <c r="M1566" s="7"/>
      <c r="O1566" s="6"/>
      <c r="P1566" s="6"/>
      <c r="T1566" s="5"/>
      <c r="U1566" s="5"/>
    </row>
    <row r="1567" spans="2:21" x14ac:dyDescent="0.25">
      <c r="B1567" s="90">
        <v>965</v>
      </c>
      <c r="C1567" s="91">
        <v>0.47325480895072047</v>
      </c>
      <c r="D1567" s="92">
        <v>80</v>
      </c>
      <c r="E1567" s="93">
        <v>0.2446043165467626</v>
      </c>
      <c r="G1567" s="5"/>
      <c r="H1567" s="5"/>
      <c r="L1567" s="7"/>
      <c r="M1567" s="7"/>
      <c r="O1567" s="6"/>
      <c r="P1567" s="6"/>
      <c r="T1567" s="5"/>
      <c r="U1567" s="5"/>
    </row>
    <row r="1568" spans="2:21" x14ac:dyDescent="0.25">
      <c r="B1568" s="90">
        <v>758</v>
      </c>
      <c r="C1568" s="91">
        <v>0.47967535501003744</v>
      </c>
      <c r="D1568" s="92">
        <v>80</v>
      </c>
      <c r="E1568" s="93">
        <v>0.18705035971223022</v>
      </c>
      <c r="G1568" s="5"/>
      <c r="H1568" s="5"/>
      <c r="L1568" s="7"/>
      <c r="M1568" s="7"/>
      <c r="O1568" s="6"/>
      <c r="P1568" s="6"/>
      <c r="T1568" s="5"/>
      <c r="U1568" s="5"/>
    </row>
    <row r="1569" spans="2:21" x14ac:dyDescent="0.25">
      <c r="B1569" s="90">
        <v>811</v>
      </c>
      <c r="C1569" s="91">
        <v>0.48483338894640382</v>
      </c>
      <c r="D1569" s="92">
        <v>80</v>
      </c>
      <c r="E1569" s="93">
        <v>0.17985611510791366</v>
      </c>
      <c r="G1569" s="5"/>
      <c r="H1569" s="5"/>
      <c r="L1569" s="7"/>
      <c r="M1569" s="7"/>
      <c r="O1569" s="6"/>
      <c r="P1569" s="6"/>
      <c r="T1569" s="5"/>
      <c r="U1569" s="5"/>
    </row>
    <row r="1570" spans="2:21" x14ac:dyDescent="0.25">
      <c r="B1570" s="90">
        <v>863</v>
      </c>
      <c r="C1570" s="91">
        <v>0.4882884234089151</v>
      </c>
      <c r="D1570" s="92">
        <v>80</v>
      </c>
      <c r="E1570" s="93">
        <v>0.17266187050359713</v>
      </c>
      <c r="G1570" s="5"/>
      <c r="H1570" s="5"/>
      <c r="L1570" s="7"/>
      <c r="M1570" s="7"/>
      <c r="O1570" s="6"/>
      <c r="P1570" s="6"/>
      <c r="T1570" s="5"/>
      <c r="U1570" s="5"/>
    </row>
    <row r="1571" spans="2:21" x14ac:dyDescent="0.25">
      <c r="B1571" s="90">
        <v>1014</v>
      </c>
      <c r="C1571" s="91">
        <v>0.5082455745223543</v>
      </c>
      <c r="D1571" s="92">
        <v>80</v>
      </c>
      <c r="E1571" s="93">
        <v>0.17266187050359713</v>
      </c>
      <c r="G1571" s="5"/>
      <c r="H1571" s="5"/>
      <c r="L1571" s="7"/>
      <c r="M1571" s="7"/>
      <c r="O1571" s="6"/>
      <c r="P1571" s="6"/>
      <c r="T1571" s="5"/>
      <c r="U1571" s="5"/>
    </row>
    <row r="1572" spans="2:21" x14ac:dyDescent="0.25">
      <c r="B1572" s="90">
        <v>1013</v>
      </c>
      <c r="C1572" s="91">
        <v>0.5179853805533926</v>
      </c>
      <c r="D1572" s="92">
        <v>80</v>
      </c>
      <c r="E1572" s="93">
        <v>0.17266187050359713</v>
      </c>
      <c r="G1572" s="5"/>
      <c r="H1572" s="5"/>
      <c r="L1572" s="7"/>
      <c r="M1572" s="7"/>
      <c r="O1572" s="6"/>
      <c r="P1572" s="6"/>
      <c r="T1572" s="5"/>
      <c r="U1572" s="5"/>
    </row>
    <row r="1573" spans="2:21" x14ac:dyDescent="0.25">
      <c r="B1573" s="90">
        <v>185</v>
      </c>
      <c r="C1573" s="91">
        <v>0.53952500062493214</v>
      </c>
      <c r="D1573" s="92">
        <v>80</v>
      </c>
      <c r="E1573" s="93">
        <v>0.2446043165467626</v>
      </c>
      <c r="G1573" s="5"/>
      <c r="H1573" s="5"/>
      <c r="L1573" s="7"/>
      <c r="M1573" s="7"/>
      <c r="O1573" s="6"/>
      <c r="P1573" s="6"/>
      <c r="T1573" s="5"/>
      <c r="U1573" s="5"/>
    </row>
    <row r="1574" spans="2:21" x14ac:dyDescent="0.25">
      <c r="B1574" s="90">
        <v>186</v>
      </c>
      <c r="C1574" s="91">
        <v>0.54150833041451107</v>
      </c>
      <c r="D1574" s="92">
        <v>80</v>
      </c>
      <c r="E1574" s="93">
        <v>0.2446043165467626</v>
      </c>
      <c r="G1574" s="5"/>
      <c r="H1574" s="5"/>
      <c r="L1574" s="7"/>
      <c r="M1574" s="7"/>
      <c r="O1574" s="6"/>
      <c r="P1574" s="6"/>
      <c r="T1574" s="5"/>
      <c r="U1574" s="5"/>
    </row>
    <row r="1575" spans="2:21" x14ac:dyDescent="0.25">
      <c r="B1575" s="90">
        <v>245</v>
      </c>
      <c r="C1575" s="91">
        <v>0.54408675148651442</v>
      </c>
      <c r="D1575" s="92">
        <v>80</v>
      </c>
      <c r="E1575" s="93">
        <v>0.37410071942446044</v>
      </c>
      <c r="G1575" s="5"/>
      <c r="H1575" s="5"/>
      <c r="L1575" s="7"/>
      <c r="M1575" s="7"/>
      <c r="O1575" s="6"/>
      <c r="P1575" s="6"/>
      <c r="T1575" s="5"/>
      <c r="U1575" s="5"/>
    </row>
    <row r="1576" spans="2:21" x14ac:dyDescent="0.25">
      <c r="B1576" s="90">
        <v>187</v>
      </c>
      <c r="C1576" s="91">
        <v>0.55256941471285514</v>
      </c>
      <c r="D1576" s="92">
        <v>80</v>
      </c>
      <c r="E1576" s="93">
        <v>0.2446043165467626</v>
      </c>
      <c r="G1576" s="5"/>
      <c r="H1576" s="5"/>
      <c r="L1576" s="7"/>
      <c r="M1576" s="7"/>
      <c r="O1576" s="6"/>
      <c r="P1576" s="6"/>
      <c r="T1576" s="5"/>
      <c r="U1576" s="5"/>
    </row>
    <row r="1577" spans="2:21" x14ac:dyDescent="0.25">
      <c r="B1577" s="90">
        <v>1707</v>
      </c>
      <c r="C1577" s="91">
        <v>1.1054554615312575</v>
      </c>
      <c r="D1577" s="92">
        <v>80</v>
      </c>
      <c r="E1577" s="93">
        <v>6.4748201438848921E-2</v>
      </c>
      <c r="G1577" s="5"/>
      <c r="H1577" s="5"/>
      <c r="L1577" s="7"/>
      <c r="M1577" s="7"/>
      <c r="O1577" s="6"/>
      <c r="P1577" s="6"/>
      <c r="T1577" s="5"/>
      <c r="U1577" s="5"/>
    </row>
    <row r="1578" spans="2:21" x14ac:dyDescent="0.25">
      <c r="B1578" s="90">
        <v>1223</v>
      </c>
      <c r="C1578" s="91">
        <v>3.7259740329680935E-2</v>
      </c>
      <c r="D1578" s="92">
        <v>81</v>
      </c>
      <c r="E1578" s="93">
        <v>0.39568345323741005</v>
      </c>
      <c r="G1578" s="5"/>
      <c r="H1578" s="5"/>
      <c r="L1578" s="7"/>
      <c r="M1578" s="7"/>
      <c r="O1578" s="6"/>
      <c r="P1578" s="6"/>
      <c r="T1578" s="5"/>
      <c r="U1578" s="5"/>
    </row>
    <row r="1579" spans="2:21" x14ac:dyDescent="0.25">
      <c r="B1579" s="90">
        <v>992</v>
      </c>
      <c r="C1579" s="91">
        <v>4.3800250977649502E-2</v>
      </c>
      <c r="D1579" s="92">
        <v>81</v>
      </c>
      <c r="E1579" s="93">
        <v>0.41726618705035973</v>
      </c>
      <c r="G1579" s="5"/>
      <c r="H1579" s="5"/>
      <c r="L1579" s="7"/>
      <c r="M1579" s="7"/>
      <c r="O1579" s="6"/>
      <c r="P1579" s="6"/>
      <c r="T1579" s="5"/>
      <c r="U1579" s="5"/>
    </row>
    <row r="1580" spans="2:21" x14ac:dyDescent="0.25">
      <c r="B1580" s="90">
        <v>943</v>
      </c>
      <c r="C1580" s="91">
        <v>4.6829118862124708E-2</v>
      </c>
      <c r="D1580" s="92">
        <v>81</v>
      </c>
      <c r="E1580" s="93">
        <v>0.41726618705035973</v>
      </c>
      <c r="G1580" s="5"/>
      <c r="H1580" s="5"/>
      <c r="L1580" s="7"/>
      <c r="M1580" s="7"/>
      <c r="O1580" s="6"/>
      <c r="P1580" s="6"/>
      <c r="T1580" s="5"/>
      <c r="U1580" s="5"/>
    </row>
    <row r="1581" spans="2:21" x14ac:dyDescent="0.25">
      <c r="B1581" s="90">
        <v>790</v>
      </c>
      <c r="C1581" s="91">
        <v>5.1042902507141608E-2</v>
      </c>
      <c r="D1581" s="92">
        <v>81</v>
      </c>
      <c r="E1581" s="93">
        <v>0.41726618705035973</v>
      </c>
      <c r="G1581" s="5"/>
      <c r="H1581" s="5"/>
      <c r="L1581" s="7"/>
      <c r="M1581" s="7"/>
      <c r="O1581" s="6"/>
      <c r="P1581" s="6"/>
      <c r="T1581" s="5"/>
      <c r="U1581" s="5"/>
    </row>
    <row r="1582" spans="2:21" x14ac:dyDescent="0.25">
      <c r="B1582" s="90">
        <v>842</v>
      </c>
      <c r="C1582" s="91">
        <v>5.1752444628297423E-2</v>
      </c>
      <c r="D1582" s="92">
        <v>81</v>
      </c>
      <c r="E1582" s="93">
        <v>0.41726618705035973</v>
      </c>
      <c r="G1582" s="5"/>
      <c r="H1582" s="5"/>
      <c r="L1582" s="7"/>
      <c r="M1582" s="7"/>
      <c r="O1582" s="6"/>
      <c r="P1582" s="6"/>
      <c r="T1582" s="5"/>
      <c r="U1582" s="5"/>
    </row>
    <row r="1583" spans="2:21" x14ac:dyDescent="0.25">
      <c r="B1583" s="90">
        <v>893</v>
      </c>
      <c r="C1583" s="91">
        <v>5.1827818400264292E-2</v>
      </c>
      <c r="D1583" s="92">
        <v>81</v>
      </c>
      <c r="E1583" s="93">
        <v>0.41007194244604317</v>
      </c>
      <c r="G1583" s="5"/>
      <c r="H1583" s="5"/>
      <c r="L1583" s="7"/>
      <c r="M1583" s="7"/>
      <c r="O1583" s="6"/>
      <c r="P1583" s="6"/>
      <c r="T1583" s="5"/>
      <c r="U1583" s="5"/>
    </row>
    <row r="1584" spans="2:21" x14ac:dyDescent="0.25">
      <c r="B1584" s="90">
        <v>277</v>
      </c>
      <c r="C1584" s="91">
        <v>5.5521596654889649E-2</v>
      </c>
      <c r="D1584" s="92">
        <v>81</v>
      </c>
      <c r="E1584" s="93">
        <v>0.41726618705035973</v>
      </c>
      <c r="G1584" s="5"/>
      <c r="H1584" s="5"/>
      <c r="L1584" s="7"/>
      <c r="M1584" s="7"/>
      <c r="O1584" s="6"/>
      <c r="P1584" s="6"/>
      <c r="T1584" s="5"/>
      <c r="U1584" s="5"/>
    </row>
    <row r="1585" spans="2:21" x14ac:dyDescent="0.25">
      <c r="B1585" s="90">
        <v>338</v>
      </c>
      <c r="C1585" s="91">
        <v>5.7706962199863043E-2</v>
      </c>
      <c r="D1585" s="92">
        <v>81</v>
      </c>
      <c r="E1585" s="93">
        <v>0.41726618705035973</v>
      </c>
      <c r="G1585" s="5"/>
      <c r="H1585" s="5"/>
      <c r="L1585" s="7"/>
      <c r="M1585" s="7"/>
      <c r="O1585" s="6"/>
      <c r="P1585" s="6"/>
      <c r="T1585" s="5"/>
      <c r="U1585" s="5"/>
    </row>
    <row r="1586" spans="2:21" x14ac:dyDescent="0.25">
      <c r="B1586" s="90">
        <v>1179</v>
      </c>
      <c r="C1586" s="91">
        <v>6.249051137857875E-2</v>
      </c>
      <c r="D1586" s="92">
        <v>81</v>
      </c>
      <c r="E1586" s="93">
        <v>0.47482014388489208</v>
      </c>
      <c r="G1586" s="5"/>
      <c r="H1586" s="5"/>
      <c r="L1586" s="7"/>
      <c r="M1586" s="7"/>
      <c r="O1586" s="6"/>
      <c r="P1586" s="6"/>
      <c r="T1586" s="5"/>
      <c r="U1586" s="5"/>
    </row>
    <row r="1587" spans="2:21" x14ac:dyDescent="0.25">
      <c r="B1587" s="90">
        <v>630</v>
      </c>
      <c r="C1587" s="91">
        <v>7.5032729050811708E-2</v>
      </c>
      <c r="D1587" s="92">
        <v>81</v>
      </c>
      <c r="E1587" s="93">
        <v>0.50359712230215825</v>
      </c>
      <c r="G1587" s="5"/>
      <c r="H1587" s="5"/>
      <c r="L1587" s="7"/>
      <c r="M1587" s="7"/>
      <c r="O1587" s="6"/>
      <c r="P1587" s="6"/>
      <c r="T1587" s="5"/>
      <c r="U1587" s="5"/>
    </row>
    <row r="1588" spans="2:21" x14ac:dyDescent="0.25">
      <c r="B1588" s="90">
        <v>685</v>
      </c>
      <c r="C1588" s="91">
        <v>7.6835781699343242E-2</v>
      </c>
      <c r="D1588" s="92">
        <v>81</v>
      </c>
      <c r="E1588" s="93">
        <v>0.50359712230215825</v>
      </c>
      <c r="G1588" s="5"/>
      <c r="H1588" s="5"/>
      <c r="L1588" s="7"/>
      <c r="M1588" s="7"/>
      <c r="O1588" s="6"/>
      <c r="P1588" s="6"/>
      <c r="T1588" s="5"/>
      <c r="U1588" s="5"/>
    </row>
    <row r="1589" spans="2:21" x14ac:dyDescent="0.25">
      <c r="B1589" s="90">
        <v>1308</v>
      </c>
      <c r="C1589" s="91">
        <v>7.9385193235742335E-2</v>
      </c>
      <c r="D1589" s="92">
        <v>81</v>
      </c>
      <c r="E1589" s="93">
        <v>0.5539568345323741</v>
      </c>
      <c r="G1589" s="5"/>
      <c r="H1589" s="5"/>
      <c r="L1589" s="7"/>
      <c r="M1589" s="7"/>
      <c r="O1589" s="6"/>
      <c r="P1589" s="6"/>
      <c r="T1589" s="5"/>
      <c r="U1589" s="5"/>
    </row>
    <row r="1590" spans="2:21" x14ac:dyDescent="0.25">
      <c r="B1590" s="90">
        <v>792</v>
      </c>
      <c r="C1590" s="91">
        <v>8.0143115483955807E-2</v>
      </c>
      <c r="D1590" s="92">
        <v>81</v>
      </c>
      <c r="E1590" s="93">
        <v>0.50359712230215825</v>
      </c>
      <c r="G1590" s="5"/>
      <c r="H1590" s="5"/>
      <c r="L1590" s="7"/>
      <c r="M1590" s="7"/>
      <c r="O1590" s="6"/>
      <c r="P1590" s="6"/>
      <c r="T1590" s="5"/>
      <c r="U1590" s="5"/>
    </row>
    <row r="1591" spans="2:21" x14ac:dyDescent="0.25">
      <c r="B1591" s="90">
        <v>739</v>
      </c>
      <c r="C1591" s="91">
        <v>8.0651607137540715E-2</v>
      </c>
      <c r="D1591" s="92">
        <v>81</v>
      </c>
      <c r="E1591" s="93">
        <v>0.57553956834532372</v>
      </c>
      <c r="G1591" s="5"/>
      <c r="H1591" s="5"/>
      <c r="L1591" s="7"/>
      <c r="M1591" s="7"/>
      <c r="O1591" s="6"/>
      <c r="P1591" s="6"/>
      <c r="T1591" s="5"/>
      <c r="U1591" s="5"/>
    </row>
    <row r="1592" spans="2:21" x14ac:dyDescent="0.25">
      <c r="B1592" s="90">
        <v>844</v>
      </c>
      <c r="C1592" s="91">
        <v>8.4979722359993071E-2</v>
      </c>
      <c r="D1592" s="92">
        <v>81</v>
      </c>
      <c r="E1592" s="93">
        <v>0.57553956834532372</v>
      </c>
      <c r="G1592" s="5"/>
      <c r="H1592" s="5"/>
      <c r="L1592" s="7"/>
      <c r="M1592" s="7"/>
      <c r="O1592" s="6"/>
      <c r="P1592" s="6"/>
      <c r="T1592" s="5"/>
      <c r="U1592" s="5"/>
    </row>
    <row r="1593" spans="2:21" x14ac:dyDescent="0.25">
      <c r="B1593" s="90">
        <v>1042</v>
      </c>
      <c r="C1593" s="91">
        <v>0.11231112217606243</v>
      </c>
      <c r="D1593" s="92">
        <v>81</v>
      </c>
      <c r="E1593" s="93">
        <v>0.64748201438848918</v>
      </c>
      <c r="G1593" s="5"/>
      <c r="H1593" s="5"/>
      <c r="L1593" s="7"/>
      <c r="M1593" s="7"/>
      <c r="O1593" s="6"/>
      <c r="P1593" s="6"/>
      <c r="T1593" s="5"/>
      <c r="U1593" s="5"/>
    </row>
    <row r="1594" spans="2:21" x14ac:dyDescent="0.25">
      <c r="B1594" s="90">
        <v>629</v>
      </c>
      <c r="C1594" s="91">
        <v>0.12274326524831802</v>
      </c>
      <c r="D1594" s="92">
        <v>81</v>
      </c>
      <c r="E1594" s="93">
        <v>0.58992805755395683</v>
      </c>
      <c r="G1594" s="5"/>
      <c r="H1594" s="5"/>
      <c r="L1594" s="7"/>
      <c r="M1594" s="7"/>
      <c r="O1594" s="6"/>
      <c r="P1594" s="6"/>
      <c r="T1594" s="5"/>
      <c r="U1594" s="5"/>
    </row>
    <row r="1595" spans="2:21" x14ac:dyDescent="0.25">
      <c r="B1595" s="90">
        <v>684</v>
      </c>
      <c r="C1595" s="91">
        <v>0.12452978327842423</v>
      </c>
      <c r="D1595" s="92">
        <v>81</v>
      </c>
      <c r="E1595" s="93">
        <v>0.58992805755395683</v>
      </c>
      <c r="G1595" s="5"/>
      <c r="H1595" s="5"/>
      <c r="L1595" s="7"/>
      <c r="M1595" s="7"/>
      <c r="O1595" s="6"/>
      <c r="P1595" s="6"/>
      <c r="T1595" s="5"/>
      <c r="U1595" s="5"/>
    </row>
    <row r="1596" spans="2:21" x14ac:dyDescent="0.25">
      <c r="B1596" s="90">
        <v>791</v>
      </c>
      <c r="C1596" s="91">
        <v>0.12835442144614673</v>
      </c>
      <c r="D1596" s="92">
        <v>81</v>
      </c>
      <c r="E1596" s="93">
        <v>0.58992805755395683</v>
      </c>
      <c r="G1596" s="5"/>
      <c r="H1596" s="5"/>
      <c r="L1596" s="7"/>
      <c r="M1596" s="7"/>
      <c r="O1596" s="6"/>
      <c r="P1596" s="6"/>
      <c r="T1596" s="5"/>
      <c r="U1596" s="5"/>
    </row>
    <row r="1597" spans="2:21" x14ac:dyDescent="0.25">
      <c r="B1597" s="90">
        <v>738</v>
      </c>
      <c r="C1597" s="91">
        <v>0.12880255488618464</v>
      </c>
      <c r="D1597" s="92">
        <v>81</v>
      </c>
      <c r="E1597" s="93">
        <v>0.58992805755395683</v>
      </c>
      <c r="G1597" s="5"/>
      <c r="H1597" s="5"/>
      <c r="L1597" s="7"/>
      <c r="M1597" s="7"/>
      <c r="O1597" s="6"/>
      <c r="P1597" s="6"/>
      <c r="T1597" s="5"/>
      <c r="U1597" s="5"/>
    </row>
    <row r="1598" spans="2:21" x14ac:dyDescent="0.25">
      <c r="B1598" s="90">
        <v>894</v>
      </c>
      <c r="C1598" s="91">
        <v>0.13017947173970512</v>
      </c>
      <c r="D1598" s="92">
        <v>81</v>
      </c>
      <c r="E1598" s="93">
        <v>0.66187050359712229</v>
      </c>
      <c r="G1598" s="5"/>
      <c r="H1598" s="5"/>
      <c r="L1598" s="7"/>
      <c r="M1598" s="7"/>
      <c r="O1598" s="6"/>
      <c r="P1598" s="6"/>
      <c r="T1598" s="5"/>
      <c r="U1598" s="5"/>
    </row>
    <row r="1599" spans="2:21" x14ac:dyDescent="0.25">
      <c r="B1599" s="90">
        <v>217</v>
      </c>
      <c r="C1599" s="91">
        <v>0.13256415384011677</v>
      </c>
      <c r="D1599" s="92">
        <v>81</v>
      </c>
      <c r="E1599" s="93">
        <v>0.60431654676258995</v>
      </c>
      <c r="G1599" s="5"/>
      <c r="H1599" s="5"/>
      <c r="L1599" s="7"/>
      <c r="M1599" s="7"/>
      <c r="O1599" s="6"/>
      <c r="P1599" s="6"/>
      <c r="T1599" s="5"/>
      <c r="U1599" s="5"/>
    </row>
    <row r="1600" spans="2:21" x14ac:dyDescent="0.25">
      <c r="B1600" s="90">
        <v>843</v>
      </c>
      <c r="C1600" s="91">
        <v>0.13350341887860573</v>
      </c>
      <c r="D1600" s="92">
        <v>81</v>
      </c>
      <c r="E1600" s="93">
        <v>0.58992805755395683</v>
      </c>
      <c r="G1600" s="5"/>
      <c r="H1600" s="5"/>
      <c r="L1600" s="7"/>
      <c r="M1600" s="7"/>
      <c r="O1600" s="6"/>
      <c r="P1600" s="6"/>
      <c r="T1600" s="5"/>
      <c r="U1600" s="5"/>
    </row>
    <row r="1601" spans="2:21" x14ac:dyDescent="0.25">
      <c r="B1601" s="90">
        <v>1134</v>
      </c>
      <c r="C1601" s="91">
        <v>0.16222562059249346</v>
      </c>
      <c r="D1601" s="92">
        <v>81</v>
      </c>
      <c r="E1601" s="93">
        <v>0.6690647482014388</v>
      </c>
      <c r="G1601" s="5"/>
      <c r="H1601" s="5"/>
      <c r="L1601" s="7"/>
      <c r="M1601" s="7"/>
      <c r="O1601" s="6"/>
      <c r="P1601" s="6"/>
      <c r="T1601" s="5"/>
      <c r="U1601" s="5"/>
    </row>
    <row r="1602" spans="2:21" x14ac:dyDescent="0.25">
      <c r="B1602" s="90">
        <v>1088</v>
      </c>
      <c r="C1602" s="91">
        <v>0.1654347980733577</v>
      </c>
      <c r="D1602" s="92">
        <v>81</v>
      </c>
      <c r="E1602" s="93">
        <v>0.6690647482014388</v>
      </c>
      <c r="G1602" s="5"/>
      <c r="H1602" s="5"/>
      <c r="L1602" s="7"/>
      <c r="M1602" s="7"/>
      <c r="O1602" s="6"/>
      <c r="P1602" s="6"/>
      <c r="T1602" s="5"/>
      <c r="U1602" s="5"/>
    </row>
    <row r="1603" spans="2:21" x14ac:dyDescent="0.25">
      <c r="B1603" s="90">
        <v>1791</v>
      </c>
      <c r="C1603" s="91">
        <v>0.20320791957801787</v>
      </c>
      <c r="D1603" s="92">
        <v>81</v>
      </c>
      <c r="E1603" s="93">
        <v>0.66187050359712229</v>
      </c>
      <c r="G1603" s="5"/>
      <c r="H1603" s="5"/>
      <c r="L1603" s="7"/>
      <c r="M1603" s="7"/>
      <c r="O1603" s="6"/>
      <c r="P1603" s="6"/>
      <c r="T1603" s="5"/>
      <c r="U1603" s="5"/>
    </row>
    <row r="1604" spans="2:21" x14ac:dyDescent="0.25">
      <c r="B1604" s="90">
        <v>1114</v>
      </c>
      <c r="C1604" s="91">
        <v>0.2771352928877362</v>
      </c>
      <c r="D1604" s="92">
        <v>81</v>
      </c>
      <c r="E1604" s="93">
        <v>0.48920863309352519</v>
      </c>
      <c r="G1604" s="5"/>
      <c r="H1604" s="5"/>
      <c r="L1604" s="7"/>
      <c r="M1604" s="7"/>
      <c r="O1604" s="6"/>
      <c r="P1604" s="6"/>
      <c r="T1604" s="5"/>
      <c r="U1604" s="5"/>
    </row>
    <row r="1605" spans="2:21" x14ac:dyDescent="0.25">
      <c r="B1605" s="90">
        <v>1068</v>
      </c>
      <c r="C1605" s="91">
        <v>0.28309011864913525</v>
      </c>
      <c r="D1605" s="92">
        <v>81</v>
      </c>
      <c r="E1605" s="93">
        <v>0.48920863309352519</v>
      </c>
      <c r="G1605" s="5"/>
      <c r="H1605" s="5"/>
      <c r="L1605" s="7"/>
      <c r="M1605" s="7"/>
      <c r="O1605" s="6"/>
      <c r="P1605" s="6"/>
      <c r="T1605" s="5"/>
      <c r="U1605" s="5"/>
    </row>
    <row r="1606" spans="2:21" x14ac:dyDescent="0.25">
      <c r="B1606" s="90">
        <v>1977</v>
      </c>
      <c r="C1606" s="91">
        <v>0.3625338941605587</v>
      </c>
      <c r="D1606" s="92">
        <v>81</v>
      </c>
      <c r="E1606" s="93">
        <v>0.16546762589928057</v>
      </c>
      <c r="G1606" s="5"/>
      <c r="H1606" s="5"/>
      <c r="L1606" s="7"/>
      <c r="M1606" s="7"/>
      <c r="O1606" s="6"/>
      <c r="P1606" s="6"/>
      <c r="T1606" s="5"/>
      <c r="U1606" s="5"/>
    </row>
    <row r="1607" spans="2:21" x14ac:dyDescent="0.25">
      <c r="B1607" s="90">
        <v>517</v>
      </c>
      <c r="C1607" s="91">
        <v>8.5025342080356614E-2</v>
      </c>
      <c r="D1607" s="92">
        <v>82</v>
      </c>
      <c r="E1607" s="93">
        <v>0.57553956834532372</v>
      </c>
      <c r="G1607" s="5"/>
      <c r="H1607" s="5"/>
      <c r="L1607" s="7"/>
      <c r="M1607" s="7"/>
      <c r="O1607" s="6"/>
      <c r="P1607" s="6"/>
      <c r="T1607" s="5"/>
      <c r="U1607" s="5"/>
    </row>
    <row r="1608" spans="2:21" x14ac:dyDescent="0.25">
      <c r="B1608" s="90">
        <v>400</v>
      </c>
      <c r="C1608" s="91">
        <v>9.7432219843762491E-2</v>
      </c>
      <c r="D1608" s="92">
        <v>82</v>
      </c>
      <c r="E1608" s="93">
        <v>0.57553956834532372</v>
      </c>
      <c r="G1608" s="5"/>
      <c r="H1608" s="5"/>
      <c r="L1608" s="7"/>
      <c r="M1608" s="7"/>
      <c r="O1608" s="6"/>
      <c r="P1608" s="6"/>
      <c r="T1608" s="5"/>
      <c r="U1608" s="5"/>
    </row>
    <row r="1609" spans="2:21" x14ac:dyDescent="0.25">
      <c r="B1609" s="90">
        <v>216</v>
      </c>
      <c r="C1609" s="91">
        <v>0.18562676001052791</v>
      </c>
      <c r="D1609" s="92">
        <v>83</v>
      </c>
      <c r="E1609" s="93">
        <v>0.62589928057553956</v>
      </c>
      <c r="G1609" s="5"/>
      <c r="H1609" s="5"/>
      <c r="L1609" s="7"/>
      <c r="M1609" s="7"/>
      <c r="O1609" s="6"/>
      <c r="P1609" s="6"/>
      <c r="T1609" s="5"/>
      <c r="U1609" s="5"/>
    </row>
    <row r="1610" spans="2:21" x14ac:dyDescent="0.25">
      <c r="B1610" s="90">
        <v>459</v>
      </c>
      <c r="C1610" s="91">
        <v>9.3960289493251858E-2</v>
      </c>
      <c r="D1610" s="92">
        <v>84</v>
      </c>
      <c r="E1610" s="93">
        <v>0.57553956834532372</v>
      </c>
      <c r="G1610" s="5"/>
      <c r="H1610" s="5"/>
      <c r="L1610" s="7"/>
      <c r="M1610" s="7"/>
      <c r="O1610" s="6"/>
      <c r="P1610" s="6"/>
      <c r="T1610" s="5"/>
      <c r="U1610" s="5"/>
    </row>
    <row r="1611" spans="2:21" x14ac:dyDescent="0.25">
      <c r="B1611" s="90">
        <v>668</v>
      </c>
      <c r="C1611" s="91">
        <v>0.12305798512778243</v>
      </c>
      <c r="D1611" s="92">
        <v>84</v>
      </c>
      <c r="E1611" s="93">
        <v>0.48201438848920863</v>
      </c>
      <c r="G1611" s="5"/>
      <c r="H1611" s="5"/>
      <c r="L1611" s="7"/>
      <c r="M1611" s="7"/>
      <c r="O1611" s="6"/>
      <c r="P1611" s="6"/>
      <c r="T1611" s="5"/>
      <c r="U1611" s="5"/>
    </row>
    <row r="1612" spans="2:21" x14ac:dyDescent="0.25">
      <c r="B1612" s="90">
        <v>722</v>
      </c>
      <c r="C1612" s="91">
        <v>0.13038770267336242</v>
      </c>
      <c r="D1612" s="92">
        <v>84</v>
      </c>
      <c r="E1612" s="93">
        <v>0.48201438848920863</v>
      </c>
      <c r="G1612" s="5"/>
      <c r="H1612" s="5"/>
      <c r="L1612" s="7"/>
      <c r="M1612" s="7"/>
      <c r="O1612" s="6"/>
      <c r="P1612" s="6"/>
      <c r="T1612" s="5"/>
      <c r="U1612" s="5"/>
    </row>
    <row r="1613" spans="2:21" x14ac:dyDescent="0.25">
      <c r="B1613" s="90">
        <v>775</v>
      </c>
      <c r="C1613" s="91">
        <v>0.13188207487188608</v>
      </c>
      <c r="D1613" s="92">
        <v>84</v>
      </c>
      <c r="E1613" s="93">
        <v>0.48201438848920863</v>
      </c>
      <c r="G1613" s="5"/>
      <c r="H1613" s="5"/>
      <c r="L1613" s="7"/>
      <c r="M1613" s="7"/>
      <c r="O1613" s="6"/>
      <c r="P1613" s="6"/>
      <c r="T1613" s="5"/>
      <c r="U1613" s="5"/>
    </row>
    <row r="1614" spans="2:21" x14ac:dyDescent="0.25">
      <c r="B1614" s="90">
        <v>827</v>
      </c>
      <c r="C1614" s="91">
        <v>0.14421422036284315</v>
      </c>
      <c r="D1614" s="92">
        <v>84</v>
      </c>
      <c r="E1614" s="93">
        <v>0.48201438848920863</v>
      </c>
      <c r="G1614" s="5"/>
      <c r="H1614" s="5"/>
      <c r="L1614" s="7"/>
      <c r="M1614" s="7"/>
      <c r="O1614" s="6"/>
      <c r="P1614" s="6"/>
      <c r="T1614" s="5"/>
      <c r="U1614" s="5"/>
    </row>
    <row r="1615" spans="2:21" x14ac:dyDescent="0.25">
      <c r="B1615" s="90">
        <v>399</v>
      </c>
      <c r="C1615" s="91">
        <v>0.14623085307286177</v>
      </c>
      <c r="D1615" s="92">
        <v>84</v>
      </c>
      <c r="E1615" s="93">
        <v>0.61870503597122306</v>
      </c>
      <c r="G1615" s="5"/>
      <c r="H1615" s="5"/>
      <c r="L1615" s="7"/>
      <c r="M1615" s="7"/>
      <c r="O1615" s="6"/>
      <c r="P1615" s="6"/>
      <c r="T1615" s="5"/>
      <c r="U1615" s="5"/>
    </row>
    <row r="1616" spans="2:21" x14ac:dyDescent="0.25">
      <c r="B1616" s="90">
        <v>1024</v>
      </c>
      <c r="C1616" s="91">
        <v>0.36521933234056259</v>
      </c>
      <c r="D1616" s="92">
        <v>84</v>
      </c>
      <c r="E1616" s="93">
        <v>0.59712230215827333</v>
      </c>
      <c r="G1616" s="5"/>
      <c r="H1616" s="5"/>
      <c r="L1616" s="7"/>
      <c r="M1616" s="7"/>
      <c r="O1616" s="6"/>
      <c r="P1616" s="6"/>
      <c r="T1616" s="5"/>
      <c r="U1616" s="5"/>
    </row>
    <row r="1617" spans="2:21" x14ac:dyDescent="0.25">
      <c r="B1617" s="90">
        <v>1764</v>
      </c>
      <c r="C1617" s="91">
        <v>0.37673630948723624</v>
      </c>
      <c r="D1617" s="92">
        <v>84</v>
      </c>
      <c r="E1617" s="93">
        <v>0.1366906474820144</v>
      </c>
      <c r="G1617" s="5"/>
      <c r="H1617" s="5"/>
      <c r="L1617" s="7"/>
      <c r="M1617" s="7"/>
      <c r="O1617" s="6"/>
      <c r="P1617" s="6"/>
      <c r="T1617" s="5"/>
      <c r="U1617" s="5"/>
    </row>
    <row r="1618" spans="2:21" x14ac:dyDescent="0.25">
      <c r="B1618" s="90">
        <v>481</v>
      </c>
      <c r="C1618" s="91">
        <v>0.39807877213074971</v>
      </c>
      <c r="D1618" s="92">
        <v>84</v>
      </c>
      <c r="E1618" s="93">
        <v>0.39568345323741005</v>
      </c>
      <c r="G1618" s="5"/>
      <c r="H1618" s="5"/>
      <c r="L1618" s="7"/>
      <c r="M1618" s="7"/>
      <c r="O1618" s="6"/>
      <c r="P1618" s="6"/>
      <c r="T1618" s="5"/>
      <c r="U1618" s="5"/>
    </row>
    <row r="1619" spans="2:21" x14ac:dyDescent="0.25">
      <c r="B1619" s="90">
        <v>240</v>
      </c>
      <c r="C1619" s="91">
        <v>0.40551975201790291</v>
      </c>
      <c r="D1619" s="92">
        <v>84</v>
      </c>
      <c r="E1619" s="93">
        <v>0.41007194244604317</v>
      </c>
      <c r="G1619" s="5"/>
      <c r="H1619" s="5"/>
      <c r="L1619" s="7"/>
      <c r="M1619" s="7"/>
      <c r="O1619" s="6"/>
      <c r="P1619" s="6"/>
      <c r="T1619" s="5"/>
      <c r="U1619" s="5"/>
    </row>
    <row r="1620" spans="2:21" x14ac:dyDescent="0.25">
      <c r="B1620" s="90">
        <v>243</v>
      </c>
      <c r="C1620" s="91">
        <v>0.49553558574452528</v>
      </c>
      <c r="D1620" s="92">
        <v>84</v>
      </c>
      <c r="E1620" s="93">
        <v>0.38129496402877699</v>
      </c>
      <c r="G1620" s="5"/>
      <c r="H1620" s="5"/>
      <c r="L1620" s="7"/>
      <c r="M1620" s="7"/>
      <c r="O1620" s="6"/>
      <c r="P1620" s="6"/>
      <c r="T1620" s="5"/>
      <c r="U1620" s="5"/>
    </row>
    <row r="1621" spans="2:21" x14ac:dyDescent="0.25">
      <c r="B1621" s="90">
        <v>1735</v>
      </c>
      <c r="C1621" s="91">
        <v>0.80590697328937633</v>
      </c>
      <c r="D1621" s="92">
        <v>84</v>
      </c>
      <c r="E1621" s="93">
        <v>6.4748201438848921E-2</v>
      </c>
      <c r="G1621" s="5"/>
      <c r="H1621" s="5"/>
      <c r="L1621" s="7"/>
      <c r="M1621" s="7"/>
      <c r="O1621" s="6"/>
      <c r="P1621" s="6"/>
      <c r="T1621" s="5"/>
      <c r="U1621" s="5"/>
    </row>
    <row r="1622" spans="2:21" x14ac:dyDescent="0.25">
      <c r="B1622" s="90">
        <v>480</v>
      </c>
      <c r="C1622" s="91">
        <v>0.39748647167813345</v>
      </c>
      <c r="D1622" s="92">
        <v>85</v>
      </c>
      <c r="E1622" s="93">
        <v>0.39568345323741005</v>
      </c>
      <c r="G1622" s="5"/>
      <c r="H1622" s="5"/>
      <c r="L1622" s="7"/>
      <c r="M1622" s="7"/>
      <c r="O1622" s="6"/>
      <c r="P1622" s="6"/>
      <c r="T1622" s="5"/>
      <c r="U1622" s="5"/>
    </row>
    <row r="1623" spans="2:21" x14ac:dyDescent="0.25">
      <c r="B1623" s="90">
        <v>181</v>
      </c>
      <c r="C1623" s="91">
        <v>0.48696714611832936</v>
      </c>
      <c r="D1623" s="92">
        <v>85</v>
      </c>
      <c r="E1623" s="93">
        <v>0.23741007194244604</v>
      </c>
      <c r="G1623" s="5"/>
      <c r="H1623" s="5"/>
      <c r="L1623" s="7"/>
      <c r="M1623" s="7"/>
      <c r="O1623" s="6"/>
      <c r="P1623" s="6"/>
      <c r="T1623" s="5"/>
      <c r="U1623" s="5"/>
    </row>
    <row r="1624" spans="2:21" x14ac:dyDescent="0.25">
      <c r="B1624" s="90">
        <v>251</v>
      </c>
      <c r="C1624" s="91">
        <v>0.59306313279410561</v>
      </c>
      <c r="D1624" s="92">
        <v>85</v>
      </c>
      <c r="E1624" s="93">
        <v>0.33093525179856115</v>
      </c>
      <c r="G1624" s="5"/>
      <c r="H1624" s="5"/>
      <c r="L1624" s="7"/>
      <c r="M1624" s="7"/>
      <c r="O1624" s="6"/>
      <c r="P1624" s="6"/>
      <c r="T1624" s="5"/>
      <c r="U1624" s="5"/>
    </row>
    <row r="1625" spans="2:21" x14ac:dyDescent="0.25">
      <c r="B1625" s="90">
        <v>252</v>
      </c>
      <c r="C1625" s="91">
        <v>0.59402977495550757</v>
      </c>
      <c r="D1625" s="92">
        <v>85</v>
      </c>
      <c r="E1625" s="93">
        <v>0.33093525179856115</v>
      </c>
      <c r="G1625" s="5"/>
      <c r="H1625" s="5"/>
      <c r="L1625" s="7"/>
      <c r="M1625" s="7"/>
      <c r="O1625" s="6"/>
      <c r="P1625" s="6"/>
      <c r="T1625" s="5"/>
      <c r="U1625" s="5"/>
    </row>
    <row r="1626" spans="2:21" x14ac:dyDescent="0.25">
      <c r="B1626" s="90">
        <v>575</v>
      </c>
      <c r="C1626" s="91">
        <v>8.7157004566617902E-2</v>
      </c>
      <c r="D1626" s="92">
        <v>87</v>
      </c>
      <c r="E1626" s="93">
        <v>0.57553956834532372</v>
      </c>
      <c r="G1626" s="5"/>
      <c r="H1626" s="5"/>
      <c r="L1626" s="7"/>
      <c r="M1626" s="7"/>
      <c r="O1626" s="6"/>
      <c r="P1626" s="6"/>
      <c r="T1626" s="5"/>
      <c r="U1626" s="5"/>
    </row>
    <row r="1627" spans="2:21" x14ac:dyDescent="0.25">
      <c r="B1627" s="90">
        <v>460</v>
      </c>
      <c r="C1627" s="91">
        <v>9.934245945040554E-2</v>
      </c>
      <c r="D1627" s="92">
        <v>87</v>
      </c>
      <c r="E1627" s="93">
        <v>0.60431654676258995</v>
      </c>
      <c r="G1627" s="5"/>
      <c r="H1627" s="5"/>
      <c r="L1627" s="7"/>
      <c r="M1627" s="7"/>
      <c r="O1627" s="6"/>
      <c r="P1627" s="6"/>
      <c r="T1627" s="5"/>
      <c r="U1627" s="5"/>
    </row>
    <row r="1628" spans="2:21" x14ac:dyDescent="0.25">
      <c r="B1628" s="90">
        <v>579</v>
      </c>
      <c r="C1628" s="91">
        <v>0.1441778728966554</v>
      </c>
      <c r="D1628" s="92">
        <v>87</v>
      </c>
      <c r="E1628" s="93">
        <v>0.58273381294964033</v>
      </c>
      <c r="G1628" s="5"/>
      <c r="H1628" s="5"/>
      <c r="L1628" s="7"/>
      <c r="M1628" s="7"/>
      <c r="O1628" s="6"/>
      <c r="P1628" s="6"/>
      <c r="T1628" s="5"/>
      <c r="U1628" s="5"/>
    </row>
    <row r="1629" spans="2:21" x14ac:dyDescent="0.25">
      <c r="B1629" s="90">
        <v>578</v>
      </c>
      <c r="C1629" s="91">
        <v>0.20991783192090341</v>
      </c>
      <c r="D1629" s="92">
        <v>87</v>
      </c>
      <c r="E1629" s="93">
        <v>0.58992805755395683</v>
      </c>
      <c r="G1629" s="5"/>
      <c r="H1629" s="5"/>
      <c r="L1629" s="7"/>
      <c r="M1629" s="7"/>
      <c r="O1629" s="6"/>
      <c r="P1629" s="6"/>
      <c r="T1629" s="5"/>
      <c r="U1629" s="5"/>
    </row>
    <row r="1630" spans="2:21" x14ac:dyDescent="0.25">
      <c r="B1630" s="90">
        <v>466</v>
      </c>
      <c r="C1630" s="91">
        <v>0.30761326332811445</v>
      </c>
      <c r="D1630" s="92">
        <v>87</v>
      </c>
      <c r="E1630" s="93">
        <v>0.34532374100719426</v>
      </c>
      <c r="G1630" s="5"/>
      <c r="H1630" s="5"/>
      <c r="L1630" s="7"/>
      <c r="M1630" s="7"/>
      <c r="O1630" s="6"/>
      <c r="P1630" s="6"/>
      <c r="T1630" s="5"/>
      <c r="U1630" s="5"/>
    </row>
    <row r="1631" spans="2:21" x14ac:dyDescent="0.25">
      <c r="B1631" s="90">
        <v>581</v>
      </c>
      <c r="C1631" s="91">
        <v>0.30923130431906831</v>
      </c>
      <c r="D1631" s="92">
        <v>87</v>
      </c>
      <c r="E1631" s="93">
        <v>0.34532374100719426</v>
      </c>
      <c r="G1631" s="5"/>
      <c r="H1631" s="5"/>
      <c r="L1631" s="7"/>
      <c r="M1631" s="7"/>
      <c r="O1631" s="6"/>
      <c r="P1631" s="6"/>
      <c r="T1631" s="5"/>
      <c r="U1631" s="5"/>
    </row>
    <row r="1632" spans="2:21" x14ac:dyDescent="0.25">
      <c r="B1632" s="90">
        <v>468</v>
      </c>
      <c r="C1632" s="91">
        <v>0.32846608915324793</v>
      </c>
      <c r="D1632" s="92">
        <v>87</v>
      </c>
      <c r="E1632" s="93">
        <v>0.2733812949640288</v>
      </c>
      <c r="G1632" s="5"/>
      <c r="H1632" s="5"/>
      <c r="L1632" s="7"/>
      <c r="M1632" s="7"/>
      <c r="O1632" s="6"/>
      <c r="P1632" s="6"/>
      <c r="T1632" s="5"/>
      <c r="U1632" s="5"/>
    </row>
    <row r="1633" spans="2:21" x14ac:dyDescent="0.25">
      <c r="B1633" s="90">
        <v>583</v>
      </c>
      <c r="C1633" s="91">
        <v>0.33135089245630678</v>
      </c>
      <c r="D1633" s="92">
        <v>87</v>
      </c>
      <c r="E1633" s="93">
        <v>0.2733812949640288</v>
      </c>
      <c r="G1633" s="5"/>
      <c r="H1633" s="5"/>
      <c r="L1633" s="7"/>
      <c r="M1633" s="7"/>
      <c r="O1633" s="6"/>
      <c r="P1633" s="6"/>
      <c r="T1633" s="5"/>
      <c r="U1633" s="5"/>
    </row>
    <row r="1634" spans="2:21" x14ac:dyDescent="0.25">
      <c r="B1634" s="90">
        <v>584</v>
      </c>
      <c r="C1634" s="91">
        <v>0.34201714286757612</v>
      </c>
      <c r="D1634" s="92">
        <v>87</v>
      </c>
      <c r="E1634" s="93">
        <v>0.2733812949640288</v>
      </c>
      <c r="G1634" s="5"/>
      <c r="H1634" s="5"/>
      <c r="L1634" s="7"/>
      <c r="M1634" s="7"/>
      <c r="O1634" s="6"/>
      <c r="P1634" s="6"/>
      <c r="T1634" s="5"/>
      <c r="U1634" s="5"/>
    </row>
    <row r="1635" spans="2:21" x14ac:dyDescent="0.25">
      <c r="B1635" s="90">
        <v>652</v>
      </c>
      <c r="C1635" s="91">
        <v>0.42515041979409818</v>
      </c>
      <c r="D1635" s="92">
        <v>87</v>
      </c>
      <c r="E1635" s="93">
        <v>0.36690647482014388</v>
      </c>
      <c r="G1635" s="5"/>
      <c r="H1635" s="5"/>
      <c r="L1635" s="7"/>
      <c r="M1635" s="7"/>
      <c r="O1635" s="6"/>
      <c r="P1635" s="6"/>
      <c r="T1635" s="5"/>
      <c r="U1635" s="5"/>
    </row>
    <row r="1636" spans="2:21" x14ac:dyDescent="0.25">
      <c r="B1636" s="90">
        <v>178</v>
      </c>
      <c r="C1636" s="91">
        <v>0.42776492015053602</v>
      </c>
      <c r="D1636" s="92">
        <v>87</v>
      </c>
      <c r="E1636" s="93">
        <v>0.30935251798561153</v>
      </c>
      <c r="G1636" s="5"/>
      <c r="H1636" s="5"/>
      <c r="L1636" s="7"/>
      <c r="M1636" s="7"/>
      <c r="O1636" s="6"/>
      <c r="P1636" s="6"/>
      <c r="T1636" s="5"/>
      <c r="U1636" s="5"/>
    </row>
    <row r="1637" spans="2:21" x14ac:dyDescent="0.25">
      <c r="B1637" s="90">
        <v>1016</v>
      </c>
      <c r="C1637" s="91">
        <v>0.49159636802252282</v>
      </c>
      <c r="D1637" s="92">
        <v>87</v>
      </c>
      <c r="E1637" s="93">
        <v>0.19424460431654678</v>
      </c>
      <c r="G1637" s="5"/>
      <c r="H1637" s="5"/>
      <c r="L1637" s="7"/>
      <c r="M1637" s="7"/>
      <c r="O1637" s="6"/>
      <c r="P1637" s="6"/>
      <c r="T1637" s="5"/>
      <c r="U1637" s="5"/>
    </row>
    <row r="1638" spans="2:21" x14ac:dyDescent="0.25">
      <c r="B1638" s="90">
        <v>184</v>
      </c>
      <c r="C1638" s="91">
        <v>0.52925024244333407</v>
      </c>
      <c r="D1638" s="92">
        <v>87</v>
      </c>
      <c r="E1638" s="93">
        <v>0.2446043165467626</v>
      </c>
      <c r="G1638" s="5"/>
      <c r="H1638" s="5"/>
      <c r="L1638" s="7"/>
      <c r="M1638" s="7"/>
      <c r="O1638" s="6"/>
      <c r="P1638" s="6"/>
      <c r="T1638" s="5"/>
      <c r="U1638" s="5"/>
    </row>
    <row r="1639" spans="2:21" x14ac:dyDescent="0.25">
      <c r="B1639" s="90">
        <v>1063</v>
      </c>
      <c r="C1639" s="91">
        <v>0.53701212703699375</v>
      </c>
      <c r="D1639" s="92">
        <v>87</v>
      </c>
      <c r="E1639" s="93">
        <v>0.1366906474820144</v>
      </c>
      <c r="G1639" s="5"/>
      <c r="H1639" s="5"/>
      <c r="L1639" s="7"/>
      <c r="M1639" s="7"/>
      <c r="O1639" s="6"/>
      <c r="P1639" s="6"/>
      <c r="T1639" s="5"/>
      <c r="U1639" s="5"/>
    </row>
    <row r="1640" spans="2:21" x14ac:dyDescent="0.25">
      <c r="B1640" s="90">
        <v>244</v>
      </c>
      <c r="C1640" s="91">
        <v>0.50819936079041861</v>
      </c>
      <c r="D1640" s="92">
        <v>88</v>
      </c>
      <c r="E1640" s="93">
        <v>0.33093525179856115</v>
      </c>
      <c r="G1640" s="5"/>
      <c r="H1640" s="5"/>
      <c r="L1640" s="7"/>
      <c r="M1640" s="7"/>
      <c r="O1640" s="6"/>
      <c r="P1640" s="6"/>
      <c r="T1640" s="5"/>
      <c r="U1640" s="5"/>
    </row>
    <row r="1641" spans="2:21" x14ac:dyDescent="0.25">
      <c r="B1641" s="90">
        <v>673</v>
      </c>
      <c r="C1641" s="91">
        <v>4.9311188530781425E-2</v>
      </c>
      <c r="D1641" s="92">
        <v>89</v>
      </c>
      <c r="E1641" s="93">
        <v>0.37410071942446044</v>
      </c>
      <c r="G1641" s="5"/>
      <c r="H1641" s="5"/>
      <c r="L1641" s="7"/>
      <c r="M1641" s="7"/>
      <c r="O1641" s="6"/>
      <c r="P1641" s="6"/>
      <c r="T1641" s="5"/>
      <c r="U1641" s="5"/>
    </row>
    <row r="1642" spans="2:21" x14ac:dyDescent="0.25">
      <c r="B1642" s="90">
        <v>780</v>
      </c>
      <c r="C1642" s="91">
        <v>5.0855571048453174E-2</v>
      </c>
      <c r="D1642" s="92">
        <v>89</v>
      </c>
      <c r="E1642" s="93">
        <v>0.37410071942446044</v>
      </c>
      <c r="G1642" s="5"/>
      <c r="H1642" s="5"/>
      <c r="L1642" s="7"/>
      <c r="M1642" s="7"/>
      <c r="O1642" s="6"/>
      <c r="P1642" s="6"/>
      <c r="T1642" s="5"/>
      <c r="U1642" s="5"/>
    </row>
    <row r="1643" spans="2:21" x14ac:dyDescent="0.25">
      <c r="B1643" s="90">
        <v>727</v>
      </c>
      <c r="C1643" s="91">
        <v>5.1298329438914436E-2</v>
      </c>
      <c r="D1643" s="92">
        <v>89</v>
      </c>
      <c r="E1643" s="93">
        <v>0.38129496402877699</v>
      </c>
      <c r="G1643" s="5"/>
      <c r="H1643" s="5"/>
      <c r="L1643" s="7"/>
      <c r="M1643" s="7"/>
      <c r="O1643" s="6"/>
      <c r="P1643" s="6"/>
      <c r="T1643" s="5"/>
      <c r="U1643" s="5"/>
    </row>
    <row r="1644" spans="2:21" x14ac:dyDescent="0.25">
      <c r="B1644" s="90">
        <v>832</v>
      </c>
      <c r="C1644" s="91">
        <v>5.2987812983269711E-2</v>
      </c>
      <c r="D1644" s="92">
        <v>89</v>
      </c>
      <c r="E1644" s="93">
        <v>0.38129496402877699</v>
      </c>
      <c r="G1644" s="5"/>
      <c r="H1644" s="5"/>
      <c r="L1644" s="7"/>
      <c r="M1644" s="7"/>
      <c r="O1644" s="6"/>
      <c r="P1644" s="6"/>
      <c r="T1644" s="5"/>
      <c r="U1644" s="5"/>
    </row>
    <row r="1645" spans="2:21" x14ac:dyDescent="0.25">
      <c r="B1645" s="90">
        <v>987</v>
      </c>
      <c r="C1645" s="91">
        <v>5.4808521119982245E-2</v>
      </c>
      <c r="D1645" s="92">
        <v>89</v>
      </c>
      <c r="E1645" s="93">
        <v>0.39568345323741005</v>
      </c>
      <c r="G1645" s="5"/>
      <c r="H1645" s="5"/>
      <c r="L1645" s="7"/>
      <c r="M1645" s="7"/>
      <c r="O1645" s="6"/>
      <c r="P1645" s="6"/>
      <c r="T1645" s="5"/>
      <c r="U1645" s="5"/>
    </row>
    <row r="1646" spans="2:21" x14ac:dyDescent="0.25">
      <c r="B1646" s="90">
        <v>330</v>
      </c>
      <c r="C1646" s="91">
        <v>5.5945189869267109E-2</v>
      </c>
      <c r="D1646" s="92">
        <v>89</v>
      </c>
      <c r="E1646" s="93">
        <v>0.38129496402877699</v>
      </c>
      <c r="G1646" s="5"/>
      <c r="H1646" s="5"/>
      <c r="L1646" s="7"/>
      <c r="M1646" s="7"/>
      <c r="O1646" s="6"/>
      <c r="P1646" s="6"/>
      <c r="T1646" s="5"/>
      <c r="U1646" s="5"/>
    </row>
    <row r="1647" spans="2:21" x14ac:dyDescent="0.25">
      <c r="B1647" s="90">
        <v>939</v>
      </c>
      <c r="C1647" s="91">
        <v>5.6172619537495305E-2</v>
      </c>
      <c r="D1647" s="92">
        <v>89</v>
      </c>
      <c r="E1647" s="93">
        <v>0.38848920863309355</v>
      </c>
      <c r="G1647" s="5"/>
      <c r="H1647" s="5"/>
      <c r="L1647" s="7"/>
      <c r="M1647" s="7"/>
      <c r="O1647" s="6"/>
      <c r="P1647" s="6"/>
      <c r="T1647" s="5"/>
      <c r="U1647" s="5"/>
    </row>
    <row r="1648" spans="2:21" x14ac:dyDescent="0.25">
      <c r="B1648" s="90">
        <v>889</v>
      </c>
      <c r="C1648" s="91">
        <v>5.6816419519033268E-2</v>
      </c>
      <c r="D1648" s="92">
        <v>89</v>
      </c>
      <c r="E1648" s="93">
        <v>0.38848920863309355</v>
      </c>
      <c r="G1648" s="5"/>
      <c r="H1648" s="5"/>
      <c r="L1648" s="7"/>
      <c r="M1648" s="7"/>
      <c r="O1648" s="6"/>
      <c r="P1648" s="6"/>
      <c r="T1648" s="5"/>
      <c r="U1648" s="5"/>
    </row>
    <row r="1649" spans="2:21" x14ac:dyDescent="0.25">
      <c r="B1649" s="90">
        <v>938</v>
      </c>
      <c r="C1649" s="91">
        <v>5.8048213301912677E-2</v>
      </c>
      <c r="D1649" s="92">
        <v>89</v>
      </c>
      <c r="E1649" s="93">
        <v>0.39568345323741005</v>
      </c>
      <c r="G1649" s="5"/>
      <c r="H1649" s="5"/>
      <c r="L1649" s="7"/>
      <c r="M1649" s="7"/>
      <c r="O1649" s="6"/>
      <c r="P1649" s="6"/>
      <c r="T1649" s="5"/>
      <c r="U1649" s="5"/>
    </row>
    <row r="1650" spans="2:21" x14ac:dyDescent="0.25">
      <c r="B1650" s="90">
        <v>988</v>
      </c>
      <c r="C1650" s="91">
        <v>5.805985450146367E-2</v>
      </c>
      <c r="D1650" s="92">
        <v>89</v>
      </c>
      <c r="E1650" s="93">
        <v>0.38848920863309355</v>
      </c>
      <c r="G1650" s="5"/>
      <c r="H1650" s="5"/>
      <c r="L1650" s="7"/>
      <c r="M1650" s="7"/>
      <c r="O1650" s="6"/>
      <c r="P1650" s="6"/>
      <c r="T1650" s="5"/>
      <c r="U1650" s="5"/>
    </row>
    <row r="1651" spans="2:21" x14ac:dyDescent="0.25">
      <c r="B1651" s="90">
        <v>1123</v>
      </c>
      <c r="C1651" s="91">
        <v>6.0321250209211419E-2</v>
      </c>
      <c r="D1651" s="92">
        <v>89</v>
      </c>
      <c r="E1651" s="93">
        <v>0.40287769784172661</v>
      </c>
      <c r="G1651" s="5"/>
      <c r="H1651" s="5"/>
      <c r="L1651" s="7"/>
      <c r="M1651" s="7"/>
      <c r="O1651" s="6"/>
      <c r="P1651" s="6"/>
      <c r="T1651" s="5"/>
      <c r="U1651" s="5"/>
    </row>
    <row r="1652" spans="2:21" x14ac:dyDescent="0.25">
      <c r="B1652" s="90">
        <v>1077</v>
      </c>
      <c r="C1652" s="91">
        <v>6.2274370043136407E-2</v>
      </c>
      <c r="D1652" s="92">
        <v>89</v>
      </c>
      <c r="E1652" s="93">
        <v>0.40287769784172661</v>
      </c>
      <c r="G1652" s="5"/>
      <c r="H1652" s="5"/>
      <c r="L1652" s="7"/>
      <c r="M1652" s="7"/>
      <c r="O1652" s="6"/>
      <c r="P1652" s="6"/>
      <c r="T1652" s="5"/>
      <c r="U1652" s="5"/>
    </row>
    <row r="1653" spans="2:21" x14ac:dyDescent="0.25">
      <c r="B1653" s="90">
        <v>888</v>
      </c>
      <c r="C1653" s="91">
        <v>6.3338725786046379E-2</v>
      </c>
      <c r="D1653" s="92">
        <v>89</v>
      </c>
      <c r="E1653" s="93">
        <v>0.39568345323741005</v>
      </c>
      <c r="G1653" s="5"/>
      <c r="H1653" s="5"/>
      <c r="L1653" s="7"/>
      <c r="M1653" s="7"/>
      <c r="O1653" s="6"/>
      <c r="P1653" s="6"/>
      <c r="T1653" s="5"/>
      <c r="U1653" s="5"/>
    </row>
    <row r="1654" spans="2:21" x14ac:dyDescent="0.25">
      <c r="B1654" s="90">
        <v>837</v>
      </c>
      <c r="C1654" s="91">
        <v>6.3496395722486998E-2</v>
      </c>
      <c r="D1654" s="92">
        <v>89</v>
      </c>
      <c r="E1654" s="93">
        <v>0.39568345323741005</v>
      </c>
      <c r="G1654" s="5"/>
      <c r="H1654" s="5"/>
      <c r="L1654" s="7"/>
      <c r="M1654" s="7"/>
      <c r="O1654" s="6"/>
      <c r="P1654" s="6"/>
      <c r="T1654" s="5"/>
      <c r="U1654" s="5"/>
    </row>
    <row r="1655" spans="2:21" x14ac:dyDescent="0.25">
      <c r="B1655" s="90">
        <v>989</v>
      </c>
      <c r="C1655" s="91">
        <v>6.4298021499315627E-2</v>
      </c>
      <c r="D1655" s="92">
        <v>89</v>
      </c>
      <c r="E1655" s="93">
        <v>0.41007194244604317</v>
      </c>
      <c r="G1655" s="5"/>
      <c r="H1655" s="5"/>
      <c r="L1655" s="7"/>
      <c r="M1655" s="7"/>
      <c r="O1655" s="6"/>
      <c r="P1655" s="6"/>
      <c r="T1655" s="5"/>
      <c r="U1655" s="5"/>
    </row>
    <row r="1656" spans="2:21" x14ac:dyDescent="0.25">
      <c r="B1656" s="90">
        <v>269</v>
      </c>
      <c r="C1656" s="91">
        <v>6.4841206468460033E-2</v>
      </c>
      <c r="D1656" s="92">
        <v>89</v>
      </c>
      <c r="E1656" s="93">
        <v>0.38129496402877699</v>
      </c>
      <c r="G1656" s="5"/>
      <c r="H1656" s="5"/>
      <c r="L1656" s="7"/>
      <c r="M1656" s="7"/>
      <c r="O1656" s="6"/>
      <c r="P1656" s="6"/>
      <c r="T1656" s="5"/>
      <c r="U1656" s="5"/>
    </row>
    <row r="1657" spans="2:21" x14ac:dyDescent="0.25">
      <c r="B1657" s="90">
        <v>940</v>
      </c>
      <c r="C1657" s="91">
        <v>6.7954542036259613E-2</v>
      </c>
      <c r="D1657" s="92">
        <v>89</v>
      </c>
      <c r="E1657" s="93">
        <v>0.41007194244604317</v>
      </c>
      <c r="G1657" s="5"/>
      <c r="H1657" s="5"/>
      <c r="L1657" s="7"/>
      <c r="M1657" s="7"/>
      <c r="O1657" s="6"/>
      <c r="P1657" s="6"/>
      <c r="T1657" s="5"/>
      <c r="U1657" s="5"/>
    </row>
    <row r="1658" spans="2:21" x14ac:dyDescent="0.25">
      <c r="B1658" s="90">
        <v>984</v>
      </c>
      <c r="C1658" s="91">
        <v>7.1270119163024948E-2</v>
      </c>
      <c r="D1658" s="92">
        <v>89</v>
      </c>
      <c r="E1658" s="93">
        <v>0.37410071942446044</v>
      </c>
      <c r="G1658" s="5"/>
      <c r="H1658" s="5"/>
      <c r="L1658" s="7"/>
      <c r="M1658" s="7"/>
      <c r="O1658" s="6"/>
      <c r="P1658" s="6"/>
      <c r="T1658" s="5"/>
      <c r="U1658" s="5"/>
    </row>
    <row r="1659" spans="2:21" x14ac:dyDescent="0.25">
      <c r="B1659" s="90">
        <v>890</v>
      </c>
      <c r="C1659" s="91">
        <v>7.3440050454901873E-2</v>
      </c>
      <c r="D1659" s="92">
        <v>89</v>
      </c>
      <c r="E1659" s="93">
        <v>0.41007194244604317</v>
      </c>
      <c r="G1659" s="5"/>
      <c r="H1659" s="5"/>
      <c r="L1659" s="7"/>
      <c r="M1659" s="7"/>
      <c r="O1659" s="6"/>
      <c r="P1659" s="6"/>
      <c r="T1659" s="5"/>
      <c r="U1659" s="5"/>
    </row>
    <row r="1660" spans="2:21" x14ac:dyDescent="0.25">
      <c r="B1660" s="90">
        <v>935</v>
      </c>
      <c r="C1660" s="91">
        <v>7.4162229219105869E-2</v>
      </c>
      <c r="D1660" s="92">
        <v>89</v>
      </c>
      <c r="E1660" s="93">
        <v>0.37410071942446044</v>
      </c>
      <c r="G1660" s="5"/>
      <c r="H1660" s="5"/>
      <c r="L1660" s="7"/>
      <c r="M1660" s="7"/>
      <c r="O1660" s="6"/>
      <c r="P1660" s="6"/>
      <c r="T1660" s="5"/>
      <c r="U1660" s="5"/>
    </row>
    <row r="1661" spans="2:21" x14ac:dyDescent="0.25">
      <c r="B1661" s="90">
        <v>990</v>
      </c>
      <c r="C1661" s="91">
        <v>7.4847444499745452E-2</v>
      </c>
      <c r="D1661" s="92">
        <v>89</v>
      </c>
      <c r="E1661" s="93">
        <v>0.41007194244604317</v>
      </c>
      <c r="G1661" s="5"/>
      <c r="H1661" s="5"/>
      <c r="L1661" s="7"/>
      <c r="M1661" s="7"/>
      <c r="O1661" s="6"/>
      <c r="P1661" s="6"/>
      <c r="T1661" s="5"/>
      <c r="U1661" s="5"/>
    </row>
    <row r="1662" spans="2:21" x14ac:dyDescent="0.25">
      <c r="B1662" s="90">
        <v>941</v>
      </c>
      <c r="C1662" s="91">
        <v>7.7255746699507188E-2</v>
      </c>
      <c r="D1662" s="92">
        <v>89</v>
      </c>
      <c r="E1662" s="93">
        <v>0.41007194244604317</v>
      </c>
      <c r="G1662" s="5"/>
      <c r="H1662" s="5"/>
      <c r="L1662" s="7"/>
      <c r="M1662" s="7"/>
      <c r="O1662" s="6"/>
      <c r="P1662" s="6"/>
      <c r="T1662" s="5"/>
      <c r="U1662" s="5"/>
    </row>
    <row r="1663" spans="2:21" x14ac:dyDescent="0.25">
      <c r="B1663" s="90">
        <v>991</v>
      </c>
      <c r="C1663" s="91">
        <v>8.7682226354170334E-2</v>
      </c>
      <c r="D1663" s="92">
        <v>89</v>
      </c>
      <c r="E1663" s="93">
        <v>0.42446043165467628</v>
      </c>
      <c r="G1663" s="5"/>
      <c r="H1663" s="5"/>
      <c r="L1663" s="7"/>
      <c r="M1663" s="7"/>
      <c r="O1663" s="6"/>
      <c r="P1663" s="6"/>
      <c r="T1663" s="5"/>
      <c r="U1663" s="5"/>
    </row>
    <row r="1664" spans="2:21" x14ac:dyDescent="0.25">
      <c r="B1664" s="90">
        <v>942</v>
      </c>
      <c r="C1664" s="91">
        <v>9.0126833442789711E-2</v>
      </c>
      <c r="D1664" s="92">
        <v>89</v>
      </c>
      <c r="E1664" s="93">
        <v>0.42446043165467628</v>
      </c>
      <c r="G1664" s="5"/>
      <c r="H1664" s="5"/>
      <c r="L1664" s="7"/>
      <c r="M1664" s="7"/>
      <c r="O1664" s="6"/>
      <c r="P1664" s="6"/>
      <c r="T1664" s="5"/>
      <c r="U1664" s="5"/>
    </row>
    <row r="1665" spans="2:21" x14ac:dyDescent="0.25">
      <c r="B1665" s="90">
        <v>884</v>
      </c>
      <c r="C1665" s="91">
        <v>0.10297457540078148</v>
      </c>
      <c r="D1665" s="92">
        <v>89</v>
      </c>
      <c r="E1665" s="93">
        <v>0.37410071942446044</v>
      </c>
      <c r="G1665" s="5"/>
      <c r="H1665" s="5"/>
      <c r="L1665" s="7"/>
      <c r="M1665" s="7"/>
      <c r="O1665" s="6"/>
      <c r="P1665" s="6"/>
      <c r="T1665" s="5"/>
      <c r="U1665" s="5"/>
    </row>
    <row r="1666" spans="2:21" x14ac:dyDescent="0.25">
      <c r="B1666" s="90">
        <v>331</v>
      </c>
      <c r="C1666" s="91">
        <v>0.11064355491791344</v>
      </c>
      <c r="D1666" s="92">
        <v>89</v>
      </c>
      <c r="E1666" s="93">
        <v>0.36690647482014388</v>
      </c>
      <c r="G1666" s="5"/>
      <c r="H1666" s="5"/>
      <c r="L1666" s="7"/>
      <c r="M1666" s="7"/>
      <c r="O1666" s="6"/>
      <c r="P1666" s="6"/>
      <c r="T1666" s="5"/>
      <c r="U1666" s="5"/>
    </row>
    <row r="1667" spans="2:21" x14ac:dyDescent="0.25">
      <c r="B1667" s="90">
        <v>887</v>
      </c>
      <c r="C1667" s="91">
        <v>0.11348258534489331</v>
      </c>
      <c r="D1667" s="92">
        <v>89</v>
      </c>
      <c r="E1667" s="93">
        <v>0.35971223021582732</v>
      </c>
      <c r="G1667" s="5"/>
      <c r="H1667" s="5"/>
      <c r="L1667" s="7"/>
      <c r="M1667" s="7"/>
      <c r="O1667" s="6"/>
      <c r="P1667" s="6"/>
      <c r="T1667" s="5"/>
      <c r="U1667" s="5"/>
    </row>
    <row r="1668" spans="2:21" x14ac:dyDescent="0.25">
      <c r="B1668" s="90">
        <v>934</v>
      </c>
      <c r="C1668" s="91">
        <v>0.11441999287705806</v>
      </c>
      <c r="D1668" s="92">
        <v>89</v>
      </c>
      <c r="E1668" s="93">
        <v>0.37410071942446044</v>
      </c>
      <c r="G1668" s="5"/>
      <c r="H1668" s="5"/>
      <c r="L1668" s="7"/>
      <c r="M1668" s="7"/>
      <c r="O1668" s="6"/>
      <c r="P1668" s="6"/>
      <c r="T1668" s="5"/>
      <c r="U1668" s="5"/>
    </row>
    <row r="1669" spans="2:21" x14ac:dyDescent="0.25">
      <c r="B1669" s="90">
        <v>270</v>
      </c>
      <c r="C1669" s="91">
        <v>0.11956872749569381</v>
      </c>
      <c r="D1669" s="92">
        <v>89</v>
      </c>
      <c r="E1669" s="93">
        <v>0.36690647482014388</v>
      </c>
      <c r="G1669" s="5"/>
      <c r="H1669" s="5"/>
      <c r="L1669" s="7"/>
      <c r="M1669" s="7"/>
      <c r="O1669" s="6"/>
      <c r="P1669" s="6"/>
      <c r="T1669" s="5"/>
      <c r="U1669" s="5"/>
    </row>
    <row r="1670" spans="2:21" x14ac:dyDescent="0.25">
      <c r="B1670" s="90">
        <v>206</v>
      </c>
      <c r="C1670" s="91">
        <v>0.12224440951917548</v>
      </c>
      <c r="D1670" s="92">
        <v>89</v>
      </c>
      <c r="E1670" s="93">
        <v>0.38129496402877699</v>
      </c>
      <c r="G1670" s="5"/>
      <c r="H1670" s="5"/>
      <c r="L1670" s="7"/>
      <c r="M1670" s="7"/>
      <c r="O1670" s="6"/>
      <c r="P1670" s="6"/>
      <c r="T1670" s="5"/>
      <c r="U1670" s="5"/>
    </row>
    <row r="1671" spans="2:21" x14ac:dyDescent="0.25">
      <c r="B1671" s="90">
        <v>937</v>
      </c>
      <c r="C1671" s="91">
        <v>0.1253780012269442</v>
      </c>
      <c r="D1671" s="92">
        <v>89</v>
      </c>
      <c r="E1671" s="93">
        <v>0.35971223021582732</v>
      </c>
      <c r="G1671" s="5"/>
      <c r="H1671" s="5"/>
      <c r="L1671" s="7"/>
      <c r="M1671" s="7"/>
      <c r="O1671" s="6"/>
      <c r="P1671" s="6"/>
      <c r="T1671" s="5"/>
      <c r="U1671" s="5"/>
    </row>
    <row r="1672" spans="2:21" x14ac:dyDescent="0.25">
      <c r="B1672" s="90">
        <v>1380</v>
      </c>
      <c r="C1672" s="91">
        <v>0.2021275067994649</v>
      </c>
      <c r="D1672" s="92">
        <v>89</v>
      </c>
      <c r="E1672" s="93">
        <v>0.21582733812949639</v>
      </c>
      <c r="G1672" s="5"/>
      <c r="H1672" s="5"/>
      <c r="L1672" s="7"/>
      <c r="M1672" s="7"/>
      <c r="O1672" s="6"/>
      <c r="P1672" s="6"/>
      <c r="T1672" s="5"/>
      <c r="U1672" s="5"/>
    </row>
    <row r="1673" spans="2:21" x14ac:dyDescent="0.25">
      <c r="B1673" s="90">
        <v>1213</v>
      </c>
      <c r="C1673" s="91">
        <v>0.21037766450795525</v>
      </c>
      <c r="D1673" s="92">
        <v>89</v>
      </c>
      <c r="E1673" s="93">
        <v>0.22302158273381295</v>
      </c>
      <c r="G1673" s="5"/>
      <c r="H1673" s="5"/>
      <c r="L1673" s="7"/>
      <c r="M1673" s="7"/>
      <c r="O1673" s="6"/>
      <c r="P1673" s="6"/>
      <c r="T1673" s="5"/>
      <c r="U1673" s="5"/>
    </row>
    <row r="1674" spans="2:21" x14ac:dyDescent="0.25">
      <c r="B1674" s="90">
        <v>1340</v>
      </c>
      <c r="C1674" s="91">
        <v>0.2352068649518646</v>
      </c>
      <c r="D1674" s="92">
        <v>89</v>
      </c>
      <c r="E1674" s="93">
        <v>0.20143884892086331</v>
      </c>
      <c r="G1674" s="5"/>
      <c r="H1674" s="5"/>
      <c r="L1674" s="7"/>
      <c r="M1674" s="7"/>
      <c r="O1674" s="6"/>
      <c r="P1674" s="6"/>
      <c r="T1674" s="5"/>
      <c r="U1674" s="5"/>
    </row>
    <row r="1675" spans="2:21" x14ac:dyDescent="0.25">
      <c r="B1675" s="90">
        <v>1383</v>
      </c>
      <c r="C1675" s="91">
        <v>0.2364140357701463</v>
      </c>
      <c r="D1675" s="92">
        <v>89</v>
      </c>
      <c r="E1675" s="93">
        <v>0.14388489208633093</v>
      </c>
      <c r="G1675" s="5"/>
      <c r="H1675" s="5"/>
      <c r="L1675" s="7"/>
      <c r="M1675" s="7"/>
      <c r="O1675" s="6"/>
      <c r="P1675" s="6"/>
      <c r="T1675" s="5"/>
      <c r="U1675" s="5"/>
    </row>
    <row r="1676" spans="2:21" x14ac:dyDescent="0.25">
      <c r="B1676" s="90">
        <v>1419</v>
      </c>
      <c r="C1676" s="91">
        <v>0.2485937732102238</v>
      </c>
      <c r="D1676" s="92">
        <v>89</v>
      </c>
      <c r="E1676" s="93">
        <v>0.15107913669064749</v>
      </c>
      <c r="G1676" s="5"/>
      <c r="H1676" s="5"/>
      <c r="L1676" s="7"/>
      <c r="M1676" s="7"/>
      <c r="O1676" s="6"/>
      <c r="P1676" s="6"/>
      <c r="T1676" s="5"/>
      <c r="U1676" s="5"/>
    </row>
    <row r="1677" spans="2:21" x14ac:dyDescent="0.25">
      <c r="B1677" s="90">
        <v>1343</v>
      </c>
      <c r="C1677" s="91">
        <v>0.26680233036242063</v>
      </c>
      <c r="D1677" s="92">
        <v>89</v>
      </c>
      <c r="E1677" s="93">
        <v>0.14388489208633093</v>
      </c>
      <c r="G1677" s="5"/>
      <c r="H1677" s="5"/>
      <c r="L1677" s="7"/>
      <c r="M1677" s="7"/>
      <c r="O1677" s="6"/>
      <c r="P1677" s="6"/>
      <c r="T1677" s="5"/>
      <c r="U1677" s="5"/>
    </row>
    <row r="1678" spans="2:21" x14ac:dyDescent="0.25">
      <c r="B1678" s="90">
        <v>1301</v>
      </c>
      <c r="C1678" s="91">
        <v>0.2798748588496095</v>
      </c>
      <c r="D1678" s="92">
        <v>89</v>
      </c>
      <c r="E1678" s="93">
        <v>0.1366906474820144</v>
      </c>
      <c r="G1678" s="5"/>
      <c r="H1678" s="5"/>
      <c r="L1678" s="7"/>
      <c r="M1678" s="7"/>
      <c r="O1678" s="6"/>
      <c r="P1678" s="6"/>
      <c r="T1678" s="5"/>
      <c r="U1678" s="5"/>
    </row>
    <row r="1679" spans="2:21" x14ac:dyDescent="0.25">
      <c r="B1679" s="90">
        <v>1422</v>
      </c>
      <c r="C1679" s="91">
        <v>0.31694428732232416</v>
      </c>
      <c r="D1679" s="92">
        <v>89</v>
      </c>
      <c r="E1679" s="93">
        <v>0.14388489208633093</v>
      </c>
      <c r="G1679" s="5"/>
      <c r="H1679" s="5"/>
      <c r="L1679" s="7"/>
      <c r="M1679" s="7"/>
      <c r="O1679" s="6"/>
      <c r="P1679" s="6"/>
      <c r="T1679" s="5"/>
      <c r="U1679" s="5"/>
    </row>
    <row r="1680" spans="2:21" x14ac:dyDescent="0.25">
      <c r="B1680" s="90">
        <v>14</v>
      </c>
      <c r="C1680" s="91">
        <v>0.34977231472197579</v>
      </c>
      <c r="D1680" s="92">
        <v>89</v>
      </c>
      <c r="E1680" s="93">
        <v>0.15827338129496402</v>
      </c>
      <c r="G1680" s="5"/>
      <c r="H1680" s="5"/>
      <c r="L1680" s="7"/>
      <c r="M1680" s="7"/>
      <c r="O1680" s="6"/>
      <c r="P1680" s="6"/>
      <c r="T1680" s="5"/>
      <c r="U1680" s="5"/>
    </row>
    <row r="1681" spans="2:21" x14ac:dyDescent="0.25">
      <c r="B1681" s="90">
        <v>2055</v>
      </c>
      <c r="C1681" s="91">
        <v>0.34977231472197579</v>
      </c>
      <c r="D1681" s="92">
        <v>89</v>
      </c>
      <c r="E1681" s="93">
        <v>0.15827338129496402</v>
      </c>
      <c r="G1681" s="5"/>
      <c r="H1681" s="5"/>
      <c r="L1681" s="7"/>
      <c r="M1681" s="7"/>
      <c r="O1681" s="6"/>
      <c r="P1681" s="6"/>
      <c r="T1681" s="5"/>
      <c r="U1681" s="5"/>
    </row>
    <row r="1682" spans="2:21" x14ac:dyDescent="0.25">
      <c r="B1682" s="90">
        <v>1011</v>
      </c>
      <c r="C1682" s="91">
        <v>0.37089025337849801</v>
      </c>
      <c r="D1682" s="92">
        <v>90</v>
      </c>
      <c r="E1682" s="93">
        <v>0.34532374100719426</v>
      </c>
      <c r="G1682" s="5"/>
      <c r="H1682" s="5"/>
      <c r="L1682" s="7"/>
      <c r="M1682" s="7"/>
      <c r="O1682" s="6"/>
      <c r="P1682" s="6"/>
      <c r="T1682" s="5"/>
      <c r="U1682" s="5"/>
    </row>
    <row r="1683" spans="2:21" x14ac:dyDescent="0.25">
      <c r="B1683" s="90">
        <v>247</v>
      </c>
      <c r="C1683" s="91">
        <v>0.55619337291894821</v>
      </c>
      <c r="D1683" s="92">
        <v>90</v>
      </c>
      <c r="E1683" s="93">
        <v>0.33812949640287771</v>
      </c>
      <c r="G1683" s="5"/>
      <c r="H1683" s="5"/>
      <c r="L1683" s="7"/>
      <c r="M1683" s="7"/>
      <c r="O1683" s="6"/>
      <c r="P1683" s="6"/>
      <c r="T1683" s="5"/>
      <c r="U1683" s="5"/>
    </row>
    <row r="1684" spans="2:21" x14ac:dyDescent="0.25">
      <c r="B1684" s="90">
        <v>574</v>
      </c>
      <c r="C1684" s="91">
        <v>8.1615935533303041E-2</v>
      </c>
      <c r="D1684" s="92">
        <v>91</v>
      </c>
      <c r="E1684" s="93">
        <v>0.57553956834532372</v>
      </c>
      <c r="G1684" s="5"/>
      <c r="H1684" s="5"/>
      <c r="L1684" s="7"/>
      <c r="M1684" s="7"/>
      <c r="O1684" s="6"/>
      <c r="P1684" s="6"/>
      <c r="T1684" s="5"/>
      <c r="U1684" s="5"/>
    </row>
    <row r="1685" spans="2:21" x14ac:dyDescent="0.25">
      <c r="B1685" s="90">
        <v>613</v>
      </c>
      <c r="C1685" s="91">
        <v>0.11824362657662624</v>
      </c>
      <c r="D1685" s="92">
        <v>91</v>
      </c>
      <c r="E1685" s="93">
        <v>0.47482014388489208</v>
      </c>
      <c r="G1685" s="5"/>
      <c r="H1685" s="5"/>
      <c r="L1685" s="7"/>
      <c r="M1685" s="7"/>
      <c r="O1685" s="6"/>
      <c r="P1685" s="6"/>
      <c r="T1685" s="5"/>
      <c r="U1685" s="5"/>
    </row>
    <row r="1686" spans="2:21" x14ac:dyDescent="0.25">
      <c r="B1686" s="90">
        <v>573</v>
      </c>
      <c r="C1686" s="91">
        <v>0.1295676573787945</v>
      </c>
      <c r="D1686" s="92">
        <v>91</v>
      </c>
      <c r="E1686" s="93">
        <v>0.58992805755395683</v>
      </c>
      <c r="G1686" s="5"/>
      <c r="H1686" s="5"/>
      <c r="L1686" s="7"/>
      <c r="M1686" s="7"/>
      <c r="O1686" s="6"/>
      <c r="P1686" s="6"/>
      <c r="T1686" s="5"/>
      <c r="U1686" s="5"/>
    </row>
    <row r="1687" spans="2:21" x14ac:dyDescent="0.25">
      <c r="B1687" s="90">
        <v>458</v>
      </c>
      <c r="C1687" s="91">
        <v>0.14265147155917646</v>
      </c>
      <c r="D1687" s="92">
        <v>91</v>
      </c>
      <c r="E1687" s="93">
        <v>0.58992805755395683</v>
      </c>
      <c r="G1687" s="5"/>
      <c r="H1687" s="5"/>
      <c r="L1687" s="7"/>
      <c r="M1687" s="7"/>
      <c r="O1687" s="6"/>
      <c r="P1687" s="6"/>
      <c r="T1687" s="5"/>
      <c r="U1687" s="5"/>
    </row>
    <row r="1688" spans="2:21" x14ac:dyDescent="0.25">
      <c r="B1688" s="90">
        <v>114</v>
      </c>
      <c r="C1688" s="91">
        <v>0.43670773698942611</v>
      </c>
      <c r="D1688" s="92">
        <v>91</v>
      </c>
      <c r="E1688" s="93">
        <v>0.40287769784172661</v>
      </c>
      <c r="G1688" s="5"/>
      <c r="H1688" s="5"/>
      <c r="L1688" s="7"/>
      <c r="M1688" s="7"/>
      <c r="O1688" s="6"/>
      <c r="P1688" s="6"/>
      <c r="T1688" s="5"/>
      <c r="U1688" s="5"/>
    </row>
    <row r="1689" spans="2:21" x14ac:dyDescent="0.25">
      <c r="B1689" s="90">
        <v>115</v>
      </c>
      <c r="C1689" s="91">
        <v>0.47489989663925114</v>
      </c>
      <c r="D1689" s="92">
        <v>91</v>
      </c>
      <c r="E1689" s="93">
        <v>0.33812949640287771</v>
      </c>
      <c r="G1689" s="5"/>
      <c r="H1689" s="5"/>
      <c r="L1689" s="7"/>
      <c r="M1689" s="7"/>
      <c r="O1689" s="6"/>
      <c r="P1689" s="6"/>
      <c r="T1689" s="5"/>
      <c r="U1689" s="5"/>
    </row>
    <row r="1690" spans="2:21" x14ac:dyDescent="0.25">
      <c r="B1690" s="90">
        <v>116</v>
      </c>
      <c r="C1690" s="91">
        <v>0.47504984552444418</v>
      </c>
      <c r="D1690" s="92">
        <v>91</v>
      </c>
      <c r="E1690" s="93">
        <v>0.32374100719424459</v>
      </c>
      <c r="G1690" s="5"/>
      <c r="H1690" s="5"/>
      <c r="L1690" s="7"/>
      <c r="M1690" s="7"/>
      <c r="O1690" s="6"/>
      <c r="P1690" s="6"/>
      <c r="T1690" s="5"/>
      <c r="U1690" s="5"/>
    </row>
    <row r="1691" spans="2:21" x14ac:dyDescent="0.25">
      <c r="B1691" s="90">
        <v>762</v>
      </c>
      <c r="C1691" s="91">
        <v>0.44240421035178956</v>
      </c>
      <c r="D1691" s="92">
        <v>92</v>
      </c>
      <c r="E1691" s="93">
        <v>0.41726618705035973</v>
      </c>
      <c r="G1691" s="5"/>
      <c r="H1691" s="5"/>
      <c r="L1691" s="7"/>
      <c r="M1691" s="7"/>
      <c r="O1691" s="6"/>
      <c r="P1691" s="6"/>
      <c r="T1691" s="5"/>
      <c r="U1691" s="5"/>
    </row>
    <row r="1692" spans="2:21" x14ac:dyDescent="0.25">
      <c r="B1692" s="90">
        <v>708</v>
      </c>
      <c r="C1692" s="91">
        <v>0.44467837248601927</v>
      </c>
      <c r="D1692" s="92">
        <v>92</v>
      </c>
      <c r="E1692" s="93">
        <v>0.41726618705035973</v>
      </c>
      <c r="G1692" s="5"/>
      <c r="H1692" s="5"/>
      <c r="L1692" s="7"/>
      <c r="M1692" s="7"/>
      <c r="O1692" s="6"/>
      <c r="P1692" s="6"/>
      <c r="T1692" s="5"/>
      <c r="U1692" s="5"/>
    </row>
    <row r="1693" spans="2:21" x14ac:dyDescent="0.25">
      <c r="B1693" s="90">
        <v>815</v>
      </c>
      <c r="C1693" s="91">
        <v>0.44468320116533833</v>
      </c>
      <c r="D1693" s="92">
        <v>92</v>
      </c>
      <c r="E1693" s="93">
        <v>0.41726618705035973</v>
      </c>
      <c r="G1693" s="5"/>
      <c r="H1693" s="5"/>
      <c r="L1693" s="7"/>
      <c r="M1693" s="7"/>
      <c r="O1693" s="6"/>
      <c r="P1693" s="6"/>
      <c r="T1693" s="5"/>
      <c r="U1693" s="5"/>
    </row>
    <row r="1694" spans="2:21" x14ac:dyDescent="0.25">
      <c r="B1694" s="90">
        <v>1606</v>
      </c>
      <c r="C1694" s="91">
        <v>0.51395822910252764</v>
      </c>
      <c r="D1694" s="92">
        <v>92</v>
      </c>
      <c r="E1694" s="93">
        <v>7.9136690647482008E-2</v>
      </c>
      <c r="G1694" s="5"/>
      <c r="H1694" s="5"/>
      <c r="L1694" s="7"/>
      <c r="M1694" s="7"/>
      <c r="O1694" s="6"/>
      <c r="P1694" s="6"/>
      <c r="T1694" s="5"/>
      <c r="U1694" s="5"/>
    </row>
    <row r="1695" spans="2:21" x14ac:dyDescent="0.25">
      <c r="B1695" s="90">
        <v>1638</v>
      </c>
      <c r="C1695" s="91">
        <v>0.56222337414878865</v>
      </c>
      <c r="D1695" s="92">
        <v>92</v>
      </c>
      <c r="E1695" s="93">
        <v>6.4748201438848921E-2</v>
      </c>
      <c r="G1695" s="5"/>
      <c r="H1695" s="5"/>
      <c r="L1695" s="7"/>
      <c r="M1695" s="7"/>
      <c r="O1695" s="6"/>
      <c r="P1695" s="6"/>
      <c r="T1695" s="5"/>
      <c r="U1695" s="5"/>
    </row>
    <row r="1696" spans="2:21" x14ac:dyDescent="0.25">
      <c r="B1696" s="90">
        <v>1671</v>
      </c>
      <c r="C1696" s="91">
        <v>0.57537960249841125</v>
      </c>
      <c r="D1696" s="92">
        <v>92</v>
      </c>
      <c r="E1696" s="93">
        <v>7.1942446043165464E-2</v>
      </c>
      <c r="G1696" s="5"/>
      <c r="H1696" s="5"/>
      <c r="L1696" s="7"/>
      <c r="M1696" s="7"/>
      <c r="O1696" s="6"/>
      <c r="P1696" s="6"/>
      <c r="T1696" s="5"/>
      <c r="U1696" s="5"/>
    </row>
    <row r="1697" spans="2:21" x14ac:dyDescent="0.25">
      <c r="B1697" s="90">
        <v>111</v>
      </c>
      <c r="C1697" s="91">
        <v>0.35625824423805486</v>
      </c>
      <c r="D1697" s="92">
        <v>93</v>
      </c>
      <c r="E1697" s="93">
        <v>0.35971223021582732</v>
      </c>
      <c r="G1697" s="5"/>
      <c r="H1697" s="5"/>
      <c r="L1697" s="7"/>
      <c r="M1697" s="7"/>
      <c r="O1697" s="6"/>
      <c r="P1697" s="6"/>
      <c r="T1697" s="5"/>
      <c r="U1697" s="5"/>
    </row>
    <row r="1698" spans="2:21" x14ac:dyDescent="0.25">
      <c r="B1698" s="90">
        <v>46</v>
      </c>
      <c r="C1698" s="91">
        <v>0.36567614525987679</v>
      </c>
      <c r="D1698" s="92">
        <v>93</v>
      </c>
      <c r="E1698" s="93">
        <v>0.36690647482014388</v>
      </c>
      <c r="G1698" s="5"/>
      <c r="H1698" s="5"/>
      <c r="L1698" s="7"/>
      <c r="M1698" s="7"/>
      <c r="O1698" s="6"/>
      <c r="P1698" s="6"/>
      <c r="T1698" s="5"/>
      <c r="U1698" s="5"/>
    </row>
    <row r="1699" spans="2:21" x14ac:dyDescent="0.25">
      <c r="B1699" s="90">
        <v>1111</v>
      </c>
      <c r="C1699" s="91">
        <v>0.36567614525987679</v>
      </c>
      <c r="D1699" s="92">
        <v>93</v>
      </c>
      <c r="E1699" s="93">
        <v>0.36690647482014388</v>
      </c>
      <c r="G1699" s="5"/>
      <c r="H1699" s="5"/>
      <c r="L1699" s="7"/>
      <c r="M1699" s="7"/>
      <c r="O1699" s="6"/>
      <c r="P1699" s="6"/>
      <c r="T1699" s="5"/>
      <c r="U1699" s="5"/>
    </row>
    <row r="1700" spans="2:21" x14ac:dyDescent="0.25">
      <c r="B1700" s="90">
        <v>47</v>
      </c>
      <c r="C1700" s="91">
        <v>0.37115982328089414</v>
      </c>
      <c r="D1700" s="92">
        <v>93</v>
      </c>
      <c r="E1700" s="93">
        <v>0.35971223021582732</v>
      </c>
      <c r="G1700" s="5"/>
      <c r="H1700" s="5"/>
      <c r="L1700" s="7"/>
      <c r="M1700" s="7"/>
      <c r="O1700" s="6"/>
      <c r="P1700" s="6"/>
      <c r="T1700" s="5"/>
      <c r="U1700" s="5"/>
    </row>
    <row r="1701" spans="2:21" x14ac:dyDescent="0.25">
      <c r="B1701" s="90">
        <v>1065</v>
      </c>
      <c r="C1701" s="91">
        <v>0.37115982328089414</v>
      </c>
      <c r="D1701" s="92">
        <v>93</v>
      </c>
      <c r="E1701" s="93">
        <v>0.35971223021582732</v>
      </c>
      <c r="G1701" s="5"/>
      <c r="H1701" s="5"/>
      <c r="L1701" s="7"/>
      <c r="M1701" s="7"/>
      <c r="O1701" s="6"/>
      <c r="P1701" s="6"/>
      <c r="T1701" s="5"/>
      <c r="U1701" s="5"/>
    </row>
    <row r="1702" spans="2:21" x14ac:dyDescent="0.25">
      <c r="B1702" s="90">
        <v>918</v>
      </c>
      <c r="C1702" s="91">
        <v>0.3920146724393756</v>
      </c>
      <c r="D1702" s="92">
        <v>93</v>
      </c>
      <c r="E1702" s="93">
        <v>0.39568345323741005</v>
      </c>
      <c r="G1702" s="5"/>
      <c r="H1702" s="5"/>
      <c r="L1702" s="7"/>
      <c r="M1702" s="7"/>
      <c r="O1702" s="6"/>
      <c r="P1702" s="6"/>
      <c r="T1702" s="5"/>
      <c r="U1702" s="5"/>
    </row>
    <row r="1703" spans="2:21" x14ac:dyDescent="0.25">
      <c r="B1703" s="90">
        <v>48</v>
      </c>
      <c r="C1703" s="91">
        <v>0.39908727786357312</v>
      </c>
      <c r="D1703" s="92">
        <v>93</v>
      </c>
      <c r="E1703" s="93">
        <v>0.40287769784172661</v>
      </c>
      <c r="G1703" s="5"/>
      <c r="H1703" s="5"/>
      <c r="L1703" s="7"/>
      <c r="M1703" s="7"/>
      <c r="O1703" s="6"/>
      <c r="P1703" s="6"/>
      <c r="T1703" s="5"/>
      <c r="U1703" s="5"/>
    </row>
    <row r="1704" spans="2:21" x14ac:dyDescent="0.25">
      <c r="B1704" s="90">
        <v>1018</v>
      </c>
      <c r="C1704" s="91">
        <v>0.39908727786357312</v>
      </c>
      <c r="D1704" s="92">
        <v>93</v>
      </c>
      <c r="E1704" s="93">
        <v>0.40287769784172661</v>
      </c>
      <c r="G1704" s="5"/>
      <c r="H1704" s="5"/>
      <c r="L1704" s="7"/>
      <c r="M1704" s="7"/>
      <c r="O1704" s="6"/>
      <c r="P1704" s="6"/>
      <c r="T1704" s="5"/>
      <c r="U1704" s="5"/>
    </row>
    <row r="1705" spans="2:21" x14ac:dyDescent="0.25">
      <c r="B1705" s="90">
        <v>968</v>
      </c>
      <c r="C1705" s="91">
        <v>0.43272701754142673</v>
      </c>
      <c r="D1705" s="92">
        <v>93</v>
      </c>
      <c r="E1705" s="93">
        <v>0.45323741007194246</v>
      </c>
      <c r="G1705" s="5"/>
      <c r="H1705" s="5"/>
      <c r="L1705" s="7"/>
      <c r="M1705" s="7"/>
      <c r="O1705" s="6"/>
      <c r="P1705" s="6"/>
      <c r="T1705" s="5"/>
      <c r="U1705" s="5"/>
    </row>
    <row r="1706" spans="2:21" x14ac:dyDescent="0.25">
      <c r="B1706" s="90">
        <v>49</v>
      </c>
      <c r="C1706" s="91">
        <v>0.44037494688493206</v>
      </c>
      <c r="D1706" s="92">
        <v>93</v>
      </c>
      <c r="E1706" s="93">
        <v>0.40287769784172661</v>
      </c>
      <c r="G1706" s="5"/>
      <c r="H1706" s="5"/>
      <c r="L1706" s="7"/>
      <c r="M1706" s="7"/>
      <c r="O1706" s="6"/>
      <c r="P1706" s="6"/>
      <c r="T1706" s="5"/>
      <c r="U1706" s="5"/>
    </row>
    <row r="1707" spans="2:21" x14ac:dyDescent="0.25">
      <c r="B1707" s="90">
        <v>970</v>
      </c>
      <c r="C1707" s="91">
        <v>0.44037494688493206</v>
      </c>
      <c r="D1707" s="92">
        <v>93</v>
      </c>
      <c r="E1707" s="93">
        <v>0.40287769784172661</v>
      </c>
      <c r="G1707" s="5"/>
      <c r="H1707" s="5"/>
      <c r="L1707" s="7"/>
      <c r="M1707" s="7"/>
      <c r="O1707" s="6"/>
      <c r="P1707" s="6"/>
      <c r="T1707" s="5"/>
      <c r="U1707" s="5"/>
    </row>
    <row r="1708" spans="2:21" x14ac:dyDescent="0.25">
      <c r="B1708" s="90">
        <v>51</v>
      </c>
      <c r="C1708" s="91">
        <v>0.47709933058689546</v>
      </c>
      <c r="D1708" s="92">
        <v>93</v>
      </c>
      <c r="E1708" s="93">
        <v>0.33093525179856115</v>
      </c>
      <c r="G1708" s="5"/>
      <c r="H1708" s="5"/>
      <c r="L1708" s="7"/>
      <c r="M1708" s="7"/>
      <c r="O1708" s="6"/>
      <c r="P1708" s="6"/>
      <c r="T1708" s="5"/>
      <c r="U1708" s="5"/>
    </row>
    <row r="1709" spans="2:21" x14ac:dyDescent="0.25">
      <c r="B1709" s="90">
        <v>871</v>
      </c>
      <c r="C1709" s="91">
        <v>0.47709933058689546</v>
      </c>
      <c r="D1709" s="92">
        <v>93</v>
      </c>
      <c r="E1709" s="93">
        <v>0.33093525179856115</v>
      </c>
      <c r="G1709" s="5"/>
      <c r="H1709" s="5"/>
      <c r="L1709" s="7"/>
      <c r="M1709" s="7"/>
      <c r="O1709" s="6"/>
      <c r="P1709" s="6"/>
      <c r="T1709" s="5"/>
      <c r="U1709" s="5"/>
    </row>
    <row r="1710" spans="2:21" x14ac:dyDescent="0.25">
      <c r="B1710" s="90">
        <v>50</v>
      </c>
      <c r="C1710" s="91">
        <v>0.47805767446178182</v>
      </c>
      <c r="D1710" s="92">
        <v>93</v>
      </c>
      <c r="E1710" s="93">
        <v>0.33812949640287771</v>
      </c>
      <c r="G1710" s="5"/>
      <c r="H1710" s="5"/>
      <c r="L1710" s="7"/>
      <c r="M1710" s="7"/>
      <c r="O1710" s="6"/>
      <c r="P1710" s="6"/>
      <c r="T1710" s="5"/>
      <c r="U1710" s="5"/>
    </row>
    <row r="1711" spans="2:21" x14ac:dyDescent="0.25">
      <c r="B1711" s="90">
        <v>921</v>
      </c>
      <c r="C1711" s="91">
        <v>0.47805767446178182</v>
      </c>
      <c r="D1711" s="92">
        <v>93</v>
      </c>
      <c r="E1711" s="93">
        <v>0.33812949640287771</v>
      </c>
      <c r="G1711" s="5"/>
      <c r="H1711" s="5"/>
      <c r="L1711" s="7"/>
      <c r="M1711" s="7"/>
      <c r="O1711" s="6"/>
      <c r="P1711" s="6"/>
      <c r="T1711" s="5"/>
      <c r="U1711" s="5"/>
    </row>
    <row r="1712" spans="2:21" x14ac:dyDescent="0.25">
      <c r="B1712" s="90">
        <v>557</v>
      </c>
      <c r="C1712" s="91">
        <v>0.12358576432271673</v>
      </c>
      <c r="D1712" s="92">
        <v>94</v>
      </c>
      <c r="E1712" s="93">
        <v>0.43884892086330934</v>
      </c>
      <c r="G1712" s="5"/>
      <c r="H1712" s="5"/>
      <c r="L1712" s="7"/>
      <c r="M1712" s="7"/>
      <c r="O1712" s="6"/>
      <c r="P1712" s="6"/>
      <c r="T1712" s="5"/>
      <c r="U1712" s="5"/>
    </row>
    <row r="1713" spans="2:21" x14ac:dyDescent="0.25">
      <c r="B1713" s="90">
        <v>442</v>
      </c>
      <c r="C1713" s="91">
        <v>0.12559070269938832</v>
      </c>
      <c r="D1713" s="92">
        <v>94</v>
      </c>
      <c r="E1713" s="93">
        <v>0.43165467625899279</v>
      </c>
      <c r="G1713" s="5"/>
      <c r="H1713" s="5"/>
      <c r="L1713" s="7"/>
      <c r="M1713" s="7"/>
      <c r="O1713" s="6"/>
      <c r="P1713" s="6"/>
      <c r="T1713" s="5"/>
      <c r="U1713" s="5"/>
    </row>
    <row r="1714" spans="2:21" x14ac:dyDescent="0.25">
      <c r="B1714" s="90">
        <v>175</v>
      </c>
      <c r="C1714" s="91">
        <v>0.3461517727683745</v>
      </c>
      <c r="D1714" s="92">
        <v>94</v>
      </c>
      <c r="E1714" s="93">
        <v>0.33093525179856115</v>
      </c>
      <c r="G1714" s="5"/>
      <c r="H1714" s="5"/>
      <c r="L1714" s="7"/>
      <c r="M1714" s="7"/>
      <c r="O1714" s="6"/>
      <c r="P1714" s="6"/>
      <c r="T1714" s="5"/>
      <c r="U1714" s="5"/>
    </row>
    <row r="1715" spans="2:21" x14ac:dyDescent="0.25">
      <c r="B1715" s="90">
        <v>176</v>
      </c>
      <c r="C1715" s="91">
        <v>0.34866314162319501</v>
      </c>
      <c r="D1715" s="92">
        <v>94</v>
      </c>
      <c r="E1715" s="93">
        <v>0.25899280575539568</v>
      </c>
      <c r="G1715" s="5"/>
      <c r="H1715" s="5"/>
      <c r="L1715" s="7"/>
      <c r="M1715" s="7"/>
      <c r="O1715" s="6"/>
      <c r="P1715" s="6"/>
      <c r="T1715" s="5"/>
      <c r="U1715" s="5"/>
    </row>
    <row r="1716" spans="2:21" x14ac:dyDescent="0.25">
      <c r="B1716" s="90">
        <v>112</v>
      </c>
      <c r="C1716" s="91">
        <v>0.35931169756539694</v>
      </c>
      <c r="D1716" s="92">
        <v>94</v>
      </c>
      <c r="E1716" s="93">
        <v>0.35971223021582732</v>
      </c>
      <c r="G1716" s="5"/>
      <c r="H1716" s="5"/>
      <c r="L1716" s="7"/>
      <c r="M1716" s="7"/>
      <c r="O1716" s="6"/>
      <c r="P1716" s="6"/>
      <c r="T1716" s="5"/>
      <c r="U1716" s="5"/>
    </row>
    <row r="1717" spans="2:21" x14ac:dyDescent="0.25">
      <c r="B1717" s="90">
        <v>177</v>
      </c>
      <c r="C1717" s="91">
        <v>0.37774235481792018</v>
      </c>
      <c r="D1717" s="92">
        <v>94</v>
      </c>
      <c r="E1717" s="93">
        <v>0.30935251798561153</v>
      </c>
      <c r="G1717" s="5"/>
      <c r="H1717" s="5"/>
      <c r="L1717" s="7"/>
      <c r="M1717" s="7"/>
      <c r="O1717" s="6"/>
      <c r="P1717" s="6"/>
      <c r="T1717" s="5"/>
      <c r="U1717" s="5"/>
    </row>
    <row r="1718" spans="2:21" x14ac:dyDescent="0.25">
      <c r="B1718" s="90">
        <v>113</v>
      </c>
      <c r="C1718" s="91">
        <v>0.38794320882055333</v>
      </c>
      <c r="D1718" s="92">
        <v>94</v>
      </c>
      <c r="E1718" s="93">
        <v>0.38129496402877699</v>
      </c>
      <c r="G1718" s="5"/>
      <c r="H1718" s="5"/>
      <c r="L1718" s="7"/>
      <c r="M1718" s="7"/>
      <c r="O1718" s="6"/>
      <c r="P1718" s="6"/>
      <c r="T1718" s="5"/>
      <c r="U1718" s="5"/>
    </row>
    <row r="1719" spans="2:21" x14ac:dyDescent="0.25">
      <c r="B1719" s="90">
        <v>867</v>
      </c>
      <c r="C1719" s="91">
        <v>0.4335379098995974</v>
      </c>
      <c r="D1719" s="92">
        <v>94</v>
      </c>
      <c r="E1719" s="93">
        <v>0.41726618705035973</v>
      </c>
      <c r="G1719" s="5"/>
      <c r="H1719" s="5"/>
      <c r="L1719" s="7"/>
      <c r="M1719" s="7"/>
      <c r="O1719" s="6"/>
      <c r="P1719" s="6"/>
      <c r="T1719" s="5"/>
      <c r="U1719" s="5"/>
    </row>
    <row r="1720" spans="2:21" x14ac:dyDescent="0.25">
      <c r="B1720" s="90">
        <v>597</v>
      </c>
      <c r="C1720" s="91">
        <v>0.43563178002617098</v>
      </c>
      <c r="D1720" s="92">
        <v>94</v>
      </c>
      <c r="E1720" s="93">
        <v>0.4460431654676259</v>
      </c>
      <c r="G1720" s="5"/>
      <c r="H1720" s="5"/>
      <c r="L1720" s="7"/>
      <c r="M1720" s="7"/>
      <c r="O1720" s="6"/>
      <c r="P1720" s="6"/>
      <c r="T1720" s="5"/>
      <c r="U1720" s="5"/>
    </row>
    <row r="1721" spans="2:21" x14ac:dyDescent="0.25">
      <c r="B1721" s="90">
        <v>653</v>
      </c>
      <c r="C1721" s="91">
        <v>0.44757463131419994</v>
      </c>
      <c r="D1721" s="92">
        <v>94</v>
      </c>
      <c r="E1721" s="93">
        <v>0.41726618705035973</v>
      </c>
      <c r="G1721" s="5"/>
      <c r="H1721" s="5"/>
      <c r="L1721" s="7"/>
      <c r="M1721" s="7"/>
      <c r="O1721" s="6"/>
      <c r="P1721" s="6"/>
      <c r="T1721" s="5"/>
      <c r="U1721" s="5"/>
    </row>
    <row r="1722" spans="2:21" x14ac:dyDescent="0.25">
      <c r="B1722" s="90">
        <v>966</v>
      </c>
      <c r="C1722" s="91">
        <v>0.44765880222836929</v>
      </c>
      <c r="D1722" s="92">
        <v>94</v>
      </c>
      <c r="E1722" s="93">
        <v>0.28776978417266186</v>
      </c>
      <c r="G1722" s="5"/>
      <c r="H1722" s="5"/>
      <c r="L1722" s="7"/>
      <c r="M1722" s="7"/>
      <c r="O1722" s="6"/>
      <c r="P1722" s="6"/>
      <c r="T1722" s="5"/>
      <c r="U1722" s="5"/>
    </row>
    <row r="1723" spans="2:21" x14ac:dyDescent="0.25">
      <c r="B1723" s="90">
        <v>1015</v>
      </c>
      <c r="C1723" s="91">
        <v>0.49121246820978681</v>
      </c>
      <c r="D1723" s="92">
        <v>94</v>
      </c>
      <c r="E1723" s="93">
        <v>0.19424460431654678</v>
      </c>
      <c r="G1723" s="5"/>
      <c r="H1723" s="5"/>
      <c r="L1723" s="7"/>
      <c r="M1723" s="7"/>
      <c r="O1723" s="6"/>
      <c r="P1723" s="6"/>
      <c r="T1723" s="5"/>
      <c r="U1723" s="5"/>
    </row>
    <row r="1724" spans="2:21" x14ac:dyDescent="0.25">
      <c r="B1724" s="90">
        <v>26</v>
      </c>
      <c r="C1724" s="91">
        <v>3.4435671563028181E-2</v>
      </c>
      <c r="D1724" s="92">
        <v>95</v>
      </c>
      <c r="E1724" s="93">
        <v>0.46043165467625902</v>
      </c>
      <c r="G1724" s="5"/>
      <c r="H1724" s="5"/>
      <c r="L1724" s="7"/>
      <c r="M1724" s="7"/>
      <c r="O1724" s="6"/>
      <c r="P1724" s="6"/>
      <c r="T1724" s="5"/>
      <c r="U1724" s="5"/>
    </row>
    <row r="1725" spans="2:21" x14ac:dyDescent="0.25">
      <c r="B1725" s="90">
        <v>1821</v>
      </c>
      <c r="C1725" s="91">
        <v>3.4435671563028181E-2</v>
      </c>
      <c r="D1725" s="92">
        <v>95</v>
      </c>
      <c r="E1725" s="93">
        <v>0.46043165467625902</v>
      </c>
      <c r="G1725" s="5"/>
      <c r="H1725" s="5"/>
      <c r="L1725" s="7"/>
      <c r="M1725" s="7"/>
      <c r="O1725" s="6"/>
      <c r="P1725" s="6"/>
      <c r="T1725" s="5"/>
      <c r="U1725" s="5"/>
    </row>
    <row r="1726" spans="2:21" x14ac:dyDescent="0.25">
      <c r="B1726" s="90">
        <v>27</v>
      </c>
      <c r="C1726" s="91">
        <v>3.8574338713344813E-2</v>
      </c>
      <c r="D1726" s="92">
        <v>95</v>
      </c>
      <c r="E1726" s="93">
        <v>0.46043165467625902</v>
      </c>
      <c r="G1726" s="5"/>
      <c r="H1726" s="5"/>
      <c r="L1726" s="7"/>
      <c r="M1726" s="7"/>
      <c r="O1726" s="6"/>
      <c r="P1726" s="6"/>
      <c r="T1726" s="5"/>
      <c r="U1726" s="5"/>
    </row>
    <row r="1727" spans="2:21" x14ac:dyDescent="0.25">
      <c r="B1727" s="90">
        <v>1795</v>
      </c>
      <c r="C1727" s="91">
        <v>3.8574338713344813E-2</v>
      </c>
      <c r="D1727" s="92">
        <v>95</v>
      </c>
      <c r="E1727" s="93">
        <v>0.46043165467625902</v>
      </c>
      <c r="G1727" s="5"/>
      <c r="H1727" s="5"/>
      <c r="L1727" s="7"/>
      <c r="M1727" s="7"/>
      <c r="O1727" s="6"/>
      <c r="P1727" s="6"/>
      <c r="T1727" s="5"/>
      <c r="U1727" s="5"/>
    </row>
    <row r="1728" spans="2:21" x14ac:dyDescent="0.25">
      <c r="B1728" s="90">
        <v>28</v>
      </c>
      <c r="C1728" s="91">
        <v>4.290552158811467E-2</v>
      </c>
      <c r="D1728" s="92">
        <v>95</v>
      </c>
      <c r="E1728" s="93">
        <v>0.46762589928057552</v>
      </c>
      <c r="G1728" s="5"/>
      <c r="H1728" s="5"/>
      <c r="L1728" s="7"/>
      <c r="M1728" s="7"/>
      <c r="O1728" s="6"/>
      <c r="P1728" s="6"/>
      <c r="T1728" s="5"/>
      <c r="U1728" s="5"/>
    </row>
    <row r="1729" spans="2:21" x14ac:dyDescent="0.25">
      <c r="B1729" s="90">
        <v>1768</v>
      </c>
      <c r="C1729" s="91">
        <v>4.290552158811467E-2</v>
      </c>
      <c r="D1729" s="92">
        <v>95</v>
      </c>
      <c r="E1729" s="93">
        <v>0.46762589928057552</v>
      </c>
      <c r="G1729" s="5"/>
      <c r="H1729" s="5"/>
      <c r="L1729" s="7"/>
      <c r="M1729" s="7"/>
      <c r="O1729" s="6"/>
      <c r="P1729" s="6"/>
      <c r="T1729" s="5"/>
      <c r="U1729" s="5"/>
    </row>
    <row r="1730" spans="2:21" x14ac:dyDescent="0.25">
      <c r="B1730" s="90">
        <v>29</v>
      </c>
      <c r="C1730" s="91">
        <v>4.3808242366573991E-2</v>
      </c>
      <c r="D1730" s="92">
        <v>95</v>
      </c>
      <c r="E1730" s="93">
        <v>0.47482014388489208</v>
      </c>
      <c r="G1730" s="5"/>
      <c r="H1730" s="5"/>
      <c r="L1730" s="7"/>
      <c r="M1730" s="7"/>
      <c r="O1730" s="6"/>
      <c r="P1730" s="6"/>
      <c r="T1730" s="5"/>
      <c r="U1730" s="5"/>
    </row>
    <row r="1731" spans="2:21" x14ac:dyDescent="0.25">
      <c r="B1731" s="90">
        <v>1740</v>
      </c>
      <c r="C1731" s="91">
        <v>4.3808242366573991E-2</v>
      </c>
      <c r="D1731" s="92">
        <v>95</v>
      </c>
      <c r="E1731" s="93">
        <v>0.47482014388489208</v>
      </c>
      <c r="G1731" s="5"/>
      <c r="H1731" s="5"/>
      <c r="L1731" s="7"/>
      <c r="M1731" s="7"/>
      <c r="O1731" s="6"/>
      <c r="P1731" s="6"/>
      <c r="T1731" s="5"/>
      <c r="U1731" s="5"/>
    </row>
    <row r="1732" spans="2:21" x14ac:dyDescent="0.25">
      <c r="B1732" s="90">
        <v>1436</v>
      </c>
      <c r="C1732" s="91">
        <v>5.0842551916819412E-2</v>
      </c>
      <c r="D1732" s="92">
        <v>95</v>
      </c>
      <c r="E1732" s="93">
        <v>0.47482014388489208</v>
      </c>
      <c r="G1732" s="5"/>
      <c r="H1732" s="5"/>
      <c r="L1732" s="7"/>
      <c r="M1732" s="7"/>
      <c r="O1732" s="6"/>
      <c r="P1732" s="6"/>
      <c r="T1732" s="5"/>
      <c r="U1732" s="5"/>
    </row>
    <row r="1733" spans="2:21" x14ac:dyDescent="0.25">
      <c r="B1733" s="90">
        <v>1207</v>
      </c>
      <c r="C1733" s="91">
        <v>5.5525040808819037E-2</v>
      </c>
      <c r="D1733" s="92">
        <v>95</v>
      </c>
      <c r="E1733" s="93">
        <v>0.35971223021582732</v>
      </c>
      <c r="G1733" s="5"/>
      <c r="H1733" s="5"/>
      <c r="L1733" s="7"/>
      <c r="M1733" s="7"/>
      <c r="O1733" s="6"/>
      <c r="P1733" s="6"/>
      <c r="T1733" s="5"/>
      <c r="U1733" s="5"/>
    </row>
    <row r="1734" spans="2:21" x14ac:dyDescent="0.25">
      <c r="B1734" s="90">
        <v>30</v>
      </c>
      <c r="C1734" s="91">
        <v>6.0822160355685218E-2</v>
      </c>
      <c r="D1734" s="92">
        <v>95</v>
      </c>
      <c r="E1734" s="93">
        <v>0.45323741007194246</v>
      </c>
      <c r="G1734" s="5"/>
      <c r="H1734" s="5"/>
      <c r="L1734" s="7"/>
      <c r="M1734" s="7"/>
      <c r="O1734" s="6"/>
      <c r="P1734" s="6"/>
      <c r="T1734" s="5"/>
      <c r="U1734" s="5"/>
    </row>
    <row r="1735" spans="2:21" x14ac:dyDescent="0.25">
      <c r="B1735" s="90">
        <v>1711</v>
      </c>
      <c r="C1735" s="91">
        <v>6.0822160355685218E-2</v>
      </c>
      <c r="D1735" s="92">
        <v>95</v>
      </c>
      <c r="E1735" s="93">
        <v>0.45323741007194246</v>
      </c>
      <c r="G1735" s="5"/>
      <c r="H1735" s="5"/>
      <c r="L1735" s="7"/>
      <c r="M1735" s="7"/>
      <c r="O1735" s="6"/>
      <c r="P1735" s="6"/>
      <c r="T1735" s="5"/>
      <c r="U1735" s="5"/>
    </row>
    <row r="1736" spans="2:21" x14ac:dyDescent="0.25">
      <c r="B1736" s="90">
        <v>1163</v>
      </c>
      <c r="C1736" s="91">
        <v>0.11600219032766446</v>
      </c>
      <c r="D1736" s="92">
        <v>95</v>
      </c>
      <c r="E1736" s="93">
        <v>0.46043165467625902</v>
      </c>
      <c r="G1736" s="5"/>
      <c r="H1736" s="5"/>
      <c r="L1736" s="7"/>
      <c r="M1736" s="7"/>
      <c r="O1736" s="6"/>
      <c r="P1736" s="6"/>
      <c r="T1736" s="5"/>
      <c r="U1736" s="5"/>
    </row>
    <row r="1737" spans="2:21" x14ac:dyDescent="0.25">
      <c r="B1737" s="90">
        <v>1438</v>
      </c>
      <c r="C1737" s="91">
        <v>0.12215162411014913</v>
      </c>
      <c r="D1737" s="92">
        <v>95</v>
      </c>
      <c r="E1737" s="93">
        <v>0.49640287769784175</v>
      </c>
      <c r="G1737" s="5"/>
      <c r="H1737" s="5"/>
      <c r="L1737" s="7"/>
      <c r="M1737" s="7"/>
      <c r="O1737" s="6"/>
      <c r="P1737" s="6"/>
      <c r="T1737" s="5"/>
      <c r="U1737" s="5"/>
    </row>
    <row r="1738" spans="2:21" x14ac:dyDescent="0.25">
      <c r="B1738" s="90">
        <v>1514</v>
      </c>
      <c r="C1738" s="91">
        <v>0.16002413695293394</v>
      </c>
      <c r="D1738" s="92">
        <v>95</v>
      </c>
      <c r="E1738" s="93">
        <v>0.58273381294964033</v>
      </c>
      <c r="G1738" s="5"/>
      <c r="H1738" s="5"/>
      <c r="L1738" s="7"/>
      <c r="M1738" s="7"/>
      <c r="O1738" s="6"/>
      <c r="P1738" s="6"/>
      <c r="T1738" s="5"/>
      <c r="U1738" s="5"/>
    </row>
    <row r="1739" spans="2:21" x14ac:dyDescent="0.25">
      <c r="B1739" s="90">
        <v>1439</v>
      </c>
      <c r="C1739" s="91">
        <v>0.18212186038645084</v>
      </c>
      <c r="D1739" s="92">
        <v>95</v>
      </c>
      <c r="E1739" s="93">
        <v>0.5539568345323741</v>
      </c>
      <c r="G1739" s="5"/>
      <c r="H1739" s="5"/>
      <c r="L1739" s="7"/>
      <c r="M1739" s="7"/>
      <c r="O1739" s="6"/>
      <c r="P1739" s="6"/>
      <c r="T1739" s="5"/>
      <c r="U1739" s="5"/>
    </row>
    <row r="1740" spans="2:21" x14ac:dyDescent="0.25">
      <c r="B1740" s="90">
        <v>1398</v>
      </c>
      <c r="C1740" s="91">
        <v>0.21300420776185081</v>
      </c>
      <c r="D1740" s="92">
        <v>95</v>
      </c>
      <c r="E1740" s="93">
        <v>0.5467625899280576</v>
      </c>
      <c r="G1740" s="5"/>
      <c r="H1740" s="5"/>
      <c r="L1740" s="7"/>
      <c r="M1740" s="7"/>
      <c r="O1740" s="6"/>
      <c r="P1740" s="6"/>
      <c r="T1740" s="5"/>
      <c r="U1740" s="5"/>
    </row>
    <row r="1741" spans="2:21" x14ac:dyDescent="0.25">
      <c r="B1741" s="90">
        <v>1096</v>
      </c>
      <c r="C1741" s="91">
        <v>0.24609694409665506</v>
      </c>
      <c r="D1741" s="92">
        <v>95</v>
      </c>
      <c r="E1741" s="93">
        <v>0.35251798561151076</v>
      </c>
      <c r="G1741" s="5"/>
      <c r="H1741" s="5"/>
      <c r="L1741" s="7"/>
      <c r="M1741" s="7"/>
      <c r="O1741" s="6"/>
      <c r="P1741" s="6"/>
      <c r="T1741" s="5"/>
      <c r="U1741" s="5"/>
    </row>
    <row r="1742" spans="2:21" x14ac:dyDescent="0.25">
      <c r="B1742" s="90">
        <v>1142</v>
      </c>
      <c r="C1742" s="91">
        <v>0.24613636691002427</v>
      </c>
      <c r="D1742" s="92">
        <v>95</v>
      </c>
      <c r="E1742" s="93">
        <v>0.35251798561151076</v>
      </c>
      <c r="G1742" s="5"/>
      <c r="H1742" s="5"/>
      <c r="L1742" s="7"/>
      <c r="M1742" s="7"/>
      <c r="O1742" s="6"/>
      <c r="P1742" s="6"/>
      <c r="T1742" s="5"/>
      <c r="U1742" s="5"/>
    </row>
    <row r="1743" spans="2:21" x14ac:dyDescent="0.25">
      <c r="B1743" s="90">
        <v>1316</v>
      </c>
      <c r="C1743" s="91">
        <v>0.24783908759687179</v>
      </c>
      <c r="D1743" s="92">
        <v>95</v>
      </c>
      <c r="E1743" s="93">
        <v>0.43884892086330934</v>
      </c>
      <c r="G1743" s="5"/>
      <c r="H1743" s="5"/>
      <c r="L1743" s="7"/>
      <c r="M1743" s="7"/>
      <c r="O1743" s="6"/>
      <c r="P1743" s="6"/>
      <c r="T1743" s="5"/>
      <c r="U1743" s="5"/>
    </row>
    <row r="1744" spans="2:21" x14ac:dyDescent="0.25">
      <c r="B1744" s="90">
        <v>1097</v>
      </c>
      <c r="C1744" s="91">
        <v>0.25954342563380184</v>
      </c>
      <c r="D1744" s="92">
        <v>95</v>
      </c>
      <c r="E1744" s="93">
        <v>0.35251798561151076</v>
      </c>
      <c r="G1744" s="5"/>
      <c r="H1744" s="5"/>
      <c r="L1744" s="7"/>
      <c r="M1744" s="7"/>
      <c r="O1744" s="6"/>
      <c r="P1744" s="6"/>
      <c r="T1744" s="5"/>
      <c r="U1744" s="5"/>
    </row>
    <row r="1745" spans="2:21" x14ac:dyDescent="0.25">
      <c r="B1745" s="90">
        <v>1143</v>
      </c>
      <c r="C1745" s="91">
        <v>0.25996452290874661</v>
      </c>
      <c r="D1745" s="92">
        <v>95</v>
      </c>
      <c r="E1745" s="93">
        <v>0.35251798561151076</v>
      </c>
      <c r="G1745" s="5"/>
      <c r="H1745" s="5"/>
      <c r="L1745" s="7"/>
      <c r="M1745" s="7"/>
      <c r="O1745" s="6"/>
      <c r="P1745" s="6"/>
      <c r="T1745" s="5"/>
      <c r="U1745" s="5"/>
    </row>
    <row r="1746" spans="2:21" x14ac:dyDescent="0.25">
      <c r="B1746" s="90">
        <v>609</v>
      </c>
      <c r="C1746" s="91">
        <v>0.26169398235330354</v>
      </c>
      <c r="D1746" s="92">
        <v>95</v>
      </c>
      <c r="E1746" s="93">
        <v>0.48201438848920863</v>
      </c>
      <c r="G1746" s="5"/>
      <c r="H1746" s="5"/>
      <c r="L1746" s="7"/>
      <c r="M1746" s="7"/>
      <c r="O1746" s="6"/>
      <c r="P1746" s="6"/>
      <c r="T1746" s="5"/>
      <c r="U1746" s="5"/>
    </row>
    <row r="1747" spans="2:21" x14ac:dyDescent="0.25">
      <c r="B1747" s="90">
        <v>1095</v>
      </c>
      <c r="C1747" s="91">
        <v>0.2664542792737522</v>
      </c>
      <c r="D1747" s="92">
        <v>95</v>
      </c>
      <c r="E1747" s="93">
        <v>0.35251798561151076</v>
      </c>
      <c r="G1747" s="5"/>
      <c r="H1747" s="5"/>
      <c r="L1747" s="7"/>
      <c r="M1747" s="7"/>
      <c r="O1747" s="6"/>
      <c r="P1747" s="6"/>
      <c r="T1747" s="5"/>
      <c r="U1747" s="5"/>
    </row>
    <row r="1748" spans="2:21" x14ac:dyDescent="0.25">
      <c r="B1748" s="90">
        <v>1141</v>
      </c>
      <c r="C1748" s="91">
        <v>0.26683104535070068</v>
      </c>
      <c r="D1748" s="92">
        <v>95</v>
      </c>
      <c r="E1748" s="93">
        <v>0.35251798561151076</v>
      </c>
      <c r="G1748" s="5"/>
      <c r="H1748" s="5"/>
      <c r="L1748" s="7"/>
      <c r="M1748" s="7"/>
      <c r="O1748" s="6"/>
      <c r="P1748" s="6"/>
      <c r="T1748" s="5"/>
      <c r="U1748" s="5"/>
    </row>
    <row r="1749" spans="2:21" x14ac:dyDescent="0.25">
      <c r="B1749" s="90">
        <v>1049</v>
      </c>
      <c r="C1749" s="91">
        <v>0.27042118680080707</v>
      </c>
      <c r="D1749" s="92">
        <v>95</v>
      </c>
      <c r="E1749" s="93">
        <v>0.34532374100719426</v>
      </c>
      <c r="G1749" s="5"/>
      <c r="H1749" s="5"/>
      <c r="L1749" s="7"/>
      <c r="M1749" s="7"/>
      <c r="O1749" s="6"/>
      <c r="P1749" s="6"/>
      <c r="T1749" s="5"/>
      <c r="U1749" s="5"/>
    </row>
    <row r="1750" spans="2:21" x14ac:dyDescent="0.25">
      <c r="B1750" s="90">
        <v>1317</v>
      </c>
      <c r="C1750" s="91">
        <v>0.27045507548350822</v>
      </c>
      <c r="D1750" s="92">
        <v>95</v>
      </c>
      <c r="E1750" s="93">
        <v>0.35251798561151076</v>
      </c>
      <c r="G1750" s="5"/>
      <c r="H1750" s="5"/>
      <c r="L1750" s="7"/>
      <c r="M1750" s="7"/>
      <c r="O1750" s="6"/>
      <c r="P1750" s="6"/>
      <c r="T1750" s="5"/>
      <c r="U1750" s="5"/>
    </row>
    <row r="1751" spans="2:21" x14ac:dyDescent="0.25">
      <c r="B1751" s="90">
        <v>1315</v>
      </c>
      <c r="C1751" s="91">
        <v>0.27724051707095576</v>
      </c>
      <c r="D1751" s="92">
        <v>95</v>
      </c>
      <c r="E1751" s="93">
        <v>0.35251798561151076</v>
      </c>
      <c r="G1751" s="5"/>
      <c r="H1751" s="5"/>
      <c r="L1751" s="7"/>
      <c r="M1751" s="7"/>
      <c r="O1751" s="6"/>
      <c r="P1751" s="6"/>
      <c r="T1751" s="5"/>
      <c r="U1751" s="5"/>
    </row>
    <row r="1752" spans="2:21" x14ac:dyDescent="0.25">
      <c r="B1752" s="90">
        <v>1318</v>
      </c>
      <c r="C1752" s="91">
        <v>0.29208180211642998</v>
      </c>
      <c r="D1752" s="92">
        <v>95</v>
      </c>
      <c r="E1752" s="93">
        <v>0.35971223021582732</v>
      </c>
      <c r="G1752" s="5"/>
      <c r="H1752" s="5"/>
      <c r="L1752" s="7"/>
      <c r="M1752" s="7"/>
      <c r="O1752" s="6"/>
      <c r="P1752" s="6"/>
      <c r="T1752" s="5"/>
      <c r="U1752" s="5"/>
    </row>
    <row r="1753" spans="2:21" x14ac:dyDescent="0.25">
      <c r="B1753" s="90">
        <v>167</v>
      </c>
      <c r="C1753" s="91">
        <v>0.29241963110955893</v>
      </c>
      <c r="D1753" s="92">
        <v>95</v>
      </c>
      <c r="E1753" s="93">
        <v>0.37410071942446044</v>
      </c>
      <c r="G1753" s="5"/>
      <c r="H1753" s="5"/>
      <c r="L1753" s="7"/>
      <c r="M1753" s="7"/>
      <c r="O1753" s="6"/>
      <c r="P1753" s="6"/>
      <c r="T1753" s="5"/>
      <c r="U1753" s="5"/>
    </row>
    <row r="1754" spans="2:21" x14ac:dyDescent="0.25">
      <c r="B1754" s="90">
        <v>232</v>
      </c>
      <c r="C1754" s="91">
        <v>0.2931651231722201</v>
      </c>
      <c r="D1754" s="92">
        <v>95</v>
      </c>
      <c r="E1754" s="93">
        <v>0.5539568345323741</v>
      </c>
      <c r="G1754" s="5"/>
      <c r="H1754" s="5"/>
      <c r="L1754" s="7"/>
      <c r="M1754" s="7"/>
      <c r="O1754" s="6"/>
      <c r="P1754" s="6"/>
      <c r="T1754" s="5"/>
      <c r="U1754" s="5"/>
    </row>
    <row r="1755" spans="2:21" x14ac:dyDescent="0.25">
      <c r="B1755" s="90">
        <v>231</v>
      </c>
      <c r="C1755" s="91">
        <v>0.29869105592068612</v>
      </c>
      <c r="D1755" s="92">
        <v>95</v>
      </c>
      <c r="E1755" s="93">
        <v>0.4460431654676259</v>
      </c>
      <c r="G1755" s="5"/>
      <c r="H1755" s="5"/>
      <c r="L1755" s="7"/>
      <c r="M1755" s="7"/>
      <c r="O1755" s="6"/>
      <c r="P1755" s="6"/>
      <c r="T1755" s="5"/>
      <c r="U1755" s="5"/>
    </row>
    <row r="1756" spans="2:21" x14ac:dyDescent="0.25">
      <c r="B1756" s="90">
        <v>1187</v>
      </c>
      <c r="C1756" s="91">
        <v>0.30045552481269067</v>
      </c>
      <c r="D1756" s="92">
        <v>95</v>
      </c>
      <c r="E1756" s="93">
        <v>0.26618705035971224</v>
      </c>
      <c r="G1756" s="5"/>
      <c r="H1756" s="5"/>
      <c r="L1756" s="7"/>
      <c r="M1756" s="7"/>
      <c r="O1756" s="6"/>
      <c r="P1756" s="6"/>
      <c r="T1756" s="5"/>
      <c r="U1756" s="5"/>
    </row>
    <row r="1757" spans="2:21" x14ac:dyDescent="0.25">
      <c r="B1757" s="90">
        <v>1051</v>
      </c>
      <c r="C1757" s="91">
        <v>0.30384002288216949</v>
      </c>
      <c r="D1757" s="92">
        <v>95</v>
      </c>
      <c r="E1757" s="93">
        <v>0.35251798561151076</v>
      </c>
      <c r="G1757" s="5"/>
      <c r="H1757" s="5"/>
      <c r="L1757" s="7"/>
      <c r="M1757" s="7"/>
      <c r="O1757" s="6"/>
      <c r="P1757" s="6"/>
      <c r="T1757" s="5"/>
      <c r="U1757" s="5"/>
    </row>
    <row r="1758" spans="2:21" x14ac:dyDescent="0.25">
      <c r="B1758" s="90">
        <v>103</v>
      </c>
      <c r="C1758" s="91">
        <v>0.30391019174148637</v>
      </c>
      <c r="D1758" s="92">
        <v>95</v>
      </c>
      <c r="E1758" s="93">
        <v>0.36690647482014388</v>
      </c>
      <c r="G1758" s="5"/>
      <c r="H1758" s="5"/>
      <c r="L1758" s="7"/>
      <c r="M1758" s="7"/>
      <c r="O1758" s="6"/>
      <c r="P1758" s="6"/>
      <c r="T1758" s="5"/>
      <c r="U1758" s="5"/>
    </row>
    <row r="1759" spans="2:21" x14ac:dyDescent="0.25">
      <c r="B1759" s="90">
        <v>1188</v>
      </c>
      <c r="C1759" s="91">
        <v>0.31091342277018263</v>
      </c>
      <c r="D1759" s="92">
        <v>95</v>
      </c>
      <c r="E1759" s="93">
        <v>0.26618705035971224</v>
      </c>
      <c r="G1759" s="5"/>
      <c r="H1759" s="5"/>
      <c r="L1759" s="7"/>
      <c r="M1759" s="7"/>
      <c r="O1759" s="6"/>
      <c r="P1759" s="6"/>
      <c r="T1759" s="5"/>
      <c r="U1759" s="5"/>
    </row>
    <row r="1760" spans="2:21" x14ac:dyDescent="0.25">
      <c r="B1760" s="90">
        <v>1186</v>
      </c>
      <c r="C1760" s="91">
        <v>0.31475273988515129</v>
      </c>
      <c r="D1760" s="92">
        <v>95</v>
      </c>
      <c r="E1760" s="93">
        <v>0.26618705035971224</v>
      </c>
      <c r="G1760" s="5"/>
      <c r="H1760" s="5"/>
      <c r="L1760" s="7"/>
      <c r="M1760" s="7"/>
      <c r="O1760" s="6"/>
      <c r="P1760" s="6"/>
      <c r="T1760" s="5"/>
      <c r="U1760" s="5"/>
    </row>
    <row r="1761" spans="2:21" x14ac:dyDescent="0.25">
      <c r="B1761" s="90">
        <v>233</v>
      </c>
      <c r="C1761" s="91">
        <v>0.31795431066994506</v>
      </c>
      <c r="D1761" s="92">
        <v>95</v>
      </c>
      <c r="E1761" s="93">
        <v>0.43165467625899279</v>
      </c>
      <c r="G1761" s="5"/>
      <c r="H1761" s="5"/>
      <c r="L1761" s="7"/>
      <c r="M1761" s="7"/>
      <c r="O1761" s="6"/>
      <c r="P1761" s="6"/>
      <c r="T1761" s="5"/>
      <c r="U1761" s="5"/>
    </row>
    <row r="1762" spans="2:21" x14ac:dyDescent="0.25">
      <c r="B1762" s="90">
        <v>234</v>
      </c>
      <c r="C1762" s="91">
        <v>0.31807101048821385</v>
      </c>
      <c r="D1762" s="92">
        <v>95</v>
      </c>
      <c r="E1762" s="93">
        <v>0.50359712230215825</v>
      </c>
      <c r="G1762" s="5"/>
      <c r="H1762" s="5"/>
      <c r="L1762" s="7"/>
      <c r="M1762" s="7"/>
      <c r="O1762" s="6"/>
      <c r="P1762" s="6"/>
      <c r="T1762" s="5"/>
      <c r="U1762" s="5"/>
    </row>
    <row r="1763" spans="2:21" x14ac:dyDescent="0.25">
      <c r="B1763" s="90">
        <v>162</v>
      </c>
      <c r="C1763" s="91">
        <v>0.31943456182861563</v>
      </c>
      <c r="D1763" s="92">
        <v>95</v>
      </c>
      <c r="E1763" s="93">
        <v>0.26618705035971224</v>
      </c>
      <c r="G1763" s="5"/>
      <c r="H1763" s="5"/>
      <c r="L1763" s="7"/>
      <c r="M1763" s="7"/>
      <c r="O1763" s="6"/>
      <c r="P1763" s="6"/>
      <c r="T1763" s="5"/>
      <c r="U1763" s="5"/>
    </row>
    <row r="1764" spans="2:21" x14ac:dyDescent="0.25">
      <c r="B1764" s="90">
        <v>296</v>
      </c>
      <c r="C1764" s="91">
        <v>0.31980122388853238</v>
      </c>
      <c r="D1764" s="92">
        <v>95</v>
      </c>
      <c r="E1764" s="93">
        <v>0.50359712230215825</v>
      </c>
      <c r="G1764" s="5"/>
      <c r="H1764" s="5"/>
      <c r="L1764" s="7"/>
      <c r="M1764" s="7"/>
      <c r="O1764" s="6"/>
      <c r="P1764" s="6"/>
      <c r="T1764" s="5"/>
      <c r="U1764" s="5"/>
    </row>
    <row r="1765" spans="2:21" x14ac:dyDescent="0.25">
      <c r="B1765" s="90">
        <v>97</v>
      </c>
      <c r="C1765" s="91">
        <v>0.32431384747102787</v>
      </c>
      <c r="D1765" s="92">
        <v>95</v>
      </c>
      <c r="E1765" s="93">
        <v>0.26618705035971224</v>
      </c>
      <c r="G1765" s="5"/>
      <c r="H1765" s="5"/>
      <c r="L1765" s="7"/>
      <c r="M1765" s="7"/>
      <c r="O1765" s="6"/>
      <c r="P1765" s="6"/>
      <c r="T1765" s="5"/>
      <c r="U1765" s="5"/>
    </row>
    <row r="1766" spans="2:21" x14ac:dyDescent="0.25">
      <c r="B1766" s="90">
        <v>102</v>
      </c>
      <c r="C1766" s="91">
        <v>0.32518606148570384</v>
      </c>
      <c r="D1766" s="92">
        <v>95</v>
      </c>
      <c r="E1766" s="93">
        <v>0.2805755395683453</v>
      </c>
      <c r="G1766" s="5"/>
      <c r="H1766" s="5"/>
      <c r="L1766" s="7"/>
      <c r="M1766" s="7"/>
      <c r="O1766" s="6"/>
      <c r="P1766" s="6"/>
      <c r="T1766" s="5"/>
      <c r="U1766" s="5"/>
    </row>
    <row r="1767" spans="2:21" x14ac:dyDescent="0.25">
      <c r="B1767" s="90">
        <v>235</v>
      </c>
      <c r="C1767" s="91">
        <v>0.32689985571236857</v>
      </c>
      <c r="D1767" s="92">
        <v>95</v>
      </c>
      <c r="E1767" s="93">
        <v>0.53956834532374098</v>
      </c>
      <c r="G1767" s="5"/>
      <c r="H1767" s="5"/>
      <c r="L1767" s="7"/>
      <c r="M1767" s="7"/>
      <c r="O1767" s="6"/>
      <c r="P1767" s="6"/>
      <c r="T1767" s="5"/>
      <c r="U1767" s="5"/>
    </row>
    <row r="1768" spans="2:21" x14ac:dyDescent="0.25">
      <c r="B1768" s="90">
        <v>358</v>
      </c>
      <c r="C1768" s="91">
        <v>0.3269878100980762</v>
      </c>
      <c r="D1768" s="92">
        <v>95</v>
      </c>
      <c r="E1768" s="93">
        <v>0.53237410071942448</v>
      </c>
      <c r="G1768" s="5"/>
      <c r="H1768" s="5"/>
      <c r="L1768" s="7"/>
      <c r="M1768" s="7"/>
      <c r="O1768" s="6"/>
      <c r="P1768" s="6"/>
      <c r="T1768" s="5"/>
      <c r="U1768" s="5"/>
    </row>
    <row r="1769" spans="2:21" x14ac:dyDescent="0.25">
      <c r="B1769" s="90">
        <v>1052</v>
      </c>
      <c r="C1769" s="91">
        <v>0.3279697310346863</v>
      </c>
      <c r="D1769" s="92">
        <v>95</v>
      </c>
      <c r="E1769" s="93">
        <v>0.2733812949640288</v>
      </c>
      <c r="G1769" s="5"/>
      <c r="H1769" s="5"/>
      <c r="L1769" s="7"/>
      <c r="M1769" s="7"/>
      <c r="O1769" s="6"/>
      <c r="P1769" s="6"/>
      <c r="T1769" s="5"/>
      <c r="U1769" s="5"/>
    </row>
    <row r="1770" spans="2:21" x14ac:dyDescent="0.25">
      <c r="B1770" s="90">
        <v>1319</v>
      </c>
      <c r="C1770" s="91">
        <v>0.32835059109580877</v>
      </c>
      <c r="D1770" s="92">
        <v>95</v>
      </c>
      <c r="E1770" s="93">
        <v>0.2805755395683453</v>
      </c>
      <c r="G1770" s="5"/>
      <c r="H1770" s="5"/>
      <c r="L1770" s="7"/>
      <c r="M1770" s="7"/>
      <c r="O1770" s="6"/>
      <c r="P1770" s="6"/>
      <c r="T1770" s="5"/>
      <c r="U1770" s="5"/>
    </row>
    <row r="1771" spans="2:21" x14ac:dyDescent="0.25">
      <c r="B1771" s="90">
        <v>98</v>
      </c>
      <c r="C1771" s="91">
        <v>0.32965442075724816</v>
      </c>
      <c r="D1771" s="92">
        <v>95</v>
      </c>
      <c r="E1771" s="93">
        <v>0.26618705035971224</v>
      </c>
      <c r="G1771" s="5"/>
      <c r="H1771" s="5"/>
      <c r="L1771" s="7"/>
      <c r="M1771" s="7"/>
      <c r="O1771" s="6"/>
      <c r="P1771" s="6"/>
      <c r="T1771" s="5"/>
      <c r="U1771" s="5"/>
    </row>
    <row r="1772" spans="2:21" x14ac:dyDescent="0.25">
      <c r="B1772" s="90">
        <v>163</v>
      </c>
      <c r="C1772" s="91">
        <v>0.33114695175737086</v>
      </c>
      <c r="D1772" s="92">
        <v>95</v>
      </c>
      <c r="E1772" s="93">
        <v>0.2733812949640288</v>
      </c>
      <c r="G1772" s="5"/>
      <c r="H1772" s="5"/>
      <c r="L1772" s="7"/>
      <c r="M1772" s="7"/>
      <c r="O1772" s="6"/>
      <c r="P1772" s="6"/>
      <c r="T1772" s="5"/>
      <c r="U1772" s="5"/>
    </row>
    <row r="1773" spans="2:21" x14ac:dyDescent="0.25">
      <c r="B1773" s="90">
        <v>1060</v>
      </c>
      <c r="C1773" s="91">
        <v>0.33133333853718994</v>
      </c>
      <c r="D1773" s="92">
        <v>95</v>
      </c>
      <c r="E1773" s="93">
        <v>0.53956834532374098</v>
      </c>
      <c r="G1773" s="5"/>
      <c r="H1773" s="5"/>
      <c r="L1773" s="7"/>
      <c r="M1773" s="7"/>
      <c r="O1773" s="6"/>
      <c r="P1773" s="6"/>
      <c r="T1773" s="5"/>
      <c r="U1773" s="5"/>
    </row>
    <row r="1774" spans="2:21" x14ac:dyDescent="0.25">
      <c r="B1774" s="90">
        <v>160</v>
      </c>
      <c r="C1774" s="91">
        <v>0.33364776311262156</v>
      </c>
      <c r="D1774" s="92">
        <v>95</v>
      </c>
      <c r="E1774" s="93">
        <v>0.26618705035971224</v>
      </c>
      <c r="G1774" s="5"/>
      <c r="H1774" s="5"/>
      <c r="L1774" s="7"/>
      <c r="M1774" s="7"/>
      <c r="O1774" s="6"/>
      <c r="P1774" s="6"/>
      <c r="T1774" s="5"/>
      <c r="U1774" s="5"/>
    </row>
    <row r="1775" spans="2:21" x14ac:dyDescent="0.25">
      <c r="B1775" s="90">
        <v>297</v>
      </c>
      <c r="C1775" s="91">
        <v>0.33384600316910296</v>
      </c>
      <c r="D1775" s="92">
        <v>95</v>
      </c>
      <c r="E1775" s="93">
        <v>0.53237410071942448</v>
      </c>
      <c r="G1775" s="5"/>
      <c r="H1775" s="5"/>
      <c r="L1775" s="7"/>
      <c r="M1775" s="7"/>
      <c r="O1775" s="6"/>
      <c r="P1775" s="6"/>
      <c r="T1775" s="5"/>
      <c r="U1775" s="5"/>
    </row>
    <row r="1776" spans="2:21" x14ac:dyDescent="0.25">
      <c r="B1776" s="90">
        <v>99</v>
      </c>
      <c r="C1776" s="91">
        <v>0.34161874463622133</v>
      </c>
      <c r="D1776" s="92">
        <v>95</v>
      </c>
      <c r="E1776" s="93">
        <v>0.2733812949640288</v>
      </c>
      <c r="G1776" s="5"/>
      <c r="H1776" s="5"/>
      <c r="L1776" s="7"/>
      <c r="M1776" s="7"/>
      <c r="O1776" s="6"/>
      <c r="P1776" s="6"/>
      <c r="T1776" s="5"/>
      <c r="U1776" s="5"/>
    </row>
    <row r="1777" spans="2:21" x14ac:dyDescent="0.25">
      <c r="B1777" s="90">
        <v>96</v>
      </c>
      <c r="C1777" s="91">
        <v>0.34343040190484242</v>
      </c>
      <c r="D1777" s="92">
        <v>95</v>
      </c>
      <c r="E1777" s="93">
        <v>0.26618705035971224</v>
      </c>
      <c r="G1777" s="5"/>
      <c r="H1777" s="5"/>
      <c r="L1777" s="7"/>
      <c r="M1777" s="7"/>
      <c r="O1777" s="6"/>
      <c r="P1777" s="6"/>
      <c r="T1777" s="5"/>
      <c r="U1777" s="5"/>
    </row>
    <row r="1778" spans="2:21" x14ac:dyDescent="0.25">
      <c r="B1778" s="90">
        <v>100</v>
      </c>
      <c r="C1778" s="91">
        <v>0.34466060025890166</v>
      </c>
      <c r="D1778" s="92">
        <v>95</v>
      </c>
      <c r="E1778" s="93">
        <v>0.2733812949640288</v>
      </c>
      <c r="G1778" s="5"/>
      <c r="H1778" s="5"/>
      <c r="L1778" s="7"/>
      <c r="M1778" s="7"/>
      <c r="O1778" s="6"/>
      <c r="P1778" s="6"/>
      <c r="T1778" s="5"/>
      <c r="U1778" s="5"/>
    </row>
    <row r="1779" spans="2:21" x14ac:dyDescent="0.25">
      <c r="B1779" s="90">
        <v>1232</v>
      </c>
      <c r="C1779" s="91">
        <v>0.35496584179789126</v>
      </c>
      <c r="D1779" s="92">
        <v>95</v>
      </c>
      <c r="E1779" s="93">
        <v>0.18705035971223022</v>
      </c>
      <c r="G1779" s="5"/>
      <c r="H1779" s="5"/>
      <c r="L1779" s="7"/>
      <c r="M1779" s="7"/>
      <c r="O1779" s="6"/>
      <c r="P1779" s="6"/>
      <c r="T1779" s="5"/>
      <c r="U1779" s="5"/>
    </row>
    <row r="1780" spans="2:21" x14ac:dyDescent="0.25">
      <c r="B1780" s="90">
        <v>360</v>
      </c>
      <c r="C1780" s="91">
        <v>0.41256167075734029</v>
      </c>
      <c r="D1780" s="92">
        <v>95</v>
      </c>
      <c r="E1780" s="93">
        <v>0.42446043165467628</v>
      </c>
      <c r="G1780" s="5"/>
      <c r="H1780" s="5"/>
      <c r="L1780" s="7"/>
      <c r="M1780" s="7"/>
      <c r="O1780" s="6"/>
      <c r="P1780" s="6"/>
      <c r="T1780" s="5"/>
      <c r="U1780" s="5"/>
    </row>
    <row r="1781" spans="2:21" x14ac:dyDescent="0.25">
      <c r="B1781" s="90">
        <v>299</v>
      </c>
      <c r="C1781" s="91">
        <v>0.4198964102467756</v>
      </c>
      <c r="D1781" s="92">
        <v>95</v>
      </c>
      <c r="E1781" s="93">
        <v>0.42446043165467628</v>
      </c>
      <c r="G1781" s="5"/>
      <c r="H1781" s="5"/>
      <c r="L1781" s="7"/>
      <c r="M1781" s="7"/>
      <c r="O1781" s="6"/>
      <c r="P1781" s="6"/>
      <c r="T1781" s="5"/>
      <c r="U1781" s="5"/>
    </row>
    <row r="1782" spans="2:21" x14ac:dyDescent="0.25">
      <c r="B1782" s="90">
        <v>237</v>
      </c>
      <c r="C1782" s="91">
        <v>0.42317497296585427</v>
      </c>
      <c r="D1782" s="92">
        <v>95</v>
      </c>
      <c r="E1782" s="93">
        <v>0.37410071942446044</v>
      </c>
      <c r="G1782" s="5"/>
      <c r="H1782" s="5"/>
      <c r="L1782" s="7"/>
      <c r="M1782" s="7"/>
      <c r="O1782" s="6"/>
      <c r="P1782" s="6"/>
      <c r="T1782" s="5"/>
      <c r="U1782" s="5"/>
    </row>
    <row r="1783" spans="2:21" x14ac:dyDescent="0.25">
      <c r="B1783" s="90">
        <v>359</v>
      </c>
      <c r="C1783" s="91">
        <v>0.43184138041342623</v>
      </c>
      <c r="D1783" s="92">
        <v>95</v>
      </c>
      <c r="E1783" s="93">
        <v>0.35251798561151076</v>
      </c>
      <c r="G1783" s="5"/>
      <c r="H1783" s="5"/>
      <c r="L1783" s="7"/>
      <c r="M1783" s="7"/>
      <c r="O1783" s="6"/>
      <c r="P1783" s="6"/>
      <c r="T1783" s="5"/>
      <c r="U1783" s="5"/>
    </row>
    <row r="1784" spans="2:21" x14ac:dyDescent="0.25">
      <c r="B1784" s="90">
        <v>298</v>
      </c>
      <c r="C1784" s="91">
        <v>0.43872860917503942</v>
      </c>
      <c r="D1784" s="92">
        <v>95</v>
      </c>
      <c r="E1784" s="93">
        <v>0.35251798561151076</v>
      </c>
      <c r="G1784" s="5"/>
      <c r="H1784" s="5"/>
      <c r="L1784" s="7"/>
      <c r="M1784" s="7"/>
      <c r="O1784" s="6"/>
      <c r="P1784" s="6"/>
      <c r="T1784" s="5"/>
      <c r="U1784" s="5"/>
    </row>
    <row r="1785" spans="2:21" x14ac:dyDescent="0.25">
      <c r="B1785" s="90">
        <v>236</v>
      </c>
      <c r="C1785" s="91">
        <v>0.44953103872508537</v>
      </c>
      <c r="D1785" s="92">
        <v>95</v>
      </c>
      <c r="E1785" s="93">
        <v>0.26618705035971224</v>
      </c>
      <c r="G1785" s="5"/>
      <c r="H1785" s="5"/>
      <c r="L1785" s="7"/>
      <c r="M1785" s="7"/>
      <c r="O1785" s="6"/>
      <c r="P1785" s="6"/>
      <c r="T1785" s="5"/>
      <c r="U1785" s="5"/>
    </row>
    <row r="1786" spans="2:21" x14ac:dyDescent="0.25">
      <c r="B1786" s="90">
        <v>73</v>
      </c>
      <c r="C1786" s="91">
        <v>0.1409172619053487</v>
      </c>
      <c r="D1786" s="92">
        <v>96</v>
      </c>
      <c r="E1786" s="93">
        <v>0.36690647482014388</v>
      </c>
      <c r="G1786" s="5"/>
      <c r="H1786" s="5"/>
      <c r="L1786" s="7"/>
      <c r="M1786" s="7"/>
      <c r="O1786" s="6"/>
      <c r="P1786" s="6"/>
      <c r="T1786" s="5"/>
      <c r="U1786" s="5"/>
    </row>
    <row r="1787" spans="2:21" x14ac:dyDescent="0.25">
      <c r="B1787" s="90">
        <v>415</v>
      </c>
      <c r="C1787" s="91">
        <v>0.3003222259461743</v>
      </c>
      <c r="D1787" s="92">
        <v>96</v>
      </c>
      <c r="E1787" s="93">
        <v>0.4460431654676259</v>
      </c>
      <c r="G1787" s="5"/>
      <c r="H1787" s="5"/>
      <c r="L1787" s="7"/>
      <c r="M1787" s="7"/>
      <c r="O1787" s="6"/>
      <c r="P1787" s="6"/>
      <c r="T1787" s="5"/>
      <c r="U1787" s="5"/>
    </row>
    <row r="1788" spans="2:21" x14ac:dyDescent="0.25">
      <c r="B1788" s="90">
        <v>414</v>
      </c>
      <c r="C1788" s="91">
        <v>0.30426224098588406</v>
      </c>
      <c r="D1788" s="92">
        <v>96</v>
      </c>
      <c r="E1788" s="93">
        <v>0.4460431654676259</v>
      </c>
      <c r="G1788" s="5"/>
      <c r="H1788" s="5"/>
      <c r="L1788" s="7"/>
      <c r="M1788" s="7"/>
      <c r="O1788" s="6"/>
      <c r="P1788" s="6"/>
      <c r="T1788" s="5"/>
      <c r="U1788" s="5"/>
    </row>
    <row r="1789" spans="2:21" x14ac:dyDescent="0.25">
      <c r="B1789" s="90">
        <v>524</v>
      </c>
      <c r="C1789" s="91">
        <v>0.3138105016720073</v>
      </c>
      <c r="D1789" s="92">
        <v>96</v>
      </c>
      <c r="E1789" s="93">
        <v>0.34532374100719426</v>
      </c>
      <c r="G1789" s="5"/>
      <c r="H1789" s="5"/>
      <c r="L1789" s="7"/>
      <c r="M1789" s="7"/>
      <c r="O1789" s="6"/>
      <c r="P1789" s="6"/>
      <c r="T1789" s="5"/>
      <c r="U1789" s="5"/>
    </row>
    <row r="1790" spans="2:21" x14ac:dyDescent="0.25">
      <c r="B1790" s="90">
        <v>532</v>
      </c>
      <c r="C1790" s="91">
        <v>0.31611635909343516</v>
      </c>
      <c r="D1790" s="92">
        <v>96</v>
      </c>
      <c r="E1790" s="93">
        <v>0.4460431654676259</v>
      </c>
      <c r="G1790" s="5"/>
      <c r="H1790" s="5"/>
      <c r="L1790" s="7"/>
      <c r="M1790" s="7"/>
      <c r="O1790" s="6"/>
      <c r="P1790" s="6"/>
      <c r="T1790" s="5"/>
      <c r="U1790" s="5"/>
    </row>
    <row r="1791" spans="2:21" x14ac:dyDescent="0.25">
      <c r="B1791" s="90">
        <v>531</v>
      </c>
      <c r="C1791" s="91">
        <v>0.32090882203840909</v>
      </c>
      <c r="D1791" s="92">
        <v>96</v>
      </c>
      <c r="E1791" s="93">
        <v>0.4460431654676259</v>
      </c>
      <c r="G1791" s="5"/>
      <c r="H1791" s="5"/>
      <c r="L1791" s="7"/>
      <c r="M1791" s="7"/>
      <c r="O1791" s="6"/>
      <c r="P1791" s="6"/>
      <c r="T1791" s="5"/>
      <c r="U1791" s="5"/>
    </row>
    <row r="1792" spans="2:21" x14ac:dyDescent="0.25">
      <c r="B1792" s="90">
        <v>525</v>
      </c>
      <c r="C1792" s="91">
        <v>0.32167504624033527</v>
      </c>
      <c r="D1792" s="92">
        <v>96</v>
      </c>
      <c r="E1792" s="93">
        <v>0.26618705035971224</v>
      </c>
      <c r="G1792" s="5"/>
      <c r="H1792" s="5"/>
      <c r="L1792" s="7"/>
      <c r="M1792" s="7"/>
      <c r="O1792" s="6"/>
      <c r="P1792" s="6"/>
      <c r="T1792" s="5"/>
      <c r="U1792" s="5"/>
    </row>
    <row r="1793" spans="2:21" x14ac:dyDescent="0.25">
      <c r="B1793" s="90">
        <v>416</v>
      </c>
      <c r="C1793" s="91">
        <v>0.32236269388496896</v>
      </c>
      <c r="D1793" s="92">
        <v>96</v>
      </c>
      <c r="E1793" s="93">
        <v>0.43165467625899279</v>
      </c>
      <c r="G1793" s="5"/>
      <c r="H1793" s="5"/>
      <c r="L1793" s="7"/>
      <c r="M1793" s="7"/>
      <c r="O1793" s="6"/>
      <c r="P1793" s="6"/>
      <c r="T1793" s="5"/>
      <c r="U1793" s="5"/>
    </row>
    <row r="1794" spans="2:21" x14ac:dyDescent="0.25">
      <c r="B1794" s="90">
        <v>417</v>
      </c>
      <c r="C1794" s="91">
        <v>0.32497890316725941</v>
      </c>
      <c r="D1794" s="92">
        <v>96</v>
      </c>
      <c r="E1794" s="93">
        <v>0.50359712230215825</v>
      </c>
      <c r="G1794" s="5"/>
      <c r="H1794" s="5"/>
      <c r="L1794" s="7"/>
      <c r="M1794" s="7"/>
      <c r="O1794" s="6"/>
      <c r="P1794" s="6"/>
      <c r="T1794" s="5"/>
      <c r="U1794" s="5"/>
    </row>
    <row r="1795" spans="2:21" x14ac:dyDescent="0.25">
      <c r="B1795" s="90">
        <v>523</v>
      </c>
      <c r="C1795" s="91">
        <v>0.3286567912274907</v>
      </c>
      <c r="D1795" s="92">
        <v>96</v>
      </c>
      <c r="E1795" s="93">
        <v>0.26618705035971224</v>
      </c>
      <c r="G1795" s="5"/>
      <c r="H1795" s="5"/>
      <c r="L1795" s="7"/>
      <c r="M1795" s="7"/>
      <c r="O1795" s="6"/>
      <c r="P1795" s="6"/>
      <c r="T1795" s="5"/>
      <c r="U1795" s="5"/>
    </row>
    <row r="1796" spans="2:21" x14ac:dyDescent="0.25">
      <c r="B1796" s="90">
        <v>533</v>
      </c>
      <c r="C1796" s="91">
        <v>0.33829091992783245</v>
      </c>
      <c r="D1796" s="92">
        <v>96</v>
      </c>
      <c r="E1796" s="93">
        <v>0.43165467625899279</v>
      </c>
      <c r="G1796" s="5"/>
      <c r="H1796" s="5"/>
      <c r="L1796" s="7"/>
      <c r="M1796" s="7"/>
      <c r="O1796" s="6"/>
      <c r="P1796" s="6"/>
      <c r="T1796" s="5"/>
      <c r="U1796" s="5"/>
    </row>
    <row r="1797" spans="2:21" x14ac:dyDescent="0.25">
      <c r="B1797" s="90">
        <v>418</v>
      </c>
      <c r="C1797" s="91">
        <v>0.33922195497908092</v>
      </c>
      <c r="D1797" s="92">
        <v>96</v>
      </c>
      <c r="E1797" s="93">
        <v>0.50359712230215825</v>
      </c>
      <c r="G1797" s="5"/>
      <c r="H1797" s="5"/>
      <c r="L1797" s="7"/>
      <c r="M1797" s="7"/>
      <c r="O1797" s="6"/>
      <c r="P1797" s="6"/>
      <c r="T1797" s="5"/>
      <c r="U1797" s="5"/>
    </row>
    <row r="1798" spans="2:21" x14ac:dyDescent="0.25">
      <c r="B1798" s="90">
        <v>534</v>
      </c>
      <c r="C1798" s="91">
        <v>0.34302844465692706</v>
      </c>
      <c r="D1798" s="92">
        <v>96</v>
      </c>
      <c r="E1798" s="93">
        <v>0.43165467625899279</v>
      </c>
      <c r="G1798" s="5"/>
      <c r="H1798" s="5"/>
      <c r="L1798" s="7"/>
      <c r="M1798" s="7"/>
      <c r="O1798" s="6"/>
      <c r="P1798" s="6"/>
      <c r="T1798" s="5"/>
      <c r="U1798" s="5"/>
    </row>
    <row r="1799" spans="2:21" x14ac:dyDescent="0.25">
      <c r="B1799" s="90">
        <v>596</v>
      </c>
      <c r="C1799" s="91">
        <v>0.41328175128684885</v>
      </c>
      <c r="D1799" s="92">
        <v>96</v>
      </c>
      <c r="E1799" s="93">
        <v>0.36690647482014388</v>
      </c>
      <c r="G1799" s="5"/>
      <c r="H1799" s="5"/>
      <c r="L1799" s="7"/>
      <c r="M1799" s="7"/>
      <c r="O1799" s="6"/>
      <c r="P1799" s="6"/>
      <c r="T1799" s="5"/>
      <c r="U1799" s="5"/>
    </row>
    <row r="1800" spans="2:21" x14ac:dyDescent="0.25">
      <c r="B1800" s="90">
        <v>539</v>
      </c>
      <c r="C1800" s="91">
        <v>0.4142990537648289</v>
      </c>
      <c r="D1800" s="92">
        <v>96</v>
      </c>
      <c r="E1800" s="93">
        <v>0.36690647482014388</v>
      </c>
      <c r="G1800" s="5"/>
      <c r="H1800" s="5"/>
      <c r="L1800" s="7"/>
      <c r="M1800" s="7"/>
      <c r="O1800" s="6"/>
      <c r="P1800" s="6"/>
      <c r="T1800" s="5"/>
      <c r="U1800" s="5"/>
    </row>
    <row r="1801" spans="2:21" x14ac:dyDescent="0.25">
      <c r="B1801" s="90">
        <v>482</v>
      </c>
      <c r="C1801" s="91">
        <v>0.42227807163468545</v>
      </c>
      <c r="D1801" s="92">
        <v>96</v>
      </c>
      <c r="E1801" s="93">
        <v>0.45323741007194246</v>
      </c>
      <c r="G1801" s="5"/>
      <c r="H1801" s="5"/>
      <c r="L1801" s="7"/>
      <c r="M1801" s="7"/>
      <c r="O1801" s="6"/>
      <c r="P1801" s="6"/>
      <c r="T1801" s="5"/>
      <c r="U1801" s="5"/>
    </row>
    <row r="1802" spans="2:21" x14ac:dyDescent="0.25">
      <c r="B1802" s="90">
        <v>540</v>
      </c>
      <c r="C1802" s="91">
        <v>0.43628507159219976</v>
      </c>
      <c r="D1802" s="92">
        <v>96</v>
      </c>
      <c r="E1802" s="93">
        <v>0.4460431654676259</v>
      </c>
      <c r="G1802" s="5"/>
      <c r="H1802" s="5"/>
      <c r="L1802" s="7"/>
      <c r="M1802" s="7"/>
      <c r="O1802" s="6"/>
      <c r="P1802" s="6"/>
      <c r="T1802" s="5"/>
      <c r="U1802" s="5"/>
    </row>
    <row r="1803" spans="2:21" x14ac:dyDescent="0.25">
      <c r="B1803" s="90">
        <v>419</v>
      </c>
      <c r="C1803" s="91">
        <v>0.44672632966894987</v>
      </c>
      <c r="D1803" s="92">
        <v>96</v>
      </c>
      <c r="E1803" s="93">
        <v>0.25179856115107913</v>
      </c>
      <c r="G1803" s="5"/>
      <c r="H1803" s="5"/>
      <c r="L1803" s="7"/>
      <c r="M1803" s="7"/>
      <c r="O1803" s="6"/>
      <c r="P1803" s="6"/>
      <c r="T1803" s="5"/>
      <c r="U1803" s="5"/>
    </row>
    <row r="1804" spans="2:21" x14ac:dyDescent="0.25">
      <c r="B1804" s="90">
        <v>598</v>
      </c>
      <c r="C1804" s="91">
        <v>0.48361177576353098</v>
      </c>
      <c r="D1804" s="92">
        <v>96</v>
      </c>
      <c r="E1804" s="93">
        <v>0.4460431654676259</v>
      </c>
      <c r="G1804" s="5"/>
      <c r="H1804" s="5"/>
      <c r="L1804" s="7"/>
      <c r="M1804" s="7"/>
      <c r="O1804" s="6"/>
      <c r="P1804" s="6"/>
      <c r="T1804" s="5"/>
      <c r="U1804" s="5"/>
    </row>
    <row r="1805" spans="2:21" x14ac:dyDescent="0.25">
      <c r="B1805" s="90">
        <v>599</v>
      </c>
      <c r="C1805" s="91">
        <v>0.51628030300770977</v>
      </c>
      <c r="D1805" s="92">
        <v>96</v>
      </c>
      <c r="E1805" s="93">
        <v>0.37410071942446044</v>
      </c>
      <c r="G1805" s="5"/>
      <c r="H1805" s="5"/>
      <c r="L1805" s="7"/>
      <c r="M1805" s="7"/>
      <c r="O1805" s="6"/>
      <c r="P1805" s="6"/>
      <c r="T1805" s="5"/>
      <c r="U1805" s="5"/>
    </row>
    <row r="1806" spans="2:21" x14ac:dyDescent="0.25">
      <c r="B1806" s="90">
        <v>161</v>
      </c>
      <c r="C1806" s="91">
        <v>0.31376967723285354</v>
      </c>
      <c r="D1806" s="92">
        <v>97</v>
      </c>
      <c r="E1806" s="93">
        <v>0.26618705035971224</v>
      </c>
      <c r="G1806" s="5"/>
      <c r="H1806" s="5"/>
      <c r="L1806" s="7"/>
      <c r="M1806" s="7"/>
      <c r="O1806" s="6"/>
      <c r="P1806" s="6"/>
      <c r="T1806" s="5"/>
      <c r="U1806" s="5"/>
    </row>
    <row r="1807" spans="2:21" x14ac:dyDescent="0.25">
      <c r="B1807" s="90">
        <v>535</v>
      </c>
      <c r="C1807" s="91">
        <v>0.35643929851161449</v>
      </c>
      <c r="D1807" s="92">
        <v>97</v>
      </c>
      <c r="E1807" s="93">
        <v>0.50359712230215825</v>
      </c>
      <c r="G1807" s="5"/>
      <c r="H1807" s="5"/>
      <c r="L1807" s="7"/>
      <c r="M1807" s="7"/>
      <c r="O1807" s="6"/>
      <c r="P1807" s="6"/>
      <c r="T1807" s="5"/>
      <c r="U1807" s="5"/>
    </row>
    <row r="1808" spans="2:21" x14ac:dyDescent="0.25">
      <c r="B1808" s="90">
        <v>648</v>
      </c>
      <c r="C1808" s="91">
        <v>0.36402183417959855</v>
      </c>
      <c r="D1808" s="92">
        <v>97</v>
      </c>
      <c r="E1808" s="93">
        <v>0.50359712230215825</v>
      </c>
      <c r="G1808" s="5"/>
      <c r="H1808" s="5"/>
      <c r="L1808" s="7"/>
      <c r="M1808" s="7"/>
      <c r="O1808" s="6"/>
      <c r="P1808" s="6"/>
      <c r="T1808" s="5"/>
      <c r="U1808" s="5"/>
    </row>
    <row r="1809" spans="2:21" x14ac:dyDescent="0.25">
      <c r="B1809" s="90">
        <v>595</v>
      </c>
      <c r="C1809" s="91">
        <v>0.41341801082602903</v>
      </c>
      <c r="D1809" s="92">
        <v>97</v>
      </c>
      <c r="E1809" s="93">
        <v>0.36690647482014388</v>
      </c>
      <c r="G1809" s="5"/>
      <c r="H1809" s="5"/>
      <c r="L1809" s="7"/>
      <c r="M1809" s="7"/>
      <c r="O1809" s="6"/>
      <c r="P1809" s="6"/>
      <c r="T1809" s="5"/>
      <c r="U1809" s="5"/>
    </row>
    <row r="1810" spans="2:21" x14ac:dyDescent="0.25">
      <c r="B1810" s="90">
        <v>538</v>
      </c>
      <c r="C1810" s="91">
        <v>0.41477790142711879</v>
      </c>
      <c r="D1810" s="92">
        <v>97</v>
      </c>
      <c r="E1810" s="93">
        <v>0.36690647482014388</v>
      </c>
      <c r="G1810" s="5"/>
      <c r="H1810" s="5"/>
      <c r="L1810" s="7"/>
      <c r="M1810" s="7"/>
      <c r="O1810" s="6"/>
      <c r="P1810" s="6"/>
      <c r="T1810" s="5"/>
      <c r="U1810" s="5"/>
    </row>
    <row r="1811" spans="2:21" x14ac:dyDescent="0.25">
      <c r="B1811" s="90">
        <v>704</v>
      </c>
      <c r="C1811" s="91">
        <v>0.4731084663264602</v>
      </c>
      <c r="D1811" s="92">
        <v>97</v>
      </c>
      <c r="E1811" s="93">
        <v>0.18705035971223022</v>
      </c>
      <c r="G1811" s="5"/>
      <c r="H1811" s="5"/>
      <c r="L1811" s="7"/>
      <c r="M1811" s="7"/>
      <c r="O1811" s="6"/>
      <c r="P1811" s="6"/>
      <c r="T1811" s="5"/>
      <c r="U1811" s="5"/>
    </row>
    <row r="1812" spans="2:21" x14ac:dyDescent="0.25">
      <c r="B1812" s="90">
        <v>649</v>
      </c>
      <c r="C1812" s="91">
        <v>0.47619418567244542</v>
      </c>
      <c r="D1812" s="92">
        <v>97</v>
      </c>
      <c r="E1812" s="93">
        <v>0.18705035971223022</v>
      </c>
      <c r="G1812" s="5"/>
      <c r="H1812" s="5"/>
      <c r="L1812" s="7"/>
      <c r="M1812" s="7"/>
      <c r="O1812" s="6"/>
      <c r="P1812" s="6"/>
      <c r="T1812" s="5"/>
      <c r="U1812" s="5"/>
    </row>
    <row r="1813" spans="2:21" x14ac:dyDescent="0.25">
      <c r="B1813" s="90">
        <v>600</v>
      </c>
      <c r="C1813" s="91">
        <v>0.51647710235342359</v>
      </c>
      <c r="D1813" s="92">
        <v>97</v>
      </c>
      <c r="E1813" s="93">
        <v>0.37410071942446044</v>
      </c>
      <c r="G1813" s="5"/>
      <c r="H1813" s="5"/>
      <c r="L1813" s="7"/>
      <c r="M1813" s="7"/>
      <c r="O1813" s="6"/>
      <c r="P1813" s="6"/>
      <c r="T1813" s="5"/>
      <c r="U1813" s="5"/>
    </row>
    <row r="1814" spans="2:21" x14ac:dyDescent="0.25">
      <c r="B1814" s="90">
        <v>544</v>
      </c>
      <c r="C1814" s="91">
        <v>0.51762059875711786</v>
      </c>
      <c r="D1814" s="92">
        <v>97</v>
      </c>
      <c r="E1814" s="93">
        <v>0.37410071942446044</v>
      </c>
      <c r="G1814" s="5"/>
      <c r="H1814" s="5"/>
      <c r="L1814" s="7"/>
      <c r="M1814" s="7"/>
      <c r="O1814" s="6"/>
      <c r="P1814" s="6"/>
      <c r="T1814" s="5"/>
      <c r="U1814" s="5"/>
    </row>
    <row r="1815" spans="2:21" x14ac:dyDescent="0.25">
      <c r="B1815" s="90">
        <v>542</v>
      </c>
      <c r="C1815" s="91">
        <v>0.52110647299886914</v>
      </c>
      <c r="D1815" s="92">
        <v>97</v>
      </c>
      <c r="E1815" s="93">
        <v>0.37410071942446044</v>
      </c>
      <c r="G1815" s="5"/>
      <c r="H1815" s="5"/>
      <c r="L1815" s="7"/>
      <c r="M1815" s="7"/>
      <c r="O1815" s="6"/>
      <c r="P1815" s="6"/>
      <c r="T1815" s="5"/>
      <c r="U1815" s="5"/>
    </row>
    <row r="1816" spans="2:21" x14ac:dyDescent="0.25">
      <c r="B1816" s="90">
        <v>604</v>
      </c>
      <c r="C1816" s="91">
        <v>0.54679949851869902</v>
      </c>
      <c r="D1816" s="92">
        <v>97</v>
      </c>
      <c r="E1816" s="93">
        <v>0.33812949640287771</v>
      </c>
      <c r="G1816" s="5"/>
      <c r="H1816" s="5"/>
      <c r="L1816" s="7"/>
      <c r="M1816" s="7"/>
      <c r="O1816" s="6"/>
      <c r="P1816" s="6"/>
      <c r="T1816" s="5"/>
      <c r="U1816" s="5"/>
    </row>
    <row r="1817" spans="2:21" x14ac:dyDescent="0.25">
      <c r="B1817" s="90">
        <v>474</v>
      </c>
      <c r="C1817" s="91">
        <v>0.30428167606294565</v>
      </c>
      <c r="D1817" s="92">
        <v>98</v>
      </c>
      <c r="E1817" s="93">
        <v>0.4460431654676259</v>
      </c>
      <c r="G1817" s="5"/>
      <c r="H1817" s="5"/>
      <c r="L1817" s="7"/>
      <c r="M1817" s="7"/>
      <c r="O1817" s="6"/>
      <c r="P1817" s="6"/>
      <c r="T1817" s="5"/>
      <c r="U1817" s="5"/>
    </row>
    <row r="1818" spans="2:21" x14ac:dyDescent="0.25">
      <c r="B1818" s="90">
        <v>473</v>
      </c>
      <c r="C1818" s="91">
        <v>0.30836879302838438</v>
      </c>
      <c r="D1818" s="92">
        <v>98</v>
      </c>
      <c r="E1818" s="93">
        <v>0.4460431654676259</v>
      </c>
      <c r="G1818" s="5"/>
      <c r="H1818" s="5"/>
      <c r="L1818" s="7"/>
      <c r="M1818" s="7"/>
      <c r="O1818" s="6"/>
      <c r="P1818" s="6"/>
      <c r="T1818" s="5"/>
      <c r="U1818" s="5"/>
    </row>
    <row r="1819" spans="2:21" x14ac:dyDescent="0.25">
      <c r="B1819" s="90">
        <v>580</v>
      </c>
      <c r="C1819" s="91">
        <v>0.32349041266242906</v>
      </c>
      <c r="D1819" s="92">
        <v>98</v>
      </c>
      <c r="E1819" s="93">
        <v>0.26618705035971224</v>
      </c>
      <c r="G1819" s="5"/>
      <c r="H1819" s="5"/>
      <c r="L1819" s="7"/>
      <c r="M1819" s="7"/>
      <c r="O1819" s="6"/>
      <c r="P1819" s="6"/>
      <c r="T1819" s="5"/>
      <c r="U1819" s="5"/>
    </row>
    <row r="1820" spans="2:21" x14ac:dyDescent="0.25">
      <c r="B1820" s="90">
        <v>475</v>
      </c>
      <c r="C1820" s="91">
        <v>0.32633923263288411</v>
      </c>
      <c r="D1820" s="92">
        <v>98</v>
      </c>
      <c r="E1820" s="93">
        <v>0.43165467625899279</v>
      </c>
      <c r="G1820" s="5"/>
      <c r="H1820" s="5"/>
      <c r="L1820" s="7"/>
      <c r="M1820" s="7"/>
      <c r="O1820" s="6"/>
      <c r="P1820" s="6"/>
      <c r="T1820" s="5"/>
      <c r="U1820" s="5"/>
    </row>
    <row r="1821" spans="2:21" x14ac:dyDescent="0.25">
      <c r="B1821" s="90">
        <v>476</v>
      </c>
      <c r="C1821" s="91">
        <v>0.32929069488512963</v>
      </c>
      <c r="D1821" s="92">
        <v>98</v>
      </c>
      <c r="E1821" s="93">
        <v>0.43165467625899279</v>
      </c>
      <c r="G1821" s="5"/>
      <c r="H1821" s="5"/>
      <c r="L1821" s="7"/>
      <c r="M1821" s="7"/>
      <c r="O1821" s="6"/>
      <c r="P1821" s="6"/>
      <c r="T1821" s="5"/>
      <c r="U1821" s="5"/>
    </row>
    <row r="1822" spans="2:21" x14ac:dyDescent="0.25">
      <c r="B1822" s="90">
        <v>591</v>
      </c>
      <c r="C1822" s="91">
        <v>0.34111390648156803</v>
      </c>
      <c r="D1822" s="92">
        <v>98</v>
      </c>
      <c r="E1822" s="93">
        <v>0.43165467625899279</v>
      </c>
      <c r="G1822" s="5"/>
      <c r="H1822" s="5"/>
      <c r="L1822" s="7"/>
      <c r="M1822" s="7"/>
      <c r="O1822" s="6"/>
      <c r="P1822" s="6"/>
      <c r="T1822" s="5"/>
      <c r="U1822" s="5"/>
    </row>
    <row r="1823" spans="2:21" x14ac:dyDescent="0.25">
      <c r="B1823" s="90">
        <v>477</v>
      </c>
      <c r="C1823" s="91">
        <v>0.34330665941697514</v>
      </c>
      <c r="D1823" s="92">
        <v>98</v>
      </c>
      <c r="E1823" s="93">
        <v>0.50359712230215825</v>
      </c>
      <c r="G1823" s="5"/>
      <c r="H1823" s="5"/>
      <c r="L1823" s="7"/>
      <c r="M1823" s="7"/>
      <c r="O1823" s="6"/>
      <c r="P1823" s="6"/>
      <c r="T1823" s="5"/>
      <c r="U1823" s="5"/>
    </row>
    <row r="1824" spans="2:21" x14ac:dyDescent="0.25">
      <c r="B1824" s="90">
        <v>420</v>
      </c>
      <c r="C1824" s="91">
        <v>0.42736762528884908</v>
      </c>
      <c r="D1824" s="92">
        <v>98</v>
      </c>
      <c r="E1824" s="93">
        <v>0.42446043165467628</v>
      </c>
      <c r="G1824" s="5"/>
      <c r="H1824" s="5"/>
      <c r="L1824" s="7"/>
      <c r="M1824" s="7"/>
      <c r="O1824" s="6"/>
      <c r="P1824" s="6"/>
      <c r="T1824" s="5"/>
      <c r="U1824" s="5"/>
    </row>
    <row r="1825" spans="2:21" x14ac:dyDescent="0.25">
      <c r="B1825" s="90">
        <v>705</v>
      </c>
      <c r="C1825" s="91">
        <v>0.45664857323924402</v>
      </c>
      <c r="D1825" s="92">
        <v>98</v>
      </c>
      <c r="E1825" s="93">
        <v>0.2733812949640288</v>
      </c>
      <c r="G1825" s="5"/>
      <c r="H1825" s="5"/>
      <c r="L1825" s="7"/>
      <c r="M1825" s="7"/>
      <c r="O1825" s="6"/>
      <c r="P1825" s="6"/>
      <c r="T1825" s="5"/>
      <c r="U1825" s="5"/>
    </row>
    <row r="1826" spans="2:21" x14ac:dyDescent="0.25">
      <c r="B1826" s="90">
        <v>650</v>
      </c>
      <c r="C1826" s="91">
        <v>0.45918361643376604</v>
      </c>
      <c r="D1826" s="92">
        <v>98</v>
      </c>
      <c r="E1826" s="93">
        <v>0.2733812949640288</v>
      </c>
      <c r="G1826" s="5"/>
      <c r="H1826" s="5"/>
      <c r="L1826" s="7"/>
      <c r="M1826" s="7"/>
      <c r="O1826" s="6"/>
      <c r="P1826" s="6"/>
      <c r="T1826" s="5"/>
      <c r="U1826" s="5"/>
    </row>
    <row r="1827" spans="2:21" x14ac:dyDescent="0.25">
      <c r="B1827" s="90">
        <v>759</v>
      </c>
      <c r="C1827" s="91">
        <v>0.46273640814327577</v>
      </c>
      <c r="D1827" s="92">
        <v>98</v>
      </c>
      <c r="E1827" s="93">
        <v>0.2733812949640288</v>
      </c>
      <c r="G1827" s="5"/>
      <c r="H1827" s="5"/>
      <c r="L1827" s="7"/>
      <c r="M1827" s="7"/>
      <c r="O1827" s="6"/>
      <c r="P1827" s="6"/>
      <c r="T1827" s="5"/>
      <c r="U1827" s="5"/>
    </row>
    <row r="1828" spans="2:21" x14ac:dyDescent="0.25">
      <c r="B1828" s="90">
        <v>812</v>
      </c>
      <c r="C1828" s="91">
        <v>0.46814260877126745</v>
      </c>
      <c r="D1828" s="92">
        <v>98</v>
      </c>
      <c r="E1828" s="93">
        <v>0.18705035971223022</v>
      </c>
      <c r="G1828" s="5"/>
      <c r="H1828" s="5"/>
      <c r="L1828" s="7"/>
      <c r="M1828" s="7"/>
      <c r="O1828" s="6"/>
      <c r="P1828" s="6"/>
      <c r="T1828" s="5"/>
      <c r="U1828" s="5"/>
    </row>
    <row r="1829" spans="2:21" x14ac:dyDescent="0.25">
      <c r="B1829" s="90">
        <v>536</v>
      </c>
      <c r="C1829" s="91">
        <v>0.47121962931352757</v>
      </c>
      <c r="D1829" s="92">
        <v>98</v>
      </c>
      <c r="E1829" s="93">
        <v>0.19424460431654678</v>
      </c>
      <c r="G1829" s="5"/>
      <c r="H1829" s="5"/>
      <c r="L1829" s="7"/>
      <c r="M1829" s="7"/>
      <c r="O1829" s="6"/>
      <c r="P1829" s="6"/>
      <c r="T1829" s="5"/>
      <c r="U1829" s="5"/>
    </row>
    <row r="1830" spans="2:21" x14ac:dyDescent="0.25">
      <c r="B1830" s="90">
        <v>1736</v>
      </c>
      <c r="C1830" s="91">
        <v>0.82760768978345889</v>
      </c>
      <c r="D1830" s="92">
        <v>98</v>
      </c>
      <c r="E1830" s="93">
        <v>6.4748201438848921E-2</v>
      </c>
      <c r="G1830" s="5"/>
      <c r="H1830" s="5"/>
      <c r="L1830" s="7"/>
      <c r="M1830" s="7"/>
      <c r="O1830" s="6"/>
      <c r="P1830" s="6"/>
      <c r="T1830" s="5"/>
      <c r="U1830" s="5"/>
    </row>
    <row r="1831" spans="2:21" x14ac:dyDescent="0.25">
      <c r="B1831" s="90">
        <v>1964</v>
      </c>
      <c r="C1831" s="91">
        <v>4.3057988815492276E-2</v>
      </c>
      <c r="D1831" s="92">
        <v>99</v>
      </c>
      <c r="E1831" s="93">
        <v>0.33093525179856115</v>
      </c>
      <c r="G1831" s="5"/>
      <c r="H1831" s="5"/>
      <c r="L1831" s="7"/>
      <c r="M1831" s="7"/>
      <c r="O1831" s="6"/>
      <c r="P1831" s="6"/>
      <c r="T1831" s="5"/>
      <c r="U1831" s="5"/>
    </row>
    <row r="1832" spans="2:21" x14ac:dyDescent="0.25">
      <c r="B1832" s="90">
        <v>683</v>
      </c>
      <c r="C1832" s="91">
        <v>5.0614047409722307E-2</v>
      </c>
      <c r="D1832" s="92">
        <v>99</v>
      </c>
      <c r="E1832" s="93">
        <v>0.41726618705035973</v>
      </c>
      <c r="G1832" s="5"/>
      <c r="H1832" s="5"/>
      <c r="L1832" s="7"/>
      <c r="M1832" s="7"/>
      <c r="O1832" s="6"/>
      <c r="P1832" s="6"/>
      <c r="T1832" s="5"/>
      <c r="U1832" s="5"/>
    </row>
    <row r="1833" spans="2:21" x14ac:dyDescent="0.25">
      <c r="B1833" s="90">
        <v>628</v>
      </c>
      <c r="C1833" s="91">
        <v>5.0673597391543201E-2</v>
      </c>
      <c r="D1833" s="92">
        <v>99</v>
      </c>
      <c r="E1833" s="93">
        <v>0.41726618705035973</v>
      </c>
      <c r="G1833" s="5"/>
      <c r="H1833" s="5"/>
      <c r="L1833" s="7"/>
      <c r="M1833" s="7"/>
      <c r="O1833" s="6"/>
      <c r="P1833" s="6"/>
      <c r="T1833" s="5"/>
      <c r="U1833" s="5"/>
    </row>
    <row r="1834" spans="2:21" x14ac:dyDescent="0.25">
      <c r="B1834" s="90">
        <v>737</v>
      </c>
      <c r="C1834" s="91">
        <v>5.1859262899100922E-2</v>
      </c>
      <c r="D1834" s="92">
        <v>99</v>
      </c>
      <c r="E1834" s="93">
        <v>0.41726618705035973</v>
      </c>
      <c r="G1834" s="5"/>
      <c r="H1834" s="5"/>
      <c r="L1834" s="7"/>
      <c r="M1834" s="7"/>
      <c r="O1834" s="6"/>
      <c r="P1834" s="6"/>
      <c r="T1834" s="5"/>
      <c r="U1834" s="5"/>
    </row>
    <row r="1835" spans="2:21" x14ac:dyDescent="0.25">
      <c r="B1835" s="90">
        <v>1133</v>
      </c>
      <c r="C1835" s="91">
        <v>5.2329500821338581E-2</v>
      </c>
      <c r="D1835" s="92">
        <v>99</v>
      </c>
      <c r="E1835" s="93">
        <v>0.41726618705035973</v>
      </c>
      <c r="G1835" s="5"/>
      <c r="H1835" s="5"/>
      <c r="L1835" s="7"/>
      <c r="M1835" s="7"/>
      <c r="O1835" s="6"/>
      <c r="P1835" s="6"/>
      <c r="T1835" s="5"/>
      <c r="U1835" s="5"/>
    </row>
    <row r="1836" spans="2:21" x14ac:dyDescent="0.25">
      <c r="B1836" s="90">
        <v>388</v>
      </c>
      <c r="C1836" s="91">
        <v>5.2759269707745915E-2</v>
      </c>
      <c r="D1836" s="92">
        <v>99</v>
      </c>
      <c r="E1836" s="93">
        <v>0.38129496402877699</v>
      </c>
      <c r="G1836" s="5"/>
      <c r="H1836" s="5"/>
      <c r="L1836" s="7"/>
      <c r="M1836" s="7"/>
      <c r="O1836" s="6"/>
      <c r="P1836" s="6"/>
      <c r="T1836" s="5"/>
      <c r="U1836" s="5"/>
    </row>
    <row r="1837" spans="2:21" x14ac:dyDescent="0.25">
      <c r="B1837" s="90">
        <v>1087</v>
      </c>
      <c r="C1837" s="91">
        <v>5.4728940069651122E-2</v>
      </c>
      <c r="D1837" s="92">
        <v>99</v>
      </c>
      <c r="E1837" s="93">
        <v>0.41726618705035973</v>
      </c>
      <c r="G1837" s="5"/>
      <c r="H1837" s="5"/>
      <c r="L1837" s="7"/>
      <c r="M1837" s="7"/>
      <c r="O1837" s="6"/>
      <c r="P1837" s="6"/>
      <c r="T1837" s="5"/>
      <c r="U1837" s="5"/>
    </row>
    <row r="1838" spans="2:21" x14ac:dyDescent="0.25">
      <c r="B1838" s="90">
        <v>215</v>
      </c>
      <c r="C1838" s="91">
        <v>6.3857172068589096E-2</v>
      </c>
      <c r="D1838" s="92">
        <v>99</v>
      </c>
      <c r="E1838" s="93">
        <v>0.42446043165467628</v>
      </c>
      <c r="G1838" s="5"/>
      <c r="H1838" s="5"/>
      <c r="L1838" s="7"/>
      <c r="M1838" s="7"/>
      <c r="O1838" s="6"/>
      <c r="P1838" s="6"/>
      <c r="T1838" s="5"/>
      <c r="U1838" s="5"/>
    </row>
    <row r="1839" spans="2:21" x14ac:dyDescent="0.25">
      <c r="B1839" s="90">
        <v>1178</v>
      </c>
      <c r="C1839" s="91">
        <v>8.0824222839263604E-2</v>
      </c>
      <c r="D1839" s="92">
        <v>99</v>
      </c>
      <c r="E1839" s="93">
        <v>0.33093525179856115</v>
      </c>
      <c r="G1839" s="5"/>
      <c r="H1839" s="5"/>
      <c r="L1839" s="7"/>
      <c r="M1839" s="7"/>
      <c r="O1839" s="6"/>
      <c r="P1839" s="6"/>
      <c r="T1839" s="5"/>
      <c r="U1839" s="5"/>
    </row>
    <row r="1840" spans="2:21" x14ac:dyDescent="0.25">
      <c r="B1840" s="90">
        <v>1266</v>
      </c>
      <c r="C1840" s="91">
        <v>9.4274966035402974E-2</v>
      </c>
      <c r="D1840" s="92">
        <v>99</v>
      </c>
      <c r="E1840" s="93">
        <v>0.5539568345323741</v>
      </c>
      <c r="G1840" s="5"/>
      <c r="H1840" s="5"/>
      <c r="L1840" s="7"/>
      <c r="M1840" s="7"/>
      <c r="O1840" s="6"/>
      <c r="P1840" s="6"/>
      <c r="T1840" s="5"/>
      <c r="U1840" s="5"/>
    </row>
    <row r="1841" spans="2:21" x14ac:dyDescent="0.25">
      <c r="B1841" s="90">
        <v>2001</v>
      </c>
      <c r="C1841" s="91">
        <v>0.10309215316860632</v>
      </c>
      <c r="D1841" s="92">
        <v>99</v>
      </c>
      <c r="E1841" s="93">
        <v>0.23741007194244604</v>
      </c>
      <c r="G1841" s="5"/>
      <c r="H1841" s="5"/>
      <c r="L1841" s="7"/>
      <c r="M1841" s="7"/>
      <c r="O1841" s="6"/>
      <c r="P1841" s="6"/>
      <c r="T1841" s="5"/>
      <c r="U1841" s="5"/>
    </row>
    <row r="1842" spans="2:21" x14ac:dyDescent="0.25">
      <c r="B1842" s="90">
        <v>1222</v>
      </c>
      <c r="C1842" s="91">
        <v>0.14493881653948604</v>
      </c>
      <c r="D1842" s="92">
        <v>99</v>
      </c>
      <c r="E1842" s="93">
        <v>0.23021582733812951</v>
      </c>
      <c r="G1842" s="5"/>
      <c r="H1842" s="5"/>
      <c r="L1842" s="7"/>
      <c r="M1842" s="7"/>
      <c r="O1842" s="6"/>
      <c r="P1842" s="6"/>
      <c r="T1842" s="5"/>
      <c r="U1842" s="5"/>
    </row>
    <row r="1843" spans="2:21" x14ac:dyDescent="0.25">
      <c r="B1843" s="90">
        <v>1250</v>
      </c>
      <c r="C1843" s="91">
        <v>0.15454922816301098</v>
      </c>
      <c r="D1843" s="92">
        <v>99</v>
      </c>
      <c r="E1843" s="93">
        <v>0.47482014388489208</v>
      </c>
      <c r="G1843" s="5"/>
      <c r="H1843" s="5"/>
      <c r="L1843" s="7"/>
      <c r="M1843" s="7"/>
      <c r="O1843" s="6"/>
      <c r="P1843" s="6"/>
      <c r="T1843" s="5"/>
      <c r="U1843" s="5"/>
    </row>
    <row r="1844" spans="2:21" x14ac:dyDescent="0.25">
      <c r="B1844" s="90">
        <v>1041</v>
      </c>
      <c r="C1844" s="91">
        <v>0.1639483730537592</v>
      </c>
      <c r="D1844" s="92">
        <v>99</v>
      </c>
      <c r="E1844" s="93">
        <v>0.6690647482014388</v>
      </c>
      <c r="G1844" s="5"/>
      <c r="H1844" s="5"/>
      <c r="L1844" s="7"/>
      <c r="M1844" s="7"/>
      <c r="O1844" s="6"/>
      <c r="P1844" s="6"/>
      <c r="T1844" s="5"/>
      <c r="U1844" s="5"/>
    </row>
    <row r="1845" spans="2:21" x14ac:dyDescent="0.25">
      <c r="B1845" s="90">
        <v>1983</v>
      </c>
      <c r="C1845" s="91">
        <v>0.1804972105201843</v>
      </c>
      <c r="D1845" s="92">
        <v>99</v>
      </c>
      <c r="E1845" s="93">
        <v>0.20143884892086331</v>
      </c>
      <c r="G1845" s="5"/>
      <c r="H1845" s="5"/>
      <c r="L1845" s="7"/>
      <c r="M1845" s="7"/>
      <c r="O1845" s="6"/>
      <c r="P1845" s="6"/>
      <c r="T1845" s="5"/>
      <c r="U1845" s="5"/>
    </row>
    <row r="1846" spans="2:21" x14ac:dyDescent="0.25">
      <c r="B1846" s="90">
        <v>1307</v>
      </c>
      <c r="C1846" s="91">
        <v>0.18533927760661717</v>
      </c>
      <c r="D1846" s="92">
        <v>99</v>
      </c>
      <c r="E1846" s="93">
        <v>0.22302158273381295</v>
      </c>
      <c r="G1846" s="5"/>
      <c r="H1846" s="5"/>
      <c r="L1846" s="7"/>
      <c r="M1846" s="7"/>
      <c r="O1846" s="6"/>
      <c r="P1846" s="6"/>
      <c r="T1846" s="5"/>
      <c r="U1846" s="5"/>
    </row>
    <row r="1847" spans="2:21" x14ac:dyDescent="0.25">
      <c r="B1847" s="90">
        <v>1388</v>
      </c>
      <c r="C1847" s="91">
        <v>0.20878820138534948</v>
      </c>
      <c r="D1847" s="92">
        <v>99</v>
      </c>
      <c r="E1847" s="93">
        <v>0.17266187050359713</v>
      </c>
      <c r="G1847" s="5"/>
      <c r="H1847" s="5"/>
      <c r="L1847" s="7"/>
      <c r="M1847" s="7"/>
      <c r="O1847" s="6"/>
      <c r="P1847" s="6"/>
      <c r="T1847" s="5"/>
      <c r="U1847" s="5"/>
    </row>
    <row r="1848" spans="2:21" x14ac:dyDescent="0.25">
      <c r="B1848" s="90">
        <v>1958</v>
      </c>
      <c r="C1848" s="91">
        <v>0.24070385421566731</v>
      </c>
      <c r="D1848" s="92">
        <v>99</v>
      </c>
      <c r="E1848" s="93">
        <v>0.15827338129496402</v>
      </c>
      <c r="G1848" s="5"/>
      <c r="H1848" s="5"/>
      <c r="L1848" s="7"/>
      <c r="M1848" s="7"/>
      <c r="O1848" s="6"/>
      <c r="P1848" s="6"/>
      <c r="T1848" s="5"/>
      <c r="U1848" s="5"/>
    </row>
    <row r="1849" spans="2:21" x14ac:dyDescent="0.25">
      <c r="B1849" s="90">
        <v>1348</v>
      </c>
      <c r="C1849" s="91">
        <v>0.2453646762540409</v>
      </c>
      <c r="D1849" s="92">
        <v>99</v>
      </c>
      <c r="E1849" s="93">
        <v>0.16546762589928057</v>
      </c>
      <c r="G1849" s="5"/>
      <c r="H1849" s="5"/>
      <c r="L1849" s="7"/>
      <c r="M1849" s="7"/>
      <c r="O1849" s="6"/>
      <c r="P1849" s="6"/>
      <c r="T1849" s="5"/>
      <c r="U1849" s="5"/>
    </row>
    <row r="1850" spans="2:21" x14ac:dyDescent="0.25">
      <c r="B1850" s="90">
        <v>1427</v>
      </c>
      <c r="C1850" s="91">
        <v>0.30713051852064088</v>
      </c>
      <c r="D1850" s="92">
        <v>99</v>
      </c>
      <c r="E1850" s="93">
        <v>0.1366906474820144</v>
      </c>
      <c r="G1850" s="5"/>
      <c r="H1850" s="5"/>
      <c r="L1850" s="7"/>
      <c r="M1850" s="7"/>
      <c r="O1850" s="6"/>
      <c r="P1850" s="6"/>
      <c r="T1850" s="5"/>
      <c r="U1850" s="5"/>
    </row>
    <row r="1851" spans="2:21" x14ac:dyDescent="0.25">
      <c r="B1851" s="90">
        <v>2049</v>
      </c>
      <c r="C1851" s="91">
        <v>0.30993491315172916</v>
      </c>
      <c r="D1851" s="92">
        <v>99</v>
      </c>
      <c r="E1851" s="93">
        <v>0.15827338129496402</v>
      </c>
      <c r="G1851" s="5"/>
      <c r="H1851" s="5"/>
      <c r="L1851" s="7"/>
      <c r="M1851" s="7"/>
      <c r="O1851" s="6"/>
      <c r="P1851" s="6"/>
      <c r="T1851" s="5"/>
      <c r="U1851" s="5"/>
    </row>
    <row r="1852" spans="2:21" x14ac:dyDescent="0.25">
      <c r="B1852" s="90">
        <v>592</v>
      </c>
      <c r="C1852" s="91">
        <v>0.35580879956914024</v>
      </c>
      <c r="D1852" s="92">
        <v>99</v>
      </c>
      <c r="E1852" s="93">
        <v>0.50359712230215825</v>
      </c>
      <c r="G1852" s="5"/>
      <c r="H1852" s="5"/>
      <c r="L1852" s="7"/>
      <c r="M1852" s="7"/>
      <c r="O1852" s="6"/>
      <c r="P1852" s="6"/>
      <c r="T1852" s="5"/>
      <c r="U1852" s="5"/>
    </row>
    <row r="1853" spans="2:21" x14ac:dyDescent="0.25">
      <c r="B1853" s="90">
        <v>478</v>
      </c>
      <c r="C1853" s="91">
        <v>0.45216840058571606</v>
      </c>
      <c r="D1853" s="92">
        <v>99</v>
      </c>
      <c r="E1853" s="93">
        <v>0.20143884892086331</v>
      </c>
      <c r="G1853" s="5"/>
      <c r="H1853" s="5"/>
      <c r="L1853" s="7"/>
      <c r="M1853" s="7"/>
      <c r="O1853" s="6"/>
      <c r="P1853" s="6"/>
      <c r="T1853" s="5"/>
      <c r="U1853" s="5"/>
    </row>
    <row r="1854" spans="2:21" x14ac:dyDescent="0.25">
      <c r="B1854" s="90">
        <v>547</v>
      </c>
      <c r="C1854" s="91">
        <v>0.57134275863548989</v>
      </c>
      <c r="D1854" s="92">
        <v>99</v>
      </c>
      <c r="E1854" s="93">
        <v>0.37410071942446044</v>
      </c>
      <c r="G1854" s="5"/>
      <c r="H1854" s="5"/>
      <c r="L1854" s="7"/>
      <c r="M1854" s="7"/>
      <c r="O1854" s="6"/>
      <c r="P1854" s="6"/>
      <c r="T1854" s="5"/>
      <c r="U1854" s="5"/>
    </row>
    <row r="1855" spans="2:21" x14ac:dyDescent="0.25">
      <c r="B1855" s="90">
        <v>516</v>
      </c>
      <c r="C1855" s="91">
        <v>0.13351427084024192</v>
      </c>
      <c r="D1855" s="92">
        <v>100</v>
      </c>
      <c r="E1855" s="93">
        <v>0.58992805755395683</v>
      </c>
      <c r="G1855" s="5"/>
      <c r="H1855" s="5"/>
      <c r="L1855" s="7"/>
      <c r="M1855" s="7"/>
      <c r="O1855" s="6"/>
      <c r="P1855" s="6"/>
      <c r="T1855" s="5"/>
      <c r="U1855" s="5"/>
    </row>
    <row r="1856" spans="2:21" x14ac:dyDescent="0.25">
      <c r="B1856" s="90">
        <v>398</v>
      </c>
      <c r="C1856" s="91">
        <v>5.7186503607510764E-2</v>
      </c>
      <c r="D1856" s="92">
        <v>102</v>
      </c>
      <c r="E1856" s="93">
        <v>0.41726618705035973</v>
      </c>
      <c r="G1856" s="5"/>
      <c r="H1856" s="5"/>
      <c r="L1856" s="7"/>
      <c r="M1856" s="7"/>
      <c r="O1856" s="6"/>
      <c r="P1856" s="6"/>
      <c r="T1856" s="5"/>
      <c r="U1856" s="5"/>
    </row>
    <row r="1857" spans="2:21" x14ac:dyDescent="0.25">
      <c r="B1857" s="90">
        <v>90</v>
      </c>
      <c r="C1857" s="91">
        <v>0.16830206955055504</v>
      </c>
      <c r="D1857" s="92">
        <v>102</v>
      </c>
      <c r="E1857" s="93">
        <v>0.53956834532374098</v>
      </c>
      <c r="G1857" s="5"/>
      <c r="H1857" s="5"/>
      <c r="L1857" s="7"/>
      <c r="M1857" s="7"/>
      <c r="O1857" s="6"/>
      <c r="P1857" s="6"/>
      <c r="T1857" s="5"/>
      <c r="U1857" s="5"/>
    </row>
    <row r="1858" spans="2:21" x14ac:dyDescent="0.25">
      <c r="B1858" s="90">
        <v>154</v>
      </c>
      <c r="C1858" s="91">
        <v>0.17651873581358535</v>
      </c>
      <c r="D1858" s="92">
        <v>102</v>
      </c>
      <c r="E1858" s="93">
        <v>0.53956834532374098</v>
      </c>
      <c r="G1858" s="5"/>
      <c r="H1858" s="5"/>
      <c r="L1858" s="7"/>
      <c r="M1858" s="7"/>
      <c r="O1858" s="6"/>
      <c r="P1858" s="6"/>
      <c r="T1858" s="5"/>
      <c r="U1858" s="5"/>
    </row>
    <row r="1859" spans="2:21" x14ac:dyDescent="0.25">
      <c r="B1859" s="90">
        <v>153</v>
      </c>
      <c r="C1859" s="91">
        <v>0.23335270144277565</v>
      </c>
      <c r="D1859" s="92">
        <v>102</v>
      </c>
      <c r="E1859" s="93">
        <v>0.53956834532374098</v>
      </c>
      <c r="G1859" s="5"/>
      <c r="H1859" s="5"/>
      <c r="L1859" s="7"/>
      <c r="M1859" s="7"/>
      <c r="O1859" s="6"/>
      <c r="P1859" s="6"/>
      <c r="T1859" s="5"/>
      <c r="U1859" s="5"/>
    </row>
    <row r="1860" spans="2:21" x14ac:dyDescent="0.25">
      <c r="B1860" s="90">
        <v>1792</v>
      </c>
      <c r="C1860" s="91">
        <v>0.36049128208720804</v>
      </c>
      <c r="D1860" s="92">
        <v>102</v>
      </c>
      <c r="E1860" s="93">
        <v>0.14388489208633093</v>
      </c>
      <c r="G1860" s="5"/>
      <c r="H1860" s="5"/>
      <c r="L1860" s="7"/>
      <c r="M1860" s="7"/>
      <c r="O1860" s="6"/>
      <c r="P1860" s="6"/>
      <c r="T1860" s="5"/>
      <c r="U1860" s="5"/>
    </row>
    <row r="1861" spans="2:21" x14ac:dyDescent="0.25">
      <c r="B1861" s="90">
        <v>1641</v>
      </c>
      <c r="C1861" s="91">
        <v>0.61975438003162564</v>
      </c>
      <c r="D1861" s="92">
        <v>102</v>
      </c>
      <c r="E1861" s="93">
        <v>9.3525179856115109E-2</v>
      </c>
      <c r="G1861" s="5"/>
      <c r="H1861" s="5"/>
      <c r="L1861" s="7"/>
      <c r="M1861" s="7"/>
      <c r="O1861" s="6"/>
      <c r="P1861" s="6"/>
      <c r="T1861" s="5"/>
      <c r="U1861" s="5"/>
    </row>
    <row r="1862" spans="2:21" x14ac:dyDescent="0.25">
      <c r="B1862" s="90">
        <v>1673</v>
      </c>
      <c r="C1862" s="91">
        <v>0.70901552057566009</v>
      </c>
      <c r="D1862" s="92">
        <v>102</v>
      </c>
      <c r="E1862" s="93">
        <v>9.3525179856115109E-2</v>
      </c>
      <c r="G1862" s="5"/>
      <c r="H1862" s="5"/>
      <c r="L1862" s="7"/>
      <c r="M1862" s="7"/>
      <c r="O1862" s="6"/>
      <c r="P1862" s="6"/>
      <c r="T1862" s="5"/>
      <c r="U1862" s="5"/>
    </row>
    <row r="1863" spans="2:21" x14ac:dyDescent="0.25">
      <c r="B1863" s="90">
        <v>1704</v>
      </c>
      <c r="C1863" s="91">
        <v>0.90960682709658303</v>
      </c>
      <c r="D1863" s="92">
        <v>102</v>
      </c>
      <c r="E1863" s="93">
        <v>7.9136690647482008E-2</v>
      </c>
      <c r="G1863" s="5"/>
      <c r="H1863" s="5"/>
      <c r="L1863" s="7"/>
      <c r="M1863" s="7"/>
      <c r="O1863" s="6"/>
      <c r="P1863" s="6"/>
      <c r="T1863" s="5"/>
      <c r="U1863" s="5"/>
    </row>
    <row r="1864" spans="2:21" x14ac:dyDescent="0.25">
      <c r="B1864" s="90">
        <v>179</v>
      </c>
      <c r="C1864" s="91">
        <v>0.46511547113113416</v>
      </c>
      <c r="D1864" s="92">
        <v>103</v>
      </c>
      <c r="E1864" s="93">
        <v>0.23741007194244604</v>
      </c>
      <c r="G1864" s="5"/>
      <c r="H1864" s="5"/>
      <c r="L1864" s="7"/>
      <c r="M1864" s="7"/>
      <c r="O1864" s="6"/>
      <c r="P1864" s="6"/>
      <c r="T1864" s="5"/>
      <c r="U1864" s="5"/>
    </row>
    <row r="1865" spans="2:21" x14ac:dyDescent="0.25">
      <c r="B1865" s="90">
        <v>180</v>
      </c>
      <c r="C1865" s="91">
        <v>0.46569934586811557</v>
      </c>
      <c r="D1865" s="92">
        <v>103</v>
      </c>
      <c r="E1865" s="93">
        <v>0.23741007194244604</v>
      </c>
      <c r="G1865" s="5"/>
      <c r="H1865" s="5"/>
      <c r="L1865" s="7"/>
      <c r="M1865" s="7"/>
      <c r="O1865" s="6"/>
      <c r="P1865" s="6"/>
      <c r="T1865" s="5"/>
      <c r="U1865" s="5"/>
    </row>
    <row r="1866" spans="2:21" x14ac:dyDescent="0.25">
      <c r="B1866" s="90">
        <v>467</v>
      </c>
      <c r="C1866" s="91">
        <v>0.31453248208522144</v>
      </c>
      <c r="D1866" s="92">
        <v>105</v>
      </c>
      <c r="E1866" s="93">
        <v>0.26618705035971224</v>
      </c>
      <c r="G1866" s="5"/>
      <c r="H1866" s="5"/>
      <c r="L1866" s="7"/>
      <c r="M1866" s="7"/>
      <c r="O1866" s="6"/>
      <c r="P1866" s="6"/>
      <c r="T1866" s="5"/>
      <c r="U1866" s="5"/>
    </row>
    <row r="1867" spans="2:21" x14ac:dyDescent="0.25">
      <c r="B1867" s="90">
        <v>465</v>
      </c>
      <c r="C1867" s="91">
        <v>0.32221700667441067</v>
      </c>
      <c r="D1867" s="92">
        <v>105</v>
      </c>
      <c r="E1867" s="93">
        <v>0.26618705035971224</v>
      </c>
      <c r="G1867" s="5"/>
      <c r="H1867" s="5"/>
      <c r="L1867" s="7"/>
      <c r="M1867" s="7"/>
      <c r="O1867" s="6"/>
      <c r="P1867" s="6"/>
      <c r="T1867" s="5"/>
      <c r="U1867" s="5"/>
    </row>
    <row r="1868" spans="2:21" x14ac:dyDescent="0.25">
      <c r="B1868" s="90">
        <v>1437</v>
      </c>
      <c r="C1868" s="91">
        <v>9.9350149537963173E-2</v>
      </c>
      <c r="D1868" s="92">
        <v>106</v>
      </c>
      <c r="E1868" s="93">
        <v>0.48920863309352519</v>
      </c>
      <c r="G1868" s="5"/>
      <c r="H1868" s="5"/>
      <c r="L1868" s="7"/>
      <c r="M1868" s="7"/>
      <c r="O1868" s="6"/>
      <c r="P1868" s="6"/>
      <c r="T1868" s="5"/>
      <c r="U1868" s="5"/>
    </row>
    <row r="1869" spans="2:21" x14ac:dyDescent="0.25">
      <c r="B1869" s="90">
        <v>1118</v>
      </c>
      <c r="C1869" s="91">
        <v>0.20166231834176029</v>
      </c>
      <c r="D1869" s="92">
        <v>106</v>
      </c>
      <c r="E1869" s="93">
        <v>0.58273381294964033</v>
      </c>
      <c r="G1869" s="5"/>
      <c r="H1869" s="5"/>
      <c r="L1869" s="7"/>
      <c r="M1869" s="7"/>
      <c r="O1869" s="6"/>
      <c r="P1869" s="6"/>
      <c r="T1869" s="5"/>
      <c r="U1869" s="5"/>
    </row>
    <row r="1870" spans="2:21" x14ac:dyDescent="0.25">
      <c r="B1870" s="90">
        <v>1072</v>
      </c>
      <c r="C1870" s="91">
        <v>0.20353772421709926</v>
      </c>
      <c r="D1870" s="92">
        <v>106</v>
      </c>
      <c r="E1870" s="93">
        <v>0.58273381294964033</v>
      </c>
      <c r="G1870" s="5"/>
      <c r="H1870" s="5"/>
      <c r="L1870" s="7"/>
      <c r="M1870" s="7"/>
      <c r="O1870" s="6"/>
      <c r="P1870" s="6"/>
      <c r="T1870" s="5"/>
      <c r="U1870" s="5"/>
    </row>
    <row r="1871" spans="2:21" x14ac:dyDescent="0.25">
      <c r="B1871" s="90">
        <v>104</v>
      </c>
      <c r="C1871" s="91">
        <v>0.2745349256053109</v>
      </c>
      <c r="D1871" s="92">
        <v>106</v>
      </c>
      <c r="E1871" s="93">
        <v>0.5539568345323741</v>
      </c>
      <c r="G1871" s="5"/>
      <c r="H1871" s="5"/>
      <c r="L1871" s="7"/>
      <c r="M1871" s="7"/>
      <c r="O1871" s="6"/>
      <c r="P1871" s="6"/>
      <c r="T1871" s="5"/>
      <c r="U1871" s="5"/>
    </row>
    <row r="1872" spans="2:21" x14ac:dyDescent="0.25">
      <c r="B1872" s="90">
        <v>1274</v>
      </c>
      <c r="C1872" s="91">
        <v>0.27730677214686938</v>
      </c>
      <c r="D1872" s="92">
        <v>106</v>
      </c>
      <c r="E1872" s="93">
        <v>0.34532374100719426</v>
      </c>
      <c r="G1872" s="5"/>
      <c r="H1872" s="5"/>
      <c r="L1872" s="7"/>
      <c r="M1872" s="7"/>
      <c r="O1872" s="6"/>
      <c r="P1872" s="6"/>
      <c r="T1872" s="5"/>
      <c r="U1872" s="5"/>
    </row>
    <row r="1873" spans="2:21" x14ac:dyDescent="0.25">
      <c r="B1873" s="90">
        <v>171</v>
      </c>
      <c r="C1873" s="91">
        <v>0.28260097196667822</v>
      </c>
      <c r="D1873" s="92">
        <v>106</v>
      </c>
      <c r="E1873" s="93">
        <v>0.49640287769784175</v>
      </c>
      <c r="G1873" s="5"/>
      <c r="H1873" s="5"/>
      <c r="L1873" s="7"/>
      <c r="M1873" s="7"/>
      <c r="O1873" s="6"/>
      <c r="P1873" s="6"/>
      <c r="T1873" s="5"/>
      <c r="U1873" s="5"/>
    </row>
    <row r="1874" spans="2:21" x14ac:dyDescent="0.25">
      <c r="B1874" s="90">
        <v>1050</v>
      </c>
      <c r="C1874" s="91">
        <v>0.28549937511680634</v>
      </c>
      <c r="D1874" s="92">
        <v>106</v>
      </c>
      <c r="E1874" s="93">
        <v>0.34532374100719426</v>
      </c>
      <c r="G1874" s="5"/>
      <c r="H1874" s="5"/>
      <c r="L1874" s="7"/>
      <c r="M1874" s="7"/>
      <c r="O1874" s="6"/>
      <c r="P1874" s="6"/>
      <c r="T1874" s="5"/>
      <c r="U1874" s="5"/>
    </row>
    <row r="1875" spans="2:21" x14ac:dyDescent="0.25">
      <c r="B1875" s="90">
        <v>107</v>
      </c>
      <c r="C1875" s="91">
        <v>0.29144245538878333</v>
      </c>
      <c r="D1875" s="92">
        <v>106</v>
      </c>
      <c r="E1875" s="93">
        <v>0.53956834532374098</v>
      </c>
      <c r="G1875" s="5"/>
      <c r="H1875" s="5"/>
      <c r="L1875" s="7"/>
      <c r="M1875" s="7"/>
      <c r="O1875" s="6"/>
      <c r="P1875" s="6"/>
      <c r="T1875" s="5"/>
      <c r="U1875" s="5"/>
    </row>
    <row r="1876" spans="2:21" x14ac:dyDescent="0.25">
      <c r="B1876" s="90">
        <v>1048</v>
      </c>
      <c r="C1876" s="91">
        <v>0.29213141498400896</v>
      </c>
      <c r="D1876" s="92">
        <v>106</v>
      </c>
      <c r="E1876" s="93">
        <v>0.34532374100719426</v>
      </c>
      <c r="G1876" s="5"/>
      <c r="H1876" s="5"/>
      <c r="L1876" s="7"/>
      <c r="M1876" s="7"/>
      <c r="O1876" s="6"/>
      <c r="P1876" s="6"/>
      <c r="T1876" s="5"/>
      <c r="U1876" s="5"/>
    </row>
    <row r="1877" spans="2:21" x14ac:dyDescent="0.25">
      <c r="B1877" s="90">
        <v>108</v>
      </c>
      <c r="C1877" s="91">
        <v>0.29966929326481051</v>
      </c>
      <c r="D1877" s="92">
        <v>106</v>
      </c>
      <c r="E1877" s="93">
        <v>0.45323741007194246</v>
      </c>
      <c r="G1877" s="5"/>
      <c r="H1877" s="5"/>
      <c r="L1877" s="7"/>
      <c r="M1877" s="7"/>
      <c r="O1877" s="6"/>
      <c r="P1877" s="6"/>
      <c r="T1877" s="5"/>
      <c r="U1877" s="5"/>
    </row>
    <row r="1878" spans="2:21" x14ac:dyDescent="0.25">
      <c r="B1878" s="90">
        <v>1275</v>
      </c>
      <c r="C1878" s="91">
        <v>0.30287184517583288</v>
      </c>
      <c r="D1878" s="92">
        <v>106</v>
      </c>
      <c r="E1878" s="93">
        <v>0.26618705035971224</v>
      </c>
      <c r="G1878" s="5"/>
      <c r="H1878" s="5"/>
      <c r="L1878" s="7"/>
      <c r="M1878" s="7"/>
      <c r="O1878" s="6"/>
      <c r="P1878" s="6"/>
      <c r="T1878" s="5"/>
      <c r="U1878" s="5"/>
    </row>
    <row r="1879" spans="2:21" x14ac:dyDescent="0.25">
      <c r="B1879" s="90">
        <v>1273</v>
      </c>
      <c r="C1879" s="91">
        <v>0.30930213721869237</v>
      </c>
      <c r="D1879" s="92">
        <v>106</v>
      </c>
      <c r="E1879" s="93">
        <v>0.26618705035971224</v>
      </c>
      <c r="G1879" s="5"/>
      <c r="H1879" s="5"/>
      <c r="L1879" s="7"/>
      <c r="M1879" s="7"/>
      <c r="O1879" s="6"/>
      <c r="P1879" s="6"/>
      <c r="T1879" s="5"/>
      <c r="U1879" s="5"/>
    </row>
    <row r="1880" spans="2:21" x14ac:dyDescent="0.25">
      <c r="B1880" s="90">
        <v>1276</v>
      </c>
      <c r="C1880" s="91">
        <v>0.32765496916545134</v>
      </c>
      <c r="D1880" s="92">
        <v>106</v>
      </c>
      <c r="E1880" s="93">
        <v>0.2733812949640288</v>
      </c>
      <c r="G1880" s="5"/>
      <c r="H1880" s="5"/>
      <c r="L1880" s="7"/>
      <c r="M1880" s="7"/>
      <c r="O1880" s="6"/>
      <c r="P1880" s="6"/>
      <c r="T1880" s="5"/>
      <c r="U1880" s="5"/>
    </row>
    <row r="1881" spans="2:21" x14ac:dyDescent="0.25">
      <c r="B1881" s="90">
        <v>912</v>
      </c>
      <c r="C1881" s="91">
        <v>0.34468851113492605</v>
      </c>
      <c r="D1881" s="92">
        <v>106</v>
      </c>
      <c r="E1881" s="93">
        <v>0.43165467625899279</v>
      </c>
      <c r="G1881" s="5"/>
      <c r="H1881" s="5"/>
      <c r="L1881" s="7"/>
      <c r="M1881" s="7"/>
      <c r="O1881" s="6"/>
      <c r="P1881" s="6"/>
      <c r="T1881" s="5"/>
      <c r="U1881" s="5"/>
    </row>
    <row r="1882" spans="2:21" x14ac:dyDescent="0.25">
      <c r="B1882" s="90">
        <v>1277</v>
      </c>
      <c r="C1882" s="91">
        <v>0.37140704117136092</v>
      </c>
      <c r="D1882" s="92">
        <v>106</v>
      </c>
      <c r="E1882" s="93">
        <v>0.2733812949640288</v>
      </c>
      <c r="G1882" s="5"/>
      <c r="H1882" s="5"/>
      <c r="L1882" s="7"/>
      <c r="M1882" s="7"/>
      <c r="O1882" s="6"/>
      <c r="P1882" s="6"/>
      <c r="T1882" s="5"/>
      <c r="U1882" s="5"/>
    </row>
    <row r="1883" spans="2:21" x14ac:dyDescent="0.25">
      <c r="B1883" s="90">
        <v>174</v>
      </c>
      <c r="C1883" s="91">
        <v>0.38167733249156799</v>
      </c>
      <c r="D1883" s="92">
        <v>106</v>
      </c>
      <c r="E1883" s="93">
        <v>0.46043165467625902</v>
      </c>
      <c r="G1883" s="5"/>
      <c r="H1883" s="5"/>
      <c r="L1883" s="7"/>
      <c r="M1883" s="7"/>
      <c r="O1883" s="6"/>
      <c r="P1883" s="6"/>
      <c r="T1883" s="5"/>
      <c r="U1883" s="5"/>
    </row>
    <row r="1884" spans="2:21" x14ac:dyDescent="0.25">
      <c r="B1884" s="90">
        <v>33</v>
      </c>
      <c r="C1884" s="91">
        <v>0.38788269950189724</v>
      </c>
      <c r="D1884" s="92">
        <v>106</v>
      </c>
      <c r="E1884" s="93">
        <v>0.18705035971223022</v>
      </c>
      <c r="G1884" s="5"/>
      <c r="H1884" s="5"/>
      <c r="L1884" s="7"/>
      <c r="M1884" s="7"/>
      <c r="O1884" s="6"/>
      <c r="P1884" s="6"/>
      <c r="T1884" s="5"/>
      <c r="U1884" s="5"/>
    </row>
    <row r="1885" spans="2:21" x14ac:dyDescent="0.25">
      <c r="B1885" s="90">
        <v>1618</v>
      </c>
      <c r="C1885" s="91">
        <v>0.38788269950189724</v>
      </c>
      <c r="D1885" s="92">
        <v>106</v>
      </c>
      <c r="E1885" s="93">
        <v>0.18705035971223022</v>
      </c>
      <c r="G1885" s="5"/>
      <c r="H1885" s="5"/>
      <c r="L1885" s="7"/>
      <c r="M1885" s="7"/>
      <c r="O1885" s="6"/>
      <c r="P1885" s="6"/>
      <c r="T1885" s="5"/>
      <c r="U1885" s="5"/>
    </row>
    <row r="1886" spans="2:21" x14ac:dyDescent="0.25">
      <c r="B1886" s="90">
        <v>34</v>
      </c>
      <c r="C1886" s="91">
        <v>0.39249620886873127</v>
      </c>
      <c r="D1886" s="92">
        <v>106</v>
      </c>
      <c r="E1886" s="93">
        <v>0.2446043165467626</v>
      </c>
      <c r="G1886" s="5"/>
      <c r="H1886" s="5"/>
      <c r="L1886" s="7"/>
      <c r="M1886" s="7"/>
      <c r="O1886" s="6"/>
      <c r="P1886" s="6"/>
      <c r="T1886" s="5"/>
      <c r="U1886" s="5"/>
    </row>
    <row r="1887" spans="2:21" x14ac:dyDescent="0.25">
      <c r="B1887" s="90">
        <v>1585</v>
      </c>
      <c r="C1887" s="91">
        <v>0.39249620886873127</v>
      </c>
      <c r="D1887" s="92">
        <v>106</v>
      </c>
      <c r="E1887" s="93">
        <v>0.2446043165467626</v>
      </c>
      <c r="G1887" s="5"/>
      <c r="H1887" s="5"/>
      <c r="L1887" s="7"/>
      <c r="M1887" s="7"/>
      <c r="O1887" s="6"/>
      <c r="P1887" s="6"/>
      <c r="T1887" s="5"/>
      <c r="U1887" s="5"/>
    </row>
    <row r="1888" spans="2:21" x14ac:dyDescent="0.25">
      <c r="B1888" s="90">
        <v>32</v>
      </c>
      <c r="C1888" s="91">
        <v>0.3965118616822858</v>
      </c>
      <c r="D1888" s="92">
        <v>106</v>
      </c>
      <c r="E1888" s="93">
        <v>0.18705035971223022</v>
      </c>
      <c r="G1888" s="5"/>
      <c r="H1888" s="5"/>
      <c r="L1888" s="7"/>
      <c r="M1888" s="7"/>
      <c r="O1888" s="6"/>
      <c r="P1888" s="6"/>
      <c r="T1888" s="5"/>
      <c r="U1888" s="5"/>
    </row>
    <row r="1889" spans="2:21" x14ac:dyDescent="0.25">
      <c r="B1889" s="90">
        <v>1650</v>
      </c>
      <c r="C1889" s="91">
        <v>0.3965118616822858</v>
      </c>
      <c r="D1889" s="92">
        <v>106</v>
      </c>
      <c r="E1889" s="93">
        <v>0.18705035971223022</v>
      </c>
      <c r="G1889" s="5"/>
      <c r="H1889" s="5"/>
      <c r="L1889" s="7"/>
      <c r="M1889" s="7"/>
      <c r="O1889" s="6"/>
      <c r="P1889" s="6"/>
      <c r="T1889" s="5"/>
      <c r="U1889" s="5"/>
    </row>
    <row r="1890" spans="2:21" x14ac:dyDescent="0.25">
      <c r="B1890" s="90">
        <v>31</v>
      </c>
      <c r="C1890" s="91">
        <v>0.40323071235944752</v>
      </c>
      <c r="D1890" s="92">
        <v>106</v>
      </c>
      <c r="E1890" s="93">
        <v>0.17985611510791366</v>
      </c>
      <c r="G1890" s="5"/>
      <c r="H1890" s="5"/>
      <c r="L1890" s="7"/>
      <c r="M1890" s="7"/>
      <c r="O1890" s="6"/>
      <c r="P1890" s="6"/>
      <c r="T1890" s="5"/>
      <c r="U1890" s="5"/>
    </row>
    <row r="1891" spans="2:21" x14ac:dyDescent="0.25">
      <c r="B1891" s="90">
        <v>1681</v>
      </c>
      <c r="C1891" s="91">
        <v>0.40323071235944752</v>
      </c>
      <c r="D1891" s="92">
        <v>106</v>
      </c>
      <c r="E1891" s="93">
        <v>0.17985611510791366</v>
      </c>
      <c r="G1891" s="5"/>
      <c r="H1891" s="5"/>
      <c r="L1891" s="7"/>
      <c r="M1891" s="7"/>
      <c r="O1891" s="6"/>
      <c r="P1891" s="6"/>
      <c r="T1891" s="5"/>
      <c r="U1891" s="5"/>
    </row>
    <row r="1892" spans="2:21" x14ac:dyDescent="0.25">
      <c r="B1892" s="90">
        <v>173</v>
      </c>
      <c r="C1892" s="91">
        <v>0.40748949261750056</v>
      </c>
      <c r="D1892" s="92">
        <v>106</v>
      </c>
      <c r="E1892" s="93">
        <v>0.45323741007194246</v>
      </c>
      <c r="G1892" s="5"/>
      <c r="H1892" s="5"/>
      <c r="L1892" s="7"/>
      <c r="M1892" s="7"/>
      <c r="O1892" s="6"/>
      <c r="P1892" s="6"/>
      <c r="T1892" s="5"/>
      <c r="U1892" s="5"/>
    </row>
    <row r="1893" spans="2:21" x14ac:dyDescent="0.25">
      <c r="B1893" s="90">
        <v>618</v>
      </c>
      <c r="C1893" s="91">
        <v>4.8856970306774272E-2</v>
      </c>
      <c r="D1893" s="92">
        <v>107</v>
      </c>
      <c r="E1893" s="93">
        <v>0.37410071942446044</v>
      </c>
      <c r="G1893" s="5"/>
      <c r="H1893" s="5"/>
      <c r="L1893" s="7"/>
      <c r="M1893" s="7"/>
      <c r="O1893" s="6"/>
      <c r="P1893" s="6"/>
      <c r="T1893" s="5"/>
      <c r="U1893" s="5"/>
    </row>
    <row r="1894" spans="2:21" x14ac:dyDescent="0.25">
      <c r="B1894" s="90">
        <v>205</v>
      </c>
      <c r="C1894" s="91">
        <v>5.3609015474280874E-2</v>
      </c>
      <c r="D1894" s="92">
        <v>107</v>
      </c>
      <c r="E1894" s="93">
        <v>0.38129496402877699</v>
      </c>
      <c r="G1894" s="5"/>
      <c r="H1894" s="5"/>
      <c r="L1894" s="7"/>
      <c r="M1894" s="7"/>
      <c r="O1894" s="6"/>
      <c r="P1894" s="6"/>
      <c r="T1894" s="5"/>
      <c r="U1894" s="5"/>
    </row>
    <row r="1895" spans="2:21" x14ac:dyDescent="0.25">
      <c r="B1895" s="90">
        <v>838</v>
      </c>
      <c r="C1895" s="91">
        <v>5.6729636579695875E-2</v>
      </c>
      <c r="D1895" s="92">
        <v>107</v>
      </c>
      <c r="E1895" s="93">
        <v>0.38848920863309355</v>
      </c>
      <c r="G1895" s="5"/>
      <c r="H1895" s="5"/>
      <c r="L1895" s="7"/>
      <c r="M1895" s="7"/>
      <c r="O1895" s="6"/>
      <c r="P1895" s="6"/>
      <c r="T1895" s="5"/>
      <c r="U1895" s="5"/>
    </row>
    <row r="1896" spans="2:21" x14ac:dyDescent="0.25">
      <c r="B1896" s="90">
        <v>1129</v>
      </c>
      <c r="C1896" s="91">
        <v>5.6807653377109357E-2</v>
      </c>
      <c r="D1896" s="92">
        <v>107</v>
      </c>
      <c r="E1896" s="93">
        <v>0.38848920863309355</v>
      </c>
      <c r="G1896" s="5"/>
      <c r="H1896" s="5"/>
      <c r="L1896" s="7"/>
      <c r="M1896" s="7"/>
      <c r="O1896" s="6"/>
      <c r="P1896" s="6"/>
      <c r="T1896" s="5"/>
      <c r="U1896" s="5"/>
    </row>
    <row r="1897" spans="2:21" x14ac:dyDescent="0.25">
      <c r="B1897" s="90">
        <v>733</v>
      </c>
      <c r="C1897" s="91">
        <v>5.687979759284989E-2</v>
      </c>
      <c r="D1897" s="92">
        <v>107</v>
      </c>
      <c r="E1897" s="93">
        <v>0.38848920863309355</v>
      </c>
      <c r="G1897" s="5"/>
      <c r="H1897" s="5"/>
      <c r="L1897" s="7"/>
      <c r="M1897" s="7"/>
      <c r="O1897" s="6"/>
      <c r="P1897" s="6"/>
      <c r="T1897" s="5"/>
      <c r="U1897" s="5"/>
    </row>
    <row r="1898" spans="2:21" x14ac:dyDescent="0.25">
      <c r="B1898" s="90">
        <v>786</v>
      </c>
      <c r="C1898" s="91">
        <v>5.7296162345932045E-2</v>
      </c>
      <c r="D1898" s="92">
        <v>107</v>
      </c>
      <c r="E1898" s="93">
        <v>0.38848920863309355</v>
      </c>
      <c r="G1898" s="5"/>
      <c r="H1898" s="5"/>
      <c r="L1898" s="7"/>
      <c r="M1898" s="7"/>
      <c r="O1898" s="6"/>
      <c r="P1898" s="6"/>
      <c r="T1898" s="5"/>
      <c r="U1898" s="5"/>
    </row>
    <row r="1899" spans="2:21" x14ac:dyDescent="0.25">
      <c r="B1899" s="90">
        <v>679</v>
      </c>
      <c r="C1899" s="91">
        <v>5.8476224633516649E-2</v>
      </c>
      <c r="D1899" s="92">
        <v>107</v>
      </c>
      <c r="E1899" s="93">
        <v>0.38848920863309355</v>
      </c>
      <c r="G1899" s="5"/>
      <c r="H1899" s="5"/>
      <c r="L1899" s="7"/>
      <c r="M1899" s="7"/>
      <c r="O1899" s="6"/>
      <c r="P1899" s="6"/>
      <c r="T1899" s="5"/>
      <c r="U1899" s="5"/>
    </row>
    <row r="1900" spans="2:21" x14ac:dyDescent="0.25">
      <c r="B1900" s="90">
        <v>273</v>
      </c>
      <c r="C1900" s="91">
        <v>6.0202677436070551E-2</v>
      </c>
      <c r="D1900" s="92">
        <v>107</v>
      </c>
      <c r="E1900" s="93">
        <v>0.39568345323741005</v>
      </c>
      <c r="G1900" s="5"/>
      <c r="H1900" s="5"/>
      <c r="L1900" s="7"/>
      <c r="M1900" s="7"/>
      <c r="O1900" s="6"/>
      <c r="P1900" s="6"/>
      <c r="T1900" s="5"/>
      <c r="U1900" s="5"/>
    </row>
    <row r="1901" spans="2:21" x14ac:dyDescent="0.25">
      <c r="B1901" s="90">
        <v>1128</v>
      </c>
      <c r="C1901" s="91">
        <v>6.1594570187026965E-2</v>
      </c>
      <c r="D1901" s="92">
        <v>107</v>
      </c>
      <c r="E1901" s="93">
        <v>0.39568345323741005</v>
      </c>
      <c r="G1901" s="5"/>
      <c r="H1901" s="5"/>
      <c r="L1901" s="7"/>
      <c r="M1901" s="7"/>
      <c r="O1901" s="6"/>
      <c r="P1901" s="6"/>
      <c r="T1901" s="5"/>
      <c r="U1901" s="5"/>
    </row>
    <row r="1902" spans="2:21" x14ac:dyDescent="0.25">
      <c r="B1902" s="90">
        <v>1030</v>
      </c>
      <c r="C1902" s="91">
        <v>6.1726869246088611E-2</v>
      </c>
      <c r="D1902" s="92">
        <v>107</v>
      </c>
      <c r="E1902" s="93">
        <v>0.39568345323741005</v>
      </c>
      <c r="G1902" s="5"/>
      <c r="H1902" s="5"/>
      <c r="L1902" s="7"/>
      <c r="M1902" s="7"/>
      <c r="O1902" s="6"/>
      <c r="P1902" s="6"/>
      <c r="T1902" s="5"/>
      <c r="U1902" s="5"/>
    </row>
    <row r="1903" spans="2:21" x14ac:dyDescent="0.25">
      <c r="B1903" s="90">
        <v>885</v>
      </c>
      <c r="C1903" s="91">
        <v>6.181016543720097E-2</v>
      </c>
      <c r="D1903" s="92">
        <v>107</v>
      </c>
      <c r="E1903" s="93">
        <v>0.37410071942446044</v>
      </c>
      <c r="G1903" s="5"/>
      <c r="H1903" s="5"/>
      <c r="L1903" s="7"/>
      <c r="M1903" s="7"/>
      <c r="O1903" s="6"/>
      <c r="P1903" s="6"/>
      <c r="T1903" s="5"/>
      <c r="U1903" s="5"/>
    </row>
    <row r="1904" spans="2:21" x14ac:dyDescent="0.25">
      <c r="B1904" s="90">
        <v>334</v>
      </c>
      <c r="C1904" s="91">
        <v>6.2556591035153652E-2</v>
      </c>
      <c r="D1904" s="92">
        <v>107</v>
      </c>
      <c r="E1904" s="93">
        <v>0.39568345323741005</v>
      </c>
      <c r="G1904" s="5"/>
      <c r="H1904" s="5"/>
      <c r="L1904" s="7"/>
      <c r="M1904" s="7"/>
      <c r="O1904" s="6"/>
      <c r="P1904" s="6"/>
      <c r="T1904" s="5"/>
      <c r="U1904" s="5"/>
    </row>
    <row r="1905" spans="2:21" x14ac:dyDescent="0.25">
      <c r="B1905" s="90">
        <v>678</v>
      </c>
      <c r="C1905" s="91">
        <v>6.2578909779583691E-2</v>
      </c>
      <c r="D1905" s="92">
        <v>107</v>
      </c>
      <c r="E1905" s="93">
        <v>0.39568345323741005</v>
      </c>
      <c r="G1905" s="5"/>
      <c r="H1905" s="5"/>
      <c r="L1905" s="7"/>
      <c r="M1905" s="7"/>
      <c r="O1905" s="6"/>
      <c r="P1905" s="6"/>
      <c r="T1905" s="5"/>
      <c r="U1905" s="5"/>
    </row>
    <row r="1906" spans="2:21" x14ac:dyDescent="0.25">
      <c r="B1906" s="90">
        <v>623</v>
      </c>
      <c r="C1906" s="91">
        <v>6.2601873434825483E-2</v>
      </c>
      <c r="D1906" s="92">
        <v>107</v>
      </c>
      <c r="E1906" s="93">
        <v>0.39568345323741005</v>
      </c>
      <c r="G1906" s="5"/>
      <c r="H1906" s="5"/>
      <c r="L1906" s="7"/>
      <c r="M1906" s="7"/>
      <c r="O1906" s="6"/>
      <c r="P1906" s="6"/>
      <c r="T1906" s="5"/>
      <c r="U1906" s="5"/>
    </row>
    <row r="1907" spans="2:21" x14ac:dyDescent="0.25">
      <c r="B1907" s="90">
        <v>785</v>
      </c>
      <c r="C1907" s="91">
        <v>6.2855947207994589E-2</v>
      </c>
      <c r="D1907" s="92">
        <v>107</v>
      </c>
      <c r="E1907" s="93">
        <v>0.39568345323741005</v>
      </c>
      <c r="G1907" s="5"/>
      <c r="H1907" s="5"/>
      <c r="L1907" s="7"/>
      <c r="M1907" s="7"/>
      <c r="O1907" s="6"/>
      <c r="P1907" s="6"/>
      <c r="T1907" s="5"/>
      <c r="U1907" s="5"/>
    </row>
    <row r="1908" spans="2:21" x14ac:dyDescent="0.25">
      <c r="B1908" s="90">
        <v>834</v>
      </c>
      <c r="C1908" s="91">
        <v>6.3635710028038472E-2</v>
      </c>
      <c r="D1908" s="92">
        <v>107</v>
      </c>
      <c r="E1908" s="93">
        <v>0.37410071942446044</v>
      </c>
      <c r="G1908" s="5"/>
      <c r="H1908" s="5"/>
      <c r="L1908" s="7"/>
      <c r="M1908" s="7"/>
      <c r="O1908" s="6"/>
      <c r="P1908" s="6"/>
      <c r="T1908" s="5"/>
      <c r="U1908" s="5"/>
    </row>
    <row r="1909" spans="2:21" x14ac:dyDescent="0.25">
      <c r="B1909" s="90">
        <v>732</v>
      </c>
      <c r="C1909" s="91">
        <v>6.375442637547224E-2</v>
      </c>
      <c r="D1909" s="92">
        <v>107</v>
      </c>
      <c r="E1909" s="93">
        <v>0.39568345323741005</v>
      </c>
      <c r="G1909" s="5"/>
      <c r="H1909" s="5"/>
      <c r="L1909" s="7"/>
      <c r="M1909" s="7"/>
      <c r="O1909" s="6"/>
      <c r="P1909" s="6"/>
      <c r="T1909" s="5"/>
      <c r="U1909" s="5"/>
    </row>
    <row r="1910" spans="2:21" x14ac:dyDescent="0.25">
      <c r="B1910" s="90">
        <v>1082</v>
      </c>
      <c r="C1910" s="91">
        <v>6.4332212410386336E-2</v>
      </c>
      <c r="D1910" s="92">
        <v>107</v>
      </c>
      <c r="E1910" s="93">
        <v>0.40287769784172661</v>
      </c>
      <c r="G1910" s="5"/>
      <c r="H1910" s="5"/>
      <c r="L1910" s="7"/>
      <c r="M1910" s="7"/>
      <c r="O1910" s="6"/>
      <c r="P1910" s="6"/>
      <c r="T1910" s="5"/>
      <c r="U1910" s="5"/>
    </row>
    <row r="1911" spans="2:21" x14ac:dyDescent="0.25">
      <c r="B1911" s="90">
        <v>272</v>
      </c>
      <c r="C1911" s="91">
        <v>6.8219517471869273E-2</v>
      </c>
      <c r="D1911" s="92">
        <v>107</v>
      </c>
      <c r="E1911" s="93">
        <v>0.40287769784172661</v>
      </c>
      <c r="G1911" s="5"/>
      <c r="H1911" s="5"/>
      <c r="L1911" s="7"/>
      <c r="M1911" s="7"/>
      <c r="O1911" s="6"/>
      <c r="P1911" s="6"/>
      <c r="T1911" s="5"/>
      <c r="U1911" s="5"/>
    </row>
    <row r="1912" spans="2:21" x14ac:dyDescent="0.25">
      <c r="B1912" s="90">
        <v>333</v>
      </c>
      <c r="C1912" s="91">
        <v>7.0571448962579164E-2</v>
      </c>
      <c r="D1912" s="92">
        <v>107</v>
      </c>
      <c r="E1912" s="93">
        <v>0.40287769784172661</v>
      </c>
      <c r="G1912" s="5"/>
      <c r="H1912" s="5"/>
      <c r="L1912" s="7"/>
      <c r="M1912" s="7"/>
      <c r="O1912" s="6"/>
      <c r="P1912" s="6"/>
      <c r="T1912" s="5"/>
      <c r="U1912" s="5"/>
    </row>
    <row r="1913" spans="2:21" x14ac:dyDescent="0.25">
      <c r="B1913" s="90">
        <v>729</v>
      </c>
      <c r="C1913" s="91">
        <v>7.0878198464858544E-2</v>
      </c>
      <c r="D1913" s="92">
        <v>107</v>
      </c>
      <c r="E1913" s="93">
        <v>0.37410071942446044</v>
      </c>
      <c r="G1913" s="5"/>
      <c r="H1913" s="5"/>
      <c r="L1913" s="7"/>
      <c r="M1913" s="7"/>
      <c r="O1913" s="6"/>
      <c r="P1913" s="6"/>
      <c r="T1913" s="5"/>
      <c r="U1913" s="5"/>
    </row>
    <row r="1914" spans="2:21" x14ac:dyDescent="0.25">
      <c r="B1914" s="90">
        <v>782</v>
      </c>
      <c r="C1914" s="91">
        <v>7.1107378041017966E-2</v>
      </c>
      <c r="D1914" s="92">
        <v>107</v>
      </c>
      <c r="E1914" s="93">
        <v>0.37410071942446044</v>
      </c>
      <c r="G1914" s="5"/>
      <c r="H1914" s="5"/>
      <c r="L1914" s="7"/>
      <c r="M1914" s="7"/>
      <c r="O1914" s="6"/>
      <c r="P1914" s="6"/>
      <c r="T1914" s="5"/>
      <c r="U1914" s="5"/>
    </row>
    <row r="1915" spans="2:21" x14ac:dyDescent="0.25">
      <c r="B1915" s="90">
        <v>680</v>
      </c>
      <c r="C1915" s="91">
        <v>7.2921648084870894E-2</v>
      </c>
      <c r="D1915" s="92">
        <v>107</v>
      </c>
      <c r="E1915" s="93">
        <v>0.41007194244604317</v>
      </c>
      <c r="G1915" s="5"/>
      <c r="H1915" s="5"/>
      <c r="L1915" s="7"/>
      <c r="M1915" s="7"/>
      <c r="O1915" s="6"/>
      <c r="P1915" s="6"/>
      <c r="T1915" s="5"/>
      <c r="U1915" s="5"/>
    </row>
    <row r="1916" spans="2:21" x14ac:dyDescent="0.25">
      <c r="B1916" s="90">
        <v>787</v>
      </c>
      <c r="C1916" s="91">
        <v>7.3216926904630997E-2</v>
      </c>
      <c r="D1916" s="92">
        <v>107</v>
      </c>
      <c r="E1916" s="93">
        <v>0.41007194244604317</v>
      </c>
      <c r="G1916" s="5"/>
      <c r="H1916" s="5"/>
      <c r="L1916" s="7"/>
      <c r="M1916" s="7"/>
      <c r="O1916" s="6"/>
      <c r="P1916" s="6"/>
      <c r="T1916" s="5"/>
      <c r="U1916" s="5"/>
    </row>
    <row r="1917" spans="2:21" x14ac:dyDescent="0.25">
      <c r="B1917" s="90">
        <v>1078</v>
      </c>
      <c r="C1917" s="91">
        <v>7.3518412729265847E-2</v>
      </c>
      <c r="D1917" s="92">
        <v>107</v>
      </c>
      <c r="E1917" s="93">
        <v>0.37410071942446044</v>
      </c>
      <c r="G1917" s="5"/>
      <c r="H1917" s="5"/>
      <c r="L1917" s="7"/>
      <c r="M1917" s="7"/>
      <c r="O1917" s="6"/>
      <c r="P1917" s="6"/>
      <c r="T1917" s="5"/>
      <c r="U1917" s="5"/>
    </row>
    <row r="1918" spans="2:21" x14ac:dyDescent="0.25">
      <c r="B1918" s="90">
        <v>675</v>
      </c>
      <c r="C1918" s="91">
        <v>7.3718408520965784E-2</v>
      </c>
      <c r="D1918" s="92">
        <v>107</v>
      </c>
      <c r="E1918" s="93">
        <v>0.37410071942446044</v>
      </c>
      <c r="G1918" s="5"/>
      <c r="H1918" s="5"/>
      <c r="L1918" s="7"/>
      <c r="M1918" s="7"/>
      <c r="O1918" s="6"/>
      <c r="P1918" s="6"/>
      <c r="T1918" s="5"/>
      <c r="U1918" s="5"/>
    </row>
    <row r="1919" spans="2:21" x14ac:dyDescent="0.25">
      <c r="B1919" s="90">
        <v>839</v>
      </c>
      <c r="C1919" s="91">
        <v>7.3752746863384955E-2</v>
      </c>
      <c r="D1919" s="92">
        <v>107</v>
      </c>
      <c r="E1919" s="93">
        <v>0.41007194244604317</v>
      </c>
      <c r="G1919" s="5"/>
      <c r="H1919" s="5"/>
      <c r="L1919" s="7"/>
      <c r="M1919" s="7"/>
      <c r="O1919" s="6"/>
      <c r="P1919" s="6"/>
      <c r="T1919" s="5"/>
      <c r="U1919" s="5"/>
    </row>
    <row r="1920" spans="2:21" x14ac:dyDescent="0.25">
      <c r="B1920" s="90">
        <v>734</v>
      </c>
      <c r="C1920" s="91">
        <v>7.4145434525111131E-2</v>
      </c>
      <c r="D1920" s="92">
        <v>107</v>
      </c>
      <c r="E1920" s="93">
        <v>0.41007194244604317</v>
      </c>
      <c r="G1920" s="5"/>
      <c r="H1920" s="5"/>
      <c r="L1920" s="7"/>
      <c r="M1920" s="7"/>
      <c r="O1920" s="6"/>
      <c r="P1920" s="6"/>
      <c r="T1920" s="5"/>
      <c r="U1920" s="5"/>
    </row>
    <row r="1921" spans="2:21" x14ac:dyDescent="0.25">
      <c r="B1921" s="90">
        <v>1124</v>
      </c>
      <c r="C1921" s="91">
        <v>7.7225313485819402E-2</v>
      </c>
      <c r="D1921" s="92">
        <v>107</v>
      </c>
      <c r="E1921" s="93">
        <v>0.37410071942446044</v>
      </c>
      <c r="G1921" s="5"/>
      <c r="H1921" s="5"/>
      <c r="L1921" s="7"/>
      <c r="M1921" s="7"/>
      <c r="O1921" s="6"/>
      <c r="P1921" s="6"/>
      <c r="T1921" s="5"/>
      <c r="U1921" s="5"/>
    </row>
    <row r="1922" spans="2:21" x14ac:dyDescent="0.25">
      <c r="B1922" s="90">
        <v>274</v>
      </c>
      <c r="C1922" s="91">
        <v>7.9307670315952317E-2</v>
      </c>
      <c r="D1922" s="92">
        <v>107</v>
      </c>
      <c r="E1922" s="93">
        <v>0.41726618705035973</v>
      </c>
      <c r="G1922" s="5"/>
      <c r="H1922" s="5"/>
      <c r="L1922" s="7"/>
      <c r="M1922" s="7"/>
      <c r="O1922" s="6"/>
      <c r="P1922" s="6"/>
      <c r="T1922" s="5"/>
      <c r="U1922" s="5"/>
    </row>
    <row r="1923" spans="2:21" x14ac:dyDescent="0.25">
      <c r="B1923" s="90">
        <v>335</v>
      </c>
      <c r="C1923" s="91">
        <v>8.1659015062063967E-2</v>
      </c>
      <c r="D1923" s="92">
        <v>107</v>
      </c>
      <c r="E1923" s="93">
        <v>0.41726618705035973</v>
      </c>
      <c r="G1923" s="5"/>
      <c r="H1923" s="5"/>
      <c r="L1923" s="7"/>
      <c r="M1923" s="7"/>
      <c r="O1923" s="6"/>
      <c r="P1923" s="6"/>
      <c r="T1923" s="5"/>
      <c r="U1923" s="5"/>
    </row>
    <row r="1924" spans="2:21" x14ac:dyDescent="0.25">
      <c r="B1924" s="90">
        <v>788</v>
      </c>
      <c r="C1924" s="91">
        <v>8.2608589680916333E-2</v>
      </c>
      <c r="D1924" s="92">
        <v>107</v>
      </c>
      <c r="E1924" s="93">
        <v>0.41007194244604317</v>
      </c>
      <c r="G1924" s="5"/>
      <c r="H1924" s="5"/>
      <c r="L1924" s="7"/>
      <c r="M1924" s="7"/>
      <c r="O1924" s="6"/>
      <c r="P1924" s="6"/>
      <c r="T1924" s="5"/>
      <c r="U1924" s="5"/>
    </row>
    <row r="1925" spans="2:21" x14ac:dyDescent="0.25">
      <c r="B1925" s="90">
        <v>891</v>
      </c>
      <c r="C1925" s="91">
        <v>8.2870486322675574E-2</v>
      </c>
      <c r="D1925" s="92">
        <v>107</v>
      </c>
      <c r="E1925" s="93">
        <v>0.41726618705035973</v>
      </c>
      <c r="G1925" s="5"/>
      <c r="H1925" s="5"/>
      <c r="L1925" s="7"/>
      <c r="M1925" s="7"/>
      <c r="O1925" s="6"/>
      <c r="P1925" s="6"/>
      <c r="T1925" s="5"/>
      <c r="U1925" s="5"/>
    </row>
    <row r="1926" spans="2:21" x14ac:dyDescent="0.25">
      <c r="B1926" s="90">
        <v>840</v>
      </c>
      <c r="C1926" s="91">
        <v>8.3226080049819351E-2</v>
      </c>
      <c r="D1926" s="92">
        <v>107</v>
      </c>
      <c r="E1926" s="93">
        <v>0.41007194244604317</v>
      </c>
      <c r="G1926" s="5"/>
      <c r="H1926" s="5"/>
      <c r="L1926" s="7"/>
      <c r="M1926" s="7"/>
      <c r="O1926" s="6"/>
      <c r="P1926" s="6"/>
      <c r="T1926" s="5"/>
      <c r="U1926" s="5"/>
    </row>
    <row r="1927" spans="2:21" x14ac:dyDescent="0.25">
      <c r="B1927" s="90">
        <v>275</v>
      </c>
      <c r="C1927" s="91">
        <v>8.8552845362194765E-2</v>
      </c>
      <c r="D1927" s="92">
        <v>107</v>
      </c>
      <c r="E1927" s="93">
        <v>0.42446043165467628</v>
      </c>
      <c r="G1927" s="5"/>
      <c r="H1927" s="5"/>
      <c r="L1927" s="7"/>
      <c r="M1927" s="7"/>
      <c r="O1927" s="6"/>
      <c r="P1927" s="6"/>
      <c r="T1927" s="5"/>
      <c r="U1927" s="5"/>
    </row>
    <row r="1928" spans="2:21" x14ac:dyDescent="0.25">
      <c r="B1928" s="90">
        <v>336</v>
      </c>
      <c r="C1928" s="91">
        <v>9.0902709972004114E-2</v>
      </c>
      <c r="D1928" s="92">
        <v>107</v>
      </c>
      <c r="E1928" s="93">
        <v>0.42446043165467628</v>
      </c>
      <c r="G1928" s="5"/>
      <c r="H1928" s="5"/>
      <c r="L1928" s="7"/>
      <c r="M1928" s="7"/>
      <c r="O1928" s="6"/>
      <c r="P1928" s="6"/>
      <c r="T1928" s="5"/>
      <c r="U1928" s="5"/>
    </row>
    <row r="1929" spans="2:21" x14ac:dyDescent="0.25">
      <c r="B1929" s="90">
        <v>1081</v>
      </c>
      <c r="C1929" s="91">
        <v>9.1044010217317561E-2</v>
      </c>
      <c r="D1929" s="92">
        <v>107</v>
      </c>
      <c r="E1929" s="93">
        <v>0.35971223021582732</v>
      </c>
      <c r="G1929" s="5"/>
      <c r="H1929" s="5"/>
      <c r="L1929" s="7"/>
      <c r="M1929" s="7"/>
      <c r="O1929" s="6"/>
      <c r="P1929" s="6"/>
      <c r="T1929" s="5"/>
      <c r="U1929" s="5"/>
    </row>
    <row r="1930" spans="2:21" x14ac:dyDescent="0.25">
      <c r="B1930" s="90">
        <v>1127</v>
      </c>
      <c r="C1930" s="91">
        <v>9.5641830846253328E-2</v>
      </c>
      <c r="D1930" s="92">
        <v>107</v>
      </c>
      <c r="E1930" s="93">
        <v>0.35971223021582732</v>
      </c>
      <c r="G1930" s="5"/>
      <c r="H1930" s="5"/>
      <c r="L1930" s="7"/>
      <c r="M1930" s="7"/>
      <c r="O1930" s="6"/>
      <c r="P1930" s="6"/>
      <c r="T1930" s="5"/>
      <c r="U1930" s="5"/>
    </row>
    <row r="1931" spans="2:21" x14ac:dyDescent="0.25">
      <c r="B1931" s="90">
        <v>892</v>
      </c>
      <c r="C1931" s="91">
        <v>9.5979515881885691E-2</v>
      </c>
      <c r="D1931" s="92">
        <v>107</v>
      </c>
      <c r="E1931" s="93">
        <v>0.43165467625899279</v>
      </c>
      <c r="G1931" s="5"/>
      <c r="H1931" s="5"/>
      <c r="L1931" s="7"/>
      <c r="M1931" s="7"/>
      <c r="O1931" s="6"/>
      <c r="P1931" s="6"/>
      <c r="T1931" s="5"/>
      <c r="U1931" s="5"/>
    </row>
    <row r="1932" spans="2:21" x14ac:dyDescent="0.25">
      <c r="B1932" s="90">
        <v>789</v>
      </c>
      <c r="C1932" s="91">
        <v>9.6180456995083485E-2</v>
      </c>
      <c r="D1932" s="92">
        <v>107</v>
      </c>
      <c r="E1932" s="93">
        <v>0.43165467625899279</v>
      </c>
      <c r="G1932" s="5"/>
      <c r="H1932" s="5"/>
      <c r="L1932" s="7"/>
      <c r="M1932" s="7"/>
      <c r="O1932" s="6"/>
      <c r="P1932" s="6"/>
      <c r="T1932" s="5"/>
      <c r="U1932" s="5"/>
    </row>
    <row r="1933" spans="2:21" x14ac:dyDescent="0.25">
      <c r="B1933" s="90">
        <v>841</v>
      </c>
      <c r="C1933" s="91">
        <v>9.6598122680391585E-2</v>
      </c>
      <c r="D1933" s="92">
        <v>107</v>
      </c>
      <c r="E1933" s="93">
        <v>0.43165467625899279</v>
      </c>
      <c r="G1933" s="5"/>
      <c r="H1933" s="5"/>
      <c r="L1933" s="7"/>
      <c r="M1933" s="7"/>
      <c r="O1933" s="6"/>
      <c r="P1933" s="6"/>
      <c r="T1933" s="5"/>
      <c r="U1933" s="5"/>
    </row>
    <row r="1934" spans="2:21" x14ac:dyDescent="0.25">
      <c r="B1934" s="90">
        <v>736</v>
      </c>
      <c r="C1934" s="91">
        <v>9.711755934228361E-2</v>
      </c>
      <c r="D1934" s="92">
        <v>107</v>
      </c>
      <c r="E1934" s="93">
        <v>0.43165467625899279</v>
      </c>
      <c r="G1934" s="5"/>
      <c r="H1934" s="5"/>
      <c r="L1934" s="7"/>
      <c r="M1934" s="7"/>
      <c r="O1934" s="6"/>
      <c r="P1934" s="6"/>
      <c r="T1934" s="5"/>
      <c r="U1934" s="5"/>
    </row>
    <row r="1935" spans="2:21" x14ac:dyDescent="0.25">
      <c r="B1935" s="90">
        <v>1173</v>
      </c>
      <c r="C1935" s="91">
        <v>0.10179098033671363</v>
      </c>
      <c r="D1935" s="92">
        <v>107</v>
      </c>
      <c r="E1935" s="93">
        <v>0.30215827338129497</v>
      </c>
      <c r="G1935" s="5"/>
      <c r="H1935" s="5"/>
      <c r="L1935" s="7"/>
      <c r="M1935" s="7"/>
      <c r="O1935" s="6"/>
      <c r="P1935" s="6"/>
      <c r="T1935" s="5"/>
      <c r="U1935" s="5"/>
    </row>
    <row r="1936" spans="2:21" x14ac:dyDescent="0.25">
      <c r="B1936" s="90">
        <v>276</v>
      </c>
      <c r="C1936" s="91">
        <v>0.10322640452714982</v>
      </c>
      <c r="D1936" s="92">
        <v>107</v>
      </c>
      <c r="E1936" s="93">
        <v>0.49640287769784175</v>
      </c>
      <c r="G1936" s="5"/>
      <c r="H1936" s="5"/>
      <c r="L1936" s="7"/>
      <c r="M1936" s="7"/>
      <c r="O1936" s="6"/>
      <c r="P1936" s="6"/>
      <c r="T1936" s="5"/>
      <c r="U1936" s="5"/>
    </row>
    <row r="1937" spans="2:21" x14ac:dyDescent="0.25">
      <c r="B1937" s="90">
        <v>833</v>
      </c>
      <c r="C1937" s="91">
        <v>0.10588423363874744</v>
      </c>
      <c r="D1937" s="92">
        <v>107</v>
      </c>
      <c r="E1937" s="93">
        <v>0.37410071942446044</v>
      </c>
      <c r="G1937" s="5"/>
      <c r="H1937" s="5"/>
      <c r="L1937" s="7"/>
      <c r="M1937" s="7"/>
      <c r="O1937" s="6"/>
      <c r="P1937" s="6"/>
      <c r="T1937" s="5"/>
      <c r="U1937" s="5"/>
    </row>
    <row r="1938" spans="2:21" x14ac:dyDescent="0.25">
      <c r="B1938" s="90">
        <v>886</v>
      </c>
      <c r="C1938" s="91">
        <v>0.10712092402738482</v>
      </c>
      <c r="D1938" s="92">
        <v>107</v>
      </c>
      <c r="E1938" s="93">
        <v>0.35971223021582732</v>
      </c>
      <c r="G1938" s="5"/>
      <c r="H1938" s="5"/>
      <c r="L1938" s="7"/>
      <c r="M1938" s="7"/>
      <c r="O1938" s="6"/>
      <c r="P1938" s="6"/>
      <c r="T1938" s="5"/>
      <c r="U1938" s="5"/>
    </row>
    <row r="1939" spans="2:21" x14ac:dyDescent="0.25">
      <c r="B1939" s="90">
        <v>337</v>
      </c>
      <c r="C1939" s="91">
        <v>0.11023297644392183</v>
      </c>
      <c r="D1939" s="92">
        <v>107</v>
      </c>
      <c r="E1939" s="93">
        <v>0.49640287769784175</v>
      </c>
      <c r="G1939" s="5"/>
      <c r="H1939" s="5"/>
      <c r="L1939" s="7"/>
      <c r="M1939" s="7"/>
      <c r="O1939" s="6"/>
      <c r="P1939" s="6"/>
      <c r="T1939" s="5"/>
      <c r="U1939" s="5"/>
    </row>
    <row r="1940" spans="2:21" x14ac:dyDescent="0.25">
      <c r="B1940" s="90">
        <v>985</v>
      </c>
      <c r="C1940" s="91">
        <v>0.11248668865943823</v>
      </c>
      <c r="D1940" s="92">
        <v>107</v>
      </c>
      <c r="E1940" s="93">
        <v>0.35971223021582732</v>
      </c>
      <c r="G1940" s="5"/>
      <c r="H1940" s="5"/>
      <c r="L1940" s="7"/>
      <c r="M1940" s="7"/>
      <c r="O1940" s="6"/>
      <c r="P1940" s="6"/>
      <c r="T1940" s="5"/>
      <c r="U1940" s="5"/>
    </row>
    <row r="1941" spans="2:21" x14ac:dyDescent="0.25">
      <c r="B1941" s="90">
        <v>1174</v>
      </c>
      <c r="C1941" s="91">
        <v>0.11273144017191916</v>
      </c>
      <c r="D1941" s="92">
        <v>107</v>
      </c>
      <c r="E1941" s="93">
        <v>0.30215827338129497</v>
      </c>
      <c r="G1941" s="5"/>
      <c r="H1941" s="5"/>
      <c r="L1941" s="7"/>
      <c r="M1941" s="7"/>
      <c r="O1941" s="6"/>
      <c r="P1941" s="6"/>
      <c r="T1941" s="5"/>
      <c r="U1941" s="5"/>
    </row>
    <row r="1942" spans="2:21" x14ac:dyDescent="0.25">
      <c r="B1942" s="90">
        <v>728</v>
      </c>
      <c r="C1942" s="91">
        <v>0.11400083330442279</v>
      </c>
      <c r="D1942" s="92">
        <v>107</v>
      </c>
      <c r="E1942" s="93">
        <v>0.37410071942446044</v>
      </c>
      <c r="G1942" s="5"/>
      <c r="H1942" s="5"/>
      <c r="L1942" s="7"/>
      <c r="M1942" s="7"/>
      <c r="O1942" s="6"/>
      <c r="P1942" s="6"/>
      <c r="T1942" s="5"/>
      <c r="U1942" s="5"/>
    </row>
    <row r="1943" spans="2:21" x14ac:dyDescent="0.25">
      <c r="B1943" s="90">
        <v>781</v>
      </c>
      <c r="C1943" s="91">
        <v>0.11401487638215202</v>
      </c>
      <c r="D1943" s="92">
        <v>107</v>
      </c>
      <c r="E1943" s="93">
        <v>0.37410071942446044</v>
      </c>
      <c r="G1943" s="5"/>
      <c r="H1943" s="5"/>
      <c r="L1943" s="7"/>
      <c r="M1943" s="7"/>
      <c r="O1943" s="6"/>
      <c r="P1943" s="6"/>
      <c r="T1943" s="5"/>
      <c r="U1943" s="5"/>
    </row>
    <row r="1944" spans="2:21" x14ac:dyDescent="0.25">
      <c r="B1944" s="90">
        <v>836</v>
      </c>
      <c r="C1944" s="91">
        <v>0.11514891806543925</v>
      </c>
      <c r="D1944" s="92">
        <v>107</v>
      </c>
      <c r="E1944" s="93">
        <v>0.35971223021582732</v>
      </c>
      <c r="G1944" s="5"/>
      <c r="H1944" s="5"/>
      <c r="L1944" s="7"/>
      <c r="M1944" s="7"/>
      <c r="O1944" s="6"/>
      <c r="P1944" s="6"/>
      <c r="T1944" s="5"/>
      <c r="U1944" s="5"/>
    </row>
    <row r="1945" spans="2:21" x14ac:dyDescent="0.25">
      <c r="B1945" s="90">
        <v>674</v>
      </c>
      <c r="C1945" s="91">
        <v>0.11692563903066178</v>
      </c>
      <c r="D1945" s="92">
        <v>107</v>
      </c>
      <c r="E1945" s="93">
        <v>0.37410071942446044</v>
      </c>
      <c r="G1945" s="5"/>
      <c r="H1945" s="5"/>
      <c r="L1945" s="7"/>
      <c r="M1945" s="7"/>
      <c r="O1945" s="6"/>
      <c r="P1945" s="6"/>
      <c r="T1945" s="5"/>
      <c r="U1945" s="5"/>
    </row>
    <row r="1946" spans="2:21" x14ac:dyDescent="0.25">
      <c r="B1946" s="90">
        <v>1170</v>
      </c>
      <c r="C1946" s="91">
        <v>0.11864829779469543</v>
      </c>
      <c r="D1946" s="92">
        <v>107</v>
      </c>
      <c r="E1946" s="93">
        <v>0.29496402877697842</v>
      </c>
      <c r="G1946" s="5"/>
      <c r="H1946" s="5"/>
      <c r="L1946" s="7"/>
      <c r="M1946" s="7"/>
      <c r="O1946" s="6"/>
      <c r="P1946" s="6"/>
      <c r="T1946" s="5"/>
      <c r="U1946" s="5"/>
    </row>
    <row r="1947" spans="2:21" x14ac:dyDescent="0.25">
      <c r="B1947" s="90">
        <v>936</v>
      </c>
      <c r="C1947" s="91">
        <v>0.11872200933837773</v>
      </c>
      <c r="D1947" s="92">
        <v>107</v>
      </c>
      <c r="E1947" s="93">
        <v>0.35971223021582732</v>
      </c>
      <c r="G1947" s="5"/>
      <c r="H1947" s="5"/>
      <c r="L1947" s="7"/>
      <c r="M1947" s="7"/>
      <c r="O1947" s="6"/>
      <c r="P1947" s="6"/>
      <c r="T1947" s="5"/>
      <c r="U1947" s="5"/>
    </row>
    <row r="1948" spans="2:21" x14ac:dyDescent="0.25">
      <c r="B1948" s="90">
        <v>619</v>
      </c>
      <c r="C1948" s="91">
        <v>0.12138556561238167</v>
      </c>
      <c r="D1948" s="92">
        <v>107</v>
      </c>
      <c r="E1948" s="93">
        <v>0.37410071942446044</v>
      </c>
      <c r="G1948" s="5"/>
      <c r="H1948" s="5"/>
      <c r="L1948" s="7"/>
      <c r="M1948" s="7"/>
      <c r="O1948" s="6"/>
      <c r="P1948" s="6"/>
      <c r="T1948" s="5"/>
      <c r="U1948" s="5"/>
    </row>
    <row r="1949" spans="2:21" x14ac:dyDescent="0.25">
      <c r="B1949" s="90">
        <v>731</v>
      </c>
      <c r="C1949" s="91">
        <v>0.12149235372737555</v>
      </c>
      <c r="D1949" s="92">
        <v>107</v>
      </c>
      <c r="E1949" s="93">
        <v>0.35971223021582732</v>
      </c>
      <c r="G1949" s="5"/>
      <c r="H1949" s="5"/>
      <c r="L1949" s="7"/>
      <c r="M1949" s="7"/>
      <c r="O1949" s="6"/>
      <c r="P1949" s="6"/>
      <c r="T1949" s="5"/>
      <c r="U1949" s="5"/>
    </row>
    <row r="1950" spans="2:21" x14ac:dyDescent="0.25">
      <c r="B1950" s="90">
        <v>784</v>
      </c>
      <c r="C1950" s="91">
        <v>0.12196456200273564</v>
      </c>
      <c r="D1950" s="92">
        <v>107</v>
      </c>
      <c r="E1950" s="93">
        <v>0.35971223021582732</v>
      </c>
      <c r="G1950" s="5"/>
      <c r="H1950" s="5"/>
      <c r="L1950" s="7"/>
      <c r="M1950" s="7"/>
      <c r="O1950" s="6"/>
      <c r="P1950" s="6"/>
      <c r="T1950" s="5"/>
      <c r="U1950" s="5"/>
    </row>
    <row r="1951" spans="2:21" x14ac:dyDescent="0.25">
      <c r="B1951" s="90">
        <v>209</v>
      </c>
      <c r="C1951" s="91">
        <v>0.12243423266367526</v>
      </c>
      <c r="D1951" s="92">
        <v>107</v>
      </c>
      <c r="E1951" s="93">
        <v>0.36690647482014388</v>
      </c>
      <c r="G1951" s="5"/>
      <c r="H1951" s="5"/>
      <c r="L1951" s="7"/>
      <c r="M1951" s="7"/>
      <c r="O1951" s="6"/>
      <c r="P1951" s="6"/>
      <c r="T1951" s="5"/>
      <c r="U1951" s="5"/>
    </row>
    <row r="1952" spans="2:21" x14ac:dyDescent="0.25">
      <c r="B1952" s="90">
        <v>677</v>
      </c>
      <c r="C1952" s="91">
        <v>0.1235927748531449</v>
      </c>
      <c r="D1952" s="92">
        <v>107</v>
      </c>
      <c r="E1952" s="93">
        <v>0.35971223021582732</v>
      </c>
      <c r="G1952" s="5"/>
      <c r="H1952" s="5"/>
      <c r="L1952" s="7"/>
      <c r="M1952" s="7"/>
      <c r="O1952" s="6"/>
      <c r="P1952" s="6"/>
      <c r="T1952" s="5"/>
      <c r="U1952" s="5"/>
    </row>
    <row r="1953" spans="2:21" x14ac:dyDescent="0.25">
      <c r="B1953" s="90">
        <v>622</v>
      </c>
      <c r="C1953" s="91">
        <v>0.12768858391939319</v>
      </c>
      <c r="D1953" s="92">
        <v>107</v>
      </c>
      <c r="E1953" s="93">
        <v>0.35971223021582732</v>
      </c>
      <c r="G1953" s="5"/>
      <c r="H1953" s="5"/>
      <c r="L1953" s="7"/>
      <c r="M1953" s="7"/>
      <c r="O1953" s="6"/>
      <c r="P1953" s="6"/>
      <c r="T1953" s="5"/>
      <c r="U1953" s="5"/>
    </row>
    <row r="1954" spans="2:21" x14ac:dyDescent="0.25">
      <c r="B1954" s="90">
        <v>1219</v>
      </c>
      <c r="C1954" s="91">
        <v>0.14360936655667766</v>
      </c>
      <c r="D1954" s="92">
        <v>107</v>
      </c>
      <c r="E1954" s="93">
        <v>0.21582733812949639</v>
      </c>
      <c r="G1954" s="5"/>
      <c r="H1954" s="5"/>
      <c r="L1954" s="7"/>
      <c r="M1954" s="7"/>
      <c r="O1954" s="6"/>
      <c r="P1954" s="6"/>
      <c r="T1954" s="5"/>
      <c r="U1954" s="5"/>
    </row>
    <row r="1955" spans="2:21" x14ac:dyDescent="0.25">
      <c r="B1955" s="90">
        <v>1169</v>
      </c>
      <c r="C1955" s="91">
        <v>0.15263573289515131</v>
      </c>
      <c r="D1955" s="92">
        <v>107</v>
      </c>
      <c r="E1955" s="93">
        <v>0.29496402877697842</v>
      </c>
      <c r="G1955" s="5"/>
      <c r="H1955" s="5"/>
      <c r="L1955" s="7"/>
      <c r="M1955" s="7"/>
      <c r="O1955" s="6"/>
      <c r="P1955" s="6"/>
      <c r="T1955" s="5"/>
      <c r="U1955" s="5"/>
    </row>
    <row r="1956" spans="2:21" x14ac:dyDescent="0.25">
      <c r="B1956" s="90">
        <v>1217</v>
      </c>
      <c r="C1956" s="91">
        <v>0.16583031917740731</v>
      </c>
      <c r="D1956" s="92">
        <v>107</v>
      </c>
      <c r="E1956" s="93">
        <v>0.20863309352517986</v>
      </c>
      <c r="G1956" s="5"/>
      <c r="H1956" s="5"/>
      <c r="L1956" s="7"/>
      <c r="M1956" s="7"/>
      <c r="O1956" s="6"/>
      <c r="P1956" s="6"/>
      <c r="T1956" s="5"/>
      <c r="U1956" s="5"/>
    </row>
    <row r="1957" spans="2:21" x14ac:dyDescent="0.25">
      <c r="B1957" s="90">
        <v>1172</v>
      </c>
      <c r="C1957" s="91">
        <v>0.17517330173125956</v>
      </c>
      <c r="D1957" s="92">
        <v>107</v>
      </c>
      <c r="E1957" s="93">
        <v>0.2805755395683453</v>
      </c>
      <c r="G1957" s="5"/>
      <c r="H1957" s="5"/>
      <c r="L1957" s="7"/>
      <c r="M1957" s="7"/>
      <c r="O1957" s="6"/>
      <c r="P1957" s="6"/>
      <c r="T1957" s="5"/>
      <c r="U1957" s="5"/>
    </row>
    <row r="1958" spans="2:21" x14ac:dyDescent="0.25">
      <c r="B1958" s="90">
        <v>1218</v>
      </c>
      <c r="C1958" s="91">
        <v>0.17608881218149941</v>
      </c>
      <c r="D1958" s="92">
        <v>107</v>
      </c>
      <c r="E1958" s="93">
        <v>0.20863309352517986</v>
      </c>
      <c r="G1958" s="5"/>
      <c r="H1958" s="5"/>
      <c r="L1958" s="7"/>
      <c r="M1958" s="7"/>
      <c r="O1958" s="6"/>
      <c r="P1958" s="6"/>
      <c r="T1958" s="5"/>
      <c r="U1958" s="5"/>
    </row>
    <row r="1959" spans="2:21" x14ac:dyDescent="0.25">
      <c r="B1959" s="90">
        <v>1214</v>
      </c>
      <c r="C1959" s="91">
        <v>0.17932130246387867</v>
      </c>
      <c r="D1959" s="92">
        <v>107</v>
      </c>
      <c r="E1959" s="93">
        <v>0.21582733812949639</v>
      </c>
      <c r="G1959" s="5"/>
      <c r="H1959" s="5"/>
      <c r="L1959" s="7"/>
      <c r="M1959" s="7"/>
      <c r="O1959" s="6"/>
      <c r="P1959" s="6"/>
      <c r="T1959" s="5"/>
      <c r="U1959" s="5"/>
    </row>
    <row r="1960" spans="2:21" x14ac:dyDescent="0.25">
      <c r="B1960" s="90">
        <v>1299</v>
      </c>
      <c r="C1960" s="91">
        <v>0.18986797147724355</v>
      </c>
      <c r="D1960" s="92">
        <v>107</v>
      </c>
      <c r="E1960" s="93">
        <v>0.21582733812949639</v>
      </c>
      <c r="G1960" s="5"/>
      <c r="H1960" s="5"/>
      <c r="L1960" s="7"/>
      <c r="M1960" s="7"/>
      <c r="O1960" s="6"/>
      <c r="P1960" s="6"/>
      <c r="T1960" s="5"/>
      <c r="U1960" s="5"/>
    </row>
    <row r="1961" spans="2:21" x14ac:dyDescent="0.25">
      <c r="B1961" s="90">
        <v>1302</v>
      </c>
      <c r="C1961" s="91">
        <v>0.21423773294454185</v>
      </c>
      <c r="D1961" s="92">
        <v>107</v>
      </c>
      <c r="E1961" s="93">
        <v>0.14388489208633093</v>
      </c>
      <c r="G1961" s="5"/>
      <c r="H1961" s="5"/>
      <c r="L1961" s="7"/>
      <c r="M1961" s="7"/>
      <c r="O1961" s="6"/>
      <c r="P1961" s="6"/>
      <c r="T1961" s="5"/>
      <c r="U1961" s="5"/>
    </row>
    <row r="1962" spans="2:21" x14ac:dyDescent="0.25">
      <c r="B1962" s="90">
        <v>1256</v>
      </c>
      <c r="C1962" s="91">
        <v>0.21543311581547797</v>
      </c>
      <c r="D1962" s="92">
        <v>107</v>
      </c>
      <c r="E1962" s="93">
        <v>0.22302158273381295</v>
      </c>
      <c r="G1962" s="5"/>
      <c r="H1962" s="5"/>
      <c r="L1962" s="7"/>
      <c r="M1962" s="7"/>
      <c r="O1962" s="6"/>
      <c r="P1962" s="6"/>
      <c r="T1962" s="5"/>
      <c r="U1962" s="5"/>
    </row>
    <row r="1963" spans="2:21" x14ac:dyDescent="0.25">
      <c r="B1963" s="90">
        <v>13</v>
      </c>
      <c r="C1963" s="91">
        <v>0.22771857692366804</v>
      </c>
      <c r="D1963" s="92">
        <v>107</v>
      </c>
      <c r="E1963" s="93">
        <v>0.15107913669064749</v>
      </c>
      <c r="G1963" s="5"/>
      <c r="H1963" s="5"/>
      <c r="L1963" s="7"/>
      <c r="M1963" s="7"/>
      <c r="O1963" s="6"/>
      <c r="P1963" s="6"/>
      <c r="T1963" s="5"/>
      <c r="U1963" s="5"/>
    </row>
    <row r="1964" spans="2:21" x14ac:dyDescent="0.25">
      <c r="B1964" s="90">
        <v>2068</v>
      </c>
      <c r="C1964" s="91">
        <v>0.22771857692366804</v>
      </c>
      <c r="D1964" s="92">
        <v>107</v>
      </c>
      <c r="E1964" s="93">
        <v>0.15107913669064749</v>
      </c>
      <c r="G1964" s="5"/>
      <c r="H1964" s="5"/>
      <c r="L1964" s="7"/>
      <c r="M1964" s="7"/>
      <c r="O1964" s="6"/>
      <c r="P1964" s="6"/>
      <c r="T1964" s="5"/>
      <c r="U1964" s="5"/>
    </row>
    <row r="1965" spans="2:21" x14ac:dyDescent="0.25">
      <c r="B1965" s="90">
        <v>1216</v>
      </c>
      <c r="C1965" s="91">
        <v>0.2364262340651071</v>
      </c>
      <c r="D1965" s="92">
        <v>107</v>
      </c>
      <c r="E1965" s="93">
        <v>0.18705035971223022</v>
      </c>
      <c r="G1965" s="5"/>
      <c r="H1965" s="5"/>
      <c r="L1965" s="7"/>
      <c r="M1965" s="7"/>
      <c r="O1965" s="6"/>
      <c r="P1965" s="6"/>
      <c r="T1965" s="5"/>
      <c r="U1965" s="5"/>
    </row>
    <row r="1966" spans="2:21" x14ac:dyDescent="0.25">
      <c r="B1966" s="90">
        <v>1384</v>
      </c>
      <c r="C1966" s="91">
        <v>0.23751583806968601</v>
      </c>
      <c r="D1966" s="92">
        <v>107</v>
      </c>
      <c r="E1966" s="93">
        <v>0.14388489208633093</v>
      </c>
      <c r="G1966" s="5"/>
      <c r="H1966" s="5"/>
      <c r="L1966" s="7"/>
      <c r="M1966" s="7"/>
      <c r="O1966" s="6"/>
      <c r="P1966" s="6"/>
      <c r="T1966" s="5"/>
      <c r="U1966" s="5"/>
    </row>
    <row r="1967" spans="2:21" x14ac:dyDescent="0.25">
      <c r="B1967" s="90">
        <v>168</v>
      </c>
      <c r="C1967" s="91">
        <v>0.26508698576934187</v>
      </c>
      <c r="D1967" s="92">
        <v>107</v>
      </c>
      <c r="E1967" s="93">
        <v>0.51079136690647486</v>
      </c>
      <c r="G1967" s="5"/>
      <c r="H1967" s="5"/>
      <c r="L1967" s="7"/>
      <c r="M1967" s="7"/>
      <c r="O1967" s="6"/>
      <c r="P1967" s="6"/>
      <c r="T1967" s="5"/>
      <c r="U1967" s="5"/>
    </row>
    <row r="1968" spans="2:21" x14ac:dyDescent="0.25">
      <c r="B1968" s="90">
        <v>1344</v>
      </c>
      <c r="C1968" s="91">
        <v>0.27032131432850526</v>
      </c>
      <c r="D1968" s="92">
        <v>107</v>
      </c>
      <c r="E1968" s="93">
        <v>0.1366906474820144</v>
      </c>
      <c r="G1968" s="5"/>
      <c r="H1968" s="5"/>
      <c r="L1968" s="7"/>
      <c r="M1968" s="7"/>
      <c r="O1968" s="6"/>
      <c r="P1968" s="6"/>
      <c r="T1968" s="5"/>
      <c r="U1968" s="5"/>
    </row>
    <row r="1969" spans="2:21" x14ac:dyDescent="0.25">
      <c r="B1969" s="90">
        <v>105</v>
      </c>
      <c r="C1969" s="91">
        <v>0.27074793395046004</v>
      </c>
      <c r="D1969" s="92">
        <v>107</v>
      </c>
      <c r="E1969" s="93">
        <v>0.51079136690647486</v>
      </c>
      <c r="G1969" s="5"/>
      <c r="H1969" s="5"/>
      <c r="L1969" s="7"/>
      <c r="M1969" s="7"/>
      <c r="O1969" s="6"/>
      <c r="P1969" s="6"/>
      <c r="T1969" s="5"/>
      <c r="U1969" s="5"/>
    </row>
    <row r="1970" spans="2:21" x14ac:dyDescent="0.25">
      <c r="B1970" s="90">
        <v>1021</v>
      </c>
      <c r="C1970" s="91">
        <v>0.28495668316114875</v>
      </c>
      <c r="D1970" s="92">
        <v>107</v>
      </c>
      <c r="E1970" s="93">
        <v>0.48920863309352519</v>
      </c>
      <c r="G1970" s="5"/>
      <c r="H1970" s="5"/>
      <c r="L1970" s="7"/>
      <c r="M1970" s="7"/>
      <c r="O1970" s="6"/>
      <c r="P1970" s="6"/>
      <c r="T1970" s="5"/>
      <c r="U1970" s="5"/>
    </row>
    <row r="1971" spans="2:21" x14ac:dyDescent="0.25">
      <c r="B1971" s="90">
        <v>1464</v>
      </c>
      <c r="C1971" s="91">
        <v>0.28675132114333457</v>
      </c>
      <c r="D1971" s="92">
        <v>107</v>
      </c>
      <c r="E1971" s="93">
        <v>0.14388489208633093</v>
      </c>
      <c r="G1971" s="5"/>
      <c r="H1971" s="5"/>
      <c r="L1971" s="7"/>
      <c r="M1971" s="7"/>
      <c r="O1971" s="6"/>
      <c r="P1971" s="6"/>
      <c r="T1971" s="5"/>
      <c r="U1971" s="5"/>
    </row>
    <row r="1972" spans="2:21" x14ac:dyDescent="0.25">
      <c r="B1972" s="90">
        <v>106</v>
      </c>
      <c r="C1972" s="91">
        <v>0.29686252456315065</v>
      </c>
      <c r="D1972" s="92">
        <v>107</v>
      </c>
      <c r="E1972" s="93">
        <v>0.53956834532374098</v>
      </c>
      <c r="G1972" s="5"/>
      <c r="H1972" s="5"/>
      <c r="L1972" s="7"/>
      <c r="M1972" s="7"/>
      <c r="O1972" s="6"/>
      <c r="P1972" s="6"/>
      <c r="T1972" s="5"/>
      <c r="U1972" s="5"/>
    </row>
    <row r="1973" spans="2:21" x14ac:dyDescent="0.25">
      <c r="B1973" s="90">
        <v>1423</v>
      </c>
      <c r="C1973" s="91">
        <v>0.3171525621014234</v>
      </c>
      <c r="D1973" s="92">
        <v>107</v>
      </c>
      <c r="E1973" s="93">
        <v>0.14388489208633093</v>
      </c>
      <c r="G1973" s="5"/>
      <c r="H1973" s="5"/>
      <c r="L1973" s="7"/>
      <c r="M1973" s="7"/>
      <c r="O1973" s="6"/>
      <c r="P1973" s="6"/>
      <c r="T1973" s="5"/>
      <c r="U1973" s="5"/>
    </row>
    <row r="1974" spans="2:21" x14ac:dyDescent="0.25">
      <c r="B1974" s="90">
        <v>1463</v>
      </c>
      <c r="C1974" s="91">
        <v>0.31726294322901061</v>
      </c>
      <c r="D1974" s="92">
        <v>107</v>
      </c>
      <c r="E1974" s="93">
        <v>0.1366906474820144</v>
      </c>
      <c r="G1974" s="5"/>
      <c r="H1974" s="5"/>
      <c r="L1974" s="7"/>
      <c r="M1974" s="7"/>
      <c r="O1974" s="6"/>
      <c r="P1974" s="6"/>
      <c r="T1974" s="5"/>
      <c r="U1974" s="5"/>
    </row>
    <row r="1975" spans="2:21" x14ac:dyDescent="0.25">
      <c r="B1975" s="90">
        <v>17</v>
      </c>
      <c r="C1975" s="91">
        <v>0.31784941907175335</v>
      </c>
      <c r="D1975" s="92">
        <v>107</v>
      </c>
      <c r="E1975" s="93">
        <v>0.12949640287769784</v>
      </c>
      <c r="G1975" s="5"/>
      <c r="H1975" s="5"/>
      <c r="L1975" s="7"/>
      <c r="M1975" s="7"/>
      <c r="O1975" s="6"/>
      <c r="P1975" s="6"/>
      <c r="T1975" s="5"/>
      <c r="U1975" s="5"/>
    </row>
    <row r="1976" spans="2:21" x14ac:dyDescent="0.25">
      <c r="B1976" s="90">
        <v>2010</v>
      </c>
      <c r="C1976" s="91">
        <v>0.31784941907175335</v>
      </c>
      <c r="D1976" s="92">
        <v>107</v>
      </c>
      <c r="E1976" s="93">
        <v>0.12949640287769784</v>
      </c>
      <c r="G1976" s="5"/>
      <c r="H1976" s="5"/>
      <c r="L1976" s="7"/>
      <c r="M1976" s="7"/>
      <c r="O1976" s="6"/>
      <c r="P1976" s="6"/>
      <c r="T1976" s="5"/>
      <c r="U1976" s="5"/>
    </row>
    <row r="1977" spans="2:21" x14ac:dyDescent="0.25">
      <c r="B1977" s="90">
        <v>16</v>
      </c>
      <c r="C1977" s="91">
        <v>0.35204966570390428</v>
      </c>
      <c r="D1977" s="92">
        <v>107</v>
      </c>
      <c r="E1977" s="93">
        <v>0.14388489208633093</v>
      </c>
      <c r="G1977" s="5"/>
      <c r="H1977" s="5"/>
      <c r="L1977" s="7"/>
      <c r="M1977" s="7"/>
      <c r="O1977" s="6"/>
      <c r="P1977" s="6"/>
      <c r="T1977" s="5"/>
      <c r="U1977" s="5"/>
    </row>
    <row r="1978" spans="2:21" x14ac:dyDescent="0.25">
      <c r="B1978" s="90">
        <v>2026</v>
      </c>
      <c r="C1978" s="91">
        <v>0.35204966570390428</v>
      </c>
      <c r="D1978" s="92">
        <v>107</v>
      </c>
      <c r="E1978" s="93">
        <v>0.14388489208633093</v>
      </c>
      <c r="G1978" s="5"/>
      <c r="H1978" s="5"/>
      <c r="L1978" s="7"/>
      <c r="M1978" s="7"/>
      <c r="O1978" s="6"/>
      <c r="P1978" s="6"/>
      <c r="T1978" s="5"/>
      <c r="U1978" s="5"/>
    </row>
    <row r="1979" spans="2:21" x14ac:dyDescent="0.25">
      <c r="B1979" s="90">
        <v>962</v>
      </c>
      <c r="C1979" s="91">
        <v>0.35784885467307326</v>
      </c>
      <c r="D1979" s="92">
        <v>107</v>
      </c>
      <c r="E1979" s="93">
        <v>0.43165467625899279</v>
      </c>
      <c r="G1979" s="5"/>
      <c r="H1979" s="5"/>
      <c r="L1979" s="7"/>
      <c r="M1979" s="7"/>
      <c r="O1979" s="6"/>
      <c r="P1979" s="6"/>
      <c r="T1979" s="5"/>
      <c r="U1979" s="5"/>
    </row>
    <row r="1980" spans="2:21" x14ac:dyDescent="0.25">
      <c r="B1980" s="90">
        <v>913</v>
      </c>
      <c r="C1980" s="91">
        <v>0.36104949435939993</v>
      </c>
      <c r="D1980" s="92">
        <v>107</v>
      </c>
      <c r="E1980" s="93">
        <v>0.50359712230215825</v>
      </c>
      <c r="G1980" s="5"/>
      <c r="H1980" s="5"/>
      <c r="L1980" s="7"/>
      <c r="M1980" s="7"/>
      <c r="O1980" s="6"/>
      <c r="P1980" s="6"/>
      <c r="T1980" s="5"/>
      <c r="U1980" s="5"/>
    </row>
    <row r="1981" spans="2:21" x14ac:dyDescent="0.25">
      <c r="B1981" s="90">
        <v>963</v>
      </c>
      <c r="C1981" s="91">
        <v>0.37435502854553637</v>
      </c>
      <c r="D1981" s="92">
        <v>107</v>
      </c>
      <c r="E1981" s="93">
        <v>0.50359712230215825</v>
      </c>
      <c r="G1981" s="5"/>
      <c r="H1981" s="5"/>
      <c r="L1981" s="7"/>
      <c r="M1981" s="7"/>
      <c r="O1981" s="6"/>
      <c r="P1981" s="6"/>
      <c r="T1981" s="5"/>
      <c r="U1981" s="5"/>
    </row>
    <row r="1982" spans="2:21" x14ac:dyDescent="0.25">
      <c r="B1982" s="90">
        <v>1012</v>
      </c>
      <c r="C1982" s="91">
        <v>0.38400186248365453</v>
      </c>
      <c r="D1982" s="92">
        <v>107</v>
      </c>
      <c r="E1982" s="93">
        <v>0.35251798561151076</v>
      </c>
      <c r="G1982" s="5"/>
      <c r="H1982" s="5"/>
      <c r="L1982" s="7"/>
      <c r="M1982" s="7"/>
      <c r="O1982" s="6"/>
      <c r="P1982" s="6"/>
      <c r="T1982" s="5"/>
      <c r="U1982" s="5"/>
    </row>
    <row r="1983" spans="2:21" x14ac:dyDescent="0.25">
      <c r="B1983" s="90">
        <v>479</v>
      </c>
      <c r="C1983" s="91">
        <v>0.4328021850766568</v>
      </c>
      <c r="D1983" s="92">
        <v>107</v>
      </c>
      <c r="E1983" s="93">
        <v>0.42446043165467628</v>
      </c>
      <c r="G1983" s="5"/>
      <c r="H1983" s="5"/>
      <c r="L1983" s="7"/>
      <c r="M1983" s="7"/>
      <c r="O1983" s="6"/>
      <c r="P1983" s="6"/>
      <c r="T1983" s="5"/>
      <c r="U1983" s="5"/>
    </row>
    <row r="1984" spans="2:21" x14ac:dyDescent="0.25">
      <c r="B1984" s="90">
        <v>593</v>
      </c>
      <c r="C1984" s="91">
        <v>0.46596483937656763</v>
      </c>
      <c r="D1984" s="92">
        <v>107</v>
      </c>
      <c r="E1984" s="93">
        <v>0.20143884892086331</v>
      </c>
      <c r="G1984" s="5"/>
      <c r="H1984" s="5"/>
      <c r="L1984" s="7"/>
      <c r="M1984" s="7"/>
      <c r="O1984" s="6"/>
      <c r="P1984" s="6"/>
      <c r="T1984" s="5"/>
      <c r="U1984" s="5"/>
    </row>
    <row r="1985" spans="2:21" x14ac:dyDescent="0.25">
      <c r="B1985" s="90">
        <v>2089</v>
      </c>
      <c r="C1985" s="91">
        <v>0.6211571215665187</v>
      </c>
      <c r="D1985" s="92">
        <v>107</v>
      </c>
      <c r="E1985" s="93">
        <v>8.6330935251798566E-2</v>
      </c>
      <c r="G1985" s="5"/>
      <c r="H1985" s="5"/>
      <c r="L1985" s="7"/>
      <c r="M1985" s="7"/>
      <c r="O1985" s="6"/>
      <c r="P1985" s="6"/>
      <c r="T1985" s="5"/>
      <c r="U1985" s="5"/>
    </row>
    <row r="1986" spans="2:21" x14ac:dyDescent="0.25">
      <c r="B1986" s="90">
        <v>169</v>
      </c>
      <c r="C1986" s="91">
        <v>0.26025822074779337</v>
      </c>
      <c r="D1986" s="92">
        <v>109</v>
      </c>
      <c r="E1986" s="93">
        <v>0.49640287769784175</v>
      </c>
      <c r="G1986" s="5"/>
      <c r="H1986" s="5"/>
      <c r="L1986" s="7"/>
      <c r="M1986" s="7"/>
      <c r="O1986" s="6"/>
      <c r="P1986" s="6"/>
      <c r="T1986" s="5"/>
      <c r="U1986" s="5"/>
    </row>
    <row r="1987" spans="2:21" x14ac:dyDescent="0.25">
      <c r="B1987" s="90">
        <v>170</v>
      </c>
      <c r="C1987" s="91">
        <v>0.28618846608541015</v>
      </c>
      <c r="D1987" s="92">
        <v>109</v>
      </c>
      <c r="E1987" s="93">
        <v>0.48201438848920863</v>
      </c>
      <c r="G1987" s="5"/>
      <c r="H1987" s="5"/>
      <c r="L1987" s="7"/>
      <c r="M1987" s="7"/>
      <c r="O1987" s="6"/>
      <c r="P1987" s="6"/>
      <c r="T1987" s="5"/>
      <c r="U1987" s="5"/>
    </row>
    <row r="1988" spans="2:21" x14ac:dyDescent="0.25">
      <c r="B1988" s="90">
        <v>172</v>
      </c>
      <c r="C1988" s="91">
        <v>0.29182398781510199</v>
      </c>
      <c r="D1988" s="92">
        <v>109</v>
      </c>
      <c r="E1988" s="93">
        <v>0.45323741007194246</v>
      </c>
      <c r="G1988" s="5"/>
      <c r="H1988" s="5"/>
      <c r="L1988" s="7"/>
      <c r="M1988" s="7"/>
      <c r="O1988" s="6"/>
      <c r="P1988" s="6"/>
      <c r="T1988" s="5"/>
      <c r="U1988" s="5"/>
    </row>
    <row r="1989" spans="2:21" x14ac:dyDescent="0.25">
      <c r="B1989" s="90">
        <v>1765</v>
      </c>
      <c r="C1989" s="91">
        <v>0.39954149864188337</v>
      </c>
      <c r="D1989" s="92">
        <v>109</v>
      </c>
      <c r="E1989" s="93">
        <v>0.12949640287769784</v>
      </c>
      <c r="G1989" s="5"/>
      <c r="H1989" s="5"/>
      <c r="L1989" s="7"/>
      <c r="M1989" s="7"/>
      <c r="O1989" s="6"/>
      <c r="P1989" s="6"/>
      <c r="T1989" s="5"/>
      <c r="U1989" s="5"/>
    </row>
    <row r="1990" spans="2:21" x14ac:dyDescent="0.25">
      <c r="B1990" s="90">
        <v>1062</v>
      </c>
      <c r="C1990" s="91">
        <v>0.51491026570275467</v>
      </c>
      <c r="D1990" s="92">
        <v>109</v>
      </c>
      <c r="E1990" s="93">
        <v>0.17266187050359713</v>
      </c>
      <c r="G1990" s="5"/>
      <c r="H1990" s="5"/>
      <c r="L1990" s="7"/>
      <c r="M1990" s="7"/>
      <c r="O1990" s="6"/>
      <c r="P1990" s="6"/>
      <c r="T1990" s="5"/>
      <c r="U1990" s="5"/>
    </row>
    <row r="1991" spans="2:21" x14ac:dyDescent="0.25">
      <c r="B1991" s="90">
        <v>25</v>
      </c>
      <c r="C1991" s="91">
        <v>4.7479634782754632E-2</v>
      </c>
      <c r="D1991" s="92">
        <v>110</v>
      </c>
      <c r="E1991" s="93">
        <v>0.46043165467625902</v>
      </c>
      <c r="G1991" s="5"/>
      <c r="H1991" s="5"/>
      <c r="L1991" s="7"/>
      <c r="M1991" s="7"/>
      <c r="O1991" s="6"/>
      <c r="P1991" s="6"/>
      <c r="T1991" s="5"/>
      <c r="U1991" s="5"/>
    </row>
    <row r="1992" spans="2:21" x14ac:dyDescent="0.25">
      <c r="B1992" s="90">
        <v>1846</v>
      </c>
      <c r="C1992" s="91">
        <v>4.7479634782754632E-2</v>
      </c>
      <c r="D1992" s="92">
        <v>110</v>
      </c>
      <c r="E1992" s="93">
        <v>0.46043165467625902</v>
      </c>
      <c r="G1992" s="5"/>
      <c r="H1992" s="5"/>
      <c r="L1992" s="7"/>
      <c r="M1992" s="7"/>
      <c r="O1992" s="6"/>
      <c r="P1992" s="6"/>
      <c r="T1992" s="5"/>
      <c r="U1992" s="5"/>
    </row>
    <row r="1993" spans="2:21" x14ac:dyDescent="0.25">
      <c r="B1993" s="90">
        <v>1040</v>
      </c>
      <c r="C1993" s="91">
        <v>5.4757676931241561E-2</v>
      </c>
      <c r="D1993" s="92">
        <v>110</v>
      </c>
      <c r="E1993" s="93">
        <v>0.41726618705035973</v>
      </c>
      <c r="G1993" s="5"/>
      <c r="H1993" s="5"/>
      <c r="L1993" s="7"/>
      <c r="M1993" s="7"/>
      <c r="O1993" s="6"/>
      <c r="P1993" s="6"/>
      <c r="T1993" s="5"/>
      <c r="U1993" s="5"/>
    </row>
    <row r="1994" spans="2:21" x14ac:dyDescent="0.25">
      <c r="B1994" s="90">
        <v>24</v>
      </c>
      <c r="C1994" s="91">
        <v>6.1162031685985885E-2</v>
      </c>
      <c r="D1994" s="92">
        <v>110</v>
      </c>
      <c r="E1994" s="93">
        <v>0.47482014388489208</v>
      </c>
      <c r="G1994" s="5"/>
      <c r="H1994" s="5"/>
      <c r="L1994" s="7"/>
      <c r="M1994" s="7"/>
      <c r="O1994" s="6"/>
      <c r="P1994" s="6"/>
      <c r="T1994" s="5"/>
      <c r="U1994" s="5"/>
    </row>
    <row r="1995" spans="2:21" x14ac:dyDescent="0.25">
      <c r="B1995" s="90">
        <v>1870</v>
      </c>
      <c r="C1995" s="91">
        <v>6.1162031685985885E-2</v>
      </c>
      <c r="D1995" s="92">
        <v>110</v>
      </c>
      <c r="E1995" s="93">
        <v>0.47482014388489208</v>
      </c>
      <c r="G1995" s="5"/>
      <c r="H1995" s="5"/>
      <c r="L1995" s="7"/>
      <c r="M1995" s="7"/>
      <c r="O1995" s="6"/>
      <c r="P1995" s="6"/>
      <c r="T1995" s="5"/>
      <c r="U1995" s="5"/>
    </row>
    <row r="1996" spans="2:21" x14ac:dyDescent="0.25">
      <c r="B1996" s="90">
        <v>1265</v>
      </c>
      <c r="C1996" s="91">
        <v>0.17362499736709147</v>
      </c>
      <c r="D1996" s="92">
        <v>110</v>
      </c>
      <c r="E1996" s="93">
        <v>0.23021582733812951</v>
      </c>
      <c r="G1996" s="5"/>
      <c r="H1996" s="5"/>
      <c r="L1996" s="7"/>
      <c r="M1996" s="7"/>
      <c r="O1996" s="6"/>
      <c r="P1996" s="6"/>
      <c r="T1996" s="5"/>
      <c r="U1996" s="5"/>
    </row>
    <row r="1997" spans="2:21" x14ac:dyDescent="0.25">
      <c r="B1997" s="90">
        <v>1025</v>
      </c>
      <c r="C1997" s="91">
        <v>0.19758046575808197</v>
      </c>
      <c r="D1997" s="92">
        <v>110</v>
      </c>
      <c r="E1997" s="93">
        <v>0.58273381294964033</v>
      </c>
      <c r="G1997" s="5"/>
      <c r="H1997" s="5"/>
      <c r="L1997" s="7"/>
      <c r="M1997" s="7"/>
      <c r="O1997" s="6"/>
      <c r="P1997" s="6"/>
      <c r="T1997" s="5"/>
      <c r="U1997" s="5"/>
    </row>
    <row r="1998" spans="2:21" x14ac:dyDescent="0.25">
      <c r="B1998" s="90">
        <v>1639</v>
      </c>
      <c r="C1998" s="91">
        <v>0.55167325048588534</v>
      </c>
      <c r="D1998" s="92">
        <v>110</v>
      </c>
      <c r="E1998" s="93">
        <v>7.1942446043165464E-2</v>
      </c>
      <c r="G1998" s="5"/>
      <c r="H1998" s="5"/>
      <c r="L1998" s="7"/>
      <c r="M1998" s="7"/>
      <c r="O1998" s="6"/>
      <c r="P1998" s="6"/>
      <c r="T1998" s="5"/>
      <c r="U1998" s="5"/>
    </row>
    <row r="1999" spans="2:21" x14ac:dyDescent="0.25">
      <c r="B1999" s="90">
        <v>152</v>
      </c>
      <c r="C1999" s="91">
        <v>7.9550541253961882E-2</v>
      </c>
      <c r="D1999" s="92">
        <v>113</v>
      </c>
      <c r="E1999" s="93">
        <v>0.39568345323741005</v>
      </c>
      <c r="G1999" s="5"/>
      <c r="H1999" s="5"/>
      <c r="L1999" s="7"/>
      <c r="M1999" s="7"/>
      <c r="O1999" s="6"/>
      <c r="P1999" s="6"/>
      <c r="T1999" s="5"/>
      <c r="U1999" s="5"/>
    </row>
    <row r="2000" spans="2:21" x14ac:dyDescent="0.25">
      <c r="B2000" s="90">
        <v>89</v>
      </c>
      <c r="C2000" s="91">
        <v>0.22490010664554339</v>
      </c>
      <c r="D2000" s="92">
        <v>113</v>
      </c>
      <c r="E2000" s="93">
        <v>0.53956834532374098</v>
      </c>
      <c r="G2000" s="5"/>
      <c r="H2000" s="5"/>
      <c r="L2000" s="7"/>
      <c r="M2000" s="7"/>
      <c r="O2000" s="6"/>
      <c r="P2000" s="6"/>
      <c r="T2000" s="5"/>
      <c r="U2000" s="5"/>
    </row>
    <row r="2001" spans="2:21" x14ac:dyDescent="0.25">
      <c r="B2001" s="90">
        <v>37</v>
      </c>
      <c r="C2001" s="91">
        <v>0.35737002009968877</v>
      </c>
      <c r="D2001" s="92">
        <v>113</v>
      </c>
      <c r="E2001" s="93">
        <v>0.2805755395683453</v>
      </c>
      <c r="G2001" s="5"/>
      <c r="H2001" s="5"/>
      <c r="L2001" s="7"/>
      <c r="M2001" s="7"/>
      <c r="O2001" s="6"/>
      <c r="P2001" s="6"/>
      <c r="T2001" s="5"/>
      <c r="U2001" s="5"/>
    </row>
    <row r="2002" spans="2:21" x14ac:dyDescent="0.25">
      <c r="B2002" s="90">
        <v>1480</v>
      </c>
      <c r="C2002" s="91">
        <v>0.35737002009968877</v>
      </c>
      <c r="D2002" s="92">
        <v>113</v>
      </c>
      <c r="E2002" s="93">
        <v>0.2805755395683453</v>
      </c>
      <c r="G2002" s="5"/>
      <c r="H2002" s="5"/>
      <c r="L2002" s="7"/>
      <c r="M2002" s="7"/>
      <c r="O2002" s="6"/>
      <c r="P2002" s="6"/>
      <c r="T2002" s="5"/>
      <c r="U2002" s="5"/>
    </row>
    <row r="2003" spans="2:21" x14ac:dyDescent="0.25">
      <c r="B2003" s="90">
        <v>36</v>
      </c>
      <c r="C2003" s="91">
        <v>0.37383908701188351</v>
      </c>
      <c r="D2003" s="92">
        <v>113</v>
      </c>
      <c r="E2003" s="93">
        <v>0.2733812949640288</v>
      </c>
      <c r="G2003" s="5"/>
      <c r="H2003" s="5"/>
      <c r="L2003" s="7"/>
      <c r="M2003" s="7"/>
      <c r="O2003" s="6"/>
      <c r="P2003" s="6"/>
      <c r="T2003" s="5"/>
      <c r="U2003" s="5"/>
    </row>
    <row r="2004" spans="2:21" x14ac:dyDescent="0.25">
      <c r="B2004" s="90">
        <v>1516</v>
      </c>
      <c r="C2004" s="91">
        <v>0.37383908701188351</v>
      </c>
      <c r="D2004" s="92">
        <v>113</v>
      </c>
      <c r="E2004" s="93">
        <v>0.2733812949640288</v>
      </c>
      <c r="G2004" s="5"/>
      <c r="H2004" s="5"/>
      <c r="L2004" s="7"/>
      <c r="M2004" s="7"/>
      <c r="O2004" s="6"/>
      <c r="P2004" s="6"/>
      <c r="T2004" s="5"/>
      <c r="U2004" s="5"/>
    </row>
    <row r="2005" spans="2:21" x14ac:dyDescent="0.25">
      <c r="B2005" s="90">
        <v>35</v>
      </c>
      <c r="C2005" s="91">
        <v>0.38073581424724079</v>
      </c>
      <c r="D2005" s="92">
        <v>113</v>
      </c>
      <c r="E2005" s="93">
        <v>0.25179856115107913</v>
      </c>
      <c r="G2005" s="5"/>
      <c r="H2005" s="5"/>
      <c r="L2005" s="7"/>
      <c r="M2005" s="7"/>
      <c r="O2005" s="6"/>
      <c r="P2005" s="6"/>
      <c r="T2005" s="5"/>
      <c r="U2005" s="5"/>
    </row>
    <row r="2006" spans="2:21" x14ac:dyDescent="0.25">
      <c r="B2006" s="90">
        <v>1551</v>
      </c>
      <c r="C2006" s="91">
        <v>0.38073581424724079</v>
      </c>
      <c r="D2006" s="92">
        <v>113</v>
      </c>
      <c r="E2006" s="93">
        <v>0.25179856115107913</v>
      </c>
      <c r="G2006" s="5"/>
      <c r="H2006" s="5"/>
      <c r="L2006" s="7"/>
      <c r="M2006" s="7"/>
      <c r="O2006" s="6"/>
      <c r="P2006" s="6"/>
      <c r="T2006" s="5"/>
      <c r="U2006" s="5"/>
    </row>
    <row r="2007" spans="2:21" x14ac:dyDescent="0.25">
      <c r="B2007" s="90">
        <v>110</v>
      </c>
      <c r="C2007" s="91">
        <v>0.38986411973183988</v>
      </c>
      <c r="D2007" s="92">
        <v>113</v>
      </c>
      <c r="E2007" s="93">
        <v>0.46043165467625902</v>
      </c>
      <c r="G2007" s="5"/>
      <c r="H2007" s="5"/>
      <c r="L2007" s="7"/>
      <c r="M2007" s="7"/>
      <c r="O2007" s="6"/>
      <c r="P2007" s="6"/>
      <c r="T2007" s="5"/>
      <c r="U2007" s="5"/>
    </row>
    <row r="2008" spans="2:21" x14ac:dyDescent="0.25">
      <c r="B2008" s="90">
        <v>109</v>
      </c>
      <c r="C2008" s="91">
        <v>0.41456847141846531</v>
      </c>
      <c r="D2008" s="92">
        <v>113</v>
      </c>
      <c r="E2008" s="93">
        <v>0.42446043165467628</v>
      </c>
      <c r="G2008" s="5"/>
      <c r="H2008" s="5"/>
      <c r="L2008" s="7"/>
      <c r="M2008" s="7"/>
      <c r="O2008" s="6"/>
      <c r="P2008" s="6"/>
      <c r="T2008" s="5"/>
      <c r="U2008" s="5"/>
    </row>
    <row r="2009" spans="2:21" x14ac:dyDescent="0.25">
      <c r="B2009" s="90">
        <v>1477</v>
      </c>
      <c r="C2009" s="91">
        <v>0.18129976197501896</v>
      </c>
      <c r="D2009" s="92">
        <v>114</v>
      </c>
      <c r="E2009" s="93">
        <v>0.5539568345323741</v>
      </c>
      <c r="G2009" s="5"/>
      <c r="H2009" s="5"/>
      <c r="L2009" s="7"/>
      <c r="M2009" s="7"/>
      <c r="O2009" s="6"/>
      <c r="P2009" s="6"/>
      <c r="T2009" s="5"/>
      <c r="U2009" s="5"/>
    </row>
    <row r="2010" spans="2:21" x14ac:dyDescent="0.25">
      <c r="B2010" s="90">
        <v>39</v>
      </c>
      <c r="C2010" s="91">
        <v>0.30086409221103427</v>
      </c>
      <c r="D2010" s="92">
        <v>115</v>
      </c>
      <c r="E2010" s="93">
        <v>0.4460431654676259</v>
      </c>
      <c r="G2010" s="5"/>
      <c r="H2010" s="5"/>
      <c r="L2010" s="7"/>
      <c r="M2010" s="7"/>
      <c r="O2010" s="6"/>
      <c r="P2010" s="6"/>
      <c r="T2010" s="5"/>
      <c r="U2010" s="5"/>
    </row>
    <row r="2011" spans="2:21" x14ac:dyDescent="0.25">
      <c r="B2011" s="90">
        <v>1405</v>
      </c>
      <c r="C2011" s="91">
        <v>0.30086409221103427</v>
      </c>
      <c r="D2011" s="92">
        <v>115</v>
      </c>
      <c r="E2011" s="93">
        <v>0.4460431654676259</v>
      </c>
      <c r="G2011" s="5"/>
      <c r="H2011" s="5"/>
      <c r="L2011" s="7"/>
      <c r="M2011" s="7"/>
      <c r="O2011" s="6"/>
      <c r="P2011" s="6"/>
      <c r="T2011" s="5"/>
      <c r="U2011" s="5"/>
    </row>
    <row r="2012" spans="2:21" x14ac:dyDescent="0.25">
      <c r="B2012" s="90">
        <v>40</v>
      </c>
      <c r="C2012" s="91">
        <v>0.30467120271795589</v>
      </c>
      <c r="D2012" s="92">
        <v>115</v>
      </c>
      <c r="E2012" s="93">
        <v>0.45323741007194246</v>
      </c>
      <c r="G2012" s="5"/>
      <c r="H2012" s="5"/>
      <c r="L2012" s="7"/>
      <c r="M2012" s="7"/>
      <c r="O2012" s="6"/>
      <c r="P2012" s="6"/>
      <c r="T2012" s="5"/>
      <c r="U2012" s="5"/>
    </row>
    <row r="2013" spans="2:21" x14ac:dyDescent="0.25">
      <c r="B2013" s="90">
        <v>1366</v>
      </c>
      <c r="C2013" s="91">
        <v>0.30467120271795589</v>
      </c>
      <c r="D2013" s="92">
        <v>115</v>
      </c>
      <c r="E2013" s="93">
        <v>0.45323741007194246</v>
      </c>
      <c r="G2013" s="5"/>
      <c r="H2013" s="5"/>
      <c r="L2013" s="7"/>
      <c r="M2013" s="7"/>
      <c r="O2013" s="6"/>
      <c r="P2013" s="6"/>
      <c r="T2013" s="5"/>
      <c r="U2013" s="5"/>
    </row>
    <row r="2014" spans="2:21" x14ac:dyDescent="0.25">
      <c r="B2014" s="90">
        <v>42</v>
      </c>
      <c r="C2014" s="91">
        <v>0.30663495103357674</v>
      </c>
      <c r="D2014" s="92">
        <v>115</v>
      </c>
      <c r="E2014" s="93">
        <v>0.53956834532374098</v>
      </c>
      <c r="G2014" s="5"/>
      <c r="H2014" s="5"/>
      <c r="L2014" s="7"/>
      <c r="M2014" s="7"/>
      <c r="O2014" s="6"/>
      <c r="P2014" s="6"/>
      <c r="T2014" s="5"/>
      <c r="U2014" s="5"/>
    </row>
    <row r="2015" spans="2:21" x14ac:dyDescent="0.25">
      <c r="B2015" s="90">
        <v>1285</v>
      </c>
      <c r="C2015" s="91">
        <v>0.30663495103357674</v>
      </c>
      <c r="D2015" s="92">
        <v>115</v>
      </c>
      <c r="E2015" s="93">
        <v>0.53956834532374098</v>
      </c>
      <c r="G2015" s="5"/>
      <c r="H2015" s="5"/>
      <c r="L2015" s="7"/>
      <c r="M2015" s="7"/>
      <c r="O2015" s="6"/>
      <c r="P2015" s="6"/>
      <c r="T2015" s="5"/>
      <c r="U2015" s="5"/>
    </row>
    <row r="2016" spans="2:21" x14ac:dyDescent="0.25">
      <c r="B2016" s="90">
        <v>43</v>
      </c>
      <c r="C2016" s="91">
        <v>0.31219344947193883</v>
      </c>
      <c r="D2016" s="92">
        <v>115</v>
      </c>
      <c r="E2016" s="93">
        <v>0.49640287769784175</v>
      </c>
      <c r="G2016" s="5"/>
      <c r="H2016" s="5"/>
      <c r="L2016" s="7"/>
      <c r="M2016" s="7"/>
      <c r="O2016" s="6"/>
      <c r="P2016" s="6"/>
      <c r="T2016" s="5"/>
      <c r="U2016" s="5"/>
    </row>
    <row r="2017" spans="2:21" x14ac:dyDescent="0.25">
      <c r="B2017" s="90">
        <v>1243</v>
      </c>
      <c r="C2017" s="91">
        <v>0.31219344947193883</v>
      </c>
      <c r="D2017" s="92">
        <v>115</v>
      </c>
      <c r="E2017" s="93">
        <v>0.49640287769784175</v>
      </c>
      <c r="G2017" s="5"/>
      <c r="H2017" s="5"/>
      <c r="L2017" s="7"/>
      <c r="M2017" s="7"/>
      <c r="O2017" s="6"/>
      <c r="P2017" s="6"/>
      <c r="T2017" s="5"/>
      <c r="U2017" s="5"/>
    </row>
    <row r="2018" spans="2:21" x14ac:dyDescent="0.25">
      <c r="B2018" s="90">
        <v>41</v>
      </c>
      <c r="C2018" s="91">
        <v>0.32929794086922137</v>
      </c>
      <c r="D2018" s="92">
        <v>115</v>
      </c>
      <c r="E2018" s="93">
        <v>0.43165467625899279</v>
      </c>
      <c r="G2018" s="5"/>
      <c r="H2018" s="5"/>
      <c r="L2018" s="7"/>
      <c r="M2018" s="7"/>
      <c r="O2018" s="6"/>
      <c r="P2018" s="6"/>
      <c r="T2018" s="5"/>
      <c r="U2018" s="5"/>
    </row>
    <row r="2019" spans="2:21" x14ac:dyDescent="0.25">
      <c r="B2019" s="90">
        <v>1326</v>
      </c>
      <c r="C2019" s="91">
        <v>0.32929794086922137</v>
      </c>
      <c r="D2019" s="92">
        <v>115</v>
      </c>
      <c r="E2019" s="93">
        <v>0.43165467625899279</v>
      </c>
      <c r="G2019" s="5"/>
      <c r="H2019" s="5"/>
      <c r="L2019" s="7"/>
      <c r="M2019" s="7"/>
      <c r="O2019" s="6"/>
      <c r="P2019" s="6"/>
      <c r="T2019" s="5"/>
      <c r="U2019" s="5"/>
    </row>
    <row r="2020" spans="2:21" x14ac:dyDescent="0.25">
      <c r="B2020" s="90">
        <v>38</v>
      </c>
      <c r="C2020" s="91">
        <v>0.34216015413648249</v>
      </c>
      <c r="D2020" s="92">
        <v>115</v>
      </c>
      <c r="E2020" s="93">
        <v>0.28776978417266186</v>
      </c>
      <c r="G2020" s="5"/>
      <c r="H2020" s="5"/>
      <c r="L2020" s="7"/>
      <c r="M2020" s="7"/>
      <c r="O2020" s="6"/>
      <c r="P2020" s="6"/>
      <c r="T2020" s="5"/>
      <c r="U2020" s="5"/>
    </row>
    <row r="2021" spans="2:21" x14ac:dyDescent="0.25">
      <c r="B2021" s="90">
        <v>1443</v>
      </c>
      <c r="C2021" s="91">
        <v>0.34216015413648249</v>
      </c>
      <c r="D2021" s="92">
        <v>115</v>
      </c>
      <c r="E2021" s="93">
        <v>0.28776978417266186</v>
      </c>
      <c r="G2021" s="5"/>
      <c r="H2021" s="5"/>
      <c r="L2021" s="7"/>
      <c r="M2021" s="7"/>
      <c r="O2021" s="6"/>
      <c r="P2021" s="6"/>
      <c r="T2021" s="5"/>
      <c r="U2021" s="5"/>
    </row>
    <row r="2022" spans="2:21" x14ac:dyDescent="0.25">
      <c r="B2022" s="90">
        <v>45</v>
      </c>
      <c r="C2022" s="91">
        <v>0.38793905878555313</v>
      </c>
      <c r="D2022" s="92">
        <v>115</v>
      </c>
      <c r="E2022" s="93">
        <v>0.46043165467625902</v>
      </c>
      <c r="G2022" s="5"/>
      <c r="H2022" s="5"/>
      <c r="L2022" s="7"/>
      <c r="M2022" s="7"/>
      <c r="O2022" s="6"/>
      <c r="P2022" s="6"/>
      <c r="T2022" s="5"/>
      <c r="U2022" s="5"/>
    </row>
    <row r="2023" spans="2:21" x14ac:dyDescent="0.25">
      <c r="B2023" s="90">
        <v>1156</v>
      </c>
      <c r="C2023" s="91">
        <v>0.38793905878555313</v>
      </c>
      <c r="D2023" s="92">
        <v>115</v>
      </c>
      <c r="E2023" s="93">
        <v>0.46043165467625902</v>
      </c>
      <c r="G2023" s="5"/>
      <c r="H2023" s="5"/>
      <c r="L2023" s="7"/>
      <c r="M2023" s="7"/>
      <c r="O2023" s="6"/>
      <c r="P2023" s="6"/>
      <c r="T2023" s="5"/>
      <c r="U2023" s="5"/>
    </row>
    <row r="2024" spans="2:21" x14ac:dyDescent="0.25">
      <c r="B2024" s="90">
        <v>44</v>
      </c>
      <c r="C2024" s="91">
        <v>0.41184851404968881</v>
      </c>
      <c r="D2024" s="92">
        <v>115</v>
      </c>
      <c r="E2024" s="93">
        <v>0.45323741007194246</v>
      </c>
      <c r="G2024" s="5"/>
      <c r="H2024" s="5"/>
      <c r="L2024" s="7"/>
      <c r="M2024" s="7"/>
      <c r="O2024" s="6"/>
      <c r="P2024" s="6"/>
      <c r="T2024" s="5"/>
      <c r="U2024" s="5"/>
    </row>
    <row r="2025" spans="2:21" x14ac:dyDescent="0.25">
      <c r="B2025" s="90">
        <v>1200</v>
      </c>
      <c r="C2025" s="91">
        <v>0.41184851404968881</v>
      </c>
      <c r="D2025" s="92">
        <v>115</v>
      </c>
      <c r="E2025" s="93">
        <v>0.45323741007194246</v>
      </c>
      <c r="G2025" s="5"/>
      <c r="H2025" s="5"/>
      <c r="L2025" s="7"/>
      <c r="M2025" s="7"/>
      <c r="O2025" s="6"/>
      <c r="P2025" s="6"/>
      <c r="T2025" s="5"/>
      <c r="U2025" s="5"/>
    </row>
    <row r="2026" spans="2:21" x14ac:dyDescent="0.25">
      <c r="B2026" s="90">
        <v>500</v>
      </c>
      <c r="C2026" s="91">
        <v>0.12297771848228622</v>
      </c>
      <c r="D2026" s="92">
        <v>116</v>
      </c>
      <c r="E2026" s="93">
        <v>0.43165467625899279</v>
      </c>
      <c r="G2026" s="5"/>
      <c r="H2026" s="5"/>
      <c r="L2026" s="7"/>
      <c r="M2026" s="7"/>
      <c r="O2026" s="6"/>
      <c r="P2026" s="6"/>
      <c r="T2026" s="5"/>
      <c r="U2026" s="5"/>
    </row>
    <row r="2027" spans="2:21" x14ac:dyDescent="0.25">
      <c r="B2027" s="90">
        <v>553</v>
      </c>
      <c r="C2027" s="91">
        <v>0.26900279826064977</v>
      </c>
      <c r="D2027" s="92">
        <v>116</v>
      </c>
      <c r="E2027" s="93">
        <v>0.48201438848920863</v>
      </c>
      <c r="G2027" s="5"/>
      <c r="H2027" s="5"/>
      <c r="L2027" s="7"/>
      <c r="M2027" s="7"/>
      <c r="O2027" s="6"/>
      <c r="P2027" s="6"/>
      <c r="T2027" s="5"/>
      <c r="U2027" s="5"/>
    </row>
    <row r="2028" spans="2:21" x14ac:dyDescent="0.25">
      <c r="B2028" s="90">
        <v>438</v>
      </c>
      <c r="C2028" s="91">
        <v>0.2803393508455303</v>
      </c>
      <c r="D2028" s="92">
        <v>116</v>
      </c>
      <c r="E2028" s="93">
        <v>0.48201438848920863</v>
      </c>
      <c r="G2028" s="5"/>
      <c r="H2028" s="5"/>
      <c r="L2028" s="7"/>
      <c r="M2028" s="7"/>
      <c r="O2028" s="6"/>
      <c r="P2028" s="6"/>
      <c r="T2028" s="5"/>
      <c r="U2028" s="5"/>
    </row>
    <row r="2029" spans="2:21" x14ac:dyDescent="0.25">
      <c r="B2029" s="90">
        <v>582</v>
      </c>
      <c r="C2029" s="91">
        <v>0.31677473932934541</v>
      </c>
      <c r="D2029" s="92">
        <v>116</v>
      </c>
      <c r="E2029" s="93">
        <v>0.34532374100719426</v>
      </c>
      <c r="G2029" s="5"/>
      <c r="H2029" s="5"/>
      <c r="L2029" s="7"/>
      <c r="M2029" s="7"/>
      <c r="O2029" s="6"/>
      <c r="P2029" s="6"/>
      <c r="T2029" s="5"/>
      <c r="U2029" s="5"/>
    </row>
    <row r="2030" spans="2:21" x14ac:dyDescent="0.25">
      <c r="B2030" s="90">
        <v>1793</v>
      </c>
      <c r="C2030" s="91">
        <v>0.46410649392339909</v>
      </c>
      <c r="D2030" s="92">
        <v>116</v>
      </c>
      <c r="E2030" s="93">
        <v>8.6330935251798566E-2</v>
      </c>
      <c r="G2030" s="5"/>
      <c r="H2030" s="5"/>
      <c r="L2030" s="7"/>
      <c r="M2030" s="7"/>
      <c r="O2030" s="6"/>
      <c r="P2030" s="6"/>
      <c r="T2030" s="5"/>
      <c r="U2030" s="5"/>
    </row>
    <row r="2031" spans="2:21" x14ac:dyDescent="0.25">
      <c r="B2031" s="90">
        <v>394</v>
      </c>
      <c r="C2031" s="91">
        <v>6.1982595979326094E-2</v>
      </c>
      <c r="D2031" s="92">
        <v>117</v>
      </c>
      <c r="E2031" s="93">
        <v>0.39568345323741005</v>
      </c>
      <c r="G2031" s="5"/>
      <c r="H2031" s="5"/>
      <c r="L2031" s="7"/>
      <c r="M2031" s="7"/>
      <c r="O2031" s="6"/>
      <c r="P2031" s="6"/>
      <c r="T2031" s="5"/>
      <c r="U2031" s="5"/>
    </row>
    <row r="2032" spans="2:21" x14ac:dyDescent="0.25">
      <c r="B2032" s="90">
        <v>393</v>
      </c>
      <c r="C2032" s="91">
        <v>6.9711719986651821E-2</v>
      </c>
      <c r="D2032" s="92">
        <v>117</v>
      </c>
      <c r="E2032" s="93">
        <v>0.39568345323741005</v>
      </c>
      <c r="G2032" s="5"/>
      <c r="H2032" s="5"/>
      <c r="L2032" s="7"/>
      <c r="M2032" s="7"/>
      <c r="O2032" s="6"/>
      <c r="P2032" s="6"/>
      <c r="T2032" s="5"/>
      <c r="U2032" s="5"/>
    </row>
    <row r="2033" spans="2:21" x14ac:dyDescent="0.25">
      <c r="B2033" s="90">
        <v>389</v>
      </c>
      <c r="C2033" s="91">
        <v>0.1099921549425249</v>
      </c>
      <c r="D2033" s="92">
        <v>117</v>
      </c>
      <c r="E2033" s="93">
        <v>0.38129496402877699</v>
      </c>
      <c r="G2033" s="5"/>
      <c r="H2033" s="5"/>
      <c r="L2033" s="7"/>
      <c r="M2033" s="7"/>
      <c r="O2033" s="6"/>
      <c r="P2033" s="6"/>
      <c r="T2033" s="5"/>
      <c r="U2033" s="5"/>
    </row>
    <row r="2034" spans="2:21" x14ac:dyDescent="0.25">
      <c r="B2034" s="90">
        <v>23</v>
      </c>
      <c r="C2034" s="91">
        <v>0.11365864399989334</v>
      </c>
      <c r="D2034" s="92">
        <v>117</v>
      </c>
      <c r="E2034" s="93">
        <v>0.33093525179856115</v>
      </c>
      <c r="G2034" s="5"/>
      <c r="H2034" s="5"/>
      <c r="L2034" s="7"/>
      <c r="M2034" s="7"/>
      <c r="O2034" s="6"/>
      <c r="P2034" s="6"/>
      <c r="T2034" s="5"/>
      <c r="U2034" s="5"/>
    </row>
    <row r="2035" spans="2:21" x14ac:dyDescent="0.25">
      <c r="B2035" s="90">
        <v>1893</v>
      </c>
      <c r="C2035" s="91">
        <v>0.11365864399989334</v>
      </c>
      <c r="D2035" s="92">
        <v>117</v>
      </c>
      <c r="E2035" s="93">
        <v>0.33093525179856115</v>
      </c>
      <c r="G2035" s="5"/>
      <c r="H2035" s="5"/>
      <c r="L2035" s="7"/>
      <c r="M2035" s="7"/>
      <c r="O2035" s="6"/>
      <c r="P2035" s="6"/>
      <c r="T2035" s="5"/>
      <c r="U2035" s="5"/>
    </row>
    <row r="2036" spans="2:21" x14ac:dyDescent="0.25">
      <c r="B2036" s="90">
        <v>392</v>
      </c>
      <c r="C2036" s="91">
        <v>0.11367439565891857</v>
      </c>
      <c r="D2036" s="92">
        <v>117</v>
      </c>
      <c r="E2036" s="93">
        <v>0.35971223021582732</v>
      </c>
      <c r="G2036" s="5"/>
      <c r="H2036" s="5"/>
      <c r="L2036" s="7"/>
      <c r="M2036" s="7"/>
      <c r="O2036" s="6"/>
      <c r="P2036" s="6"/>
      <c r="T2036" s="5"/>
      <c r="U2036" s="5"/>
    </row>
    <row r="2037" spans="2:21" x14ac:dyDescent="0.25">
      <c r="B2037" s="90">
        <v>1763</v>
      </c>
      <c r="C2037" s="91">
        <v>0.1825492920449685</v>
      </c>
      <c r="D2037" s="92">
        <v>117</v>
      </c>
      <c r="E2037" s="93">
        <v>0.63309352517985606</v>
      </c>
      <c r="G2037" s="5"/>
      <c r="H2037" s="5"/>
      <c r="L2037" s="7"/>
      <c r="M2037" s="7"/>
      <c r="O2037" s="6"/>
      <c r="P2037" s="6"/>
      <c r="T2037" s="5"/>
      <c r="U2037" s="5"/>
    </row>
    <row r="2038" spans="2:21" x14ac:dyDescent="0.25">
      <c r="B2038" s="90">
        <v>1079</v>
      </c>
      <c r="C2038" s="91">
        <v>4.7959213310827975E-2</v>
      </c>
      <c r="D2038" s="92">
        <v>118</v>
      </c>
      <c r="E2038" s="93">
        <v>0.37410071942446044</v>
      </c>
      <c r="G2038" s="5"/>
      <c r="H2038" s="5"/>
      <c r="L2038" s="7"/>
      <c r="M2038" s="7"/>
      <c r="O2038" s="6"/>
      <c r="P2038" s="6"/>
      <c r="T2038" s="5"/>
      <c r="U2038" s="5"/>
    </row>
    <row r="2039" spans="2:21" x14ac:dyDescent="0.25">
      <c r="B2039" s="90">
        <v>1125</v>
      </c>
      <c r="C2039" s="91">
        <v>4.9498221373148632E-2</v>
      </c>
      <c r="D2039" s="92">
        <v>118</v>
      </c>
      <c r="E2039" s="93">
        <v>0.37410071942446044</v>
      </c>
      <c r="G2039" s="5"/>
      <c r="H2039" s="5"/>
      <c r="L2039" s="7"/>
      <c r="M2039" s="7"/>
      <c r="O2039" s="6"/>
      <c r="P2039" s="6"/>
      <c r="T2039" s="5"/>
      <c r="U2039" s="5"/>
    </row>
    <row r="2040" spans="2:21" x14ac:dyDescent="0.25">
      <c r="B2040" s="90">
        <v>1032</v>
      </c>
      <c r="C2040" s="91">
        <v>5.2090708624549675E-2</v>
      </c>
      <c r="D2040" s="92">
        <v>118</v>
      </c>
      <c r="E2040" s="93">
        <v>0.37410071942446044</v>
      </c>
      <c r="G2040" s="5"/>
      <c r="H2040" s="5"/>
      <c r="L2040" s="7"/>
      <c r="M2040" s="7"/>
      <c r="O2040" s="6"/>
      <c r="P2040" s="6"/>
      <c r="T2040" s="5"/>
      <c r="U2040" s="5"/>
    </row>
    <row r="2041" spans="2:21" x14ac:dyDescent="0.25">
      <c r="B2041" s="90">
        <v>1036</v>
      </c>
      <c r="C2041" s="91">
        <v>5.9310688365402875E-2</v>
      </c>
      <c r="D2041" s="92">
        <v>118</v>
      </c>
      <c r="E2041" s="93">
        <v>0.38848920863309355</v>
      </c>
      <c r="G2041" s="5"/>
      <c r="H2041" s="5"/>
      <c r="L2041" s="7"/>
      <c r="M2041" s="7"/>
      <c r="O2041" s="6"/>
      <c r="P2041" s="6"/>
      <c r="T2041" s="5"/>
      <c r="U2041" s="5"/>
    </row>
    <row r="2042" spans="2:21" x14ac:dyDescent="0.25">
      <c r="B2042" s="90">
        <v>1083</v>
      </c>
      <c r="C2042" s="91">
        <v>5.9358638638112304E-2</v>
      </c>
      <c r="D2042" s="92">
        <v>118</v>
      </c>
      <c r="E2042" s="93">
        <v>0.38848920863309355</v>
      </c>
      <c r="G2042" s="5"/>
      <c r="H2042" s="5"/>
      <c r="L2042" s="7"/>
      <c r="M2042" s="7"/>
      <c r="O2042" s="6"/>
      <c r="P2042" s="6"/>
      <c r="T2042" s="5"/>
      <c r="U2042" s="5"/>
    </row>
    <row r="2043" spans="2:21" x14ac:dyDescent="0.25">
      <c r="B2043" s="90">
        <v>624</v>
      </c>
      <c r="C2043" s="91">
        <v>5.9545982477086423E-2</v>
      </c>
      <c r="D2043" s="92">
        <v>118</v>
      </c>
      <c r="E2043" s="93">
        <v>0.38848920863309355</v>
      </c>
      <c r="G2043" s="5"/>
      <c r="H2043" s="5"/>
      <c r="L2043" s="7"/>
      <c r="M2043" s="7"/>
      <c r="O2043" s="6"/>
      <c r="P2043" s="6"/>
      <c r="T2043" s="5"/>
      <c r="U2043" s="5"/>
    </row>
    <row r="2044" spans="2:21" x14ac:dyDescent="0.25">
      <c r="B2044" s="90">
        <v>1177</v>
      </c>
      <c r="C2044" s="91">
        <v>6.0484992317632269E-2</v>
      </c>
      <c r="D2044" s="92">
        <v>118</v>
      </c>
      <c r="E2044" s="93">
        <v>0.34532374100719426</v>
      </c>
      <c r="G2044" s="5"/>
      <c r="H2044" s="5"/>
      <c r="L2044" s="7"/>
      <c r="M2044" s="7"/>
      <c r="O2044" s="6"/>
      <c r="P2044" s="6"/>
      <c r="T2044" s="5"/>
      <c r="U2044" s="5"/>
    </row>
    <row r="2045" spans="2:21" x14ac:dyDescent="0.25">
      <c r="B2045" s="90">
        <v>1176</v>
      </c>
      <c r="C2045" s="91">
        <v>6.1595909452065278E-2</v>
      </c>
      <c r="D2045" s="92">
        <v>118</v>
      </c>
      <c r="E2045" s="93">
        <v>0.33093525179856115</v>
      </c>
      <c r="G2045" s="5"/>
      <c r="H2045" s="5"/>
      <c r="L2045" s="7"/>
      <c r="M2045" s="7"/>
      <c r="O2045" s="6"/>
      <c r="P2045" s="6"/>
      <c r="T2045" s="5"/>
      <c r="U2045" s="5"/>
    </row>
    <row r="2046" spans="2:21" x14ac:dyDescent="0.25">
      <c r="B2046" s="90">
        <v>1035</v>
      </c>
      <c r="C2046" s="91">
        <v>6.4551546783880087E-2</v>
      </c>
      <c r="D2046" s="92">
        <v>118</v>
      </c>
      <c r="E2046" s="93">
        <v>0.39568345323741005</v>
      </c>
      <c r="G2046" s="5"/>
      <c r="H2046" s="5"/>
      <c r="L2046" s="7"/>
      <c r="M2046" s="7"/>
      <c r="O2046" s="6"/>
      <c r="P2046" s="6"/>
      <c r="T2046" s="5"/>
      <c r="U2046" s="5"/>
    </row>
    <row r="2047" spans="2:21" x14ac:dyDescent="0.25">
      <c r="B2047" s="90">
        <v>211</v>
      </c>
      <c r="C2047" s="91">
        <v>6.8097847251210819E-2</v>
      </c>
      <c r="D2047" s="92">
        <v>118</v>
      </c>
      <c r="E2047" s="93">
        <v>0.39568345323741005</v>
      </c>
      <c r="G2047" s="5"/>
      <c r="H2047" s="5"/>
      <c r="L2047" s="7"/>
      <c r="M2047" s="7"/>
      <c r="O2047" s="6"/>
      <c r="P2047" s="6"/>
      <c r="T2047" s="5"/>
      <c r="U2047" s="5"/>
    </row>
    <row r="2048" spans="2:21" x14ac:dyDescent="0.25">
      <c r="B2048" s="90">
        <v>207</v>
      </c>
      <c r="C2048" s="91">
        <v>6.9220967855282756E-2</v>
      </c>
      <c r="D2048" s="92">
        <v>118</v>
      </c>
      <c r="E2048" s="93">
        <v>0.38129496402877699</v>
      </c>
      <c r="G2048" s="5"/>
      <c r="H2048" s="5"/>
      <c r="L2048" s="7"/>
      <c r="M2048" s="7"/>
      <c r="O2048" s="6"/>
      <c r="P2048" s="6"/>
      <c r="T2048" s="5"/>
      <c r="U2048" s="5"/>
    </row>
    <row r="2049" spans="2:21" x14ac:dyDescent="0.25">
      <c r="B2049" s="90">
        <v>1080</v>
      </c>
      <c r="C2049" s="91">
        <v>7.0608260533382872E-2</v>
      </c>
      <c r="D2049" s="92">
        <v>118</v>
      </c>
      <c r="E2049" s="93">
        <v>0.36690647482014388</v>
      </c>
      <c r="G2049" s="5"/>
      <c r="H2049" s="5"/>
      <c r="L2049" s="7"/>
      <c r="M2049" s="7"/>
      <c r="O2049" s="6"/>
      <c r="P2049" s="6"/>
      <c r="T2049" s="5"/>
      <c r="U2049" s="5"/>
    </row>
    <row r="2050" spans="2:21" x14ac:dyDescent="0.25">
      <c r="B2050" s="90">
        <v>1130</v>
      </c>
      <c r="C2050" s="91">
        <v>7.1868993791407654E-2</v>
      </c>
      <c r="D2050" s="92">
        <v>118</v>
      </c>
      <c r="E2050" s="93">
        <v>0.41007194244604317</v>
      </c>
      <c r="G2050" s="5"/>
      <c r="H2050" s="5"/>
      <c r="L2050" s="7"/>
      <c r="M2050" s="7"/>
      <c r="O2050" s="6"/>
      <c r="P2050" s="6"/>
      <c r="T2050" s="5"/>
      <c r="U2050" s="5"/>
    </row>
    <row r="2051" spans="2:21" x14ac:dyDescent="0.25">
      <c r="B2051" s="90">
        <v>625</v>
      </c>
      <c r="C2051" s="91">
        <v>7.3037760146412167E-2</v>
      </c>
      <c r="D2051" s="92">
        <v>118</v>
      </c>
      <c r="E2051" s="93">
        <v>0.41007194244604317</v>
      </c>
      <c r="G2051" s="5"/>
      <c r="H2051" s="5"/>
      <c r="L2051" s="7"/>
      <c r="M2051" s="7"/>
      <c r="O2051" s="6"/>
      <c r="P2051" s="6"/>
      <c r="T2051" s="5"/>
      <c r="U2051" s="5"/>
    </row>
    <row r="2052" spans="2:21" x14ac:dyDescent="0.25">
      <c r="B2052" s="90">
        <v>1126</v>
      </c>
      <c r="C2052" s="91">
        <v>7.3690943526659503E-2</v>
      </c>
      <c r="D2052" s="92">
        <v>118</v>
      </c>
      <c r="E2052" s="93">
        <v>0.36690647482014388</v>
      </c>
      <c r="G2052" s="5"/>
      <c r="H2052" s="5"/>
      <c r="L2052" s="7"/>
      <c r="M2052" s="7"/>
      <c r="O2052" s="6"/>
      <c r="P2052" s="6"/>
      <c r="T2052" s="5"/>
      <c r="U2052" s="5"/>
    </row>
    <row r="2053" spans="2:21" x14ac:dyDescent="0.25">
      <c r="B2053" s="90">
        <v>1084</v>
      </c>
      <c r="C2053" s="91">
        <v>7.462779809536213E-2</v>
      </c>
      <c r="D2053" s="92">
        <v>118</v>
      </c>
      <c r="E2053" s="93">
        <v>0.41007194244604317</v>
      </c>
      <c r="G2053" s="5"/>
      <c r="H2053" s="5"/>
      <c r="L2053" s="7"/>
      <c r="M2053" s="7"/>
      <c r="O2053" s="6"/>
      <c r="P2053" s="6"/>
      <c r="T2053" s="5"/>
      <c r="U2053" s="5"/>
    </row>
    <row r="2054" spans="2:21" x14ac:dyDescent="0.25">
      <c r="B2054" s="90">
        <v>1037</v>
      </c>
      <c r="C2054" s="91">
        <v>7.5199563695097171E-2</v>
      </c>
      <c r="D2054" s="92">
        <v>118</v>
      </c>
      <c r="E2054" s="93">
        <v>0.41007194244604317</v>
      </c>
      <c r="G2054" s="5"/>
      <c r="H2054" s="5"/>
      <c r="L2054" s="7"/>
      <c r="M2054" s="7"/>
      <c r="O2054" s="6"/>
      <c r="P2054" s="6"/>
      <c r="T2054" s="5"/>
      <c r="U2054" s="5"/>
    </row>
    <row r="2055" spans="2:21" x14ac:dyDescent="0.25">
      <c r="B2055" s="90">
        <v>1221</v>
      </c>
      <c r="C2055" s="91">
        <v>7.6178193428190988E-2</v>
      </c>
      <c r="D2055" s="92">
        <v>118</v>
      </c>
      <c r="E2055" s="93">
        <v>0.25899280575539568</v>
      </c>
      <c r="G2055" s="5"/>
      <c r="H2055" s="5"/>
      <c r="L2055" s="7"/>
      <c r="M2055" s="7"/>
      <c r="O2055" s="6"/>
      <c r="P2055" s="6"/>
      <c r="T2055" s="5"/>
      <c r="U2055" s="5"/>
    </row>
    <row r="2056" spans="2:21" x14ac:dyDescent="0.25">
      <c r="B2056" s="90">
        <v>210</v>
      </c>
      <c r="C2056" s="91">
        <v>7.6597083298226565E-2</v>
      </c>
      <c r="D2056" s="92">
        <v>118</v>
      </c>
      <c r="E2056" s="93">
        <v>0.40287769784172661</v>
      </c>
      <c r="G2056" s="5"/>
      <c r="H2056" s="5"/>
      <c r="L2056" s="7"/>
      <c r="M2056" s="7"/>
      <c r="O2056" s="6"/>
      <c r="P2056" s="6"/>
      <c r="T2056" s="5"/>
      <c r="U2056" s="5"/>
    </row>
    <row r="2057" spans="2:21" x14ac:dyDescent="0.25">
      <c r="B2057" s="90">
        <v>620</v>
      </c>
      <c r="C2057" s="91">
        <v>7.7829988333044997E-2</v>
      </c>
      <c r="D2057" s="92">
        <v>118</v>
      </c>
      <c r="E2057" s="93">
        <v>0.37410071942446044</v>
      </c>
      <c r="G2057" s="5"/>
      <c r="H2057" s="5"/>
      <c r="L2057" s="7"/>
      <c r="M2057" s="7"/>
      <c r="O2057" s="6"/>
      <c r="P2057" s="6"/>
      <c r="T2057" s="5"/>
      <c r="U2057" s="5"/>
    </row>
    <row r="2058" spans="2:21" x14ac:dyDescent="0.25">
      <c r="B2058" s="90">
        <v>1175</v>
      </c>
      <c r="C2058" s="91">
        <v>7.7871116024017195E-2</v>
      </c>
      <c r="D2058" s="92">
        <v>118</v>
      </c>
      <c r="E2058" s="93">
        <v>0.30935251798561153</v>
      </c>
      <c r="G2058" s="5"/>
      <c r="H2058" s="5"/>
      <c r="L2058" s="7"/>
      <c r="M2058" s="7"/>
      <c r="O2058" s="6"/>
      <c r="P2058" s="6"/>
      <c r="T2058" s="5"/>
      <c r="U2058" s="5"/>
    </row>
    <row r="2059" spans="2:21" x14ac:dyDescent="0.25">
      <c r="B2059" s="90">
        <v>681</v>
      </c>
      <c r="C2059" s="91">
        <v>8.2070643243345676E-2</v>
      </c>
      <c r="D2059" s="92">
        <v>118</v>
      </c>
      <c r="E2059" s="93">
        <v>0.41007194244604317</v>
      </c>
      <c r="G2059" s="5"/>
      <c r="H2059" s="5"/>
      <c r="L2059" s="7"/>
      <c r="M2059" s="7"/>
      <c r="O2059" s="6"/>
      <c r="P2059" s="6"/>
      <c r="T2059" s="5"/>
      <c r="U2059" s="5"/>
    </row>
    <row r="2060" spans="2:21" x14ac:dyDescent="0.25">
      <c r="B2060" s="90">
        <v>626</v>
      </c>
      <c r="C2060" s="91">
        <v>8.2251318831336295E-2</v>
      </c>
      <c r="D2060" s="92">
        <v>118</v>
      </c>
      <c r="E2060" s="93">
        <v>0.41007194244604317</v>
      </c>
      <c r="G2060" s="5"/>
      <c r="H2060" s="5"/>
      <c r="L2060" s="7"/>
      <c r="M2060" s="7"/>
      <c r="O2060" s="6"/>
      <c r="P2060" s="6"/>
      <c r="T2060" s="5"/>
      <c r="U2060" s="5"/>
    </row>
    <row r="2061" spans="2:21" x14ac:dyDescent="0.25">
      <c r="B2061" s="90">
        <v>1131</v>
      </c>
      <c r="C2061" s="91">
        <v>8.3084455027145343E-2</v>
      </c>
      <c r="D2061" s="92">
        <v>118</v>
      </c>
      <c r="E2061" s="93">
        <v>0.41726618705035973</v>
      </c>
      <c r="G2061" s="5"/>
      <c r="H2061" s="5"/>
      <c r="L2061" s="7"/>
      <c r="M2061" s="7"/>
      <c r="O2061" s="6"/>
      <c r="P2061" s="6"/>
      <c r="T2061" s="5"/>
      <c r="U2061" s="5"/>
    </row>
    <row r="2062" spans="2:21" x14ac:dyDescent="0.25">
      <c r="B2062" s="90">
        <v>735</v>
      </c>
      <c r="C2062" s="91">
        <v>8.3479949477376469E-2</v>
      </c>
      <c r="D2062" s="92">
        <v>118</v>
      </c>
      <c r="E2062" s="93">
        <v>0.41007194244604317</v>
      </c>
      <c r="G2062" s="5"/>
      <c r="H2062" s="5"/>
      <c r="L2062" s="7"/>
      <c r="M2062" s="7"/>
      <c r="O2062" s="6"/>
      <c r="P2062" s="6"/>
      <c r="T2062" s="5"/>
      <c r="U2062" s="5"/>
    </row>
    <row r="2063" spans="2:21" x14ac:dyDescent="0.25">
      <c r="B2063" s="90">
        <v>1085</v>
      </c>
      <c r="C2063" s="91">
        <v>8.5662470447727013E-2</v>
      </c>
      <c r="D2063" s="92">
        <v>118</v>
      </c>
      <c r="E2063" s="93">
        <v>0.41726618705035973</v>
      </c>
      <c r="G2063" s="5"/>
      <c r="H2063" s="5"/>
      <c r="L2063" s="7"/>
      <c r="M2063" s="7"/>
      <c r="O2063" s="6"/>
      <c r="P2063" s="6"/>
      <c r="T2063" s="5"/>
      <c r="U2063" s="5"/>
    </row>
    <row r="2064" spans="2:21" x14ac:dyDescent="0.25">
      <c r="B2064" s="90">
        <v>1031</v>
      </c>
      <c r="C2064" s="91">
        <v>8.7127172512026063E-2</v>
      </c>
      <c r="D2064" s="92">
        <v>118</v>
      </c>
      <c r="E2064" s="93">
        <v>0.37410071942446044</v>
      </c>
      <c r="G2064" s="5"/>
      <c r="H2064" s="5"/>
      <c r="L2064" s="7"/>
      <c r="M2064" s="7"/>
      <c r="O2064" s="6"/>
      <c r="P2064" s="6"/>
      <c r="T2064" s="5"/>
      <c r="U2064" s="5"/>
    </row>
    <row r="2065" spans="2:21" x14ac:dyDescent="0.25">
      <c r="B2065" s="90">
        <v>212</v>
      </c>
      <c r="C2065" s="91">
        <v>8.9218924630328544E-2</v>
      </c>
      <c r="D2065" s="92">
        <v>118</v>
      </c>
      <c r="E2065" s="93">
        <v>0.41726618705035973</v>
      </c>
      <c r="G2065" s="5"/>
      <c r="H2065" s="5"/>
      <c r="L2065" s="7"/>
      <c r="M2065" s="7"/>
      <c r="O2065" s="6"/>
      <c r="P2065" s="6"/>
      <c r="T2065" s="5"/>
      <c r="U2065" s="5"/>
    </row>
    <row r="2066" spans="2:21" x14ac:dyDescent="0.25">
      <c r="B2066" s="90">
        <v>1132</v>
      </c>
      <c r="C2066" s="91">
        <v>9.550222674623976E-2</v>
      </c>
      <c r="D2066" s="92">
        <v>118</v>
      </c>
      <c r="E2066" s="93">
        <v>0.43165467625899279</v>
      </c>
      <c r="G2066" s="5"/>
      <c r="H2066" s="5"/>
      <c r="L2066" s="7"/>
      <c r="M2066" s="7"/>
      <c r="O2066" s="6"/>
      <c r="P2066" s="6"/>
      <c r="T2066" s="5"/>
      <c r="U2066" s="5"/>
    </row>
    <row r="2067" spans="2:21" x14ac:dyDescent="0.25">
      <c r="B2067" s="90">
        <v>682</v>
      </c>
      <c r="C2067" s="91">
        <v>9.5703211021616941E-2</v>
      </c>
      <c r="D2067" s="92">
        <v>118</v>
      </c>
      <c r="E2067" s="93">
        <v>0.43165467625899279</v>
      </c>
      <c r="G2067" s="5"/>
      <c r="H2067" s="5"/>
      <c r="L2067" s="7"/>
      <c r="M2067" s="7"/>
      <c r="O2067" s="6"/>
      <c r="P2067" s="6"/>
      <c r="T2067" s="5"/>
      <c r="U2067" s="5"/>
    </row>
    <row r="2068" spans="2:21" x14ac:dyDescent="0.25">
      <c r="B2068" s="90">
        <v>627</v>
      </c>
      <c r="C2068" s="91">
        <v>9.6011189259161744E-2</v>
      </c>
      <c r="D2068" s="92">
        <v>118</v>
      </c>
      <c r="E2068" s="93">
        <v>0.42446043165467628</v>
      </c>
      <c r="G2068" s="5"/>
      <c r="H2068" s="5"/>
      <c r="L2068" s="7"/>
      <c r="M2068" s="7"/>
      <c r="O2068" s="6"/>
      <c r="P2068" s="6"/>
      <c r="T2068" s="5"/>
      <c r="U2068" s="5"/>
    </row>
    <row r="2069" spans="2:21" x14ac:dyDescent="0.25">
      <c r="B2069" s="90">
        <v>1086</v>
      </c>
      <c r="C2069" s="91">
        <v>9.8187777922706165E-2</v>
      </c>
      <c r="D2069" s="92">
        <v>118</v>
      </c>
      <c r="E2069" s="93">
        <v>0.48920863309352519</v>
      </c>
      <c r="G2069" s="5"/>
      <c r="H2069" s="5"/>
      <c r="L2069" s="7"/>
      <c r="M2069" s="7"/>
      <c r="O2069" s="6"/>
      <c r="P2069" s="6"/>
      <c r="T2069" s="5"/>
      <c r="U2069" s="5"/>
    </row>
    <row r="2070" spans="2:21" x14ac:dyDescent="0.25">
      <c r="B2070" s="90">
        <v>213</v>
      </c>
      <c r="C2070" s="91">
        <v>0.10018237493121007</v>
      </c>
      <c r="D2070" s="92">
        <v>118</v>
      </c>
      <c r="E2070" s="93">
        <v>0.42446043165467628</v>
      </c>
      <c r="G2070" s="5"/>
      <c r="H2070" s="5"/>
      <c r="L2070" s="7"/>
      <c r="M2070" s="7"/>
      <c r="O2070" s="6"/>
      <c r="P2070" s="6"/>
      <c r="T2070" s="5"/>
      <c r="U2070" s="5"/>
    </row>
    <row r="2071" spans="2:21" x14ac:dyDescent="0.25">
      <c r="B2071" s="90">
        <v>1034</v>
      </c>
      <c r="C2071" s="91">
        <v>0.10472059479934137</v>
      </c>
      <c r="D2071" s="92">
        <v>118</v>
      </c>
      <c r="E2071" s="93">
        <v>0.35971223021582732</v>
      </c>
      <c r="G2071" s="5"/>
      <c r="H2071" s="5"/>
      <c r="L2071" s="7"/>
      <c r="M2071" s="7"/>
      <c r="O2071" s="6"/>
      <c r="P2071" s="6"/>
      <c r="T2071" s="5"/>
      <c r="U2071" s="5"/>
    </row>
    <row r="2072" spans="2:21" x14ac:dyDescent="0.25">
      <c r="B2072" s="90">
        <v>835</v>
      </c>
      <c r="C2072" s="91">
        <v>0.11063774023731243</v>
      </c>
      <c r="D2072" s="92">
        <v>118</v>
      </c>
      <c r="E2072" s="93">
        <v>0.35971223021582732</v>
      </c>
      <c r="G2072" s="5"/>
      <c r="H2072" s="5"/>
      <c r="L2072" s="7"/>
      <c r="M2072" s="7"/>
      <c r="O2072" s="6"/>
      <c r="P2072" s="6"/>
      <c r="T2072" s="5"/>
      <c r="U2072" s="5"/>
    </row>
    <row r="2073" spans="2:21" x14ac:dyDescent="0.25">
      <c r="B2073" s="90">
        <v>1220</v>
      </c>
      <c r="C2073" s="91">
        <v>0.1172364587235889</v>
      </c>
      <c r="D2073" s="92">
        <v>118</v>
      </c>
      <c r="E2073" s="93">
        <v>0.23741007194244604</v>
      </c>
      <c r="G2073" s="5"/>
      <c r="H2073" s="5"/>
      <c r="L2073" s="7"/>
      <c r="M2073" s="7"/>
      <c r="O2073" s="6"/>
      <c r="P2073" s="6"/>
      <c r="T2073" s="5"/>
      <c r="U2073" s="5"/>
    </row>
    <row r="2074" spans="2:21" x14ac:dyDescent="0.25">
      <c r="B2074" s="90">
        <v>783</v>
      </c>
      <c r="C2074" s="91">
        <v>0.11936776537613847</v>
      </c>
      <c r="D2074" s="92">
        <v>118</v>
      </c>
      <c r="E2074" s="93">
        <v>0.35971223021582732</v>
      </c>
      <c r="G2074" s="5"/>
      <c r="H2074" s="5"/>
      <c r="L2074" s="7"/>
      <c r="M2074" s="7"/>
      <c r="O2074" s="6"/>
      <c r="P2074" s="6"/>
      <c r="T2074" s="5"/>
      <c r="U2074" s="5"/>
    </row>
    <row r="2075" spans="2:21" x14ac:dyDescent="0.25">
      <c r="B2075" s="90">
        <v>730</v>
      </c>
      <c r="C2075" s="91">
        <v>0.11954970715867241</v>
      </c>
      <c r="D2075" s="92">
        <v>118</v>
      </c>
      <c r="E2075" s="93">
        <v>0.35971223021582732</v>
      </c>
      <c r="G2075" s="5"/>
      <c r="H2075" s="5"/>
      <c r="L2075" s="7"/>
      <c r="M2075" s="7"/>
      <c r="O2075" s="6"/>
      <c r="P2075" s="6"/>
      <c r="T2075" s="5"/>
      <c r="U2075" s="5"/>
    </row>
    <row r="2076" spans="2:21" x14ac:dyDescent="0.25">
      <c r="B2076" s="90">
        <v>214</v>
      </c>
      <c r="C2076" s="91">
        <v>0.12210585467978285</v>
      </c>
      <c r="D2076" s="92">
        <v>118</v>
      </c>
      <c r="E2076" s="93">
        <v>0.52517985611510787</v>
      </c>
      <c r="G2076" s="5"/>
      <c r="H2076" s="5"/>
      <c r="L2076" s="7"/>
      <c r="M2076" s="7"/>
      <c r="O2076" s="6"/>
      <c r="P2076" s="6"/>
      <c r="T2076" s="5"/>
      <c r="U2076" s="5"/>
    </row>
    <row r="2077" spans="2:21" x14ac:dyDescent="0.25">
      <c r="B2077" s="90">
        <v>676</v>
      </c>
      <c r="C2077" s="91">
        <v>0.12296352230857666</v>
      </c>
      <c r="D2077" s="92">
        <v>118</v>
      </c>
      <c r="E2077" s="93">
        <v>0.35971223021582732</v>
      </c>
      <c r="G2077" s="5"/>
      <c r="H2077" s="5"/>
      <c r="L2077" s="7"/>
      <c r="M2077" s="7"/>
      <c r="O2077" s="6"/>
      <c r="P2077" s="6"/>
      <c r="T2077" s="5"/>
      <c r="U2077" s="5"/>
    </row>
    <row r="2078" spans="2:21" x14ac:dyDescent="0.25">
      <c r="B2078" s="90">
        <v>208</v>
      </c>
      <c r="C2078" s="91">
        <v>0.12768416876982269</v>
      </c>
      <c r="D2078" s="92">
        <v>118</v>
      </c>
      <c r="E2078" s="93">
        <v>0.36690647482014388</v>
      </c>
      <c r="G2078" s="5"/>
      <c r="H2078" s="5"/>
      <c r="L2078" s="7"/>
      <c r="M2078" s="7"/>
      <c r="O2078" s="6"/>
      <c r="P2078" s="6"/>
      <c r="T2078" s="5"/>
      <c r="U2078" s="5"/>
    </row>
    <row r="2079" spans="2:21" x14ac:dyDescent="0.25">
      <c r="B2079" s="90">
        <v>1171</v>
      </c>
      <c r="C2079" s="91">
        <v>0.1509846350354066</v>
      </c>
      <c r="D2079" s="92">
        <v>118</v>
      </c>
      <c r="E2079" s="93">
        <v>0.2805755395683453</v>
      </c>
      <c r="G2079" s="5"/>
      <c r="H2079" s="5"/>
      <c r="L2079" s="7"/>
      <c r="M2079" s="7"/>
      <c r="O2079" s="6"/>
      <c r="P2079" s="6"/>
      <c r="T2079" s="5"/>
      <c r="U2079" s="5"/>
    </row>
    <row r="2080" spans="2:21" x14ac:dyDescent="0.25">
      <c r="B2080" s="90">
        <v>1198</v>
      </c>
      <c r="C2080" s="91">
        <v>0.15458706625194263</v>
      </c>
      <c r="D2080" s="92">
        <v>118</v>
      </c>
      <c r="E2080" s="93">
        <v>0.14388489208633093</v>
      </c>
      <c r="G2080" s="5"/>
      <c r="H2080" s="5"/>
      <c r="L2080" s="7"/>
      <c r="M2080" s="7"/>
      <c r="O2080" s="6"/>
      <c r="P2080" s="6"/>
      <c r="T2080" s="5"/>
      <c r="U2080" s="5"/>
    </row>
    <row r="2081" spans="2:21" x14ac:dyDescent="0.25">
      <c r="B2081" s="90">
        <v>1347</v>
      </c>
      <c r="C2081" s="91">
        <v>0.1686275414559959</v>
      </c>
      <c r="D2081" s="92">
        <v>118</v>
      </c>
      <c r="E2081" s="93">
        <v>0.17985611510791366</v>
      </c>
      <c r="G2081" s="5"/>
      <c r="H2081" s="5"/>
      <c r="L2081" s="7"/>
      <c r="M2081" s="7"/>
      <c r="O2081" s="6"/>
      <c r="P2081" s="6"/>
      <c r="T2081" s="5"/>
      <c r="U2081" s="5"/>
    </row>
    <row r="2082" spans="2:21" x14ac:dyDescent="0.25">
      <c r="B2082" s="90">
        <v>1257</v>
      </c>
      <c r="C2082" s="91">
        <v>0.18471918376143825</v>
      </c>
      <c r="D2082" s="92">
        <v>118</v>
      </c>
      <c r="E2082" s="93">
        <v>0.26618705035971224</v>
      </c>
      <c r="G2082" s="5"/>
      <c r="H2082" s="5"/>
      <c r="L2082" s="7"/>
      <c r="M2082" s="7"/>
      <c r="O2082" s="6"/>
      <c r="P2082" s="6"/>
      <c r="T2082" s="5"/>
      <c r="U2082" s="5"/>
    </row>
    <row r="2083" spans="2:21" x14ac:dyDescent="0.25">
      <c r="B2083" s="90">
        <v>1304</v>
      </c>
      <c r="C2083" s="91">
        <v>0.19431189152592532</v>
      </c>
      <c r="D2083" s="92">
        <v>118</v>
      </c>
      <c r="E2083" s="93">
        <v>0.21582733812949639</v>
      </c>
      <c r="G2083" s="5"/>
      <c r="H2083" s="5"/>
      <c r="L2083" s="7"/>
      <c r="M2083" s="7"/>
      <c r="O2083" s="6"/>
      <c r="P2083" s="6"/>
      <c r="T2083" s="5"/>
      <c r="U2083" s="5"/>
    </row>
    <row r="2084" spans="2:21" x14ac:dyDescent="0.25">
      <c r="B2084" s="90">
        <v>1300</v>
      </c>
      <c r="C2084" s="91">
        <v>0.2036334329182039</v>
      </c>
      <c r="D2084" s="92">
        <v>118</v>
      </c>
      <c r="E2084" s="93">
        <v>0.2805755395683453</v>
      </c>
      <c r="G2084" s="5"/>
      <c r="H2084" s="5"/>
      <c r="L2084" s="7"/>
      <c r="M2084" s="7"/>
      <c r="O2084" s="6"/>
      <c r="P2084" s="6"/>
      <c r="T2084" s="5"/>
      <c r="U2084" s="5"/>
    </row>
    <row r="2085" spans="2:21" x14ac:dyDescent="0.25">
      <c r="B2085" s="90">
        <v>1260</v>
      </c>
      <c r="C2085" s="91">
        <v>0.20461099504748992</v>
      </c>
      <c r="D2085" s="92">
        <v>118</v>
      </c>
      <c r="E2085" s="93">
        <v>0.20143884892086331</v>
      </c>
      <c r="G2085" s="5"/>
      <c r="H2085" s="5"/>
      <c r="L2085" s="7"/>
      <c r="M2085" s="7"/>
      <c r="O2085" s="6"/>
      <c r="P2085" s="6"/>
      <c r="T2085" s="5"/>
      <c r="U2085" s="5"/>
    </row>
    <row r="2086" spans="2:21" x14ac:dyDescent="0.25">
      <c r="B2086" s="90">
        <v>1346</v>
      </c>
      <c r="C2086" s="91">
        <v>0.20695661135398691</v>
      </c>
      <c r="D2086" s="92">
        <v>118</v>
      </c>
      <c r="E2086" s="93">
        <v>0.17266187050359713</v>
      </c>
      <c r="G2086" s="5"/>
      <c r="H2086" s="5"/>
      <c r="L2086" s="7"/>
      <c r="M2086" s="7"/>
      <c r="O2086" s="6"/>
      <c r="P2086" s="6"/>
      <c r="T2086" s="5"/>
      <c r="U2086" s="5"/>
    </row>
    <row r="2087" spans="2:21" x14ac:dyDescent="0.25">
      <c r="B2087" s="90">
        <v>1261</v>
      </c>
      <c r="C2087" s="91">
        <v>0.20722084180922307</v>
      </c>
      <c r="D2087" s="92">
        <v>118</v>
      </c>
      <c r="E2087" s="93">
        <v>0.19424460431654678</v>
      </c>
      <c r="G2087" s="5"/>
      <c r="H2087" s="5"/>
      <c r="L2087" s="7"/>
      <c r="M2087" s="7"/>
      <c r="O2087" s="6"/>
      <c r="P2087" s="6"/>
      <c r="T2087" s="5"/>
      <c r="U2087" s="5"/>
    </row>
    <row r="2088" spans="2:21" x14ac:dyDescent="0.25">
      <c r="B2088" s="90">
        <v>1215</v>
      </c>
      <c r="C2088" s="91">
        <v>0.21016754555139361</v>
      </c>
      <c r="D2088" s="92">
        <v>118</v>
      </c>
      <c r="E2088" s="93">
        <v>0.20143884892086331</v>
      </c>
      <c r="G2088" s="5"/>
      <c r="H2088" s="5"/>
      <c r="L2088" s="7"/>
      <c r="M2088" s="7"/>
      <c r="O2088" s="6"/>
      <c r="P2088" s="6"/>
      <c r="T2088" s="5"/>
      <c r="U2088" s="5"/>
    </row>
    <row r="2089" spans="2:21" x14ac:dyDescent="0.25">
      <c r="B2089" s="90">
        <v>1381</v>
      </c>
      <c r="C2089" s="91">
        <v>0.21278991882916698</v>
      </c>
      <c r="D2089" s="92">
        <v>118</v>
      </c>
      <c r="E2089" s="93">
        <v>0.25179856115107913</v>
      </c>
      <c r="G2089" s="5"/>
      <c r="H2089" s="5"/>
      <c r="L2089" s="7"/>
      <c r="M2089" s="7"/>
      <c r="O2089" s="6"/>
      <c r="P2089" s="6"/>
      <c r="T2089" s="5"/>
      <c r="U2089" s="5"/>
    </row>
    <row r="2090" spans="2:21" x14ac:dyDescent="0.25">
      <c r="B2090" s="90">
        <v>1303</v>
      </c>
      <c r="C2090" s="91">
        <v>0.21645148659600932</v>
      </c>
      <c r="D2090" s="92">
        <v>118</v>
      </c>
      <c r="E2090" s="93">
        <v>0.19424460431654678</v>
      </c>
      <c r="G2090" s="5"/>
      <c r="H2090" s="5"/>
      <c r="L2090" s="7"/>
      <c r="M2090" s="7"/>
      <c r="O2090" s="6"/>
      <c r="P2090" s="6"/>
      <c r="T2090" s="5"/>
      <c r="U2090" s="5"/>
    </row>
    <row r="2091" spans="2:21" x14ac:dyDescent="0.25">
      <c r="B2091" s="90">
        <v>1385</v>
      </c>
      <c r="C2091" s="91">
        <v>0.21867631480158367</v>
      </c>
      <c r="D2091" s="92">
        <v>118</v>
      </c>
      <c r="E2091" s="93">
        <v>0.15827338129496402</v>
      </c>
      <c r="G2091" s="5"/>
      <c r="H2091" s="5"/>
      <c r="L2091" s="7"/>
      <c r="M2091" s="7"/>
      <c r="O2091" s="6"/>
      <c r="P2091" s="6"/>
      <c r="T2091" s="5"/>
      <c r="U2091" s="5"/>
    </row>
    <row r="2092" spans="2:21" x14ac:dyDescent="0.25">
      <c r="B2092" s="90">
        <v>1345</v>
      </c>
      <c r="C2092" s="91">
        <v>0.25088073513959674</v>
      </c>
      <c r="D2092" s="92">
        <v>118</v>
      </c>
      <c r="E2092" s="93">
        <v>0.15107913669064749</v>
      </c>
      <c r="G2092" s="5"/>
      <c r="H2092" s="5"/>
      <c r="L2092" s="7"/>
      <c r="M2092" s="7"/>
      <c r="O2092" s="6"/>
      <c r="P2092" s="6"/>
      <c r="T2092" s="5"/>
      <c r="U2092" s="5"/>
    </row>
    <row r="2093" spans="2:21" x14ac:dyDescent="0.25">
      <c r="B2093" s="90">
        <v>1341</v>
      </c>
      <c r="C2093" s="91">
        <v>0.25088247278921283</v>
      </c>
      <c r="D2093" s="92">
        <v>118</v>
      </c>
      <c r="E2093" s="93">
        <v>0.20143884892086331</v>
      </c>
      <c r="G2093" s="5"/>
      <c r="H2093" s="5"/>
      <c r="L2093" s="7"/>
      <c r="M2093" s="7"/>
      <c r="O2093" s="6"/>
      <c r="P2093" s="6"/>
      <c r="T2093" s="5"/>
      <c r="U2093" s="5"/>
    </row>
    <row r="2094" spans="2:21" x14ac:dyDescent="0.25">
      <c r="B2094" s="90">
        <v>1420</v>
      </c>
      <c r="C2094" s="91">
        <v>0.25575045363556237</v>
      </c>
      <c r="D2094" s="92">
        <v>118</v>
      </c>
      <c r="E2094" s="93">
        <v>0.19424460431654678</v>
      </c>
      <c r="G2094" s="5"/>
      <c r="H2094" s="5"/>
      <c r="L2094" s="7"/>
      <c r="M2094" s="7"/>
      <c r="O2094" s="6"/>
      <c r="P2094" s="6"/>
      <c r="T2094" s="5"/>
      <c r="U2094" s="5"/>
    </row>
    <row r="2095" spans="2:21" x14ac:dyDescent="0.25">
      <c r="B2095" s="90">
        <v>1259</v>
      </c>
      <c r="C2095" s="91">
        <v>0.2770686784012254</v>
      </c>
      <c r="D2095" s="92">
        <v>118</v>
      </c>
      <c r="E2095" s="93">
        <v>0.1366906474820144</v>
      </c>
      <c r="G2095" s="5"/>
      <c r="H2095" s="5"/>
      <c r="L2095" s="7"/>
      <c r="M2095" s="7"/>
      <c r="O2095" s="6"/>
      <c r="P2095" s="6"/>
      <c r="T2095" s="5"/>
      <c r="U2095" s="5"/>
    </row>
    <row r="2096" spans="2:21" x14ac:dyDescent="0.25">
      <c r="B2096" s="90">
        <v>15</v>
      </c>
      <c r="C2096" s="91">
        <v>0.28588691772970831</v>
      </c>
      <c r="D2096" s="92">
        <v>118</v>
      </c>
      <c r="E2096" s="93">
        <v>0.15107913669064749</v>
      </c>
      <c r="G2096" s="5"/>
      <c r="H2096" s="5"/>
      <c r="L2096" s="7"/>
      <c r="M2096" s="7"/>
      <c r="O2096" s="6"/>
      <c r="P2096" s="6"/>
      <c r="T2096" s="5"/>
      <c r="U2096" s="5"/>
    </row>
    <row r="2097" spans="2:21" x14ac:dyDescent="0.25">
      <c r="B2097" s="90">
        <v>2041</v>
      </c>
      <c r="C2097" s="91">
        <v>0.28588691772970831</v>
      </c>
      <c r="D2097" s="92">
        <v>118</v>
      </c>
      <c r="E2097" s="93">
        <v>0.15107913669064749</v>
      </c>
      <c r="G2097" s="5"/>
      <c r="H2097" s="5"/>
      <c r="L2097" s="7"/>
      <c r="M2097" s="7"/>
      <c r="O2097" s="6"/>
      <c r="P2097" s="6"/>
      <c r="T2097" s="5"/>
      <c r="U2097" s="5"/>
    </row>
    <row r="2098" spans="2:21" x14ac:dyDescent="0.25">
      <c r="B2098" s="90">
        <v>1424</v>
      </c>
      <c r="C2098" s="91">
        <v>0.30836191958131709</v>
      </c>
      <c r="D2098" s="92">
        <v>118</v>
      </c>
      <c r="E2098" s="93">
        <v>0.12949640287769784</v>
      </c>
      <c r="G2098" s="5"/>
      <c r="H2098" s="5"/>
      <c r="L2098" s="7"/>
      <c r="M2098" s="7"/>
      <c r="O2098" s="6"/>
      <c r="P2098" s="6"/>
      <c r="T2098" s="5"/>
      <c r="U2098" s="5"/>
    </row>
    <row r="2099" spans="2:21" x14ac:dyDescent="0.25">
      <c r="B2099" s="90">
        <v>133</v>
      </c>
      <c r="C2099" s="91">
        <v>0.35492015157926549</v>
      </c>
      <c r="D2099" s="92">
        <v>118</v>
      </c>
      <c r="E2099" s="93">
        <v>0.41726618705035973</v>
      </c>
      <c r="G2099" s="5"/>
      <c r="H2099" s="5"/>
      <c r="L2099" s="7"/>
      <c r="M2099" s="7"/>
      <c r="O2099" s="6"/>
      <c r="P2099" s="6"/>
      <c r="T2099" s="5"/>
      <c r="U2099" s="5"/>
    </row>
    <row r="2100" spans="2:21" x14ac:dyDescent="0.25">
      <c r="B2100" s="90">
        <v>2088</v>
      </c>
      <c r="C2100" s="91">
        <v>0.41568296974267449</v>
      </c>
      <c r="D2100" s="92">
        <v>118</v>
      </c>
      <c r="E2100" s="93">
        <v>0.15107913669064749</v>
      </c>
      <c r="G2100" s="5"/>
      <c r="H2100" s="5"/>
      <c r="L2100" s="7"/>
      <c r="M2100" s="7"/>
      <c r="O2100" s="6"/>
      <c r="P2100" s="6"/>
      <c r="T2100" s="5"/>
      <c r="U2100" s="5"/>
    </row>
    <row r="2101" spans="2:21" x14ac:dyDescent="0.25">
      <c r="B2101" s="90">
        <v>594</v>
      </c>
      <c r="C2101" s="91">
        <v>0.44842689765116528</v>
      </c>
      <c r="D2101" s="92">
        <v>118</v>
      </c>
      <c r="E2101" s="93">
        <v>0.32374100719424459</v>
      </c>
      <c r="G2101" s="5"/>
      <c r="H2101" s="5"/>
      <c r="L2101" s="7"/>
      <c r="M2101" s="7"/>
      <c r="O2101" s="6"/>
      <c r="P2101" s="6"/>
      <c r="T2101" s="5"/>
      <c r="U2101" s="5"/>
    </row>
    <row r="2102" spans="2:21" x14ac:dyDescent="0.25">
      <c r="B2102" s="90">
        <v>537</v>
      </c>
      <c r="C2102" s="91">
        <v>0.45212387029171697</v>
      </c>
      <c r="D2102" s="92">
        <v>119</v>
      </c>
      <c r="E2102" s="93">
        <v>0.2733812949640288</v>
      </c>
      <c r="G2102" s="5"/>
      <c r="H2102" s="5"/>
      <c r="L2102" s="7"/>
      <c r="M2102" s="7"/>
      <c r="O2102" s="6"/>
      <c r="P2102" s="6"/>
      <c r="T2102" s="5"/>
      <c r="U2102" s="5"/>
    </row>
    <row r="2103" spans="2:21" x14ac:dyDescent="0.25">
      <c r="B2103" s="90">
        <v>572</v>
      </c>
      <c r="C2103" s="91">
        <v>5.4300562890481463E-2</v>
      </c>
      <c r="D2103" s="92">
        <v>120</v>
      </c>
      <c r="E2103" s="93">
        <v>0.41726618705035973</v>
      </c>
      <c r="G2103" s="5"/>
      <c r="H2103" s="5"/>
      <c r="L2103" s="7"/>
      <c r="M2103" s="7"/>
      <c r="O2103" s="6"/>
      <c r="P2103" s="6"/>
      <c r="T2103" s="5"/>
      <c r="U2103" s="5"/>
    </row>
    <row r="2104" spans="2:21" x14ac:dyDescent="0.25">
      <c r="B2104" s="90">
        <v>515</v>
      </c>
      <c r="C2104" s="91">
        <v>5.4646518584521075E-2</v>
      </c>
      <c r="D2104" s="92">
        <v>120</v>
      </c>
      <c r="E2104" s="93">
        <v>0.41726618705035973</v>
      </c>
      <c r="G2104" s="5"/>
      <c r="H2104" s="5"/>
      <c r="L2104" s="7"/>
      <c r="M2104" s="7"/>
      <c r="O2104" s="6"/>
      <c r="P2104" s="6"/>
      <c r="T2104" s="5"/>
      <c r="U2104" s="5"/>
    </row>
    <row r="2105" spans="2:21" x14ac:dyDescent="0.25">
      <c r="B2105" s="90">
        <v>457</v>
      </c>
      <c r="C2105" s="91">
        <v>5.6914455922653207E-2</v>
      </c>
      <c r="D2105" s="92">
        <v>120</v>
      </c>
      <c r="E2105" s="93">
        <v>0.41726618705035973</v>
      </c>
      <c r="G2105" s="5"/>
      <c r="H2105" s="5"/>
      <c r="L2105" s="7"/>
      <c r="M2105" s="7"/>
      <c r="O2105" s="6"/>
      <c r="P2105" s="6"/>
      <c r="T2105" s="5"/>
      <c r="U2105" s="5"/>
    </row>
    <row r="2106" spans="2:21" x14ac:dyDescent="0.25">
      <c r="B2106" s="90">
        <v>88</v>
      </c>
      <c r="C2106" s="91">
        <v>7.6649159201265471E-2</v>
      </c>
      <c r="D2106" s="92">
        <v>120</v>
      </c>
      <c r="E2106" s="93">
        <v>0.39568345323741005</v>
      </c>
      <c r="G2106" s="5"/>
      <c r="H2106" s="5"/>
      <c r="L2106" s="7"/>
      <c r="M2106" s="7"/>
      <c r="O2106" s="6"/>
      <c r="P2106" s="6"/>
      <c r="T2106" s="5"/>
      <c r="U2106" s="5"/>
    </row>
    <row r="2107" spans="2:21" x14ac:dyDescent="0.25">
      <c r="B2107" s="90">
        <v>496</v>
      </c>
      <c r="C2107" s="91">
        <v>0.27096612114185215</v>
      </c>
      <c r="D2107" s="92">
        <v>120</v>
      </c>
      <c r="E2107" s="93">
        <v>0.48201438848920863</v>
      </c>
      <c r="G2107" s="5"/>
      <c r="H2107" s="5"/>
      <c r="L2107" s="7"/>
      <c r="M2107" s="7"/>
      <c r="O2107" s="6"/>
      <c r="P2107" s="6"/>
      <c r="T2107" s="5"/>
      <c r="U2107" s="5"/>
    </row>
    <row r="2108" spans="2:21" x14ac:dyDescent="0.25">
      <c r="B2108" s="90">
        <v>1734</v>
      </c>
      <c r="C2108" s="91">
        <v>0.30274393486418238</v>
      </c>
      <c r="D2108" s="92">
        <v>120</v>
      </c>
      <c r="E2108" s="93">
        <v>0.17266187050359713</v>
      </c>
      <c r="G2108" s="5"/>
      <c r="H2108" s="5"/>
      <c r="L2108" s="7"/>
      <c r="M2108" s="7"/>
      <c r="O2108" s="6"/>
      <c r="P2108" s="6"/>
      <c r="T2108" s="5"/>
      <c r="U2108" s="5"/>
    </row>
    <row r="2109" spans="2:21" x14ac:dyDescent="0.25">
      <c r="B2109" s="90">
        <v>142</v>
      </c>
      <c r="C2109" s="91">
        <v>6.4801747941395593E-2</v>
      </c>
      <c r="D2109" s="92">
        <v>121</v>
      </c>
      <c r="E2109" s="93">
        <v>0.33093525179856115</v>
      </c>
      <c r="G2109" s="5"/>
      <c r="H2109" s="5"/>
      <c r="L2109" s="7"/>
      <c r="M2109" s="7"/>
      <c r="O2109" s="6"/>
      <c r="P2109" s="6"/>
      <c r="T2109" s="5"/>
      <c r="U2109" s="5"/>
    </row>
    <row r="2110" spans="2:21" x14ac:dyDescent="0.25">
      <c r="B2110" s="90">
        <v>146</v>
      </c>
      <c r="C2110" s="91">
        <v>0.1095139029694786</v>
      </c>
      <c r="D2110" s="92">
        <v>121</v>
      </c>
      <c r="E2110" s="93">
        <v>0.35251798561151076</v>
      </c>
      <c r="G2110" s="5"/>
      <c r="H2110" s="5"/>
      <c r="L2110" s="7"/>
      <c r="M2110" s="7"/>
      <c r="O2110" s="6"/>
      <c r="P2110" s="6"/>
      <c r="T2110" s="5"/>
      <c r="U2110" s="5"/>
    </row>
    <row r="2111" spans="2:21" x14ac:dyDescent="0.25">
      <c r="B2111" s="90">
        <v>69</v>
      </c>
      <c r="C2111" s="91">
        <v>0.34487382626195684</v>
      </c>
      <c r="D2111" s="92">
        <v>122</v>
      </c>
      <c r="E2111" s="93">
        <v>0.41726618705035973</v>
      </c>
      <c r="G2111" s="5"/>
      <c r="H2111" s="5"/>
      <c r="L2111" s="7"/>
      <c r="M2111" s="7"/>
      <c r="O2111" s="6"/>
      <c r="P2111" s="6"/>
      <c r="T2111" s="5"/>
      <c r="U2111" s="5"/>
    </row>
    <row r="2112" spans="2:21" x14ac:dyDescent="0.25">
      <c r="B2112" s="90">
        <v>1033</v>
      </c>
      <c r="C2112" s="91">
        <v>8.501625509818922E-2</v>
      </c>
      <c r="D2112" s="92">
        <v>125</v>
      </c>
      <c r="E2112" s="93">
        <v>0.35971223021582732</v>
      </c>
      <c r="G2112" s="5"/>
      <c r="H2112" s="5"/>
      <c r="L2112" s="7"/>
      <c r="M2112" s="7"/>
      <c r="O2112" s="6"/>
      <c r="P2112" s="6"/>
      <c r="T2112" s="5"/>
      <c r="U2112" s="5"/>
    </row>
    <row r="2113" spans="2:21" x14ac:dyDescent="0.25">
      <c r="B2113" s="90">
        <v>1038</v>
      </c>
      <c r="C2113" s="91">
        <v>8.6662012267411437E-2</v>
      </c>
      <c r="D2113" s="92">
        <v>125</v>
      </c>
      <c r="E2113" s="93">
        <v>0.41726618705035973</v>
      </c>
      <c r="G2113" s="5"/>
      <c r="H2113" s="5"/>
      <c r="L2113" s="7"/>
      <c r="M2113" s="7"/>
      <c r="O2113" s="6"/>
      <c r="P2113" s="6"/>
      <c r="T2113" s="5"/>
      <c r="U2113" s="5"/>
    </row>
    <row r="2114" spans="2:21" x14ac:dyDescent="0.25">
      <c r="B2114" s="90">
        <v>1264</v>
      </c>
      <c r="C2114" s="91">
        <v>9.0774975490260812E-2</v>
      </c>
      <c r="D2114" s="92">
        <v>125</v>
      </c>
      <c r="E2114" s="93">
        <v>0.30935251798561153</v>
      </c>
      <c r="G2114" s="5"/>
      <c r="H2114" s="5"/>
      <c r="L2114" s="7"/>
      <c r="M2114" s="7"/>
      <c r="O2114" s="6"/>
      <c r="P2114" s="6"/>
      <c r="T2114" s="5"/>
      <c r="U2114" s="5"/>
    </row>
    <row r="2115" spans="2:21" x14ac:dyDescent="0.25">
      <c r="B2115" s="90">
        <v>1039</v>
      </c>
      <c r="C2115" s="91">
        <v>9.9712854793264305E-2</v>
      </c>
      <c r="D2115" s="92">
        <v>125</v>
      </c>
      <c r="E2115" s="93">
        <v>0.43165467625899279</v>
      </c>
      <c r="G2115" s="5"/>
      <c r="H2115" s="5"/>
      <c r="L2115" s="7"/>
      <c r="M2115" s="7"/>
      <c r="O2115" s="6"/>
      <c r="P2115" s="6"/>
      <c r="T2115" s="5"/>
      <c r="U2115" s="5"/>
    </row>
    <row r="2116" spans="2:21" x14ac:dyDescent="0.25">
      <c r="B2116" s="90">
        <v>1306</v>
      </c>
      <c r="C2116" s="91">
        <v>0.10599945818038159</v>
      </c>
      <c r="D2116" s="92">
        <v>125</v>
      </c>
      <c r="E2116" s="93">
        <v>0.25899280575539568</v>
      </c>
      <c r="G2116" s="5"/>
      <c r="H2116" s="5"/>
      <c r="L2116" s="7"/>
      <c r="M2116" s="7"/>
      <c r="O2116" s="6"/>
      <c r="P2116" s="6"/>
      <c r="T2116" s="5"/>
      <c r="U2116" s="5"/>
    </row>
    <row r="2117" spans="2:21" x14ac:dyDescent="0.25">
      <c r="B2117" s="90">
        <v>1387</v>
      </c>
      <c r="C2117" s="91">
        <v>0.12737277886569753</v>
      </c>
      <c r="D2117" s="92">
        <v>125</v>
      </c>
      <c r="E2117" s="93">
        <v>0.2446043165467626</v>
      </c>
      <c r="G2117" s="5"/>
      <c r="H2117" s="5"/>
      <c r="L2117" s="7"/>
      <c r="M2117" s="7"/>
      <c r="O2117" s="6"/>
      <c r="P2117" s="6"/>
      <c r="T2117" s="5"/>
      <c r="U2117" s="5"/>
    </row>
    <row r="2118" spans="2:21" x14ac:dyDescent="0.25">
      <c r="B2118" s="90">
        <v>621</v>
      </c>
      <c r="C2118" s="91">
        <v>0.12747679342083074</v>
      </c>
      <c r="D2118" s="92">
        <v>125</v>
      </c>
      <c r="E2118" s="93">
        <v>0.35971223021582732</v>
      </c>
      <c r="G2118" s="5"/>
      <c r="H2118" s="5"/>
      <c r="L2118" s="7"/>
      <c r="M2118" s="7"/>
      <c r="O2118" s="6"/>
      <c r="P2118" s="6"/>
      <c r="T2118" s="5"/>
      <c r="U2118" s="5"/>
    </row>
    <row r="2119" spans="2:21" x14ac:dyDescent="0.25">
      <c r="B2119" s="90">
        <v>1263</v>
      </c>
      <c r="C2119" s="91">
        <v>0.13439430543387632</v>
      </c>
      <c r="D2119" s="92">
        <v>125</v>
      </c>
      <c r="E2119" s="93">
        <v>0.23741007194244604</v>
      </c>
      <c r="G2119" s="5"/>
      <c r="H2119" s="5"/>
      <c r="L2119" s="7"/>
      <c r="M2119" s="7"/>
      <c r="O2119" s="6"/>
      <c r="P2119" s="6"/>
      <c r="T2119" s="5"/>
      <c r="U2119" s="5"/>
    </row>
    <row r="2120" spans="2:21" x14ac:dyDescent="0.25">
      <c r="B2120" s="90">
        <v>1305</v>
      </c>
      <c r="C2120" s="91">
        <v>0.14733487186434546</v>
      </c>
      <c r="D2120" s="92">
        <v>125</v>
      </c>
      <c r="E2120" s="93">
        <v>0.23741007194244604</v>
      </c>
      <c r="G2120" s="5"/>
      <c r="H2120" s="5"/>
      <c r="L2120" s="7"/>
      <c r="M2120" s="7"/>
      <c r="O2120" s="6"/>
      <c r="P2120" s="6"/>
      <c r="T2120" s="5"/>
      <c r="U2120" s="5"/>
    </row>
    <row r="2121" spans="2:21" x14ac:dyDescent="0.25">
      <c r="B2121" s="90">
        <v>1386</v>
      </c>
      <c r="C2121" s="91">
        <v>0.16803067198538335</v>
      </c>
      <c r="D2121" s="92">
        <v>125</v>
      </c>
      <c r="E2121" s="93">
        <v>0.23021582733812951</v>
      </c>
      <c r="G2121" s="5"/>
      <c r="H2121" s="5"/>
      <c r="L2121" s="7"/>
      <c r="M2121" s="7"/>
      <c r="O2121" s="6"/>
      <c r="P2121" s="6"/>
      <c r="T2121" s="5"/>
      <c r="U2121" s="5"/>
    </row>
    <row r="2122" spans="2:21" x14ac:dyDescent="0.25">
      <c r="B2122" s="90">
        <v>1262</v>
      </c>
      <c r="C2122" s="91">
        <v>0.18282820177650017</v>
      </c>
      <c r="D2122" s="92">
        <v>125</v>
      </c>
      <c r="E2122" s="93">
        <v>0.21582733812949639</v>
      </c>
      <c r="G2122" s="5"/>
      <c r="H2122" s="5"/>
      <c r="L2122" s="7"/>
      <c r="M2122" s="7"/>
      <c r="O2122" s="6"/>
      <c r="P2122" s="6"/>
      <c r="T2122" s="5"/>
      <c r="U2122" s="5"/>
    </row>
    <row r="2123" spans="2:21" x14ac:dyDescent="0.25">
      <c r="B2123" s="90">
        <v>1258</v>
      </c>
      <c r="C2123" s="91">
        <v>0.20039511707282365</v>
      </c>
      <c r="D2123" s="92">
        <v>125</v>
      </c>
      <c r="E2123" s="93">
        <v>0.2805755395683453</v>
      </c>
      <c r="G2123" s="5"/>
      <c r="H2123" s="5"/>
      <c r="L2123" s="7"/>
      <c r="M2123" s="7"/>
      <c r="O2123" s="6"/>
      <c r="P2123" s="6"/>
      <c r="T2123" s="5"/>
      <c r="U2123" s="5"/>
    </row>
    <row r="2124" spans="2:21" x14ac:dyDescent="0.25">
      <c r="B2124" s="90">
        <v>1426</v>
      </c>
      <c r="C2124" s="91">
        <v>0.20806752470765344</v>
      </c>
      <c r="D2124" s="92">
        <v>125</v>
      </c>
      <c r="E2124" s="93">
        <v>0.17985611510791366</v>
      </c>
      <c r="G2124" s="5"/>
      <c r="H2124" s="5"/>
      <c r="L2124" s="7"/>
      <c r="M2124" s="7"/>
      <c r="O2124" s="6"/>
      <c r="P2124" s="6"/>
      <c r="T2124" s="5"/>
      <c r="U2124" s="5"/>
    </row>
    <row r="2125" spans="2:21" x14ac:dyDescent="0.25">
      <c r="B2125" s="90">
        <v>1425</v>
      </c>
      <c r="C2125" s="91">
        <v>0.2468300331948533</v>
      </c>
      <c r="D2125" s="92">
        <v>125</v>
      </c>
      <c r="E2125" s="93">
        <v>0.15827338129496402</v>
      </c>
      <c r="G2125" s="5"/>
      <c r="H2125" s="5"/>
      <c r="L2125" s="7"/>
      <c r="M2125" s="7"/>
      <c r="O2125" s="6"/>
      <c r="P2125" s="6"/>
      <c r="T2125" s="5"/>
      <c r="U2125" s="5"/>
    </row>
    <row r="2126" spans="2:21" x14ac:dyDescent="0.25">
      <c r="B2126" s="90">
        <v>22</v>
      </c>
      <c r="C2126" s="91">
        <v>7.3293013833001797E-2</v>
      </c>
      <c r="D2126" s="92">
        <v>127</v>
      </c>
      <c r="E2126" s="93">
        <v>0.34532374100719426</v>
      </c>
      <c r="G2126" s="5"/>
      <c r="H2126" s="5"/>
      <c r="L2126" s="7"/>
      <c r="M2126" s="7"/>
      <c r="O2126" s="6"/>
      <c r="P2126" s="6"/>
      <c r="T2126" s="5"/>
      <c r="U2126" s="5"/>
    </row>
    <row r="2127" spans="2:21" x14ac:dyDescent="0.25">
      <c r="B2127" s="90">
        <v>1915</v>
      </c>
      <c r="C2127" s="91">
        <v>7.3293013833001797E-2</v>
      </c>
      <c r="D2127" s="92">
        <v>127</v>
      </c>
      <c r="E2127" s="93">
        <v>0.34532374100719426</v>
      </c>
      <c r="G2127" s="5"/>
      <c r="H2127" s="5"/>
      <c r="L2127" s="7"/>
      <c r="M2127" s="7"/>
      <c r="O2127" s="6"/>
      <c r="P2127" s="6"/>
      <c r="T2127" s="5"/>
      <c r="U2127" s="5"/>
    </row>
    <row r="2128" spans="2:21" x14ac:dyDescent="0.25">
      <c r="B2128" s="90">
        <v>21</v>
      </c>
      <c r="C2128" s="91">
        <v>9.1732627493056995E-2</v>
      </c>
      <c r="D2128" s="92">
        <v>127</v>
      </c>
      <c r="E2128" s="93">
        <v>0.33093525179856115</v>
      </c>
      <c r="G2128" s="5"/>
      <c r="H2128" s="5"/>
      <c r="L2128" s="7"/>
      <c r="M2128" s="7"/>
      <c r="O2128" s="6"/>
      <c r="P2128" s="6"/>
      <c r="T2128" s="5"/>
      <c r="U2128" s="5"/>
    </row>
    <row r="2129" spans="2:21" x14ac:dyDescent="0.25">
      <c r="B2129" s="90">
        <v>1936</v>
      </c>
      <c r="C2129" s="91">
        <v>9.1732627493056995E-2</v>
      </c>
      <c r="D2129" s="92">
        <v>127</v>
      </c>
      <c r="E2129" s="93">
        <v>0.33093525179856115</v>
      </c>
      <c r="G2129" s="5"/>
      <c r="H2129" s="5"/>
      <c r="L2129" s="7"/>
      <c r="M2129" s="7"/>
      <c r="O2129" s="6"/>
      <c r="P2129" s="6"/>
      <c r="T2129" s="5"/>
      <c r="U2129" s="5"/>
    </row>
    <row r="2130" spans="2:21" x14ac:dyDescent="0.25">
      <c r="B2130" s="90">
        <v>20</v>
      </c>
      <c r="C2130" s="91">
        <v>0.1178563450243032</v>
      </c>
      <c r="D2130" s="92">
        <v>127</v>
      </c>
      <c r="E2130" s="93">
        <v>0.30935251798561153</v>
      </c>
      <c r="G2130" s="5"/>
      <c r="H2130" s="5"/>
      <c r="L2130" s="7"/>
      <c r="M2130" s="7"/>
      <c r="O2130" s="6"/>
      <c r="P2130" s="6"/>
      <c r="T2130" s="5"/>
      <c r="U2130" s="5"/>
    </row>
    <row r="2131" spans="2:21" x14ac:dyDescent="0.25">
      <c r="B2131" s="90">
        <v>1956</v>
      </c>
      <c r="C2131" s="91">
        <v>0.1178563450243032</v>
      </c>
      <c r="D2131" s="92">
        <v>127</v>
      </c>
      <c r="E2131" s="93">
        <v>0.30935251798561153</v>
      </c>
      <c r="G2131" s="5"/>
      <c r="H2131" s="5"/>
      <c r="L2131" s="7"/>
      <c r="M2131" s="7"/>
      <c r="O2131" s="6"/>
      <c r="P2131" s="6"/>
      <c r="T2131" s="5"/>
      <c r="U2131" s="5"/>
    </row>
    <row r="2132" spans="2:21" x14ac:dyDescent="0.25">
      <c r="B2132" s="90">
        <v>18</v>
      </c>
      <c r="C2132" s="91">
        <v>0.1614565489640627</v>
      </c>
      <c r="D2132" s="92">
        <v>127</v>
      </c>
      <c r="E2132" s="93">
        <v>0.2805755395683453</v>
      </c>
      <c r="G2132" s="5"/>
      <c r="H2132" s="5"/>
      <c r="L2132" s="7"/>
      <c r="M2132" s="7"/>
      <c r="O2132" s="6"/>
      <c r="P2132" s="6"/>
      <c r="T2132" s="5"/>
      <c r="U2132" s="5"/>
    </row>
    <row r="2133" spans="2:21" x14ac:dyDescent="0.25">
      <c r="B2133" s="90">
        <v>1993</v>
      </c>
      <c r="C2133" s="91">
        <v>0.1614565489640627</v>
      </c>
      <c r="D2133" s="92">
        <v>127</v>
      </c>
      <c r="E2133" s="93">
        <v>0.2805755395683453</v>
      </c>
      <c r="G2133" s="5"/>
      <c r="H2133" s="5"/>
      <c r="L2133" s="7"/>
      <c r="M2133" s="7"/>
      <c r="O2133" s="6"/>
      <c r="P2133" s="6"/>
      <c r="T2133" s="5"/>
      <c r="U2133" s="5"/>
    </row>
    <row r="2134" spans="2:21" x14ac:dyDescent="0.25">
      <c r="B2134" s="90">
        <v>19</v>
      </c>
      <c r="C2134" s="91">
        <v>0.18525020563066386</v>
      </c>
      <c r="D2134" s="92">
        <v>127</v>
      </c>
      <c r="E2134" s="93">
        <v>0.2733812949640288</v>
      </c>
      <c r="G2134" s="5"/>
      <c r="H2134" s="5"/>
      <c r="L2134" s="7"/>
      <c r="M2134" s="7"/>
      <c r="O2134" s="6"/>
      <c r="P2134" s="6"/>
      <c r="T2134" s="5"/>
      <c r="U2134" s="5"/>
    </row>
    <row r="2135" spans="2:21" x14ac:dyDescent="0.25">
      <c r="B2135" s="90">
        <v>1975</v>
      </c>
      <c r="C2135" s="91">
        <v>0.18525020563066386</v>
      </c>
      <c r="D2135" s="92">
        <v>127</v>
      </c>
      <c r="E2135" s="93">
        <v>0.2733812949640288</v>
      </c>
      <c r="G2135" s="5"/>
      <c r="H2135" s="5"/>
      <c r="L2135" s="7"/>
      <c r="M2135" s="7"/>
      <c r="O2135" s="6"/>
      <c r="P2135" s="6"/>
      <c r="T2135" s="5"/>
      <c r="U2135" s="5"/>
    </row>
    <row r="2136" spans="2:21" x14ac:dyDescent="0.25">
      <c r="B2136" s="90">
        <v>505</v>
      </c>
      <c r="C2136" s="91">
        <v>5.1931603162975404E-2</v>
      </c>
      <c r="D2136" s="92">
        <v>128</v>
      </c>
      <c r="E2136" s="93">
        <v>0.38129496402877699</v>
      </c>
      <c r="G2136" s="5"/>
      <c r="H2136" s="5"/>
      <c r="L2136" s="7"/>
      <c r="M2136" s="7"/>
      <c r="O2136" s="6"/>
      <c r="P2136" s="6"/>
      <c r="T2136" s="5"/>
      <c r="U2136" s="5"/>
    </row>
    <row r="2137" spans="2:21" x14ac:dyDescent="0.25">
      <c r="B2137" s="90">
        <v>562</v>
      </c>
      <c r="C2137" s="91">
        <v>5.2277326718821349E-2</v>
      </c>
      <c r="D2137" s="92">
        <v>128</v>
      </c>
      <c r="E2137" s="93">
        <v>0.38129496402877699</v>
      </c>
      <c r="G2137" s="5"/>
      <c r="H2137" s="5"/>
      <c r="L2137" s="7"/>
      <c r="M2137" s="7"/>
      <c r="O2137" s="6"/>
      <c r="P2137" s="6"/>
      <c r="T2137" s="5"/>
      <c r="U2137" s="5"/>
    </row>
    <row r="2138" spans="2:21" x14ac:dyDescent="0.25">
      <c r="B2138" s="90">
        <v>447</v>
      </c>
      <c r="C2138" s="91">
        <v>5.2832762913450182E-2</v>
      </c>
      <c r="D2138" s="92">
        <v>128</v>
      </c>
      <c r="E2138" s="93">
        <v>0.38129496402877699</v>
      </c>
      <c r="G2138" s="5"/>
      <c r="H2138" s="5"/>
      <c r="L2138" s="7"/>
      <c r="M2138" s="7"/>
      <c r="O2138" s="6"/>
      <c r="P2138" s="6"/>
      <c r="T2138" s="5"/>
      <c r="U2138" s="5"/>
    </row>
    <row r="2139" spans="2:21" x14ac:dyDescent="0.25">
      <c r="B2139" s="90">
        <v>568</v>
      </c>
      <c r="C2139" s="91">
        <v>5.9088176593094399E-2</v>
      </c>
      <c r="D2139" s="92">
        <v>128</v>
      </c>
      <c r="E2139" s="93">
        <v>0.38848920863309355</v>
      </c>
      <c r="G2139" s="5"/>
      <c r="H2139" s="5"/>
      <c r="L2139" s="7"/>
      <c r="M2139" s="7"/>
      <c r="O2139" s="6"/>
      <c r="P2139" s="6"/>
      <c r="T2139" s="5"/>
      <c r="U2139" s="5"/>
    </row>
    <row r="2140" spans="2:21" x14ac:dyDescent="0.25">
      <c r="B2140" s="90">
        <v>511</v>
      </c>
      <c r="C2140" s="91">
        <v>5.9341140759704758E-2</v>
      </c>
      <c r="D2140" s="92">
        <v>128</v>
      </c>
      <c r="E2140" s="93">
        <v>0.38848920863309355</v>
      </c>
      <c r="G2140" s="5"/>
      <c r="H2140" s="5"/>
      <c r="L2140" s="7"/>
      <c r="M2140" s="7"/>
      <c r="O2140" s="6"/>
      <c r="P2140" s="6"/>
      <c r="T2140" s="5"/>
      <c r="U2140" s="5"/>
    </row>
    <row r="2141" spans="2:21" x14ac:dyDescent="0.25">
      <c r="B2141" s="90">
        <v>78</v>
      </c>
      <c r="C2141" s="91">
        <v>6.0965688072871171E-2</v>
      </c>
      <c r="D2141" s="92">
        <v>128</v>
      </c>
      <c r="E2141" s="93">
        <v>0.32374100719424459</v>
      </c>
      <c r="G2141" s="5"/>
      <c r="H2141" s="5"/>
      <c r="L2141" s="7"/>
      <c r="M2141" s="7"/>
      <c r="O2141" s="6"/>
      <c r="P2141" s="6"/>
      <c r="T2141" s="5"/>
      <c r="U2141" s="5"/>
    </row>
    <row r="2142" spans="2:21" x14ac:dyDescent="0.25">
      <c r="B2142" s="90">
        <v>453</v>
      </c>
      <c r="C2142" s="91">
        <v>6.1671241106903141E-2</v>
      </c>
      <c r="D2142" s="92">
        <v>128</v>
      </c>
      <c r="E2142" s="93">
        <v>0.38848920863309355</v>
      </c>
      <c r="G2142" s="5"/>
      <c r="H2142" s="5"/>
      <c r="L2142" s="7"/>
      <c r="M2142" s="7"/>
      <c r="O2142" s="6"/>
      <c r="P2142" s="6"/>
      <c r="T2142" s="5"/>
      <c r="U2142" s="5"/>
    </row>
    <row r="2143" spans="2:21" x14ac:dyDescent="0.25">
      <c r="B2143" s="90">
        <v>390</v>
      </c>
      <c r="C2143" s="91">
        <v>6.3910737401362216E-2</v>
      </c>
      <c r="D2143" s="92">
        <v>128</v>
      </c>
      <c r="E2143" s="93">
        <v>0.38129496402877699</v>
      </c>
      <c r="G2143" s="5"/>
      <c r="H2143" s="5"/>
      <c r="L2143" s="7"/>
      <c r="M2143" s="7"/>
      <c r="O2143" s="6"/>
      <c r="P2143" s="6"/>
      <c r="T2143" s="5"/>
      <c r="U2143" s="5"/>
    </row>
    <row r="2144" spans="2:21" x14ac:dyDescent="0.25">
      <c r="B2144" s="90">
        <v>567</v>
      </c>
      <c r="C2144" s="91">
        <v>6.6422624328078772E-2</v>
      </c>
      <c r="D2144" s="92">
        <v>128</v>
      </c>
      <c r="E2144" s="93">
        <v>0.39568345323741005</v>
      </c>
      <c r="G2144" s="5"/>
      <c r="H2144" s="5"/>
      <c r="L2144" s="7"/>
      <c r="M2144" s="7"/>
      <c r="O2144" s="6"/>
      <c r="P2144" s="6"/>
      <c r="T2144" s="5"/>
      <c r="U2144" s="5"/>
    </row>
    <row r="2145" spans="2:21" x14ac:dyDescent="0.25">
      <c r="B2145" s="90">
        <v>510</v>
      </c>
      <c r="C2145" s="91">
        <v>6.675559700821776E-2</v>
      </c>
      <c r="D2145" s="92">
        <v>128</v>
      </c>
      <c r="E2145" s="93">
        <v>0.39568345323741005</v>
      </c>
      <c r="G2145" s="5"/>
      <c r="H2145" s="5"/>
      <c r="L2145" s="7"/>
      <c r="M2145" s="7"/>
      <c r="O2145" s="6"/>
      <c r="P2145" s="6"/>
      <c r="T2145" s="5"/>
      <c r="U2145" s="5"/>
    </row>
    <row r="2146" spans="2:21" x14ac:dyDescent="0.25">
      <c r="B2146" s="90">
        <v>449</v>
      </c>
      <c r="C2146" s="91">
        <v>6.6880993228374375E-2</v>
      </c>
      <c r="D2146" s="92">
        <v>128</v>
      </c>
      <c r="E2146" s="93">
        <v>0.38129496402877699</v>
      </c>
      <c r="G2146" s="5"/>
      <c r="H2146" s="5"/>
      <c r="L2146" s="7"/>
      <c r="M2146" s="7"/>
      <c r="O2146" s="6"/>
      <c r="P2146" s="6"/>
      <c r="T2146" s="5"/>
      <c r="U2146" s="5"/>
    </row>
    <row r="2147" spans="2:21" x14ac:dyDescent="0.25">
      <c r="B2147" s="90">
        <v>452</v>
      </c>
      <c r="C2147" s="91">
        <v>6.9341905614454968E-2</v>
      </c>
      <c r="D2147" s="92">
        <v>128</v>
      </c>
      <c r="E2147" s="93">
        <v>0.39568345323741005</v>
      </c>
      <c r="G2147" s="5"/>
      <c r="H2147" s="5"/>
      <c r="L2147" s="7"/>
      <c r="M2147" s="7"/>
      <c r="O2147" s="6"/>
      <c r="P2147" s="6"/>
      <c r="T2147" s="5"/>
      <c r="U2147" s="5"/>
    </row>
    <row r="2148" spans="2:21" x14ac:dyDescent="0.25">
      <c r="B2148" s="90">
        <v>564</v>
      </c>
      <c r="C2148" s="91">
        <v>7.1526002835144764E-2</v>
      </c>
      <c r="D2148" s="92">
        <v>128</v>
      </c>
      <c r="E2148" s="93">
        <v>0.37410071942446044</v>
      </c>
      <c r="G2148" s="5"/>
      <c r="H2148" s="5"/>
      <c r="L2148" s="7"/>
      <c r="M2148" s="7"/>
      <c r="O2148" s="6"/>
      <c r="P2148" s="6"/>
      <c r="T2148" s="5"/>
      <c r="U2148" s="5"/>
    </row>
    <row r="2149" spans="2:21" x14ac:dyDescent="0.25">
      <c r="B2149" s="90">
        <v>507</v>
      </c>
      <c r="C2149" s="91">
        <v>7.3918194596988673E-2</v>
      </c>
      <c r="D2149" s="92">
        <v>128</v>
      </c>
      <c r="E2149" s="93">
        <v>0.37410071942446044</v>
      </c>
      <c r="G2149" s="5"/>
      <c r="H2149" s="5"/>
      <c r="L2149" s="7"/>
      <c r="M2149" s="7"/>
      <c r="O2149" s="6"/>
      <c r="P2149" s="6"/>
      <c r="T2149" s="5"/>
      <c r="U2149" s="5"/>
    </row>
    <row r="2150" spans="2:21" x14ac:dyDescent="0.25">
      <c r="B2150" s="90">
        <v>569</v>
      </c>
      <c r="C2150" s="91">
        <v>7.6938911998000292E-2</v>
      </c>
      <c r="D2150" s="92">
        <v>128</v>
      </c>
      <c r="E2150" s="93">
        <v>0.41007194244604317</v>
      </c>
      <c r="G2150" s="5"/>
      <c r="H2150" s="5"/>
      <c r="L2150" s="7"/>
      <c r="M2150" s="7"/>
      <c r="O2150" s="6"/>
      <c r="P2150" s="6"/>
      <c r="T2150" s="5"/>
      <c r="U2150" s="5"/>
    </row>
    <row r="2151" spans="2:21" x14ac:dyDescent="0.25">
      <c r="B2151" s="90">
        <v>512</v>
      </c>
      <c r="C2151" s="91">
        <v>7.7496055605522751E-2</v>
      </c>
      <c r="D2151" s="92">
        <v>128</v>
      </c>
      <c r="E2151" s="93">
        <v>0.41007194244604317</v>
      </c>
      <c r="G2151" s="5"/>
      <c r="H2151" s="5"/>
      <c r="L2151" s="7"/>
      <c r="M2151" s="7"/>
      <c r="O2151" s="6"/>
      <c r="P2151" s="6"/>
      <c r="T2151" s="5"/>
      <c r="U2151" s="5"/>
    </row>
    <row r="2152" spans="2:21" x14ac:dyDescent="0.25">
      <c r="B2152" s="90">
        <v>454</v>
      </c>
      <c r="C2152" s="91">
        <v>8.0214314184634317E-2</v>
      </c>
      <c r="D2152" s="92">
        <v>128</v>
      </c>
      <c r="E2152" s="93">
        <v>0.41007194244604317</v>
      </c>
      <c r="G2152" s="5"/>
      <c r="H2152" s="5"/>
      <c r="L2152" s="7"/>
      <c r="M2152" s="7"/>
      <c r="O2152" s="6"/>
      <c r="P2152" s="6"/>
      <c r="T2152" s="5"/>
      <c r="U2152" s="5"/>
    </row>
    <row r="2153" spans="2:21" x14ac:dyDescent="0.25">
      <c r="B2153" s="90">
        <v>395</v>
      </c>
      <c r="C2153" s="91">
        <v>8.061342044306774E-2</v>
      </c>
      <c r="D2153" s="92">
        <v>128</v>
      </c>
      <c r="E2153" s="93">
        <v>0.41726618705035973</v>
      </c>
      <c r="G2153" s="5"/>
      <c r="H2153" s="5"/>
      <c r="L2153" s="7"/>
      <c r="M2153" s="7"/>
      <c r="O2153" s="6"/>
      <c r="P2153" s="6"/>
      <c r="T2153" s="5"/>
      <c r="U2153" s="5"/>
    </row>
    <row r="2154" spans="2:21" x14ac:dyDescent="0.25">
      <c r="B2154" s="90">
        <v>148</v>
      </c>
      <c r="C2154" s="91">
        <v>8.3744045858769933E-2</v>
      </c>
      <c r="D2154" s="92">
        <v>128</v>
      </c>
      <c r="E2154" s="93">
        <v>0.34532374100719426</v>
      </c>
      <c r="G2154" s="5"/>
      <c r="H2154" s="5"/>
      <c r="L2154" s="7"/>
      <c r="M2154" s="7"/>
      <c r="O2154" s="6"/>
      <c r="P2154" s="6"/>
      <c r="T2154" s="5"/>
      <c r="U2154" s="5"/>
    </row>
    <row r="2155" spans="2:21" x14ac:dyDescent="0.25">
      <c r="B2155" s="90">
        <v>570</v>
      </c>
      <c r="C2155" s="91">
        <v>8.6119547479382108E-2</v>
      </c>
      <c r="D2155" s="92">
        <v>128</v>
      </c>
      <c r="E2155" s="93">
        <v>0.41007194244604317</v>
      </c>
      <c r="G2155" s="5"/>
      <c r="H2155" s="5"/>
      <c r="L2155" s="7"/>
      <c r="M2155" s="7"/>
      <c r="O2155" s="6"/>
      <c r="P2155" s="6"/>
      <c r="T2155" s="5"/>
      <c r="U2155" s="5"/>
    </row>
    <row r="2156" spans="2:21" x14ac:dyDescent="0.25">
      <c r="B2156" s="90">
        <v>513</v>
      </c>
      <c r="C2156" s="91">
        <v>8.6924154034102474E-2</v>
      </c>
      <c r="D2156" s="92">
        <v>128</v>
      </c>
      <c r="E2156" s="93">
        <v>0.41007194244604317</v>
      </c>
      <c r="G2156" s="5"/>
      <c r="H2156" s="5"/>
      <c r="L2156" s="7"/>
      <c r="M2156" s="7"/>
      <c r="O2156" s="6"/>
      <c r="P2156" s="6"/>
      <c r="T2156" s="5"/>
      <c r="U2156" s="5"/>
    </row>
    <row r="2157" spans="2:21" x14ac:dyDescent="0.25">
      <c r="B2157" s="90">
        <v>455</v>
      </c>
      <c r="C2157" s="91">
        <v>8.9536082008885964E-2</v>
      </c>
      <c r="D2157" s="92">
        <v>128</v>
      </c>
      <c r="E2157" s="93">
        <v>0.41726618705035973</v>
      </c>
      <c r="G2157" s="5"/>
      <c r="H2157" s="5"/>
      <c r="L2157" s="7"/>
      <c r="M2157" s="7"/>
      <c r="O2157" s="6"/>
      <c r="P2157" s="6"/>
      <c r="T2157" s="5"/>
      <c r="U2157" s="5"/>
    </row>
    <row r="2158" spans="2:21" x14ac:dyDescent="0.25">
      <c r="B2158" s="90">
        <v>396</v>
      </c>
      <c r="C2158" s="91">
        <v>8.9909863578167437E-2</v>
      </c>
      <c r="D2158" s="92">
        <v>128</v>
      </c>
      <c r="E2158" s="93">
        <v>0.42446043165467628</v>
      </c>
      <c r="G2158" s="5"/>
      <c r="H2158" s="5"/>
      <c r="L2158" s="7"/>
      <c r="M2158" s="7"/>
      <c r="O2158" s="6"/>
      <c r="P2158" s="6"/>
      <c r="T2158" s="5"/>
      <c r="U2158" s="5"/>
    </row>
    <row r="2159" spans="2:21" x14ac:dyDescent="0.25">
      <c r="B2159" s="90">
        <v>83</v>
      </c>
      <c r="C2159" s="91">
        <v>9.0155651624601263E-2</v>
      </c>
      <c r="D2159" s="92">
        <v>128</v>
      </c>
      <c r="E2159" s="93">
        <v>0.39568345323741005</v>
      </c>
      <c r="G2159" s="5"/>
      <c r="H2159" s="5"/>
      <c r="L2159" s="7"/>
      <c r="M2159" s="7"/>
      <c r="O2159" s="6"/>
      <c r="P2159" s="6"/>
      <c r="T2159" s="5"/>
      <c r="U2159" s="5"/>
    </row>
    <row r="2160" spans="2:21" x14ac:dyDescent="0.25">
      <c r="B2160" s="90">
        <v>147</v>
      </c>
      <c r="C2160" s="91">
        <v>9.3189548097193042E-2</v>
      </c>
      <c r="D2160" s="92">
        <v>128</v>
      </c>
      <c r="E2160" s="93">
        <v>0.35971223021582732</v>
      </c>
      <c r="G2160" s="5"/>
      <c r="H2160" s="5"/>
      <c r="L2160" s="7"/>
      <c r="M2160" s="7"/>
      <c r="O2160" s="6"/>
      <c r="P2160" s="6"/>
      <c r="T2160" s="5"/>
      <c r="U2160" s="5"/>
    </row>
    <row r="2161" spans="2:21" x14ac:dyDescent="0.25">
      <c r="B2161" s="90">
        <v>571</v>
      </c>
      <c r="C2161" s="91">
        <v>0.10001644752293215</v>
      </c>
      <c r="D2161" s="92">
        <v>128</v>
      </c>
      <c r="E2161" s="93">
        <v>0.43165467625899279</v>
      </c>
      <c r="G2161" s="5"/>
      <c r="H2161" s="5"/>
      <c r="L2161" s="7"/>
      <c r="M2161" s="7"/>
      <c r="O2161" s="6"/>
      <c r="P2161" s="6"/>
      <c r="T2161" s="5"/>
      <c r="U2161" s="5"/>
    </row>
    <row r="2162" spans="2:21" x14ac:dyDescent="0.25">
      <c r="B2162" s="90">
        <v>514</v>
      </c>
      <c r="C2162" s="91">
        <v>0.1010742892974984</v>
      </c>
      <c r="D2162" s="92">
        <v>128</v>
      </c>
      <c r="E2162" s="93">
        <v>0.43165467625899279</v>
      </c>
      <c r="G2162" s="5"/>
      <c r="H2162" s="5"/>
      <c r="L2162" s="7"/>
      <c r="M2162" s="7"/>
      <c r="O2162" s="6"/>
      <c r="P2162" s="6"/>
      <c r="T2162" s="5"/>
      <c r="U2162" s="5"/>
    </row>
    <row r="2163" spans="2:21" x14ac:dyDescent="0.25">
      <c r="B2163" s="90">
        <v>456</v>
      </c>
      <c r="C2163" s="91">
        <v>0.1039125001748753</v>
      </c>
      <c r="D2163" s="92">
        <v>128</v>
      </c>
      <c r="E2163" s="93">
        <v>0.43884892086330934</v>
      </c>
      <c r="G2163" s="5"/>
      <c r="H2163" s="5"/>
      <c r="L2163" s="7"/>
      <c r="M2163" s="7"/>
      <c r="O2163" s="6"/>
      <c r="P2163" s="6"/>
      <c r="T2163" s="5"/>
      <c r="U2163" s="5"/>
    </row>
    <row r="2164" spans="2:21" x14ac:dyDescent="0.25">
      <c r="B2164" s="90">
        <v>397</v>
      </c>
      <c r="C2164" s="91">
        <v>0.10432659470473193</v>
      </c>
      <c r="D2164" s="92">
        <v>128</v>
      </c>
      <c r="E2164" s="93">
        <v>0.43884892086330934</v>
      </c>
      <c r="G2164" s="5"/>
      <c r="H2164" s="5"/>
      <c r="L2164" s="7"/>
      <c r="M2164" s="7"/>
      <c r="O2164" s="6"/>
      <c r="P2164" s="6"/>
      <c r="T2164" s="5"/>
      <c r="U2164" s="5"/>
    </row>
    <row r="2165" spans="2:21" x14ac:dyDescent="0.25">
      <c r="B2165" s="90">
        <v>149</v>
      </c>
      <c r="C2165" s="91">
        <v>0.10733705842943575</v>
      </c>
      <c r="D2165" s="92">
        <v>128</v>
      </c>
      <c r="E2165" s="93">
        <v>0.39568345323741005</v>
      </c>
      <c r="G2165" s="5"/>
      <c r="H2165" s="5"/>
      <c r="L2165" s="7"/>
      <c r="M2165" s="7"/>
      <c r="O2165" s="6"/>
      <c r="P2165" s="6"/>
      <c r="T2165" s="5"/>
      <c r="U2165" s="5"/>
    </row>
    <row r="2166" spans="2:21" x14ac:dyDescent="0.25">
      <c r="B2166" s="90">
        <v>448</v>
      </c>
      <c r="C2166" s="91">
        <v>0.11268567848040112</v>
      </c>
      <c r="D2166" s="92">
        <v>128</v>
      </c>
      <c r="E2166" s="93">
        <v>0.38129496402877699</v>
      </c>
      <c r="G2166" s="5"/>
      <c r="H2166" s="5"/>
      <c r="L2166" s="7"/>
      <c r="M2166" s="7"/>
      <c r="O2166" s="6"/>
      <c r="P2166" s="6"/>
      <c r="T2166" s="5"/>
      <c r="U2166" s="5"/>
    </row>
    <row r="2167" spans="2:21" x14ac:dyDescent="0.25">
      <c r="B2167" s="90">
        <v>143</v>
      </c>
      <c r="C2167" s="91">
        <v>0.11311119653316115</v>
      </c>
      <c r="D2167" s="92">
        <v>128</v>
      </c>
      <c r="E2167" s="93">
        <v>0.36690647482014388</v>
      </c>
      <c r="G2167" s="5"/>
      <c r="H2167" s="5"/>
      <c r="L2167" s="7"/>
      <c r="M2167" s="7"/>
      <c r="O2167" s="6"/>
      <c r="P2167" s="6"/>
      <c r="T2167" s="5"/>
      <c r="U2167" s="5"/>
    </row>
    <row r="2168" spans="2:21" x14ac:dyDescent="0.25">
      <c r="B2168" s="90">
        <v>563</v>
      </c>
      <c r="C2168" s="91">
        <v>0.11546943955944178</v>
      </c>
      <c r="D2168" s="92">
        <v>128</v>
      </c>
      <c r="E2168" s="93">
        <v>0.37410071942446044</v>
      </c>
      <c r="G2168" s="5"/>
      <c r="H2168" s="5"/>
      <c r="L2168" s="7"/>
      <c r="M2168" s="7"/>
      <c r="O2168" s="6"/>
      <c r="P2168" s="6"/>
      <c r="T2168" s="5"/>
      <c r="U2168" s="5"/>
    </row>
    <row r="2169" spans="2:21" x14ac:dyDescent="0.25">
      <c r="B2169" s="90">
        <v>391</v>
      </c>
      <c r="C2169" s="91">
        <v>0.1166391701783398</v>
      </c>
      <c r="D2169" s="92">
        <v>128</v>
      </c>
      <c r="E2169" s="93">
        <v>0.36690647482014388</v>
      </c>
      <c r="G2169" s="5"/>
      <c r="H2169" s="5"/>
      <c r="L2169" s="7"/>
      <c r="M2169" s="7"/>
      <c r="O2169" s="6"/>
      <c r="P2169" s="6"/>
      <c r="T2169" s="5"/>
      <c r="U2169" s="5"/>
    </row>
    <row r="2170" spans="2:21" x14ac:dyDescent="0.25">
      <c r="B2170" s="90">
        <v>451</v>
      </c>
      <c r="C2170" s="91">
        <v>0.11671861958478513</v>
      </c>
      <c r="D2170" s="92">
        <v>128</v>
      </c>
      <c r="E2170" s="93">
        <v>0.35971223021582732</v>
      </c>
      <c r="G2170" s="5"/>
      <c r="H2170" s="5"/>
      <c r="L2170" s="7"/>
      <c r="M2170" s="7"/>
      <c r="O2170" s="6"/>
      <c r="P2170" s="6"/>
      <c r="T2170" s="5"/>
      <c r="U2170" s="5"/>
    </row>
    <row r="2171" spans="2:21" x14ac:dyDescent="0.25">
      <c r="B2171" s="90">
        <v>506</v>
      </c>
      <c r="C2171" s="91">
        <v>0.11872361902049366</v>
      </c>
      <c r="D2171" s="92">
        <v>128</v>
      </c>
      <c r="E2171" s="93">
        <v>0.37410071942446044</v>
      </c>
      <c r="G2171" s="5"/>
      <c r="H2171" s="5"/>
      <c r="L2171" s="7"/>
      <c r="M2171" s="7"/>
      <c r="O2171" s="6"/>
      <c r="P2171" s="6"/>
      <c r="T2171" s="5"/>
      <c r="U2171" s="5"/>
    </row>
    <row r="2172" spans="2:21" x14ac:dyDescent="0.25">
      <c r="B2172" s="90">
        <v>450</v>
      </c>
      <c r="C2172" s="91">
        <v>0.11921352522223905</v>
      </c>
      <c r="D2172" s="92">
        <v>128</v>
      </c>
      <c r="E2172" s="93">
        <v>0.36690647482014388</v>
      </c>
      <c r="G2172" s="5"/>
      <c r="H2172" s="5"/>
      <c r="L2172" s="7"/>
      <c r="M2172" s="7"/>
      <c r="O2172" s="6"/>
      <c r="P2172" s="6"/>
      <c r="T2172" s="5"/>
      <c r="U2172" s="5"/>
    </row>
    <row r="2173" spans="2:21" x14ac:dyDescent="0.25">
      <c r="B2173" s="90">
        <v>82</v>
      </c>
      <c r="C2173" s="91">
        <v>0.12088673413713369</v>
      </c>
      <c r="D2173" s="92">
        <v>128</v>
      </c>
      <c r="E2173" s="93">
        <v>0.35251798561151076</v>
      </c>
      <c r="G2173" s="5"/>
      <c r="H2173" s="5"/>
      <c r="L2173" s="7"/>
      <c r="M2173" s="7"/>
      <c r="O2173" s="6"/>
      <c r="P2173" s="6"/>
      <c r="T2173" s="5"/>
      <c r="U2173" s="5"/>
    </row>
    <row r="2174" spans="2:21" x14ac:dyDescent="0.25">
      <c r="B2174" s="90">
        <v>566</v>
      </c>
      <c r="C2174" s="91">
        <v>0.12131332557354535</v>
      </c>
      <c r="D2174" s="92">
        <v>128</v>
      </c>
      <c r="E2174" s="93">
        <v>0.35971223021582732</v>
      </c>
      <c r="G2174" s="5"/>
      <c r="H2174" s="5"/>
      <c r="L2174" s="7"/>
      <c r="M2174" s="7"/>
      <c r="O2174" s="6"/>
      <c r="P2174" s="6"/>
      <c r="T2174" s="5"/>
      <c r="U2174" s="5"/>
    </row>
    <row r="2175" spans="2:21" x14ac:dyDescent="0.25">
      <c r="B2175" s="90">
        <v>565</v>
      </c>
      <c r="C2175" s="91">
        <v>0.12167576796209567</v>
      </c>
      <c r="D2175" s="92">
        <v>128</v>
      </c>
      <c r="E2175" s="93">
        <v>0.35971223021582732</v>
      </c>
      <c r="G2175" s="5"/>
      <c r="H2175" s="5"/>
      <c r="L2175" s="7"/>
      <c r="M2175" s="7"/>
      <c r="O2175" s="6"/>
      <c r="P2175" s="6"/>
      <c r="T2175" s="5"/>
      <c r="U2175" s="5"/>
    </row>
    <row r="2176" spans="2:21" x14ac:dyDescent="0.25">
      <c r="B2176" s="90">
        <v>509</v>
      </c>
      <c r="C2176" s="91">
        <v>0.12424122637911106</v>
      </c>
      <c r="D2176" s="92">
        <v>128</v>
      </c>
      <c r="E2176" s="93">
        <v>0.35971223021582732</v>
      </c>
      <c r="G2176" s="5"/>
      <c r="H2176" s="5"/>
      <c r="L2176" s="7"/>
      <c r="M2176" s="7"/>
      <c r="O2176" s="6"/>
      <c r="P2176" s="6"/>
      <c r="T2176" s="5"/>
      <c r="U2176" s="5"/>
    </row>
    <row r="2177" spans="2:21" x14ac:dyDescent="0.25">
      <c r="B2177" s="90">
        <v>508</v>
      </c>
      <c r="C2177" s="91">
        <v>0.12474832941760627</v>
      </c>
      <c r="D2177" s="92">
        <v>128</v>
      </c>
      <c r="E2177" s="93">
        <v>0.36690647482014388</v>
      </c>
      <c r="G2177" s="5"/>
      <c r="H2177" s="5"/>
      <c r="L2177" s="7"/>
      <c r="M2177" s="7"/>
      <c r="O2177" s="6"/>
      <c r="P2177" s="6"/>
      <c r="T2177" s="5"/>
      <c r="U2177" s="5"/>
    </row>
    <row r="2178" spans="2:21" x14ac:dyDescent="0.25">
      <c r="B2178" s="90">
        <v>79</v>
      </c>
      <c r="C2178" s="91">
        <v>0.12501132166960327</v>
      </c>
      <c r="D2178" s="92">
        <v>128</v>
      </c>
      <c r="E2178" s="93">
        <v>0.36690647482014388</v>
      </c>
      <c r="G2178" s="5"/>
      <c r="H2178" s="5"/>
      <c r="L2178" s="7"/>
      <c r="M2178" s="7"/>
      <c r="O2178" s="6"/>
      <c r="P2178" s="6"/>
      <c r="T2178" s="5"/>
      <c r="U2178" s="5"/>
    </row>
    <row r="2179" spans="2:21" x14ac:dyDescent="0.25">
      <c r="B2179" s="90">
        <v>151</v>
      </c>
      <c r="C2179" s="91">
        <v>0.16266888995694351</v>
      </c>
      <c r="D2179" s="92">
        <v>128</v>
      </c>
      <c r="E2179" s="93">
        <v>0.46762589928057552</v>
      </c>
      <c r="G2179" s="5"/>
      <c r="H2179" s="5"/>
      <c r="L2179" s="7"/>
      <c r="M2179" s="7"/>
      <c r="O2179" s="6"/>
      <c r="P2179" s="6"/>
      <c r="T2179" s="5"/>
      <c r="U2179" s="5"/>
    </row>
    <row r="2180" spans="2:21" x14ac:dyDescent="0.25">
      <c r="B2180" s="90">
        <v>144</v>
      </c>
      <c r="C2180" s="91">
        <v>5.375004479087897E-2</v>
      </c>
      <c r="D2180" s="92">
        <v>130</v>
      </c>
      <c r="E2180" s="93">
        <v>0.36690647482014388</v>
      </c>
      <c r="G2180" s="5"/>
      <c r="H2180" s="5"/>
      <c r="L2180" s="7"/>
      <c r="M2180" s="7"/>
      <c r="O2180" s="6"/>
      <c r="P2180" s="6"/>
      <c r="T2180" s="5"/>
      <c r="U2180" s="5"/>
    </row>
    <row r="2181" spans="2:21" x14ac:dyDescent="0.25">
      <c r="B2181" s="90">
        <v>80</v>
      </c>
      <c r="C2181" s="91">
        <v>6.5195277615109237E-2</v>
      </c>
      <c r="D2181" s="92">
        <v>130</v>
      </c>
      <c r="E2181" s="93">
        <v>0.36690647482014388</v>
      </c>
      <c r="G2181" s="5"/>
      <c r="H2181" s="5"/>
      <c r="L2181" s="7"/>
      <c r="M2181" s="7"/>
      <c r="O2181" s="6"/>
      <c r="P2181" s="6"/>
      <c r="T2181" s="5"/>
      <c r="U2181" s="5"/>
    </row>
    <row r="2182" spans="2:21" x14ac:dyDescent="0.25">
      <c r="B2182" s="90">
        <v>84</v>
      </c>
      <c r="C2182" s="91">
        <v>8.0638649104735727E-2</v>
      </c>
      <c r="D2182" s="92">
        <v>130</v>
      </c>
      <c r="E2182" s="93">
        <v>0.38129496402877699</v>
      </c>
      <c r="G2182" s="5"/>
      <c r="H2182" s="5"/>
      <c r="L2182" s="7"/>
      <c r="M2182" s="7"/>
      <c r="O2182" s="6"/>
      <c r="P2182" s="6"/>
      <c r="T2182" s="5"/>
      <c r="U2182" s="5"/>
    </row>
    <row r="2183" spans="2:21" x14ac:dyDescent="0.25">
      <c r="B2183" s="90">
        <v>85</v>
      </c>
      <c r="C2183" s="91">
        <v>0.10439641605724181</v>
      </c>
      <c r="D2183" s="92">
        <v>130</v>
      </c>
      <c r="E2183" s="93">
        <v>0.39568345323741005</v>
      </c>
      <c r="G2183" s="5"/>
      <c r="H2183" s="5"/>
      <c r="L2183" s="7"/>
      <c r="M2183" s="7"/>
      <c r="O2183" s="6"/>
      <c r="P2183" s="6"/>
      <c r="T2183" s="5"/>
      <c r="U2183" s="5"/>
    </row>
    <row r="2184" spans="2:21" x14ac:dyDescent="0.25">
      <c r="B2184" s="90">
        <v>86</v>
      </c>
      <c r="C2184" s="91">
        <v>0.11648057980970294</v>
      </c>
      <c r="D2184" s="92">
        <v>130</v>
      </c>
      <c r="E2184" s="93">
        <v>0.39568345323741005</v>
      </c>
      <c r="G2184" s="5"/>
      <c r="H2184" s="5"/>
      <c r="L2184" s="7"/>
      <c r="M2184" s="7"/>
      <c r="O2184" s="6"/>
      <c r="P2184" s="6"/>
      <c r="T2184" s="5"/>
      <c r="U2184" s="5"/>
    </row>
    <row r="2185" spans="2:21" x14ac:dyDescent="0.25">
      <c r="B2185" s="90">
        <v>145</v>
      </c>
      <c r="C2185" s="91">
        <v>0.11788615973162941</v>
      </c>
      <c r="D2185" s="92">
        <v>130</v>
      </c>
      <c r="E2185" s="93">
        <v>0.35251798561151076</v>
      </c>
      <c r="G2185" s="5"/>
      <c r="H2185" s="5"/>
      <c r="L2185" s="7"/>
      <c r="M2185" s="7"/>
      <c r="O2185" s="6"/>
      <c r="P2185" s="6"/>
      <c r="T2185" s="5"/>
      <c r="U2185" s="5"/>
    </row>
    <row r="2186" spans="2:21" x14ac:dyDescent="0.25">
      <c r="B2186" s="90">
        <v>150</v>
      </c>
      <c r="C2186" s="91">
        <v>0.11932674235170115</v>
      </c>
      <c r="D2186" s="92">
        <v>130</v>
      </c>
      <c r="E2186" s="93">
        <v>0.39568345323741005</v>
      </c>
      <c r="G2186" s="5"/>
      <c r="H2186" s="5"/>
      <c r="L2186" s="7"/>
      <c r="M2186" s="7"/>
      <c r="O2186" s="6"/>
      <c r="P2186" s="6"/>
      <c r="T2186" s="5"/>
      <c r="U2186" s="5"/>
    </row>
    <row r="2187" spans="2:21" x14ac:dyDescent="0.25">
      <c r="B2187" s="90">
        <v>81</v>
      </c>
      <c r="C2187" s="91">
        <v>0.12978786118268792</v>
      </c>
      <c r="D2187" s="92">
        <v>130</v>
      </c>
      <c r="E2187" s="93">
        <v>0.35251798561151076</v>
      </c>
      <c r="G2187" s="5"/>
      <c r="H2187" s="5"/>
      <c r="L2187" s="7"/>
      <c r="M2187" s="7"/>
      <c r="O2187" s="6"/>
      <c r="P2187" s="6"/>
      <c r="T2187" s="5"/>
      <c r="U2187" s="5"/>
    </row>
    <row r="2188" spans="2:21" x14ac:dyDescent="0.25">
      <c r="B2188" s="90">
        <v>87</v>
      </c>
      <c r="C2188" s="91">
        <v>0.1542516591442924</v>
      </c>
      <c r="D2188" s="92">
        <v>130</v>
      </c>
      <c r="E2188" s="93">
        <v>0.46762589928057552</v>
      </c>
      <c r="G2188" s="5"/>
      <c r="H2188" s="5"/>
      <c r="L2188" s="7"/>
      <c r="M2188" s="7"/>
      <c r="O2188" s="6"/>
      <c r="P2188" s="6"/>
      <c r="T2188" s="5"/>
      <c r="U2188" s="5"/>
    </row>
  </sheetData>
  <autoFilter ref="B42:E2188" xr:uid="{00000000-0009-0000-0000-000003000000}"/>
  <sortState xmlns:xlrd2="http://schemas.microsoft.com/office/spreadsheetml/2017/richdata2" ref="B44:E5043">
    <sortCondition ref="D44:D5043"/>
    <sortCondition ref="C44:C5043"/>
    <sortCondition descending="1" ref="E44:E5043"/>
  </sortState>
  <mergeCells count="33">
    <mergeCell ref="C34:D34"/>
    <mergeCell ref="B33:D33"/>
    <mergeCell ref="C35:D35"/>
    <mergeCell ref="B36:B38"/>
    <mergeCell ref="C36:D36"/>
    <mergeCell ref="C37:D37"/>
    <mergeCell ref="C38:D38"/>
    <mergeCell ref="C23:D23"/>
    <mergeCell ref="D26:H26"/>
    <mergeCell ref="D28:E28"/>
    <mergeCell ref="D29:E29"/>
    <mergeCell ref="D31:E31"/>
    <mergeCell ref="C18:D18"/>
    <mergeCell ref="C19:D19"/>
    <mergeCell ref="C20:D20"/>
    <mergeCell ref="C21:D21"/>
    <mergeCell ref="C22:D22"/>
    <mergeCell ref="N43:N44"/>
    <mergeCell ref="Z5:AB5"/>
    <mergeCell ref="AC5:AE5"/>
    <mergeCell ref="B15:B18"/>
    <mergeCell ref="B19:B23"/>
    <mergeCell ref="T5:V5"/>
    <mergeCell ref="W5:Y5"/>
    <mergeCell ref="O5:S5"/>
    <mergeCell ref="J5:N5"/>
    <mergeCell ref="E5:I5"/>
    <mergeCell ref="C6:D6"/>
    <mergeCell ref="C13:H13"/>
    <mergeCell ref="C14:E14"/>
    <mergeCell ref="C15:D15"/>
    <mergeCell ref="C16:D16"/>
    <mergeCell ref="C17:D17"/>
  </mergeCells>
  <conditionalFormatting sqref="E44:E218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uplaMediana.GenerarDupla">
                <anchor moveWithCells="1" sizeWithCells="1">
                  <from>
                    <xdr:col>5</xdr:col>
                    <xdr:colOff>160020</xdr:colOff>
                    <xdr:row>38</xdr:row>
                    <xdr:rowOff>121920</xdr:rowOff>
                  </from>
                  <to>
                    <xdr:col>5</xdr:col>
                    <xdr:colOff>1417320</xdr:colOff>
                    <xdr:row>40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scarYActualizar">
                <anchor moveWithCells="1" sizeWithCells="1">
                  <from>
                    <xdr:col>6</xdr:col>
                    <xdr:colOff>403860</xdr:colOff>
                    <xdr:row>39</xdr:row>
                    <xdr:rowOff>137160</xdr:rowOff>
                  </from>
                  <to>
                    <xdr:col>6</xdr:col>
                    <xdr:colOff>1508760</xdr:colOff>
                    <xdr:row>40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BuscarYSustituirSuperior">
                <anchor moveWithCells="1" sizeWithCells="1">
                  <from>
                    <xdr:col>6</xdr:col>
                    <xdr:colOff>388620</xdr:colOff>
                    <xdr:row>37</xdr:row>
                    <xdr:rowOff>144780</xdr:rowOff>
                  </from>
                  <to>
                    <xdr:col>6</xdr:col>
                    <xdr:colOff>1470660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RegistrarEnColumnaH">
                <anchor moveWithCells="1" sizeWithCells="1">
                  <from>
                    <xdr:col>7</xdr:col>
                    <xdr:colOff>502920</xdr:colOff>
                    <xdr:row>38</xdr:row>
                    <xdr:rowOff>114300</xdr:rowOff>
                  </from>
                  <to>
                    <xdr:col>8</xdr:col>
                    <xdr:colOff>251460</xdr:colOff>
                    <xdr:row>40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B1:AF2188"/>
  <sheetViews>
    <sheetView showGridLines="0" topLeftCell="A10" zoomScale="80" zoomScaleNormal="80" workbookViewId="0">
      <selection activeCell="D40" sqref="D40"/>
    </sheetView>
  </sheetViews>
  <sheetFormatPr baseColWidth="10" defaultColWidth="11" defaultRowHeight="13.8" x14ac:dyDescent="0.25"/>
  <cols>
    <col min="1" max="1" width="1.59765625" style="5" customWidth="1"/>
    <col min="2" max="2" width="10.3984375" style="5" customWidth="1"/>
    <col min="3" max="5" width="10.3984375" style="6" customWidth="1"/>
    <col min="6" max="8" width="19.69921875" style="6" customWidth="1"/>
    <col min="9" max="9" width="19.69921875" style="5" customWidth="1"/>
    <col min="10" max="10" width="10.3984375" style="5" customWidth="1"/>
    <col min="11" max="13" width="19.69921875" style="5" customWidth="1"/>
    <col min="14" max="14" width="19.69921875" style="7" customWidth="1"/>
    <col min="15" max="15" width="10.3984375" style="7" customWidth="1"/>
    <col min="16" max="16" width="19.69921875" style="7" customWidth="1"/>
    <col min="17" max="19" width="19.69921875" style="5" customWidth="1"/>
    <col min="20" max="20" width="10.3984375" style="5" customWidth="1"/>
    <col min="21" max="22" width="19.69921875" style="5" customWidth="1"/>
    <col min="23" max="23" width="10.3984375" style="5" customWidth="1"/>
    <col min="24" max="25" width="19.69921875" style="5" customWidth="1"/>
    <col min="26" max="26" width="10.3984375" style="5" customWidth="1"/>
    <col min="27" max="31" width="19.69921875" style="5" customWidth="1"/>
    <col min="32" max="32" width="13.3984375" style="5" bestFit="1" customWidth="1"/>
    <col min="33" max="16384" width="11" style="5"/>
  </cols>
  <sheetData>
    <row r="1" spans="2:32" s="2" customFormat="1" x14ac:dyDescent="0.25">
      <c r="C1" s="1"/>
      <c r="D1" s="1"/>
      <c r="E1" s="1"/>
      <c r="F1" s="1"/>
      <c r="G1" s="1"/>
      <c r="M1" s="3"/>
      <c r="N1" s="3"/>
      <c r="O1" s="3"/>
    </row>
    <row r="2" spans="2:32" s="2" customFormat="1" x14ac:dyDescent="0.25">
      <c r="C2" s="1"/>
      <c r="D2" s="13" t="s">
        <v>119</v>
      </c>
      <c r="E2" s="14" t="s">
        <v>120</v>
      </c>
      <c r="F2" s="1"/>
      <c r="G2" s="1"/>
      <c r="M2" s="3"/>
      <c r="N2" s="3"/>
      <c r="O2" s="3"/>
    </row>
    <row r="3" spans="2:32" s="2" customFormat="1" x14ac:dyDescent="0.25">
      <c r="B3" s="13" t="s">
        <v>121</v>
      </c>
      <c r="C3" s="15">
        <f>$D$40</f>
        <v>1614</v>
      </c>
      <c r="D3" s="15">
        <f>IFERROR(VLOOKUP($C3,Duplas[],4,0),"")</f>
        <v>370</v>
      </c>
      <c r="E3" s="15">
        <f>IFERROR(VLOOKUP($C3,Duplas[],5,0),"")</f>
        <v>396</v>
      </c>
      <c r="F3" s="1"/>
      <c r="G3" s="1"/>
      <c r="M3" s="3"/>
      <c r="N3" s="3"/>
      <c r="O3" s="3"/>
    </row>
    <row r="4" spans="2:32" s="2" customFormat="1" x14ac:dyDescent="0.25"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2:32" s="2" customFormat="1" x14ac:dyDescent="0.25">
      <c r="C5" s="1"/>
      <c r="D5" s="1"/>
      <c r="E5" s="155" t="s">
        <v>122</v>
      </c>
      <c r="F5" s="155"/>
      <c r="G5" s="155"/>
      <c r="H5" s="155"/>
      <c r="I5" s="155"/>
      <c r="J5" s="154" t="s">
        <v>123</v>
      </c>
      <c r="K5" s="154"/>
      <c r="L5" s="154"/>
      <c r="M5" s="154"/>
      <c r="N5" s="154"/>
      <c r="O5" s="153" t="s">
        <v>124</v>
      </c>
      <c r="P5" s="153"/>
      <c r="Q5" s="153"/>
      <c r="R5" s="153"/>
      <c r="S5" s="153"/>
      <c r="T5" s="150" t="s">
        <v>125</v>
      </c>
      <c r="U5" s="150"/>
      <c r="V5" s="150"/>
      <c r="W5" s="150" t="s">
        <v>126</v>
      </c>
      <c r="X5" s="150"/>
      <c r="Y5" s="150"/>
      <c r="Z5" s="150" t="s">
        <v>127</v>
      </c>
      <c r="AA5" s="150"/>
      <c r="AB5" s="150"/>
      <c r="AC5" s="150" t="s">
        <v>128</v>
      </c>
      <c r="AD5" s="150"/>
      <c r="AE5" s="150"/>
    </row>
    <row r="6" spans="2:32" s="2" customFormat="1" x14ac:dyDescent="0.25">
      <c r="B6" s="16" t="s">
        <v>129</v>
      </c>
      <c r="C6" s="156" t="s">
        <v>41</v>
      </c>
      <c r="D6" s="157"/>
      <c r="E6" s="17" t="s">
        <v>130</v>
      </c>
      <c r="F6" s="17" t="s">
        <v>131</v>
      </c>
      <c r="G6" s="17" t="s">
        <v>132</v>
      </c>
      <c r="H6" s="17" t="s">
        <v>133</v>
      </c>
      <c r="I6" s="17" t="s">
        <v>134</v>
      </c>
      <c r="J6" s="18" t="s">
        <v>130</v>
      </c>
      <c r="K6" s="18" t="s">
        <v>131</v>
      </c>
      <c r="L6" s="18" t="s">
        <v>132</v>
      </c>
      <c r="M6" s="18" t="s">
        <v>133</v>
      </c>
      <c r="N6" s="18" t="s">
        <v>134</v>
      </c>
      <c r="O6" s="19" t="s">
        <v>130</v>
      </c>
      <c r="P6" s="19" t="s">
        <v>131</v>
      </c>
      <c r="Q6" s="19" t="s">
        <v>132</v>
      </c>
      <c r="R6" s="19" t="s">
        <v>133</v>
      </c>
      <c r="S6" s="19" t="s">
        <v>134</v>
      </c>
      <c r="T6" s="13" t="s">
        <v>130</v>
      </c>
      <c r="U6" s="13" t="s">
        <v>133</v>
      </c>
      <c r="V6" s="13" t="s">
        <v>134</v>
      </c>
      <c r="W6" s="13" t="s">
        <v>130</v>
      </c>
      <c r="X6" s="13" t="s">
        <v>133</v>
      </c>
      <c r="Y6" s="13" t="s">
        <v>134</v>
      </c>
      <c r="Z6" s="13" t="s">
        <v>130</v>
      </c>
      <c r="AA6" s="13" t="s">
        <v>133</v>
      </c>
      <c r="AB6" s="13" t="s">
        <v>134</v>
      </c>
      <c r="AC6" s="13" t="s">
        <v>135</v>
      </c>
      <c r="AD6" s="13" t="s">
        <v>136</v>
      </c>
      <c r="AE6" s="13" t="s">
        <v>137</v>
      </c>
    </row>
    <row r="7" spans="2:32" s="2" customFormat="1" x14ac:dyDescent="0.25">
      <c r="B7" s="16">
        <v>1</v>
      </c>
      <c r="C7" s="20">
        <f>MIN(DatosHoy[Puntos])</f>
        <v>94</v>
      </c>
      <c r="D7" s="15">
        <f>C8</f>
        <v>370</v>
      </c>
      <c r="E7" s="15">
        <f>$C7</f>
        <v>94</v>
      </c>
      <c r="F7" s="21" t="str">
        <f>IFERROR("Datos!"&amp;CONCATENATE(VLOOKUP($C7,DatosHoy[[#Headers],[#Data],[Puntos]:[CTq3 colum]],3,IF(COUNTIF(DatosHoy[Puntos],$C7)&lt;=1,0,1)),":",VLOOKUP($D7,DatosHoy[[#Headers],[#Data],[Puntos]:[CTq3 colum]],3,IF(COUNTIF(DatosHoy[Puntos],$D7)&lt;=1,0,1))),"")</f>
        <v>Datos!$F$6:$F$85</v>
      </c>
      <c r="G7" s="21" t="str">
        <f>IFERROR("Datos!"&amp;CONCATENATE(VLOOKUP($C7,DatosHoy[[#Headers],[#Data],[Puntos]:[CTq3 colum]],2,IF(COUNTIF(DatosHoy[Puntos],$C7)&lt;=1,0,1)),":",VLOOKUP($D7,DatosHoy[[#Headers],[#Data],[Puntos]:[CTq3 colum]],2,IF(COUNTIF(DatosHoy[Puntos],$D7)&lt;=1,0,1))),"")</f>
        <v>Datos!$P$6:$P$85</v>
      </c>
      <c r="H7" s="22">
        <f ca="1">IFERROR(SLOPE(INDIRECT(F7),INDIRECT($G7)),H6)</f>
        <v>13452.271358986764</v>
      </c>
      <c r="I7" s="22">
        <f ca="1">IFERROR(INTERCEPT(INDIRECT(F7),INDIRECT($G7)),I6)</f>
        <v>-122682.47920875205</v>
      </c>
      <c r="J7" s="15">
        <f>$C7</f>
        <v>94</v>
      </c>
      <c r="K7" s="21" t="str">
        <f>IFERROR("Datos!"&amp;CONCATENATE(VLOOKUP($C7,DatosHoy[[#Headers],[#Data],[Puntos]:[CTq3 colum]],4,IF(COUNTIF(DatosHoy[Puntos],$C7)&lt;=1,0,1)),":",VLOOKUP($D7,DatosHoy[[#Headers],[#Data],[Puntos]:[CTq3 colum]],4,IF(COUNTIF(DatosHoy[Puntos],$D7)&lt;=1,0,1))),"")</f>
        <v>Datos!$G$6:$G$85</v>
      </c>
      <c r="L7" s="21" t="str">
        <f>IFERROR("Datos!"&amp;CONCATENATE(VLOOKUP($C7,DatosHoy[[#Headers],[#Data],[Puntos]:[CTq3 colum]],2,IF(COUNTIF(DatosHoy[Puntos],$C7)&lt;=1,0,1)),":",VLOOKUP($D7,DatosHoy[[#Headers],[#Data],[Puntos]:[CTq3 colum]],2,IF(COUNTIF(DatosHoy[Puntos],$D7)&lt;=1,0,1))),"")</f>
        <v>Datos!$P$6:$P$85</v>
      </c>
      <c r="M7" s="22">
        <f ca="1">IFERROR(SLOPE(INDIRECT(K7),INDIRECT($G7)),M6)</f>
        <v>13838.300390439768</v>
      </c>
      <c r="N7" s="22">
        <f ca="1">IFERROR(INTERCEPT(INDIRECT(K7),INDIRECT($G7)),N6)</f>
        <v>-146603.92276921589</v>
      </c>
      <c r="O7" s="15">
        <f>$C7</f>
        <v>94</v>
      </c>
      <c r="P7" s="21" t="str">
        <f>IFERROR("Datos!"&amp;CONCATENATE(VLOOKUP($C7,DatosHoy[[#Headers],[#Data],[Puntos]:[CTq3 colum]],5,IF(COUNTIF(DatosHoy[Puntos],$C7)&lt;=1,0,1)),":",VLOOKUP($D7,DatosHoy[[#Headers],[#Data],[Puntos]:[CTq3 colum]],5,IF(COUNTIF(DatosHoy[Puntos],$D7)&lt;=1,0,1))),"")</f>
        <v>Datos!$H$6:$H$85</v>
      </c>
      <c r="Q7" s="21" t="str">
        <f>IFERROR("Datos!"&amp;CONCATENATE(VLOOKUP($C7,DatosHoy[[#Headers],[#Data],[Puntos]:[CTq3 colum]],2,IF(COUNTIF(DatosHoy[Puntos],$C7)&lt;=1,0,1)),":",VLOOKUP($D7,DatosHoy[[#Headers],[#Data],[Puntos]:[CTq3 colum]],2,IF(COUNTIF(DatosHoy[Puntos],$D7)&lt;=1,0,1))),"")</f>
        <v>Datos!$P$6:$P$85</v>
      </c>
      <c r="R7" s="22">
        <f ca="1">IFERROR(SLOPE(INDIRECT(P7),INDIRECT($G7)),R6)</f>
        <v>14280.103950135132</v>
      </c>
      <c r="S7" s="22">
        <f ca="1">IFERROR(INTERCEPT(INDIRECT(P7),INDIRECT($G7)),S6)</f>
        <v>-72524.336186071392</v>
      </c>
      <c r="T7" s="15">
        <f>$C7</f>
        <v>94</v>
      </c>
      <c r="U7" s="22">
        <f ca="1">IFERROR((AC8-AC7)/(T8-T7),U6)</f>
        <v>10003.418030451825</v>
      </c>
      <c r="V7" s="22">
        <f ca="1">IFERROR(AC8-(T8*U7),V6)</f>
        <v>590898.67092621978</v>
      </c>
      <c r="W7" s="15">
        <f>$C7</f>
        <v>94</v>
      </c>
      <c r="X7" s="22">
        <f ca="1">IFERROR((AD8-AD7)/(W8-W7),X6)</f>
        <v>10109.928114487817</v>
      </c>
      <c r="Y7" s="22">
        <f ca="1">IFERROR(AD8-(W8*X7),Y6)</f>
        <v>666058.03809130844</v>
      </c>
      <c r="Z7" s="15">
        <f>$C7</f>
        <v>94</v>
      </c>
      <c r="AA7" s="22">
        <f ca="1">IFERROR((AE8-AE7)/(Z8-Z7),AA6)</f>
        <v>10564.811132205336</v>
      </c>
      <c r="AB7" s="22">
        <f ca="1">IFERROR(AE8-(Z8*AA7),AB6)</f>
        <v>681281.09185777698</v>
      </c>
      <c r="AC7" s="22">
        <f ca="1">IFERROR(F18,"")</f>
        <v>1531219.9657886913</v>
      </c>
      <c r="AD7" s="22">
        <f ca="1">IFERROR(G18,"")</f>
        <v>1616391.2808531637</v>
      </c>
      <c r="AE7" s="22">
        <f ca="1">IFERROR(H18,"")</f>
        <v>1674373.3382850783</v>
      </c>
    </row>
    <row r="8" spans="2:32" s="2" customFormat="1" x14ac:dyDescent="0.25">
      <c r="B8" s="16">
        <v>2</v>
      </c>
      <c r="C8" s="15">
        <f>D3</f>
        <v>370</v>
      </c>
      <c r="D8" s="15">
        <f>C9</f>
        <v>396</v>
      </c>
      <c r="E8" s="15">
        <f>$C8</f>
        <v>370</v>
      </c>
      <c r="F8" s="21" t="str">
        <f>IFERROR("Datos!"&amp;CONCATENATE(VLOOKUP($C8,DatosHoy[[#Headers],[#Data],[Puntos]:[CTq3 colum]],3,IF(COUNTIF(DatosHoy[Puntos],$C8)&lt;=1,0,1)),":",VLOOKUP($D8,DatosHoy[[#Headers],[#Data],[Puntos]:[CTq3 colum]],3,IF(COUNTIF(DatosHoy[Puntos],$D8)&lt;=1,0,1))),"")</f>
        <v>Datos!$F$85:$F$97</v>
      </c>
      <c r="G8" s="21" t="str">
        <f>IFERROR("Datos!"&amp;CONCATENATE(VLOOKUP($C8,DatosHoy[[#Headers],[#Data],[Puntos]:[CTq3 colum]],2,IF(COUNTIF(DatosHoy[Puntos],$C8)&lt;=1,0,1)),":",VLOOKUP($D8,DatosHoy[[#Headers],[#Data],[Puntos]:[CTq3 colum]],2,IF(COUNTIF(DatosHoy[Puntos],$D8)&lt;=1,0,1))),"")</f>
        <v>Datos!$P$85:$P$97</v>
      </c>
      <c r="H8" s="22">
        <f ca="1">IFERROR(SLOPE(INDIRECT(F8),INDIRECT($G8)),H7)</f>
        <v>172333.76379105521</v>
      </c>
      <c r="I8" s="22">
        <f ca="1">IFERROR(INTERCEPT(INDIRECT(F8),INDIRECT($G8)),I7)</f>
        <v>-59471329.260497034</v>
      </c>
      <c r="J8" s="15">
        <f>$C8</f>
        <v>370</v>
      </c>
      <c r="K8" s="21" t="str">
        <f>IFERROR("Datos!"&amp;CONCATENATE(VLOOKUP($C8,DatosHoy[[#Headers],[#Data],[Puntos]:[CTq3 colum]],4,IF(COUNTIF(DatosHoy[Puntos],$C8)&lt;=1,0,1)),":",VLOOKUP($D8,DatosHoy[[#Headers],[#Data],[Puntos]:[CTq3 colum]],4,IF(COUNTIF(DatosHoy[Puntos],$D8)&lt;=1,0,1))),"")</f>
        <v>Datos!$G$85:$G$97</v>
      </c>
      <c r="L8" s="21" t="str">
        <f>IFERROR("Datos!"&amp;CONCATENATE(VLOOKUP($C8,DatosHoy[[#Headers],[#Data],[Puntos]:[CTq3 colum]],2,IF(COUNTIF(DatosHoy[Puntos],$C8)&lt;=1,0,1)),":",VLOOKUP($D8,DatosHoy[[#Headers],[#Data],[Puntos]:[CTq3 colum]],2,IF(COUNTIF(DatosHoy[Puntos],$D8)&lt;=1,0,1))),"")</f>
        <v>Datos!$P$85:$P$97</v>
      </c>
      <c r="M8" s="22">
        <f ca="1">IFERROR(SLOPE(INDIRECT(K8),INDIRECT($G8)),M7)</f>
        <v>168271.04231101557</v>
      </c>
      <c r="N8" s="22">
        <f ca="1">IFERROR(INTERCEPT(INDIRECT(K8),INDIRECT($G8)),N7)</f>
        <v>-57853554.214623958</v>
      </c>
      <c r="O8" s="15">
        <f>$C8</f>
        <v>370</v>
      </c>
      <c r="P8" s="21" t="str">
        <f>IFERROR("Datos!"&amp;CONCATENATE(VLOOKUP($C8,DatosHoy[[#Headers],[#Data],[Puntos]:[CTq3 colum]],5,IF(COUNTIF(DatosHoy[Puntos],$C8)&lt;=1,0,1)),":",VLOOKUP($D8,DatosHoy[[#Headers],[#Data],[Puntos]:[CTq3 colum]],5,IF(COUNTIF(DatosHoy[Puntos],$D8)&lt;=1,0,1))),"")</f>
        <v>Datos!$H$85:$H$97</v>
      </c>
      <c r="Q8" s="21" t="str">
        <f>IFERROR("Datos!"&amp;CONCATENATE(VLOOKUP($C8,DatosHoy[[#Headers],[#Data],[Puntos]:[CTq3 colum]],2,IF(COUNTIF(DatosHoy[Puntos],$C8)&lt;=1,0,1)),":",VLOOKUP($D8,DatosHoy[[#Headers],[#Data],[Puntos]:[CTq3 colum]],2,IF(COUNTIF(DatosHoy[Puntos],$D8)&lt;=1,0,1))),"")</f>
        <v>Datos!$P$85:$P$97</v>
      </c>
      <c r="R8" s="22">
        <f ca="1">IFERROR(SLOPE(INDIRECT(P8),INDIRECT($G8)),R7)</f>
        <v>161286.5110390195</v>
      </c>
      <c r="S8" s="22">
        <f ca="1">IFERROR(INTERCEPT(INDIRECT(P8),INDIRECT($G8)),S7)</f>
        <v>-55085747.873663463</v>
      </c>
      <c r="T8" s="15">
        <f>$C8</f>
        <v>370</v>
      </c>
      <c r="U8" s="22">
        <f ca="1">IFERROR((AC9-AC8)/(T9-T8),U7)</f>
        <v>24707.067218511438</v>
      </c>
      <c r="V8" s="22">
        <f ca="1">IFERROR(AC9-(T9*U8),V7)</f>
        <v>-4849451.5286558364</v>
      </c>
      <c r="W8" s="15">
        <f>$C8</f>
        <v>370</v>
      </c>
      <c r="X8" s="22">
        <f ca="1">IFERROR((AD9-AD8)/(W9-W8),X7)</f>
        <v>26529.857203768424</v>
      </c>
      <c r="Y8" s="22">
        <f ca="1">IFERROR(AD9-(W9*X8),Y7)</f>
        <v>-5409315.7249425165</v>
      </c>
      <c r="Z8" s="15">
        <f>$C8</f>
        <v>370</v>
      </c>
      <c r="AA8" s="22">
        <f ca="1">IFERROR((AE9-AE8)/(Z9-Z8),AA7)</f>
        <v>29554.58728733709</v>
      </c>
      <c r="AB8" s="22">
        <f ca="1">IFERROR(AE9-(Z9*AA8),AB7)</f>
        <v>-6344936.0855409727</v>
      </c>
      <c r="AC8" s="22">
        <f ca="1">IFERROR(IF(T8=T7,AC7,VLOOKUP($T8,$E$6:$I$10,4,1)*$T8+VLOOKUP($T8,$E$6:$I$10,5,1)),"")</f>
        <v>4292163.3421933949</v>
      </c>
      <c r="AD8" s="22">
        <f ca="1">IFERROR(IF(W8=W7,AD7,VLOOKUP($W8,$J$6:$N$10,4,1)*$W8+VLOOKUP($W8,$J$6:$N$10,5,1)),"")</f>
        <v>4406731.4404518008</v>
      </c>
      <c r="AE8" s="22">
        <f ca="1">IFERROR(IF(Z8=Z7,AE7,VLOOKUP($Z8,$O$6:$S$10,4,1)*$Z8+VLOOKUP($Z8,$O$6:$S$10,5,1)),"")</f>
        <v>4590261.2107737511</v>
      </c>
    </row>
    <row r="9" spans="2:32" s="2" customFormat="1" x14ac:dyDescent="0.25">
      <c r="B9" s="16">
        <v>3</v>
      </c>
      <c r="C9" s="15">
        <f>E3</f>
        <v>396</v>
      </c>
      <c r="D9" s="20">
        <f>MAX(DatosHoy[Puntos])</f>
        <v>1048</v>
      </c>
      <c r="E9" s="15">
        <f>$C9</f>
        <v>396</v>
      </c>
      <c r="F9" s="21" t="str">
        <f>IFERROR("Datos!"&amp;CONCATENATE(VLOOKUP($C9,DatosHoy[[#Headers],[#Data],[Puntos]:[CTq3 colum]],3,IF(COUNTIF(DatosHoy[Puntos],$C9)&lt;=1,0,1)),":",VLOOKUP($D9,DatosHoy[[#Headers],[#Data],[Puntos]:[CTq3 colum]],3,IF(COUNTIF(DatosHoy[Puntos],$D9)&lt;=1,0,1))),"")</f>
        <v>Datos!$F$97:$F$144</v>
      </c>
      <c r="G9" s="21" t="str">
        <f>IFERROR("Datos!"&amp;CONCATENATE(VLOOKUP($C9,DatosHoy[[#Headers],[#Data],[Puntos]:[CTq3 colum]],2,IF(COUNTIF(DatosHoy[Puntos],$C9)&lt;=1,0,1)),":",VLOOKUP($D9,DatosHoy[[#Headers],[#Data],[Puntos]:[CTq3 colum]],2,IF(COUNTIF(DatosHoy[Puntos],$D9)&lt;=1,0,1))),"")</f>
        <v>Datos!$P$97:$P$144</v>
      </c>
      <c r="H9" s="22">
        <f ca="1">IFERROR(SLOPE(INDIRECT(F9),INDIRECT($G9)),H8)</f>
        <v>26714.925522217523</v>
      </c>
      <c r="I9" s="22">
        <f ca="1">IFERROR(INTERCEPT(INDIRECT(F9),INDIRECT($G9)),I8)</f>
        <v>-5644563.4169234466</v>
      </c>
      <c r="J9" s="15">
        <f>$C9</f>
        <v>396</v>
      </c>
      <c r="K9" s="21" t="str">
        <f>IFERROR("Datos!"&amp;CONCATENATE(VLOOKUP($C9,DatosHoy[[#Headers],[#Data],[Puntos]:[CTq3 colum]],4,IF(COUNTIF(DatosHoy[Puntos],$C9)&lt;=1,0,1)),":",VLOOKUP($D9,DatosHoy[[#Headers],[#Data],[Puntos]:[CTq3 colum]],4,IF(COUNTIF(DatosHoy[Puntos],$D9)&lt;=1,0,1))),"")</f>
        <v>Datos!$G$97:$G$144</v>
      </c>
      <c r="L9" s="21" t="str">
        <f>IFERROR("Datos!"&amp;CONCATENATE(VLOOKUP($C9,DatosHoy[[#Headers],[#Data],[Puntos]:[CTq3 colum]],2,IF(COUNTIF(DatosHoy[Puntos],$C9)&lt;=1,0,1)),":",VLOOKUP($D9,DatosHoy[[#Headers],[#Data],[Puntos]:[CTq3 colum]],2,IF(COUNTIF(DatosHoy[Puntos],$D9)&lt;=1,0,1))),"")</f>
        <v>Datos!$P$97:$P$144</v>
      </c>
      <c r="M9" s="22">
        <f ca="1">IFERROR(SLOPE(INDIRECT(K9),INDIRECT($G9)),M8)</f>
        <v>31097.079237069916</v>
      </c>
      <c r="N9" s="22">
        <f ca="1">IFERROR(INTERCEPT(INDIRECT(K9),INDIRECT($G9)),N8)</f>
        <v>-7217935.6501299068</v>
      </c>
      <c r="O9" s="15">
        <f>$C9</f>
        <v>396</v>
      </c>
      <c r="P9" s="21" t="str">
        <f>IFERROR("Datos!"&amp;CONCATENATE(VLOOKUP($C9,DatosHoy[[#Headers],[#Data],[Puntos]:[CTq3 colum]],5,IF(COUNTIF(DatosHoy[Puntos],$C9)&lt;=1,0,1)),":",VLOOKUP($D9,DatosHoy[[#Headers],[#Data],[Puntos]:[CTq3 colum]],5,IF(COUNTIF(DatosHoy[Puntos],$D9)&lt;=1,0,1))),"")</f>
        <v>Datos!$H$97:$H$144</v>
      </c>
      <c r="Q9" s="21" t="str">
        <f>IFERROR("Datos!"&amp;CONCATENATE(VLOOKUP($C9,DatosHoy[[#Headers],[#Data],[Puntos]:[CTq3 colum]],2,IF(COUNTIF(DatosHoy[Puntos],$C9)&lt;=1,0,1)),":",VLOOKUP($D9,DatosHoy[[#Headers],[#Data],[Puntos]:[CTq3 colum]],2,IF(COUNTIF(DatosHoy[Puntos],$D9)&lt;=1,0,1))),"")</f>
        <v>Datos!$P$97:$P$144</v>
      </c>
      <c r="R9" s="22">
        <f ca="1">IFERROR(SLOPE(INDIRECT(P9),INDIRECT($G9)),R8)</f>
        <v>31052.727695334957</v>
      </c>
      <c r="S9" s="22">
        <f ca="1">IFERROR(INTERCEPT(INDIRECT(P9),INDIRECT($G9)),S8)</f>
        <v>-6938199.6871081274</v>
      </c>
      <c r="T9" s="15">
        <f>$C9</f>
        <v>396</v>
      </c>
      <c r="U9" s="22">
        <f ca="1">IFERROR((AC10-AC9)/(T10-T9),U8)</f>
        <v>30775.959777728855</v>
      </c>
      <c r="V9" s="22">
        <f ca="1">IFERROR(AC10-(T10*U9),V8)</f>
        <v>-7252732.9821059331</v>
      </c>
      <c r="W9" s="15">
        <f>$C9</f>
        <v>396</v>
      </c>
      <c r="X9" s="22">
        <f ca="1">IFERROR((AD10-AD9)/(W10-W9),X8)</f>
        <v>32660.384658299576</v>
      </c>
      <c r="Y9" s="22">
        <f ca="1">IFERROR(AD10-(W10*X9),Y8)</f>
        <v>-7837004.5969368555</v>
      </c>
      <c r="Z9" s="15">
        <f>$C9</f>
        <v>396</v>
      </c>
      <c r="AA9" s="22">
        <f ca="1">IFERROR((AE10-AE9)/(Z10-Z9),AA8)</f>
        <v>33710.245941965273</v>
      </c>
      <c r="AB9" s="22">
        <f ca="1">IFERROR(AE10-(Z10*AA9),AB8)</f>
        <v>-7990576.9127737321</v>
      </c>
      <c r="AC9" s="22">
        <f ca="1">IFERROR(IF(T9=T10,AC10,VLOOKUP($T9,$E$6:$I$10,4,1)*$T9+VLOOKUP($T9,$E$6:$I$10,5,1)),"")</f>
        <v>4934547.0898746923</v>
      </c>
      <c r="AD9" s="22">
        <f ca="1">IFERROR(IF(W9=W10,AD10,VLOOKUP($W9,$J$6:$N$10,4,1)*$W9+VLOOKUP($W9,$J$6:$N$10,5,1)),"")</f>
        <v>5096507.7277497798</v>
      </c>
      <c r="AE9" s="22">
        <f ca="1">IFERROR(IF(Z9=Z10,AE10,VLOOKUP($Z9,$O$6:$S$10,4,1)*$Z9+VLOOKUP($Z9,$O$6:$S$10,5,1)),"")</f>
        <v>5358680.4802445155</v>
      </c>
    </row>
    <row r="10" spans="2:32" s="2" customFormat="1" x14ac:dyDescent="0.25">
      <c r="B10" s="16">
        <v>4</v>
      </c>
      <c r="C10" s="20">
        <f>D9</f>
        <v>1048</v>
      </c>
      <c r="D10" s="15">
        <v>2623</v>
      </c>
      <c r="E10" s="15">
        <f>$C10</f>
        <v>1048</v>
      </c>
      <c r="F10" s="21" t="str">
        <f>F9</f>
        <v>Datos!$F$97:$F$144</v>
      </c>
      <c r="G10" s="21" t="str">
        <f>G9</f>
        <v>Datos!$P$97:$P$144</v>
      </c>
      <c r="H10" s="22">
        <f ca="1">IFERROR(SLOPE(INDIRECT(F10),INDIRECT($G10)),H9)</f>
        <v>26714.925522217523</v>
      </c>
      <c r="I10" s="22">
        <f ca="1">IFERROR(INTERCEPT(INDIRECT(F10),INDIRECT($G10)),I9)</f>
        <v>-5644563.4169234466</v>
      </c>
      <c r="J10" s="15">
        <f>$C10</f>
        <v>1048</v>
      </c>
      <c r="K10" s="21" t="str">
        <f>K9</f>
        <v>Datos!$G$97:$G$144</v>
      </c>
      <c r="L10" s="21" t="str">
        <f>L9</f>
        <v>Datos!$P$97:$P$144</v>
      </c>
      <c r="M10" s="22">
        <f ca="1">IFERROR(SLOPE(INDIRECT(K10),INDIRECT($G10)),M9)</f>
        <v>31097.079237069916</v>
      </c>
      <c r="N10" s="22">
        <f ca="1">IFERROR(INTERCEPT(INDIRECT(K10),INDIRECT($G10)),N9)</f>
        <v>-7217935.6501299068</v>
      </c>
      <c r="O10" s="15">
        <f>$C10</f>
        <v>1048</v>
      </c>
      <c r="P10" s="21" t="str">
        <f>P9</f>
        <v>Datos!$H$97:$H$144</v>
      </c>
      <c r="Q10" s="21" t="str">
        <f>Q9</f>
        <v>Datos!$P$97:$P$144</v>
      </c>
      <c r="R10" s="22">
        <f ca="1">IFERROR(SLOPE(INDIRECT(P10),INDIRECT($G10)),R9)</f>
        <v>31052.727695334957</v>
      </c>
      <c r="S10" s="22">
        <f ca="1">IFERROR(INTERCEPT(INDIRECT(P10),INDIRECT($G10)),S9)</f>
        <v>-6938199.6871081274</v>
      </c>
      <c r="T10" s="15">
        <f>$C10</f>
        <v>1048</v>
      </c>
      <c r="U10" s="22">
        <f ca="1">U9</f>
        <v>30775.959777728855</v>
      </c>
      <c r="V10" s="22">
        <f ca="1">V9</f>
        <v>-7252732.9821059331</v>
      </c>
      <c r="W10" s="15">
        <f>$C10</f>
        <v>1048</v>
      </c>
      <c r="X10" s="22">
        <f ca="1">X9</f>
        <v>32660.384658299576</v>
      </c>
      <c r="Y10" s="22">
        <f ca="1">Y9</f>
        <v>-7837004.5969368555</v>
      </c>
      <c r="Z10" s="15">
        <f>$C10</f>
        <v>1048</v>
      </c>
      <c r="AA10" s="22">
        <f ca="1">AA9</f>
        <v>33710.245941965273</v>
      </c>
      <c r="AB10" s="22">
        <f ca="1">AB9</f>
        <v>-7990576.9127737321</v>
      </c>
      <c r="AC10" s="22">
        <f ca="1">IFERROR(F23,"")</f>
        <v>25000472.864953905</v>
      </c>
      <c r="AD10" s="22">
        <f ca="1">IFERROR(G23,"")</f>
        <v>26391078.524961103</v>
      </c>
      <c r="AE10" s="22">
        <f ca="1">IFERROR(H23,"")</f>
        <v>27337760.834405873</v>
      </c>
    </row>
    <row r="11" spans="2:32" s="2" customFormat="1" x14ac:dyDescent="0.25">
      <c r="C11" s="1"/>
      <c r="D11" s="1"/>
      <c r="E11" s="1"/>
      <c r="F11" s="1"/>
      <c r="G11" s="1"/>
      <c r="M11" s="3"/>
      <c r="N11" s="3"/>
      <c r="O11" s="3"/>
    </row>
    <row r="12" spans="2:32" s="2" customFormat="1" x14ac:dyDescent="0.25">
      <c r="C12" s="1"/>
      <c r="D12" s="1"/>
      <c r="E12" s="1"/>
      <c r="F12" s="1"/>
      <c r="G12" s="1"/>
      <c r="M12" s="3"/>
      <c r="N12" s="3"/>
      <c r="O12" s="3"/>
    </row>
    <row r="13" spans="2:32" s="2" customFormat="1" x14ac:dyDescent="0.25">
      <c r="C13" s="155" t="s">
        <v>138</v>
      </c>
      <c r="D13" s="155"/>
      <c r="E13" s="155"/>
      <c r="F13" s="155"/>
      <c r="G13" s="155"/>
      <c r="H13" s="155"/>
      <c r="N13" s="3"/>
      <c r="O13" s="3"/>
      <c r="P13" s="3"/>
    </row>
    <row r="14" spans="2:32" s="2" customFormat="1" x14ac:dyDescent="0.25">
      <c r="C14" s="158" t="s">
        <v>139</v>
      </c>
      <c r="D14" s="159"/>
      <c r="E14" s="160"/>
      <c r="F14" s="17" t="s">
        <v>135</v>
      </c>
      <c r="G14" s="17" t="s">
        <v>136</v>
      </c>
      <c r="H14" s="17" t="s">
        <v>137</v>
      </c>
      <c r="N14" s="3"/>
      <c r="O14" s="3"/>
      <c r="P14" s="3"/>
    </row>
    <row r="15" spans="2:32" s="2" customFormat="1" x14ac:dyDescent="0.25">
      <c r="B15" s="151" t="s">
        <v>140</v>
      </c>
      <c r="C15" s="161" t="s">
        <v>141</v>
      </c>
      <c r="D15" s="162"/>
      <c r="E15" s="23">
        <f>MIN(Datos!P6:P144)</f>
        <v>94</v>
      </c>
      <c r="F15" s="24">
        <f ca="1">IFERROR(VLOOKUP($E15,$E$6:$I$10,4,1)*$E15+VLOOKUP($E15,$E$6:$I$10,5,1),"")</f>
        <v>1141831.0285360038</v>
      </c>
      <c r="G15" s="25">
        <f ca="1">IFERROR(VLOOKUP($E15,$J$6:$N$10,4,1)*$E15+VLOOKUP($E15,$J$6:$N$10,5,1),"")</f>
        <v>1154196.3139321224</v>
      </c>
      <c r="H15" s="25">
        <f ca="1">IFERROR(VLOOKUP($E15,$O$6:$S$10,4,1)*$E15+VLOOKUP($E15,$O$6:$S$10,5,1),"")</f>
        <v>1269805.4351266311</v>
      </c>
      <c r="J15" s="1"/>
      <c r="K15" s="1"/>
      <c r="L15" s="1"/>
      <c r="M15" s="1"/>
      <c r="N15" s="3"/>
      <c r="O15" s="3"/>
      <c r="P15" s="3"/>
    </row>
    <row r="16" spans="2:32" s="2" customFormat="1" x14ac:dyDescent="0.25">
      <c r="B16" s="151"/>
      <c r="C16" s="163" t="s">
        <v>142</v>
      </c>
      <c r="D16" s="164"/>
      <c r="E16" s="26"/>
      <c r="F16" s="27">
        <f>IFERROR($H16*Datos!$F$3,"")</f>
        <v>1531219.9657886913</v>
      </c>
      <c r="G16" s="27">
        <f>IFERROR($H16*Datos!$G$3,"")</f>
        <v>1616391.2808531637</v>
      </c>
      <c r="H16" s="27">
        <f>IFERROR(MIN(DatosHoy[CT Q1]),"")</f>
        <v>1674373.3382850783</v>
      </c>
      <c r="N16" s="3"/>
      <c r="O16" s="3"/>
      <c r="P16" s="3"/>
    </row>
    <row r="17" spans="2:16" s="2" customFormat="1" x14ac:dyDescent="0.25">
      <c r="B17" s="151"/>
      <c r="C17" s="165" t="s">
        <v>143</v>
      </c>
      <c r="D17" s="166"/>
      <c r="E17" s="28">
        <v>0.1</v>
      </c>
      <c r="F17" s="29">
        <f>IFERROR(F16*(1+$E$17),"")</f>
        <v>1684341.9623675605</v>
      </c>
      <c r="G17" s="29">
        <f>IFERROR(G16*(1+$E$17),"")</f>
        <v>1778030.4089384803</v>
      </c>
      <c r="H17" s="29">
        <f>IFERROR(H16*(1+$E$17),"")</f>
        <v>1841810.6721135862</v>
      </c>
      <c r="N17" s="3"/>
      <c r="O17" s="3"/>
      <c r="P17" s="3"/>
    </row>
    <row r="18" spans="2:16" s="2" customFormat="1" x14ac:dyDescent="0.25">
      <c r="B18" s="152"/>
      <c r="C18" s="167" t="s">
        <v>144</v>
      </c>
      <c r="D18" s="167"/>
      <c r="E18" s="30"/>
      <c r="F18" s="31">
        <f ca="1">IF(F15&gt;F17,F17,IF(F15&lt;F16,F16,F15))</f>
        <v>1531219.9657886913</v>
      </c>
      <c r="G18" s="31">
        <f ca="1">IF(G15&gt;G17,G17,IF(G15&lt;G16,G16,G15))</f>
        <v>1616391.2808531637</v>
      </c>
      <c r="H18" s="31">
        <f ca="1">IF(H15&gt;H17,H17,IF(H15&lt;H16,H16,H15))</f>
        <v>1674373.3382850783</v>
      </c>
      <c r="J18" s="1"/>
      <c r="K18" s="1"/>
      <c r="L18" s="1"/>
      <c r="M18" s="1"/>
      <c r="N18" s="3"/>
      <c r="O18" s="3"/>
      <c r="P18" s="3"/>
    </row>
    <row r="19" spans="2:16" s="2" customFormat="1" x14ac:dyDescent="0.25">
      <c r="B19" s="151" t="s">
        <v>145</v>
      </c>
      <c r="C19" s="168" t="s">
        <v>146</v>
      </c>
      <c r="D19" s="169"/>
      <c r="E19" s="32">
        <f>MAX(Datos!P6:P144)</f>
        <v>1048</v>
      </c>
      <c r="F19" s="33">
        <f ca="1">IFERROR(VLOOKUP($E19,$E$6:$I$10,4,1)*$E19+VLOOKUP($E19,$E$6:$I$10,5,1),"")</f>
        <v>22352678.53036052</v>
      </c>
      <c r="G19" s="34">
        <f ca="1">IFERROR(VLOOKUP($E19,$J$6:$N$10,4,1)*$E19+VLOOKUP($E19,$J$6:$N$10,5,1),"")</f>
        <v>25371803.390319366</v>
      </c>
      <c r="H19" s="34">
        <f ca="1">IFERROR(VLOOKUP($E19,$O$6:$S$10,4,1)*$E19+VLOOKUP($E19,$O$6:$S$10,5,1),"")</f>
        <v>25605058.937602907</v>
      </c>
      <c r="N19" s="3"/>
      <c r="O19" s="3"/>
      <c r="P19" s="3"/>
    </row>
    <row r="20" spans="2:16" s="2" customFormat="1" x14ac:dyDescent="0.25">
      <c r="B20" s="151"/>
      <c r="C20" s="161" t="s">
        <v>147</v>
      </c>
      <c r="D20" s="170"/>
      <c r="E20" s="35"/>
      <c r="F20" s="27">
        <f>IFERROR(F21*(1-$E$21),"")</f>
        <v>25000472.864953905</v>
      </c>
      <c r="G20" s="27">
        <f>IFERROR(G21*(1-$E$21),"")</f>
        <v>26391078.524961103</v>
      </c>
      <c r="H20" s="27">
        <f>IFERROR(H21*(1-$E$21),"")</f>
        <v>27337760.834405873</v>
      </c>
      <c r="N20" s="3"/>
      <c r="O20" s="3"/>
      <c r="P20" s="3"/>
    </row>
    <row r="21" spans="2:16" s="2" customFormat="1" x14ac:dyDescent="0.25">
      <c r="B21" s="151"/>
      <c r="C21" s="161" t="s">
        <v>148</v>
      </c>
      <c r="D21" s="170"/>
      <c r="E21" s="36">
        <v>0.1</v>
      </c>
      <c r="F21" s="27">
        <f>IFERROR($H21*Datos!$F$3,"")</f>
        <v>27778303.183282118</v>
      </c>
      <c r="G21" s="27">
        <f>IFERROR($H21*Datos!$G$3,"")</f>
        <v>29323420.583290115</v>
      </c>
      <c r="H21" s="27">
        <f>IFERROR(MAX(DatosHoy[CT Q1]),"")</f>
        <v>30375289.816006526</v>
      </c>
      <c r="N21" s="3"/>
      <c r="O21" s="3"/>
      <c r="P21" s="3"/>
    </row>
    <row r="22" spans="2:16" s="2" customFormat="1" x14ac:dyDescent="0.25">
      <c r="B22" s="151"/>
      <c r="C22" s="165" t="s">
        <v>149</v>
      </c>
      <c r="D22" s="166"/>
      <c r="E22" s="37"/>
      <c r="F22" s="38">
        <f>IFERROR(F21*(1+$E$21),"")</f>
        <v>30556133.501610331</v>
      </c>
      <c r="G22" s="38">
        <f>IFERROR(G21*(1+$E$21),"")</f>
        <v>32255762.641619127</v>
      </c>
      <c r="H22" s="38">
        <f>IFERROR(H21*(1+$E$21),"")</f>
        <v>33412818.797607183</v>
      </c>
      <c r="N22" s="3"/>
      <c r="O22" s="3"/>
      <c r="P22" s="3"/>
    </row>
    <row r="23" spans="2:16" s="2" customFormat="1" x14ac:dyDescent="0.25">
      <c r="B23" s="152"/>
      <c r="C23" s="167" t="s">
        <v>150</v>
      </c>
      <c r="D23" s="167"/>
      <c r="E23" s="32"/>
      <c r="F23" s="39">
        <f ca="1">IF(F19&gt;F22,F22,IF(F19&lt;F20,F20,F19))</f>
        <v>25000472.864953905</v>
      </c>
      <c r="G23" s="39">
        <f ca="1">IF(G19&gt;G22,G22,IF(G19&lt;G20,G20,G19))</f>
        <v>26391078.524961103</v>
      </c>
      <c r="H23" s="39">
        <f ca="1">IF(H19&gt;H22,H22,IF(H19&lt;H20,H20,H19))</f>
        <v>27337760.834405873</v>
      </c>
      <c r="N23" s="3"/>
      <c r="O23" s="3"/>
      <c r="P23" s="3"/>
    </row>
    <row r="24" spans="2:16" s="2" customFormat="1" x14ac:dyDescent="0.25">
      <c r="C24" s="1"/>
      <c r="D24" s="1"/>
      <c r="E24" s="1"/>
      <c r="F24" s="1"/>
      <c r="G24" s="1"/>
      <c r="M24" s="3"/>
      <c r="N24" s="3"/>
      <c r="O24" s="3"/>
    </row>
    <row r="25" spans="2:16" s="2" customFormat="1" x14ac:dyDescent="0.25">
      <c r="C25" s="1"/>
      <c r="D25" s="1"/>
      <c r="E25" s="1"/>
      <c r="F25" s="1"/>
      <c r="G25" s="1"/>
      <c r="M25" s="3"/>
      <c r="N25" s="3"/>
      <c r="O25" s="3"/>
    </row>
    <row r="26" spans="2:16" s="2" customFormat="1" x14ac:dyDescent="0.25">
      <c r="D26" s="171" t="s">
        <v>151</v>
      </c>
      <c r="E26" s="171"/>
      <c r="F26" s="155"/>
      <c r="G26" s="155"/>
      <c r="H26" s="155"/>
      <c r="N26" s="3"/>
      <c r="O26" s="3"/>
      <c r="P26" s="3"/>
    </row>
    <row r="27" spans="2:16" s="2" customFormat="1" x14ac:dyDescent="0.25">
      <c r="D27" s="40"/>
      <c r="E27" s="41"/>
      <c r="F27" s="42" t="s">
        <v>135</v>
      </c>
      <c r="G27" s="42" t="s">
        <v>136</v>
      </c>
      <c r="H27" s="17" t="s">
        <v>137</v>
      </c>
      <c r="N27" s="3"/>
      <c r="O27" s="3"/>
      <c r="P27" s="3"/>
    </row>
    <row r="28" spans="2:16" s="2" customFormat="1" x14ac:dyDescent="0.25">
      <c r="D28" s="156" t="s">
        <v>152</v>
      </c>
      <c r="E28" s="157"/>
      <c r="F28" s="43">
        <f>IFERROR(DatosHoy[[#Totals],[G Q1]],"")</f>
        <v>721482575.68527234</v>
      </c>
      <c r="G28" s="43">
        <f>IFERROR(DatosHoy[[#Totals],[G+V Q1]],"")</f>
        <v>761613726.75445676</v>
      </c>
      <c r="H28" s="43">
        <f>IFERROR(DatosHoy[[#Totals],[CT Q1]],"")</f>
        <v>788933801.64517438</v>
      </c>
      <c r="N28" s="3"/>
      <c r="O28" s="3"/>
      <c r="P28" s="3"/>
    </row>
    <row r="29" spans="2:16" s="2" customFormat="1" x14ac:dyDescent="0.25">
      <c r="D29" s="156" t="s">
        <v>153</v>
      </c>
      <c r="E29" s="172"/>
      <c r="F29" s="43">
        <f ca="1">IFERROR(DatosHoy[[#Totals],[G ajus PM Q1]],"")</f>
        <v>722929450.35014808</v>
      </c>
      <c r="G29" s="43">
        <f ca="1">IFERROR(DatosHoy[[#Totals],[G+V ajus PM Q1]],"")</f>
        <v>752358392.04539955</v>
      </c>
      <c r="H29" s="43">
        <f ca="1">IFERROR(DatosHoy[[#Totals],[CT ajus PM Q1]],"")</f>
        <v>783881480.63892555</v>
      </c>
      <c r="N29" s="3"/>
      <c r="O29" s="3"/>
      <c r="P29" s="3"/>
    </row>
    <row r="30" spans="2:16" s="2" customFormat="1" x14ac:dyDescent="0.25">
      <c r="D30" s="44" t="s">
        <v>154</v>
      </c>
      <c r="E30" s="45">
        <f ca="1">SUM(F30:H30)</f>
        <v>2.0748429516915023E-2</v>
      </c>
      <c r="F30" s="46">
        <f ca="1">IFERROR(ABS(1-F28/F29),"")</f>
        <v>2.0014050668083483E-3</v>
      </c>
      <c r="G30" s="47">
        <f ca="1">IFERROR(ABS(1-G28/G29),"")</f>
        <v>1.2301763105074359E-2</v>
      </c>
      <c r="H30" s="47">
        <f ca="1">IFERROR(ABS(1-H28/H29),"")</f>
        <v>6.445261345032316E-3</v>
      </c>
      <c r="N30" s="3"/>
      <c r="O30" s="3"/>
      <c r="P30" s="3"/>
    </row>
    <row r="31" spans="2:16" s="2" customFormat="1" x14ac:dyDescent="0.25">
      <c r="D31" s="156" t="s">
        <v>155</v>
      </c>
      <c r="E31" s="173"/>
      <c r="F31" s="48">
        <f ca="1">SUMIF(DatosHoy[G ajus PM Q1],"&lt;0")</f>
        <v>0</v>
      </c>
      <c r="G31" s="48">
        <f ca="1">SUMIF(DatosHoy[G+V ajus PM Q1],"&lt;0")</f>
        <v>0</v>
      </c>
      <c r="H31" s="48">
        <f ca="1">SUMIF(DatosHoy[CT ajus PM Q1],"&lt;0")</f>
        <v>0</v>
      </c>
      <c r="N31" s="3"/>
      <c r="O31" s="3"/>
      <c r="P31" s="3"/>
    </row>
    <row r="32" spans="2:16" s="2" customFormat="1" x14ac:dyDescent="0.25">
      <c r="C32" s="4"/>
      <c r="D32" s="1"/>
      <c r="E32" s="3"/>
      <c r="F32" s="3"/>
      <c r="G32" s="3"/>
      <c r="M32" s="3"/>
      <c r="N32" s="3"/>
      <c r="O32" s="3"/>
    </row>
    <row r="33" spans="2:30" s="2" customFormat="1" x14ac:dyDescent="0.25">
      <c r="B33" s="156" t="s">
        <v>156</v>
      </c>
      <c r="C33" s="174"/>
      <c r="D33" s="157"/>
      <c r="L33" s="3"/>
      <c r="M33" s="3"/>
      <c r="N33" s="3"/>
    </row>
    <row r="34" spans="2:30" s="2" customFormat="1" x14ac:dyDescent="0.25">
      <c r="B34" s="16">
        <v>2</v>
      </c>
      <c r="C34" s="156" t="s">
        <v>157</v>
      </c>
      <c r="D34" s="174"/>
      <c r="E34" s="45">
        <f ca="1">IF(OR(OR(F30="",G30="",H30=""),AND(F30="",G30="",H30="")),"NO",SUM(F30:H30))</f>
        <v>2.0748429516915023E-2</v>
      </c>
      <c r="L34" s="3"/>
      <c r="M34" s="3"/>
      <c r="N34" s="3"/>
    </row>
    <row r="35" spans="2:30" s="2" customFormat="1" x14ac:dyDescent="0.25">
      <c r="B35" s="16">
        <v>1</v>
      </c>
      <c r="C35" s="156" t="s">
        <v>158</v>
      </c>
      <c r="D35" s="157"/>
      <c r="E35" s="35">
        <f ca="1">COUNTIF(DatosHoy[[V1 Q1]:[V5 Q1]],"&gt;0")+COUNTIF(DatosHoy[[V1 Q1 vs Md]:[V3 Q1 vs Md]],"&gt;0")</f>
        <v>0</v>
      </c>
      <c r="L35" s="3"/>
      <c r="M35" s="3"/>
      <c r="N35" s="3"/>
    </row>
    <row r="36" spans="2:30" s="2" customFormat="1" x14ac:dyDescent="0.25">
      <c r="L36" s="3"/>
      <c r="M36" s="3"/>
      <c r="N36" s="3"/>
    </row>
    <row r="37" spans="2:30" s="2" customFormat="1" x14ac:dyDescent="0.25">
      <c r="L37" s="3"/>
      <c r="M37" s="3"/>
      <c r="N37" s="3"/>
    </row>
    <row r="38" spans="2:30" s="2" customFormat="1" x14ac:dyDescent="0.25">
      <c r="L38" s="3"/>
      <c r="M38" s="3"/>
      <c r="N38" s="3"/>
    </row>
    <row r="39" spans="2:30" s="2" customFormat="1" x14ac:dyDescent="0.25">
      <c r="C39" s="1"/>
      <c r="D39" s="1"/>
      <c r="F39" s="1"/>
      <c r="G39" s="1"/>
      <c r="M39" s="3"/>
      <c r="N39" s="3"/>
      <c r="O39" s="3"/>
    </row>
    <row r="40" spans="2:30" s="2" customFormat="1" x14ac:dyDescent="0.25">
      <c r="C40" s="49" t="s">
        <v>121</v>
      </c>
      <c r="D40" s="32">
        <v>1614</v>
      </c>
      <c r="F40" s="1"/>
      <c r="G40" s="1"/>
      <c r="M40" s="3"/>
      <c r="N40" s="3"/>
      <c r="O40" s="3"/>
    </row>
    <row r="41" spans="2:30" s="2" customFormat="1" x14ac:dyDescent="0.25">
      <c r="C41" s="1"/>
      <c r="D41" s="1"/>
      <c r="E41" s="1"/>
      <c r="F41" s="1"/>
      <c r="G41" s="1"/>
      <c r="M41" s="3"/>
      <c r="N41" s="3"/>
      <c r="O41" s="3"/>
    </row>
    <row r="42" spans="2:30" s="2" customFormat="1" x14ac:dyDescent="0.25">
      <c r="B42" s="1"/>
      <c r="C42" s="50" t="s">
        <v>157</v>
      </c>
      <c r="D42" s="50" t="s">
        <v>158</v>
      </c>
      <c r="E42" s="1"/>
      <c r="F42" s="1"/>
      <c r="L42" s="3"/>
      <c r="M42" s="3"/>
      <c r="N42" s="3"/>
    </row>
    <row r="43" spans="2:30" s="2" customFormat="1" x14ac:dyDescent="0.25">
      <c r="B43" s="51" t="s">
        <v>162</v>
      </c>
      <c r="C43" s="52">
        <f ca="1">E34</f>
        <v>2.0748429516915023E-2</v>
      </c>
      <c r="D43" s="53">
        <f ca="1">E35</f>
        <v>0</v>
      </c>
      <c r="E43" s="1"/>
      <c r="F43" s="1"/>
      <c r="L43" s="3"/>
      <c r="M43" s="3"/>
      <c r="N43" s="3"/>
    </row>
    <row r="44" spans="2:30" x14ac:dyDescent="0.25">
      <c r="B44" s="90">
        <v>1614</v>
      </c>
      <c r="C44" s="91">
        <v>2.0748429516915023E-2</v>
      </c>
      <c r="D44" s="92">
        <v>0</v>
      </c>
      <c r="E44" s="1"/>
      <c r="G44" s="5"/>
      <c r="H44" s="133" t="s">
        <v>164</v>
      </c>
      <c r="L44" s="7"/>
      <c r="M44" s="7"/>
      <c r="O44" s="5"/>
      <c r="P44" s="5"/>
    </row>
    <row r="45" spans="2:30" x14ac:dyDescent="0.25">
      <c r="B45" s="90">
        <v>944</v>
      </c>
      <c r="C45" s="91">
        <v>2.4064243380022665E-2</v>
      </c>
      <c r="D45" s="92">
        <v>0</v>
      </c>
      <c r="E45" s="9"/>
      <c r="G45" s="5"/>
      <c r="H45" s="132"/>
      <c r="L45" s="7"/>
      <c r="M45" s="7"/>
      <c r="O45" s="5"/>
      <c r="P45" s="5"/>
    </row>
    <row r="46" spans="2:30" s="6" customFormat="1" x14ac:dyDescent="0.25">
      <c r="B46" s="90">
        <v>894</v>
      </c>
      <c r="C46" s="91">
        <v>2.7899278195747002E-2</v>
      </c>
      <c r="D46" s="92">
        <v>0</v>
      </c>
      <c r="E46" s="9"/>
      <c r="G46" s="5"/>
      <c r="H46" s="132"/>
      <c r="I46" s="5"/>
      <c r="J46" s="5"/>
      <c r="K46" s="5"/>
      <c r="L46" s="7"/>
      <c r="M46" s="7"/>
      <c r="N46" s="7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2:30" s="6" customFormat="1" x14ac:dyDescent="0.25">
      <c r="B47" s="90">
        <v>684</v>
      </c>
      <c r="C47" s="91">
        <v>2.9659840241600177E-2</v>
      </c>
      <c r="D47" s="92">
        <v>0</v>
      </c>
      <c r="E47" s="9"/>
      <c r="G47" s="5"/>
      <c r="H47" s="132"/>
      <c r="I47" s="5"/>
      <c r="J47" s="5"/>
      <c r="K47" s="5"/>
      <c r="L47" s="7"/>
      <c r="M47" s="7"/>
      <c r="N47" s="7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2:30" s="6" customFormat="1" x14ac:dyDescent="0.25">
      <c r="B48" s="90">
        <v>945</v>
      </c>
      <c r="C48" s="91">
        <v>2.9794042553755395E-2</v>
      </c>
      <c r="D48" s="92">
        <v>0</v>
      </c>
      <c r="E48" s="9"/>
      <c r="G48" s="5"/>
      <c r="H48" s="132"/>
      <c r="I48" s="5"/>
      <c r="J48" s="5"/>
      <c r="K48" s="5"/>
      <c r="L48" s="7"/>
      <c r="M48" s="7"/>
      <c r="N48" s="7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</row>
    <row r="49" spans="2:30" s="6" customFormat="1" x14ac:dyDescent="0.25">
      <c r="B49" s="90">
        <v>1185</v>
      </c>
      <c r="C49" s="91">
        <v>3.1360064057523118E-2</v>
      </c>
      <c r="D49" s="92">
        <v>0</v>
      </c>
      <c r="E49" s="9"/>
      <c r="G49" s="5"/>
      <c r="H49" s="132"/>
      <c r="I49" s="5"/>
      <c r="J49" s="5"/>
      <c r="K49" s="5"/>
      <c r="L49" s="7"/>
      <c r="M49" s="7"/>
      <c r="N49" s="7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</row>
    <row r="50" spans="2:30" s="6" customFormat="1" x14ac:dyDescent="0.25">
      <c r="B50" s="90">
        <v>946</v>
      </c>
      <c r="C50" s="91">
        <v>3.1612573819999046E-2</v>
      </c>
      <c r="D50" s="92">
        <v>0</v>
      </c>
      <c r="E50" s="9"/>
      <c r="G50" s="5"/>
      <c r="H50" s="131"/>
      <c r="I50" s="5"/>
      <c r="J50" s="5"/>
      <c r="K50" s="5"/>
      <c r="L50" s="7"/>
      <c r="M50" s="7"/>
      <c r="N50" s="7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</row>
    <row r="51" spans="2:30" s="6" customFormat="1" x14ac:dyDescent="0.25">
      <c r="B51" s="90">
        <v>1646</v>
      </c>
      <c r="C51" s="91">
        <v>3.1830830492287077E-2</v>
      </c>
      <c r="D51" s="92">
        <v>0</v>
      </c>
      <c r="E51" s="9"/>
      <c r="G51" s="5"/>
      <c r="H51" s="5"/>
      <c r="I51" s="5"/>
      <c r="J51" s="5"/>
      <c r="K51" s="5"/>
      <c r="L51" s="7"/>
      <c r="M51" s="7"/>
      <c r="N51" s="7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</row>
    <row r="52" spans="2:30" s="6" customFormat="1" x14ac:dyDescent="0.25">
      <c r="B52" s="90">
        <v>738</v>
      </c>
      <c r="C52" s="91">
        <v>3.3350696352586029E-2</v>
      </c>
      <c r="D52" s="92">
        <v>0</v>
      </c>
      <c r="E52" s="9"/>
      <c r="G52" s="5"/>
      <c r="H52" s="5"/>
      <c r="I52" s="5"/>
      <c r="J52" s="5"/>
      <c r="K52" s="5"/>
      <c r="L52" s="7"/>
      <c r="M52" s="7"/>
      <c r="N52" s="7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</row>
    <row r="53" spans="2:30" s="6" customFormat="1" x14ac:dyDescent="0.25">
      <c r="B53" s="90">
        <v>895</v>
      </c>
      <c r="C53" s="91">
        <v>3.3750899806600843E-2</v>
      </c>
      <c r="D53" s="92">
        <v>0</v>
      </c>
      <c r="E53" s="9"/>
      <c r="G53" s="5"/>
      <c r="H53" s="5"/>
      <c r="I53" s="5"/>
      <c r="J53" s="5"/>
      <c r="K53" s="5"/>
      <c r="L53" s="7"/>
      <c r="M53" s="7"/>
      <c r="N53" s="7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</row>
    <row r="54" spans="2:30" x14ac:dyDescent="0.25">
      <c r="B54" s="90">
        <v>791</v>
      </c>
      <c r="C54" s="91">
        <v>3.4673599868614513E-2</v>
      </c>
      <c r="D54" s="92">
        <v>0</v>
      </c>
      <c r="E54" s="9"/>
      <c r="G54" s="5"/>
      <c r="H54" s="5"/>
      <c r="L54" s="7"/>
      <c r="M54" s="7"/>
      <c r="O54" s="5"/>
      <c r="P54" s="5"/>
    </row>
    <row r="55" spans="2:30" x14ac:dyDescent="0.25">
      <c r="B55" s="90">
        <v>685</v>
      </c>
      <c r="C55" s="91">
        <v>3.4971440091042472E-2</v>
      </c>
      <c r="D55" s="92">
        <v>0</v>
      </c>
      <c r="G55" s="5"/>
      <c r="H55" s="5"/>
      <c r="L55" s="7"/>
      <c r="M55" s="7"/>
      <c r="O55" s="5"/>
      <c r="P55" s="5"/>
    </row>
    <row r="56" spans="2:30" x14ac:dyDescent="0.25">
      <c r="B56" s="90">
        <v>994</v>
      </c>
      <c r="C56" s="91">
        <v>3.4990853853959503E-2</v>
      </c>
      <c r="D56" s="92">
        <v>0</v>
      </c>
      <c r="G56" s="5"/>
      <c r="H56" s="5"/>
      <c r="L56" s="7"/>
      <c r="M56" s="7"/>
      <c r="O56" s="5"/>
      <c r="P56" s="5"/>
    </row>
    <row r="57" spans="2:30" x14ac:dyDescent="0.25">
      <c r="B57" s="90">
        <v>1396</v>
      </c>
      <c r="C57" s="91">
        <v>3.5572150902305477E-2</v>
      </c>
      <c r="D57" s="92">
        <v>0</v>
      </c>
      <c r="G57" s="5"/>
      <c r="H57" s="5"/>
      <c r="L57" s="7"/>
      <c r="M57" s="7"/>
      <c r="O57" s="5"/>
      <c r="P57" s="5"/>
    </row>
    <row r="58" spans="2:30" x14ac:dyDescent="0.25">
      <c r="B58" s="90">
        <v>993</v>
      </c>
      <c r="C58" s="91">
        <v>3.5645991595260496E-2</v>
      </c>
      <c r="D58" s="92">
        <v>0</v>
      </c>
      <c r="G58" s="5"/>
      <c r="H58" s="5"/>
      <c r="L58" s="7"/>
      <c r="M58" s="7"/>
      <c r="O58" s="5"/>
      <c r="P58" s="5"/>
    </row>
    <row r="59" spans="2:30" x14ac:dyDescent="0.25">
      <c r="B59" s="90">
        <v>739</v>
      </c>
      <c r="C59" s="91">
        <v>3.5694427909298887E-2</v>
      </c>
      <c r="D59" s="92">
        <v>0</v>
      </c>
      <c r="G59" s="5"/>
      <c r="H59" s="5"/>
      <c r="L59" s="7"/>
      <c r="M59" s="7"/>
      <c r="O59" s="5"/>
      <c r="P59" s="5"/>
    </row>
    <row r="60" spans="2:30" x14ac:dyDescent="0.25">
      <c r="B60" s="90">
        <v>792</v>
      </c>
      <c r="C60" s="91">
        <v>3.5756392250707703E-2</v>
      </c>
      <c r="D60" s="92">
        <v>0</v>
      </c>
      <c r="G60" s="5"/>
      <c r="H60" s="5"/>
      <c r="L60" s="7"/>
      <c r="M60" s="7"/>
      <c r="O60" s="5"/>
      <c r="P60" s="5"/>
    </row>
    <row r="61" spans="2:30" x14ac:dyDescent="0.25">
      <c r="B61" s="90">
        <v>844</v>
      </c>
      <c r="C61" s="91">
        <v>3.5956403593667141E-2</v>
      </c>
      <c r="D61" s="92">
        <v>0</v>
      </c>
      <c r="G61" s="5"/>
      <c r="H61" s="5"/>
      <c r="L61" s="7"/>
      <c r="M61" s="7"/>
      <c r="O61" s="5"/>
      <c r="P61" s="5"/>
    </row>
    <row r="62" spans="2:30" x14ac:dyDescent="0.25">
      <c r="B62" s="90">
        <v>843</v>
      </c>
      <c r="C62" s="91">
        <v>3.6007346640585913E-2</v>
      </c>
      <c r="D62" s="92">
        <v>0</v>
      </c>
      <c r="G62" s="5"/>
      <c r="H62" s="5"/>
      <c r="L62" s="7"/>
      <c r="M62" s="7"/>
      <c r="O62" s="5"/>
      <c r="P62" s="5"/>
    </row>
    <row r="63" spans="2:30" x14ac:dyDescent="0.25">
      <c r="B63" s="90">
        <v>338</v>
      </c>
      <c r="C63" s="91">
        <v>3.7461504505948207E-2</v>
      </c>
      <c r="D63" s="92">
        <v>0</v>
      </c>
      <c r="G63" s="5"/>
      <c r="H63" s="5"/>
      <c r="L63" s="7"/>
      <c r="M63" s="7"/>
      <c r="O63" s="5"/>
      <c r="P63" s="5"/>
    </row>
    <row r="64" spans="2:30" x14ac:dyDescent="0.25">
      <c r="B64" s="90">
        <v>947</v>
      </c>
      <c r="C64" s="91">
        <v>4.0185968598513533E-2</v>
      </c>
      <c r="D64" s="92">
        <v>0</v>
      </c>
      <c r="G64" s="5"/>
      <c r="H64" s="5"/>
      <c r="L64" s="7"/>
      <c r="M64" s="7"/>
      <c r="O64" s="5"/>
      <c r="P64" s="5"/>
    </row>
    <row r="65" spans="2:16" x14ac:dyDescent="0.25">
      <c r="B65" s="90">
        <v>950</v>
      </c>
      <c r="C65" s="91">
        <v>4.1672204819316105E-2</v>
      </c>
      <c r="D65" s="92">
        <v>0</v>
      </c>
      <c r="G65" s="5"/>
      <c r="H65" s="5"/>
      <c r="L65" s="7"/>
      <c r="M65" s="7"/>
      <c r="O65" s="5"/>
      <c r="P65" s="5"/>
    </row>
    <row r="66" spans="2:16" x14ac:dyDescent="0.25">
      <c r="B66" s="90">
        <v>896</v>
      </c>
      <c r="C66" s="91">
        <v>4.3757790951616249E-2</v>
      </c>
      <c r="D66" s="92">
        <v>0</v>
      </c>
      <c r="G66" s="5"/>
      <c r="H66" s="5"/>
      <c r="L66" s="7"/>
      <c r="M66" s="7"/>
      <c r="O66" s="5"/>
      <c r="P66" s="5"/>
    </row>
    <row r="67" spans="2:16" x14ac:dyDescent="0.25">
      <c r="B67" s="90">
        <v>1473</v>
      </c>
      <c r="C67" s="91">
        <v>4.483922391404227E-2</v>
      </c>
      <c r="D67" s="92">
        <v>0</v>
      </c>
      <c r="G67" s="5"/>
      <c r="H67" s="5"/>
      <c r="L67" s="7"/>
      <c r="M67" s="7"/>
      <c r="O67" s="5"/>
      <c r="P67" s="5"/>
    </row>
    <row r="68" spans="2:16" x14ac:dyDescent="0.25">
      <c r="B68" s="90">
        <v>1295</v>
      </c>
      <c r="C68" s="91">
        <v>5.076750365748961E-2</v>
      </c>
      <c r="D68" s="92">
        <v>0</v>
      </c>
      <c r="G68" s="5"/>
      <c r="H68" s="5"/>
      <c r="L68" s="7"/>
      <c r="M68" s="7"/>
      <c r="O68" s="5"/>
      <c r="P68" s="5"/>
    </row>
    <row r="69" spans="2:16" x14ac:dyDescent="0.25">
      <c r="B69" s="90">
        <v>686</v>
      </c>
      <c r="C69" s="91">
        <v>5.1163411750644316E-2</v>
      </c>
      <c r="D69" s="92">
        <v>0</v>
      </c>
      <c r="G69" s="5"/>
      <c r="H69" s="5"/>
      <c r="L69" s="7"/>
      <c r="M69" s="7"/>
      <c r="O69" s="5"/>
      <c r="P69" s="5"/>
    </row>
    <row r="70" spans="2:16" x14ac:dyDescent="0.25">
      <c r="B70" s="90">
        <v>1042</v>
      </c>
      <c r="C70" s="91">
        <v>5.2259260744713654E-2</v>
      </c>
      <c r="D70" s="92">
        <v>0</v>
      </c>
      <c r="G70" s="5"/>
      <c r="H70" s="5"/>
      <c r="L70" s="7"/>
      <c r="M70" s="7"/>
      <c r="O70" s="5"/>
      <c r="P70" s="5"/>
    </row>
    <row r="71" spans="2:16" x14ac:dyDescent="0.25">
      <c r="B71" s="90">
        <v>897</v>
      </c>
      <c r="C71" s="91">
        <v>5.2598923434401312E-2</v>
      </c>
      <c r="D71" s="92">
        <v>0</v>
      </c>
      <c r="G71" s="5"/>
      <c r="H71" s="5"/>
      <c r="L71" s="7"/>
      <c r="M71" s="7"/>
      <c r="O71" s="5"/>
      <c r="P71" s="5"/>
    </row>
    <row r="72" spans="2:16" x14ac:dyDescent="0.25">
      <c r="B72" s="90">
        <v>340</v>
      </c>
      <c r="C72" s="91">
        <v>5.293972790790713E-2</v>
      </c>
      <c r="D72" s="92">
        <v>0</v>
      </c>
      <c r="G72" s="5"/>
      <c r="H72" s="5"/>
      <c r="L72" s="7"/>
      <c r="M72" s="7"/>
      <c r="O72" s="5"/>
      <c r="P72" s="5"/>
    </row>
    <row r="73" spans="2:16" x14ac:dyDescent="0.25">
      <c r="B73" s="90">
        <v>339</v>
      </c>
      <c r="C73" s="91">
        <v>5.3753850691852234E-2</v>
      </c>
      <c r="D73" s="92">
        <v>0</v>
      </c>
      <c r="G73" s="5"/>
      <c r="H73" s="5"/>
      <c r="L73" s="7"/>
      <c r="M73" s="7"/>
      <c r="O73" s="5"/>
      <c r="P73" s="5"/>
    </row>
    <row r="74" spans="2:16" x14ac:dyDescent="0.25">
      <c r="B74" s="90">
        <v>740</v>
      </c>
      <c r="C74" s="91">
        <v>5.5049417870520312E-2</v>
      </c>
      <c r="D74" s="92">
        <v>0</v>
      </c>
      <c r="G74" s="5"/>
      <c r="H74" s="5"/>
      <c r="L74" s="7"/>
      <c r="M74" s="7"/>
      <c r="O74" s="5"/>
      <c r="P74" s="5"/>
    </row>
    <row r="75" spans="2:16" x14ac:dyDescent="0.25">
      <c r="B75" s="90">
        <v>1415</v>
      </c>
      <c r="C75" s="91">
        <v>5.5516187706636355E-2</v>
      </c>
      <c r="D75" s="92">
        <v>0</v>
      </c>
      <c r="G75" s="5"/>
      <c r="H75" s="5"/>
      <c r="L75" s="7"/>
      <c r="M75" s="7"/>
      <c r="O75" s="5"/>
      <c r="P75" s="5"/>
    </row>
    <row r="76" spans="2:16" x14ac:dyDescent="0.25">
      <c r="B76" s="90">
        <v>690</v>
      </c>
      <c r="C76" s="91">
        <v>5.5622960659496234E-2</v>
      </c>
      <c r="D76" s="92">
        <v>0</v>
      </c>
      <c r="G76" s="5"/>
      <c r="H76" s="5"/>
      <c r="L76" s="7"/>
      <c r="M76" s="7"/>
      <c r="O76" s="5"/>
      <c r="P76" s="5"/>
    </row>
    <row r="77" spans="2:16" x14ac:dyDescent="0.25">
      <c r="B77" s="90">
        <v>900</v>
      </c>
      <c r="C77" s="91">
        <v>5.5645449294958294E-2</v>
      </c>
      <c r="D77" s="92">
        <v>0</v>
      </c>
      <c r="G77" s="5"/>
      <c r="H77" s="5"/>
      <c r="L77" s="7"/>
      <c r="M77" s="7"/>
      <c r="O77" s="5"/>
      <c r="P77" s="5"/>
    </row>
    <row r="78" spans="2:16" x14ac:dyDescent="0.25">
      <c r="B78" s="90">
        <v>793</v>
      </c>
      <c r="C78" s="91">
        <v>5.633627771906502E-2</v>
      </c>
      <c r="D78" s="92">
        <v>0</v>
      </c>
      <c r="G78" s="5"/>
      <c r="H78" s="5"/>
      <c r="L78" s="7"/>
      <c r="M78" s="7"/>
      <c r="O78" s="5"/>
      <c r="P78" s="5"/>
    </row>
    <row r="79" spans="2:16" x14ac:dyDescent="0.25">
      <c r="B79" s="90">
        <v>1184</v>
      </c>
      <c r="C79" s="91">
        <v>5.6410059458126272E-2</v>
      </c>
      <c r="D79" s="92">
        <v>0</v>
      </c>
      <c r="G79" s="5"/>
      <c r="H79" s="5"/>
      <c r="L79" s="7"/>
      <c r="M79" s="7"/>
      <c r="O79" s="5"/>
      <c r="P79" s="5"/>
    </row>
    <row r="80" spans="2:16" x14ac:dyDescent="0.25">
      <c r="B80" s="90">
        <v>995</v>
      </c>
      <c r="C80" s="91">
        <v>5.6709655555605254E-2</v>
      </c>
      <c r="D80" s="92">
        <v>0</v>
      </c>
      <c r="G80" s="5"/>
      <c r="H80" s="5"/>
      <c r="L80" s="7"/>
      <c r="M80" s="7"/>
      <c r="O80" s="5"/>
      <c r="P80" s="5"/>
    </row>
    <row r="81" spans="2:16" x14ac:dyDescent="0.25">
      <c r="B81" s="90">
        <v>845</v>
      </c>
      <c r="C81" s="91">
        <v>5.7230031055206299E-2</v>
      </c>
      <c r="D81" s="92">
        <v>0</v>
      </c>
      <c r="G81" s="5"/>
      <c r="H81" s="5"/>
      <c r="L81" s="7"/>
      <c r="M81" s="7"/>
      <c r="O81" s="5"/>
      <c r="P81" s="5"/>
    </row>
    <row r="82" spans="2:16" x14ac:dyDescent="0.25">
      <c r="B82" s="90">
        <v>1041</v>
      </c>
      <c r="C82" s="91">
        <v>5.8274013772511735E-2</v>
      </c>
      <c r="D82" s="92">
        <v>0</v>
      </c>
      <c r="G82" s="5"/>
      <c r="H82" s="5"/>
      <c r="L82" s="7"/>
      <c r="M82" s="7"/>
      <c r="O82" s="5"/>
      <c r="P82" s="5"/>
    </row>
    <row r="83" spans="2:16" x14ac:dyDescent="0.25">
      <c r="B83" s="90">
        <v>687</v>
      </c>
      <c r="C83" s="91">
        <v>5.996294463471763E-2</v>
      </c>
      <c r="D83" s="92">
        <v>0</v>
      </c>
      <c r="G83" s="5"/>
      <c r="H83" s="5"/>
      <c r="L83" s="7"/>
      <c r="M83" s="7"/>
      <c r="O83" s="5"/>
      <c r="P83" s="5"/>
    </row>
    <row r="84" spans="2:16" x14ac:dyDescent="0.25">
      <c r="B84" s="90">
        <v>1135</v>
      </c>
      <c r="C84" s="91">
        <v>6.1734586145880677E-2</v>
      </c>
      <c r="D84" s="92">
        <v>0</v>
      </c>
      <c r="G84" s="5"/>
      <c r="H84" s="5"/>
      <c r="L84" s="7"/>
      <c r="M84" s="7"/>
      <c r="O84" s="5"/>
      <c r="P84" s="5"/>
    </row>
    <row r="85" spans="2:16" x14ac:dyDescent="0.25">
      <c r="B85" s="90">
        <v>1578</v>
      </c>
      <c r="C85" s="91">
        <v>6.1955475993067166E-2</v>
      </c>
      <c r="D85" s="92">
        <v>0</v>
      </c>
      <c r="G85" s="5"/>
      <c r="H85" s="5"/>
      <c r="L85" s="7"/>
      <c r="M85" s="7"/>
      <c r="O85" s="5"/>
      <c r="P85" s="5"/>
    </row>
    <row r="86" spans="2:16" x14ac:dyDescent="0.25">
      <c r="B86" s="90">
        <v>1579</v>
      </c>
      <c r="C86" s="91">
        <v>6.237934120076849E-2</v>
      </c>
      <c r="D86" s="92">
        <v>0</v>
      </c>
      <c r="G86" s="5"/>
      <c r="H86" s="5"/>
      <c r="L86" s="7"/>
      <c r="M86" s="7"/>
      <c r="O86" s="5"/>
      <c r="P86" s="5"/>
    </row>
    <row r="87" spans="2:16" x14ac:dyDescent="0.25">
      <c r="B87" s="90">
        <v>744</v>
      </c>
      <c r="C87" s="91">
        <v>6.2769267346367785E-2</v>
      </c>
      <c r="D87" s="92">
        <v>0</v>
      </c>
      <c r="G87" s="5"/>
      <c r="H87" s="5"/>
      <c r="L87" s="7"/>
      <c r="M87" s="7"/>
      <c r="O87" s="5"/>
      <c r="P87" s="5"/>
    </row>
    <row r="88" spans="2:16" x14ac:dyDescent="0.25">
      <c r="B88" s="90">
        <v>741</v>
      </c>
      <c r="C88" s="91">
        <v>6.4058866602934028E-2</v>
      </c>
      <c r="D88" s="92">
        <v>0</v>
      </c>
      <c r="G88" s="5"/>
      <c r="H88" s="5"/>
      <c r="L88" s="7"/>
      <c r="M88" s="7"/>
      <c r="O88" s="5"/>
      <c r="P88" s="5"/>
    </row>
    <row r="89" spans="2:16" x14ac:dyDescent="0.25">
      <c r="B89" s="90">
        <v>1269</v>
      </c>
      <c r="C89" s="91">
        <v>6.4602289398179025E-2</v>
      </c>
      <c r="D89" s="92">
        <v>0</v>
      </c>
      <c r="G89" s="5"/>
      <c r="H89" s="5"/>
      <c r="L89" s="7"/>
      <c r="M89" s="7"/>
      <c r="O89" s="5"/>
      <c r="P89" s="5"/>
    </row>
    <row r="90" spans="2:16" x14ac:dyDescent="0.25">
      <c r="B90" s="90">
        <v>797</v>
      </c>
      <c r="C90" s="91">
        <v>6.5404304783441836E-2</v>
      </c>
      <c r="D90" s="92">
        <v>0</v>
      </c>
      <c r="G90" s="5"/>
      <c r="H90" s="5"/>
      <c r="L90" s="7"/>
      <c r="M90" s="7"/>
      <c r="O90" s="5"/>
      <c r="P90" s="5"/>
    </row>
    <row r="91" spans="2:16" x14ac:dyDescent="0.25">
      <c r="B91" s="90">
        <v>794</v>
      </c>
      <c r="C91" s="91">
        <v>6.5407825958135657E-2</v>
      </c>
      <c r="D91" s="92">
        <v>0</v>
      </c>
      <c r="G91" s="5"/>
      <c r="H91" s="5"/>
      <c r="L91" s="7"/>
      <c r="M91" s="7"/>
      <c r="O91" s="5"/>
      <c r="P91" s="5"/>
    </row>
    <row r="92" spans="2:16" x14ac:dyDescent="0.25">
      <c r="B92" s="90">
        <v>846</v>
      </c>
      <c r="C92" s="91">
        <v>6.6352340967211099E-2</v>
      </c>
      <c r="D92" s="92">
        <v>0</v>
      </c>
      <c r="G92" s="5"/>
      <c r="H92" s="5"/>
      <c r="L92" s="7"/>
      <c r="M92" s="7"/>
      <c r="O92" s="5"/>
      <c r="P92" s="5"/>
    </row>
    <row r="93" spans="2:16" x14ac:dyDescent="0.25">
      <c r="B93" s="90">
        <v>1376</v>
      </c>
      <c r="C93" s="91">
        <v>6.6472135413572664E-2</v>
      </c>
      <c r="D93" s="92">
        <v>0</v>
      </c>
      <c r="G93" s="5"/>
      <c r="H93" s="5"/>
      <c r="L93" s="7"/>
      <c r="M93" s="7"/>
      <c r="O93" s="5"/>
      <c r="P93" s="5"/>
    </row>
    <row r="94" spans="2:16" x14ac:dyDescent="0.25">
      <c r="B94" s="90">
        <v>996</v>
      </c>
      <c r="C94" s="91">
        <v>6.6517084168708385E-2</v>
      </c>
      <c r="D94" s="92">
        <v>0</v>
      </c>
      <c r="G94" s="5"/>
      <c r="H94" s="5"/>
      <c r="L94" s="7"/>
      <c r="M94" s="7"/>
      <c r="O94" s="5"/>
      <c r="P94" s="5"/>
    </row>
    <row r="95" spans="2:16" x14ac:dyDescent="0.25">
      <c r="B95" s="90">
        <v>1089</v>
      </c>
      <c r="C95" s="91">
        <v>6.7980889171926684E-2</v>
      </c>
      <c r="D95" s="92">
        <v>0</v>
      </c>
      <c r="G95" s="5"/>
      <c r="H95" s="5"/>
      <c r="L95" s="7"/>
      <c r="M95" s="7"/>
      <c r="O95" s="5"/>
      <c r="P95" s="5"/>
    </row>
    <row r="96" spans="2:16" x14ac:dyDescent="0.25">
      <c r="B96" s="90">
        <v>1134</v>
      </c>
      <c r="C96" s="91">
        <v>6.860847209909382E-2</v>
      </c>
      <c r="D96" s="92">
        <v>0</v>
      </c>
      <c r="G96" s="5"/>
      <c r="H96" s="5"/>
      <c r="L96" s="7"/>
      <c r="M96" s="7"/>
      <c r="O96" s="5"/>
      <c r="P96" s="5"/>
    </row>
    <row r="97" spans="2:16" x14ac:dyDescent="0.25">
      <c r="B97" s="90">
        <v>849</v>
      </c>
      <c r="C97" s="91">
        <v>6.9267914098927852E-2</v>
      </c>
      <c r="D97" s="92">
        <v>0</v>
      </c>
      <c r="G97" s="5"/>
      <c r="H97" s="5"/>
      <c r="L97" s="7"/>
      <c r="M97" s="7"/>
      <c r="O97" s="5"/>
      <c r="P97" s="5"/>
    </row>
    <row r="98" spans="2:16" x14ac:dyDescent="0.25">
      <c r="B98" s="90">
        <v>1183</v>
      </c>
      <c r="C98" s="91">
        <v>6.9402576947602546E-2</v>
      </c>
      <c r="D98" s="92">
        <v>0</v>
      </c>
      <c r="G98" s="5"/>
      <c r="H98" s="5"/>
      <c r="L98" s="7"/>
      <c r="M98" s="7"/>
      <c r="O98" s="5"/>
      <c r="P98" s="5"/>
    </row>
    <row r="99" spans="2:16" x14ac:dyDescent="0.25">
      <c r="B99" s="90">
        <v>1647</v>
      </c>
      <c r="C99" s="91">
        <v>6.9402984744164842E-2</v>
      </c>
      <c r="D99" s="92">
        <v>0</v>
      </c>
      <c r="G99" s="5"/>
      <c r="H99" s="5"/>
      <c r="L99" s="7"/>
      <c r="M99" s="7"/>
      <c r="O99" s="5"/>
      <c r="P99" s="5"/>
    </row>
    <row r="100" spans="2:16" x14ac:dyDescent="0.25">
      <c r="B100" s="90">
        <v>949</v>
      </c>
      <c r="C100" s="91">
        <v>7.2270569835693355E-2</v>
      </c>
      <c r="D100" s="92">
        <v>0</v>
      </c>
      <c r="G100" s="5"/>
      <c r="H100" s="5"/>
      <c r="L100" s="7"/>
      <c r="M100" s="7"/>
      <c r="O100" s="5"/>
      <c r="P100" s="5"/>
    </row>
    <row r="101" spans="2:16" x14ac:dyDescent="0.25">
      <c r="B101" s="90">
        <v>1088</v>
      </c>
      <c r="C101" s="91">
        <v>7.4690940586849219E-2</v>
      </c>
      <c r="D101" s="92">
        <v>0</v>
      </c>
      <c r="G101" s="5"/>
      <c r="H101" s="5"/>
      <c r="L101" s="7"/>
      <c r="M101" s="7"/>
      <c r="O101" s="5"/>
      <c r="P101" s="5"/>
    </row>
    <row r="102" spans="2:16" x14ac:dyDescent="0.25">
      <c r="B102" s="90">
        <v>345</v>
      </c>
      <c r="C102" s="91">
        <v>7.5801435325657529E-2</v>
      </c>
      <c r="D102" s="92">
        <v>0</v>
      </c>
      <c r="G102" s="5"/>
      <c r="H102" s="5"/>
      <c r="L102" s="7"/>
      <c r="M102" s="7"/>
      <c r="O102" s="5"/>
      <c r="P102" s="5"/>
    </row>
    <row r="103" spans="2:16" x14ac:dyDescent="0.25">
      <c r="B103" s="90">
        <v>341</v>
      </c>
      <c r="C103" s="91">
        <v>7.772141673255395E-2</v>
      </c>
      <c r="D103" s="92">
        <v>0</v>
      </c>
      <c r="G103" s="5"/>
      <c r="H103" s="5"/>
      <c r="L103" s="7"/>
      <c r="M103" s="7"/>
      <c r="O103" s="5"/>
      <c r="P103" s="5"/>
    </row>
    <row r="104" spans="2:16" x14ac:dyDescent="0.25">
      <c r="B104" s="90">
        <v>1580</v>
      </c>
      <c r="C104" s="91">
        <v>7.8032018546602799E-2</v>
      </c>
      <c r="D104" s="92">
        <v>0</v>
      </c>
      <c r="G104" s="5"/>
      <c r="H104" s="5"/>
      <c r="L104" s="7"/>
      <c r="M104" s="7"/>
      <c r="O104" s="5"/>
      <c r="P104" s="5"/>
    </row>
    <row r="105" spans="2:16" x14ac:dyDescent="0.25">
      <c r="B105" s="90">
        <v>1435</v>
      </c>
      <c r="C105" s="91">
        <v>7.8994486779258688E-2</v>
      </c>
      <c r="D105" s="92">
        <v>0</v>
      </c>
      <c r="G105" s="5"/>
      <c r="H105" s="5"/>
      <c r="L105" s="7"/>
      <c r="M105" s="7"/>
      <c r="O105" s="5"/>
      <c r="P105" s="5"/>
    </row>
    <row r="106" spans="2:16" x14ac:dyDescent="0.25">
      <c r="B106" s="90">
        <v>1043</v>
      </c>
      <c r="C106" s="91">
        <v>8.0239713153188674E-2</v>
      </c>
      <c r="D106" s="92">
        <v>0</v>
      </c>
      <c r="G106" s="5"/>
      <c r="H106" s="5"/>
      <c r="L106" s="7"/>
      <c r="M106" s="7"/>
      <c r="O106" s="5"/>
      <c r="P106" s="5"/>
    </row>
    <row r="107" spans="2:16" x14ac:dyDescent="0.25">
      <c r="B107" s="90">
        <v>948</v>
      </c>
      <c r="C107" s="91">
        <v>8.475273235533809E-2</v>
      </c>
      <c r="D107" s="92">
        <v>0</v>
      </c>
      <c r="G107" s="5"/>
      <c r="H107" s="5"/>
      <c r="L107" s="7"/>
      <c r="M107" s="7"/>
      <c r="O107" s="5"/>
      <c r="P107" s="5"/>
    </row>
    <row r="108" spans="2:16" x14ac:dyDescent="0.25">
      <c r="B108" s="90">
        <v>999</v>
      </c>
      <c r="C108" s="91">
        <v>8.51062518501009E-2</v>
      </c>
      <c r="D108" s="92">
        <v>0</v>
      </c>
      <c r="G108" s="5"/>
      <c r="H108" s="5"/>
      <c r="L108" s="7"/>
      <c r="M108" s="7"/>
      <c r="O108" s="5"/>
      <c r="P108" s="5"/>
    </row>
    <row r="109" spans="2:16" x14ac:dyDescent="0.25">
      <c r="B109" s="90">
        <v>899</v>
      </c>
      <c r="C109" s="91">
        <v>8.6689302393900602E-2</v>
      </c>
      <c r="D109" s="92">
        <v>0</v>
      </c>
      <c r="G109" s="5"/>
      <c r="H109" s="5"/>
      <c r="L109" s="7"/>
      <c r="M109" s="7"/>
      <c r="O109" s="5"/>
      <c r="P109" s="5"/>
    </row>
    <row r="110" spans="2:16" x14ac:dyDescent="0.25">
      <c r="B110" s="90">
        <v>342</v>
      </c>
      <c r="C110" s="91">
        <v>8.6861455810018251E-2</v>
      </c>
      <c r="D110" s="92">
        <v>0</v>
      </c>
      <c r="G110" s="5"/>
      <c r="H110" s="5"/>
      <c r="L110" s="7"/>
      <c r="M110" s="7"/>
      <c r="O110" s="5"/>
      <c r="P110" s="5"/>
    </row>
    <row r="111" spans="2:16" x14ac:dyDescent="0.25">
      <c r="B111" s="90">
        <v>689</v>
      </c>
      <c r="C111" s="91">
        <v>8.8318392195700923E-2</v>
      </c>
      <c r="D111" s="92">
        <v>0</v>
      </c>
      <c r="G111" s="5"/>
      <c r="H111" s="5"/>
      <c r="L111" s="7"/>
      <c r="M111" s="7"/>
      <c r="O111" s="5"/>
      <c r="P111" s="5"/>
    </row>
    <row r="112" spans="2:16" x14ac:dyDescent="0.25">
      <c r="B112" s="90">
        <v>1136</v>
      </c>
      <c r="C112" s="91">
        <v>8.8580851374327363E-2</v>
      </c>
      <c r="D112" s="92">
        <v>0</v>
      </c>
      <c r="G112" s="5"/>
      <c r="H112" s="5"/>
      <c r="L112" s="7"/>
      <c r="M112" s="7"/>
      <c r="O112" s="5"/>
      <c r="P112" s="5"/>
    </row>
    <row r="113" spans="2:16" x14ac:dyDescent="0.25">
      <c r="B113" s="90">
        <v>1044</v>
      </c>
      <c r="C113" s="91">
        <v>9.0948449409029353E-2</v>
      </c>
      <c r="D113" s="92">
        <v>0</v>
      </c>
      <c r="G113" s="5"/>
      <c r="H113" s="5"/>
      <c r="L113" s="7"/>
      <c r="M113" s="7"/>
      <c r="O113" s="5"/>
      <c r="P113" s="5"/>
    </row>
    <row r="114" spans="2:16" x14ac:dyDescent="0.25">
      <c r="B114" s="90">
        <v>1090</v>
      </c>
      <c r="C114" s="91">
        <v>9.4749019980051141E-2</v>
      </c>
      <c r="D114" s="92">
        <v>0</v>
      </c>
      <c r="G114" s="5"/>
      <c r="H114" s="5"/>
      <c r="L114" s="7"/>
      <c r="M114" s="7"/>
      <c r="O114" s="5"/>
      <c r="P114" s="5"/>
    </row>
    <row r="115" spans="2:16" x14ac:dyDescent="0.25">
      <c r="B115" s="90">
        <v>743</v>
      </c>
      <c r="C115" s="91">
        <v>9.5331969565148E-2</v>
      </c>
      <c r="D115" s="92">
        <v>0</v>
      </c>
      <c r="G115" s="5"/>
      <c r="H115" s="5"/>
      <c r="L115" s="7"/>
      <c r="M115" s="7"/>
      <c r="O115" s="5"/>
      <c r="P115" s="5"/>
    </row>
    <row r="116" spans="2:16" x14ac:dyDescent="0.25">
      <c r="B116" s="90">
        <v>796</v>
      </c>
      <c r="C116" s="91">
        <v>9.7838811383217372E-2</v>
      </c>
      <c r="D116" s="92">
        <v>0</v>
      </c>
      <c r="G116" s="5"/>
      <c r="H116" s="5"/>
      <c r="L116" s="7"/>
      <c r="M116" s="7"/>
      <c r="O116" s="5"/>
      <c r="P116" s="5"/>
    </row>
    <row r="117" spans="2:16" x14ac:dyDescent="0.25">
      <c r="B117" s="90">
        <v>1137</v>
      </c>
      <c r="C117" s="91">
        <v>9.8779977469342528E-2</v>
      </c>
      <c r="D117" s="92">
        <v>0</v>
      </c>
      <c r="G117" s="5"/>
      <c r="H117" s="5"/>
      <c r="L117" s="7"/>
      <c r="M117" s="7"/>
      <c r="O117" s="5"/>
      <c r="P117" s="5"/>
    </row>
    <row r="118" spans="2:16" x14ac:dyDescent="0.25">
      <c r="B118" s="90">
        <v>898</v>
      </c>
      <c r="C118" s="91">
        <v>9.9588707915240215E-2</v>
      </c>
      <c r="D118" s="92">
        <v>0</v>
      </c>
      <c r="G118" s="5"/>
      <c r="H118" s="5"/>
      <c r="L118" s="7"/>
      <c r="M118" s="7"/>
      <c r="O118" s="5"/>
      <c r="P118" s="5"/>
    </row>
    <row r="119" spans="2:16" x14ac:dyDescent="0.25">
      <c r="B119" s="90">
        <v>688</v>
      </c>
      <c r="C119" s="91">
        <v>0.10050765328242028</v>
      </c>
      <c r="D119" s="92">
        <v>0</v>
      </c>
      <c r="G119" s="5"/>
      <c r="H119" s="5"/>
      <c r="L119" s="7"/>
      <c r="M119" s="7"/>
      <c r="O119" s="5"/>
      <c r="P119" s="5"/>
    </row>
    <row r="120" spans="2:16" x14ac:dyDescent="0.25">
      <c r="B120" s="90">
        <v>1510</v>
      </c>
      <c r="C120" s="91">
        <v>0.10075825477865119</v>
      </c>
      <c r="D120" s="92">
        <v>0</v>
      </c>
      <c r="G120" s="5"/>
      <c r="H120" s="5"/>
      <c r="L120" s="7"/>
      <c r="M120" s="7"/>
      <c r="O120" s="5"/>
      <c r="P120" s="5"/>
    </row>
    <row r="121" spans="2:16" x14ac:dyDescent="0.25">
      <c r="B121" s="90">
        <v>848</v>
      </c>
      <c r="C121" s="91">
        <v>0.10115764769167601</v>
      </c>
      <c r="D121" s="92">
        <v>0</v>
      </c>
      <c r="G121" s="5"/>
      <c r="H121" s="5"/>
      <c r="L121" s="7"/>
      <c r="M121" s="7"/>
      <c r="O121" s="5"/>
      <c r="P121" s="5"/>
    </row>
    <row r="122" spans="2:16" x14ac:dyDescent="0.25">
      <c r="B122" s="90">
        <v>1091</v>
      </c>
      <c r="C122" s="91">
        <v>0.10489456251366369</v>
      </c>
      <c r="D122" s="92">
        <v>0</v>
      </c>
      <c r="G122" s="5"/>
      <c r="H122" s="5"/>
      <c r="L122" s="7"/>
      <c r="M122" s="7"/>
      <c r="O122" s="5"/>
      <c r="P122" s="5"/>
    </row>
    <row r="123" spans="2:16" x14ac:dyDescent="0.25">
      <c r="B123" s="90">
        <v>742</v>
      </c>
      <c r="C123" s="91">
        <v>0.10800817780496463</v>
      </c>
      <c r="D123" s="92">
        <v>0</v>
      </c>
      <c r="G123" s="5"/>
      <c r="H123" s="5"/>
      <c r="L123" s="7"/>
      <c r="M123" s="7"/>
      <c r="O123" s="5"/>
      <c r="P123" s="5"/>
    </row>
    <row r="124" spans="2:16" x14ac:dyDescent="0.25">
      <c r="B124" s="90">
        <v>795</v>
      </c>
      <c r="C124" s="91">
        <v>0.11069639575016854</v>
      </c>
      <c r="D124" s="92">
        <v>0</v>
      </c>
      <c r="G124" s="5"/>
      <c r="H124" s="5"/>
      <c r="L124" s="7"/>
      <c r="M124" s="7"/>
      <c r="O124" s="5"/>
      <c r="P124" s="5"/>
    </row>
    <row r="125" spans="2:16" x14ac:dyDescent="0.25">
      <c r="B125" s="90">
        <v>344</v>
      </c>
      <c r="C125" s="91">
        <v>0.11120926675170906</v>
      </c>
      <c r="D125" s="92">
        <v>0</v>
      </c>
      <c r="G125" s="5"/>
      <c r="H125" s="5"/>
      <c r="L125" s="7"/>
      <c r="M125" s="7"/>
      <c r="O125" s="5"/>
      <c r="P125" s="5"/>
    </row>
    <row r="126" spans="2:16" x14ac:dyDescent="0.25">
      <c r="B126" s="90">
        <v>847</v>
      </c>
      <c r="C126" s="91">
        <v>0.11436973199525147</v>
      </c>
      <c r="D126" s="92">
        <v>0</v>
      </c>
      <c r="G126" s="5"/>
      <c r="H126" s="5"/>
      <c r="L126" s="7"/>
      <c r="M126" s="7"/>
      <c r="O126" s="5"/>
      <c r="P126" s="5"/>
    </row>
    <row r="127" spans="2:16" x14ac:dyDescent="0.25">
      <c r="B127" s="90">
        <v>998</v>
      </c>
      <c r="C127" s="91">
        <v>0.11525579798453789</v>
      </c>
      <c r="D127" s="92">
        <v>0</v>
      </c>
      <c r="G127" s="5"/>
      <c r="H127" s="5"/>
      <c r="L127" s="7"/>
      <c r="M127" s="7"/>
      <c r="O127" s="5"/>
      <c r="P127" s="5"/>
    </row>
    <row r="128" spans="2:16" x14ac:dyDescent="0.25">
      <c r="B128" s="90">
        <v>343</v>
      </c>
      <c r="C128" s="91">
        <v>0.1229729423817234</v>
      </c>
      <c r="D128" s="92">
        <v>0</v>
      </c>
      <c r="G128" s="5"/>
      <c r="H128" s="5"/>
      <c r="L128" s="7"/>
      <c r="M128" s="7"/>
      <c r="O128" s="5"/>
      <c r="P128" s="5"/>
    </row>
    <row r="129" spans="2:16" x14ac:dyDescent="0.25">
      <c r="B129" s="90">
        <v>1047</v>
      </c>
      <c r="C129" s="91">
        <v>0.12350639337690428</v>
      </c>
      <c r="D129" s="92">
        <v>0</v>
      </c>
      <c r="G129" s="5"/>
      <c r="H129" s="5"/>
      <c r="L129" s="7"/>
      <c r="M129" s="7"/>
      <c r="O129" s="5"/>
      <c r="P129" s="5"/>
    </row>
    <row r="130" spans="2:16" x14ac:dyDescent="0.25">
      <c r="B130" s="90">
        <v>1710</v>
      </c>
      <c r="C130" s="91">
        <v>0.12714357935690579</v>
      </c>
      <c r="D130" s="92">
        <v>0</v>
      </c>
      <c r="G130" s="5"/>
      <c r="H130" s="5"/>
      <c r="L130" s="7"/>
      <c r="M130" s="7"/>
      <c r="O130" s="5"/>
      <c r="P130" s="5"/>
    </row>
    <row r="131" spans="2:16" x14ac:dyDescent="0.25">
      <c r="B131" s="90">
        <v>1140</v>
      </c>
      <c r="C131" s="91">
        <v>0.13018523232020796</v>
      </c>
      <c r="D131" s="92">
        <v>0</v>
      </c>
      <c r="G131" s="5"/>
      <c r="H131" s="5"/>
      <c r="L131" s="7"/>
      <c r="M131" s="7"/>
      <c r="O131" s="5"/>
      <c r="P131" s="5"/>
    </row>
    <row r="132" spans="2:16" x14ac:dyDescent="0.25">
      <c r="B132" s="90">
        <v>997</v>
      </c>
      <c r="C132" s="91">
        <v>0.13023112118586311</v>
      </c>
      <c r="D132" s="92">
        <v>0</v>
      </c>
      <c r="G132" s="5"/>
      <c r="H132" s="5"/>
      <c r="L132" s="7"/>
      <c r="M132" s="7"/>
      <c r="O132" s="5"/>
      <c r="P132" s="5"/>
    </row>
    <row r="133" spans="2:16" x14ac:dyDescent="0.25">
      <c r="B133" s="90">
        <v>1094</v>
      </c>
      <c r="C133" s="91">
        <v>0.13391580941352443</v>
      </c>
      <c r="D133" s="92">
        <v>0</v>
      </c>
      <c r="G133" s="5"/>
      <c r="H133" s="5"/>
      <c r="L133" s="7"/>
      <c r="M133" s="7"/>
      <c r="O133" s="5"/>
      <c r="P133" s="5"/>
    </row>
    <row r="134" spans="2:16" x14ac:dyDescent="0.25">
      <c r="B134" s="90">
        <v>1355</v>
      </c>
      <c r="C134" s="91">
        <v>0.13637772792215741</v>
      </c>
      <c r="D134" s="92">
        <v>0</v>
      </c>
      <c r="G134" s="5"/>
      <c r="H134" s="5"/>
      <c r="L134" s="7"/>
      <c r="M134" s="7"/>
      <c r="O134" s="5"/>
      <c r="P134" s="5"/>
    </row>
    <row r="135" spans="2:16" x14ac:dyDescent="0.25">
      <c r="B135" s="90">
        <v>1095</v>
      </c>
      <c r="C135" s="91">
        <v>0.14393576440263844</v>
      </c>
      <c r="D135" s="92">
        <v>0</v>
      </c>
      <c r="G135" s="5"/>
      <c r="H135" s="5"/>
      <c r="L135" s="7"/>
      <c r="M135" s="7"/>
      <c r="O135" s="5"/>
      <c r="P135" s="5"/>
    </row>
    <row r="136" spans="2:16" x14ac:dyDescent="0.25">
      <c r="B136" s="90">
        <v>1141</v>
      </c>
      <c r="C136" s="91">
        <v>0.14855600697390292</v>
      </c>
      <c r="D136" s="92">
        <v>0</v>
      </c>
      <c r="G136" s="5"/>
      <c r="H136" s="5"/>
      <c r="L136" s="7"/>
      <c r="M136" s="7"/>
      <c r="O136" s="5"/>
      <c r="P136" s="5"/>
    </row>
    <row r="137" spans="2:16" x14ac:dyDescent="0.25">
      <c r="B137" s="90">
        <v>1046</v>
      </c>
      <c r="C137" s="91">
        <v>0.15309321090169004</v>
      </c>
      <c r="D137" s="92">
        <v>0</v>
      </c>
      <c r="G137" s="5"/>
      <c r="H137" s="5"/>
      <c r="L137" s="7"/>
      <c r="M137" s="7"/>
      <c r="O137" s="5"/>
      <c r="P137" s="5"/>
    </row>
    <row r="138" spans="2:16" x14ac:dyDescent="0.25">
      <c r="B138" s="90">
        <v>1354</v>
      </c>
      <c r="C138" s="91">
        <v>0.15594624289088999</v>
      </c>
      <c r="D138" s="92">
        <v>0</v>
      </c>
      <c r="G138" s="5"/>
      <c r="H138" s="5"/>
      <c r="L138" s="7"/>
      <c r="M138" s="7"/>
      <c r="O138" s="5"/>
      <c r="P138" s="5"/>
    </row>
    <row r="139" spans="2:16" x14ac:dyDescent="0.25">
      <c r="B139" s="90">
        <v>1139</v>
      </c>
      <c r="C139" s="91">
        <v>0.15883379825018795</v>
      </c>
      <c r="D139" s="92">
        <v>0</v>
      </c>
      <c r="G139" s="5"/>
      <c r="H139" s="5"/>
      <c r="L139" s="7"/>
      <c r="M139" s="7"/>
      <c r="O139" s="5"/>
      <c r="P139" s="5"/>
    </row>
    <row r="140" spans="2:16" x14ac:dyDescent="0.25">
      <c r="B140" s="90">
        <v>1093</v>
      </c>
      <c r="C140" s="91">
        <v>0.16302761180469982</v>
      </c>
      <c r="D140" s="92">
        <v>0</v>
      </c>
      <c r="G140" s="5"/>
      <c r="H140" s="5"/>
      <c r="L140" s="7"/>
      <c r="M140" s="7"/>
      <c r="O140" s="5"/>
      <c r="P140" s="5"/>
    </row>
    <row r="141" spans="2:16" x14ac:dyDescent="0.25">
      <c r="B141" s="90">
        <v>160</v>
      </c>
      <c r="C141" s="91">
        <v>0.16441312109656037</v>
      </c>
      <c r="D141" s="92">
        <v>0</v>
      </c>
      <c r="G141" s="5"/>
      <c r="H141" s="5"/>
      <c r="L141" s="7"/>
      <c r="M141" s="7"/>
      <c r="O141" s="5"/>
      <c r="P141" s="5"/>
    </row>
    <row r="142" spans="2:16" x14ac:dyDescent="0.25">
      <c r="B142" s="90">
        <v>1045</v>
      </c>
      <c r="C142" s="91">
        <v>0.16977127088422872</v>
      </c>
      <c r="D142" s="92">
        <v>0</v>
      </c>
      <c r="G142" s="5"/>
      <c r="H142" s="5"/>
      <c r="L142" s="7"/>
      <c r="M142" s="7"/>
      <c r="O142" s="5"/>
      <c r="P142" s="5"/>
    </row>
    <row r="143" spans="2:16" x14ac:dyDescent="0.25">
      <c r="B143" s="90">
        <v>1048</v>
      </c>
      <c r="C143" s="91">
        <v>0.1730938038374823</v>
      </c>
      <c r="D143" s="92">
        <v>0</v>
      </c>
      <c r="G143" s="5"/>
      <c r="H143" s="5"/>
      <c r="L143" s="7"/>
      <c r="M143" s="7"/>
      <c r="O143" s="5"/>
      <c r="P143" s="5"/>
    </row>
    <row r="144" spans="2:16" x14ac:dyDescent="0.25">
      <c r="B144" s="90">
        <v>1138</v>
      </c>
      <c r="C144" s="91">
        <v>0.17477631129778759</v>
      </c>
      <c r="D144" s="92">
        <v>0</v>
      </c>
      <c r="G144" s="5"/>
      <c r="H144" s="5"/>
      <c r="L144" s="7"/>
      <c r="M144" s="7"/>
      <c r="O144" s="5"/>
      <c r="P144" s="5"/>
    </row>
    <row r="145" spans="2:16" x14ac:dyDescent="0.25">
      <c r="B145" s="90">
        <v>1353</v>
      </c>
      <c r="C145" s="91">
        <v>0.17685586341230075</v>
      </c>
      <c r="D145" s="92">
        <v>0</v>
      </c>
      <c r="G145" s="5"/>
      <c r="H145" s="5"/>
      <c r="L145" s="7"/>
      <c r="M145" s="7"/>
      <c r="O145" s="5"/>
      <c r="P145" s="5"/>
    </row>
    <row r="146" spans="2:16" x14ac:dyDescent="0.25">
      <c r="B146" s="90">
        <v>96</v>
      </c>
      <c r="C146" s="91">
        <v>0.17706994307702106</v>
      </c>
      <c r="D146" s="92">
        <v>0</v>
      </c>
      <c r="G146" s="5"/>
      <c r="H146" s="5"/>
      <c r="L146" s="7"/>
      <c r="M146" s="7"/>
      <c r="O146" s="5"/>
      <c r="P146" s="5"/>
    </row>
    <row r="147" spans="2:16" x14ac:dyDescent="0.25">
      <c r="B147" s="90">
        <v>1092</v>
      </c>
      <c r="C147" s="91">
        <v>0.17885201588122457</v>
      </c>
      <c r="D147" s="92">
        <v>0</v>
      </c>
      <c r="G147" s="5"/>
      <c r="H147" s="5"/>
      <c r="L147" s="7"/>
      <c r="M147" s="7"/>
      <c r="O147" s="5"/>
      <c r="P147" s="5"/>
    </row>
    <row r="148" spans="2:16" x14ac:dyDescent="0.25">
      <c r="B148" s="90">
        <v>346</v>
      </c>
      <c r="C148" s="91">
        <v>0.18008936621888594</v>
      </c>
      <c r="D148" s="92">
        <v>0</v>
      </c>
      <c r="G148" s="5"/>
      <c r="H148" s="5"/>
      <c r="L148" s="7"/>
      <c r="M148" s="7"/>
      <c r="O148" s="5"/>
      <c r="P148" s="5"/>
    </row>
    <row r="149" spans="2:16" x14ac:dyDescent="0.25">
      <c r="B149" s="90">
        <v>1544</v>
      </c>
      <c r="C149" s="91">
        <v>0.20140599892014666</v>
      </c>
      <c r="D149" s="92">
        <v>0</v>
      </c>
      <c r="G149" s="5"/>
      <c r="H149" s="5"/>
      <c r="L149" s="7"/>
      <c r="M149" s="7"/>
      <c r="O149" s="5"/>
      <c r="P149" s="5"/>
    </row>
    <row r="150" spans="2:16" x14ac:dyDescent="0.25">
      <c r="B150" s="90">
        <v>1543</v>
      </c>
      <c r="C150" s="91">
        <v>0.20352259161583697</v>
      </c>
      <c r="D150" s="92">
        <v>0</v>
      </c>
      <c r="G150" s="5"/>
      <c r="H150" s="5"/>
      <c r="L150" s="7"/>
      <c r="M150" s="7"/>
      <c r="O150" s="5"/>
      <c r="P150" s="5"/>
    </row>
    <row r="151" spans="2:16" x14ac:dyDescent="0.25">
      <c r="B151" s="90">
        <v>1272</v>
      </c>
      <c r="C151" s="91">
        <v>0.21060112480428006</v>
      </c>
      <c r="D151" s="92">
        <v>0</v>
      </c>
      <c r="G151" s="5"/>
      <c r="H151" s="5"/>
      <c r="L151" s="7"/>
      <c r="M151" s="7"/>
      <c r="O151" s="5"/>
      <c r="P151" s="5"/>
    </row>
    <row r="152" spans="2:16" x14ac:dyDescent="0.25">
      <c r="B152" s="90">
        <v>1545</v>
      </c>
      <c r="C152" s="91">
        <v>0.21319073581165537</v>
      </c>
      <c r="D152" s="92">
        <v>0</v>
      </c>
      <c r="G152" s="5"/>
      <c r="H152" s="5"/>
      <c r="L152" s="7"/>
      <c r="M152" s="7"/>
      <c r="O152" s="5"/>
      <c r="P152" s="5"/>
    </row>
    <row r="153" spans="2:16" x14ac:dyDescent="0.25">
      <c r="B153" s="90">
        <v>1314</v>
      </c>
      <c r="C153" s="91">
        <v>0.21414455958930279</v>
      </c>
      <c r="D153" s="92">
        <v>0</v>
      </c>
      <c r="G153" s="5"/>
      <c r="H153" s="5"/>
      <c r="L153" s="7"/>
      <c r="M153" s="7"/>
      <c r="O153" s="5"/>
      <c r="P153" s="5"/>
    </row>
    <row r="154" spans="2:16" x14ac:dyDescent="0.25">
      <c r="B154" s="90">
        <v>1271</v>
      </c>
      <c r="C154" s="91">
        <v>0.23162104442286857</v>
      </c>
      <c r="D154" s="92">
        <v>0</v>
      </c>
      <c r="G154" s="5"/>
      <c r="H154" s="5"/>
      <c r="L154" s="7"/>
      <c r="M154" s="7"/>
      <c r="O154" s="5"/>
      <c r="P154" s="5"/>
    </row>
    <row r="155" spans="2:16" x14ac:dyDescent="0.25">
      <c r="B155" s="90">
        <v>1313</v>
      </c>
      <c r="C155" s="91">
        <v>0.23400797608629409</v>
      </c>
      <c r="D155" s="92">
        <v>0</v>
      </c>
      <c r="G155" s="5"/>
      <c r="H155" s="5"/>
      <c r="L155" s="7"/>
      <c r="M155" s="7"/>
      <c r="O155" s="5"/>
      <c r="P155" s="5"/>
    </row>
    <row r="156" spans="2:16" x14ac:dyDescent="0.25">
      <c r="B156" s="90">
        <v>1935</v>
      </c>
      <c r="C156" s="91">
        <v>0.2381737991038122</v>
      </c>
      <c r="D156" s="92">
        <v>0</v>
      </c>
      <c r="G156" s="5"/>
      <c r="H156" s="5"/>
      <c r="L156" s="7"/>
      <c r="M156" s="7"/>
      <c r="O156" s="5"/>
      <c r="P156" s="5"/>
    </row>
    <row r="157" spans="2:16" x14ac:dyDescent="0.25">
      <c r="B157" s="90">
        <v>1974</v>
      </c>
      <c r="C157" s="91">
        <v>0.25306963288349582</v>
      </c>
      <c r="D157" s="92">
        <v>0</v>
      </c>
      <c r="G157" s="5"/>
      <c r="H157" s="5"/>
      <c r="L157" s="7"/>
      <c r="M157" s="7"/>
      <c r="O157" s="5"/>
      <c r="P157" s="5"/>
    </row>
    <row r="158" spans="2:16" x14ac:dyDescent="0.25">
      <c r="B158" s="90">
        <v>1270</v>
      </c>
      <c r="C158" s="91">
        <v>0.25759539124061215</v>
      </c>
      <c r="D158" s="92">
        <v>0</v>
      </c>
      <c r="G158" s="5"/>
      <c r="H158" s="5"/>
      <c r="L158" s="7"/>
      <c r="M158" s="7"/>
      <c r="O158" s="5"/>
      <c r="P158" s="5"/>
    </row>
    <row r="159" spans="2:16" x14ac:dyDescent="0.25">
      <c r="B159" s="90">
        <v>1312</v>
      </c>
      <c r="C159" s="91">
        <v>0.25800388283348519</v>
      </c>
      <c r="D159" s="92">
        <v>0</v>
      </c>
      <c r="G159" s="5"/>
      <c r="H159" s="5"/>
      <c r="L159" s="7"/>
      <c r="M159" s="7"/>
      <c r="O159" s="5"/>
      <c r="P159" s="5"/>
    </row>
    <row r="160" spans="2:16" x14ac:dyDescent="0.25">
      <c r="B160" s="90">
        <v>1508</v>
      </c>
      <c r="C160" s="91">
        <v>0.29564115587740769</v>
      </c>
      <c r="D160" s="92">
        <v>0</v>
      </c>
      <c r="G160" s="5"/>
      <c r="H160" s="5"/>
      <c r="L160" s="7"/>
      <c r="M160" s="7"/>
      <c r="O160" s="5"/>
      <c r="P160" s="5"/>
    </row>
    <row r="161" spans="2:16" x14ac:dyDescent="0.25">
      <c r="B161" s="90">
        <v>1507</v>
      </c>
      <c r="C161" s="91">
        <v>0.30243302988004905</v>
      </c>
      <c r="D161" s="92">
        <v>0</v>
      </c>
      <c r="G161" s="5"/>
      <c r="H161" s="5"/>
      <c r="L161" s="7"/>
      <c r="M161" s="7"/>
      <c r="O161" s="5"/>
      <c r="P161" s="5"/>
    </row>
    <row r="162" spans="2:16" x14ac:dyDescent="0.25">
      <c r="B162" s="90">
        <v>1509</v>
      </c>
      <c r="C162" s="91">
        <v>0.30330501703531754</v>
      </c>
      <c r="D162" s="92">
        <v>0</v>
      </c>
      <c r="G162" s="5"/>
      <c r="H162" s="5"/>
      <c r="L162" s="7"/>
      <c r="M162" s="7"/>
      <c r="O162" s="5"/>
      <c r="P162" s="5"/>
    </row>
    <row r="163" spans="2:16" x14ac:dyDescent="0.25">
      <c r="B163" s="90">
        <v>2067</v>
      </c>
      <c r="C163" s="91">
        <v>0.3460619500317792</v>
      </c>
      <c r="D163" s="92">
        <v>0</v>
      </c>
      <c r="G163" s="5"/>
      <c r="H163" s="5"/>
      <c r="L163" s="7"/>
      <c r="M163" s="7"/>
      <c r="O163" s="5"/>
      <c r="P163" s="5"/>
    </row>
    <row r="164" spans="2:16" x14ac:dyDescent="0.25">
      <c r="B164" s="90">
        <v>2099</v>
      </c>
      <c r="C164" s="91">
        <v>0.34950064421838634</v>
      </c>
      <c r="D164" s="92">
        <v>0</v>
      </c>
      <c r="G164" s="5"/>
      <c r="H164" s="5"/>
      <c r="L164" s="7"/>
      <c r="M164" s="7"/>
      <c r="O164" s="5"/>
      <c r="P164" s="5"/>
    </row>
    <row r="165" spans="2:16" x14ac:dyDescent="0.25">
      <c r="B165" s="90">
        <v>1395</v>
      </c>
      <c r="C165" s="91">
        <v>0.37644802162273683</v>
      </c>
      <c r="D165" s="92">
        <v>0</v>
      </c>
      <c r="G165" s="5"/>
      <c r="H165" s="5"/>
      <c r="L165" s="7"/>
      <c r="M165" s="7"/>
      <c r="O165" s="5"/>
      <c r="P165" s="5"/>
    </row>
    <row r="166" spans="2:16" x14ac:dyDescent="0.25">
      <c r="B166" s="90">
        <v>1394</v>
      </c>
      <c r="C166" s="91">
        <v>0.39513960130290271</v>
      </c>
      <c r="D166" s="92">
        <v>0</v>
      </c>
      <c r="G166" s="5"/>
      <c r="H166" s="5"/>
      <c r="L166" s="7"/>
      <c r="M166" s="7"/>
      <c r="O166" s="5"/>
      <c r="P166" s="5"/>
    </row>
    <row r="167" spans="2:16" x14ac:dyDescent="0.25">
      <c r="B167" s="90">
        <v>1393</v>
      </c>
      <c r="C167" s="91">
        <v>0.42211614349267812</v>
      </c>
      <c r="D167" s="92">
        <v>0</v>
      </c>
      <c r="G167" s="5"/>
      <c r="H167" s="5"/>
      <c r="L167" s="7"/>
      <c r="M167" s="7"/>
      <c r="O167" s="5"/>
      <c r="P167" s="5"/>
    </row>
    <row r="168" spans="2:16" x14ac:dyDescent="0.25">
      <c r="B168" s="90">
        <v>1471</v>
      </c>
      <c r="C168" s="91">
        <v>0.43180842619597248</v>
      </c>
      <c r="D168" s="92">
        <v>0</v>
      </c>
      <c r="G168" s="5"/>
      <c r="H168" s="5"/>
      <c r="L168" s="7"/>
      <c r="M168" s="7"/>
      <c r="O168" s="5"/>
      <c r="P168" s="5"/>
    </row>
    <row r="169" spans="2:16" x14ac:dyDescent="0.25">
      <c r="B169" s="90">
        <v>1472</v>
      </c>
      <c r="C169" s="91">
        <v>0.43881216288706382</v>
      </c>
      <c r="D169" s="92">
        <v>0</v>
      </c>
      <c r="G169" s="5"/>
      <c r="H169" s="5"/>
      <c r="L169" s="7"/>
      <c r="M169" s="7"/>
      <c r="O169" s="5"/>
      <c r="P169" s="5"/>
    </row>
    <row r="170" spans="2:16" x14ac:dyDescent="0.25">
      <c r="B170" s="90">
        <v>1470</v>
      </c>
      <c r="C170" s="91">
        <v>0.4468312293593506</v>
      </c>
      <c r="D170" s="92">
        <v>0</v>
      </c>
      <c r="G170" s="5"/>
      <c r="H170" s="5"/>
      <c r="L170" s="7"/>
      <c r="M170" s="7"/>
      <c r="O170" s="5"/>
      <c r="P170" s="5"/>
    </row>
    <row r="171" spans="2:16" x14ac:dyDescent="0.25">
      <c r="B171" s="90">
        <v>629</v>
      </c>
      <c r="C171" s="91">
        <v>2.7235187074316936E-2</v>
      </c>
      <c r="D171" s="92">
        <v>1</v>
      </c>
      <c r="G171" s="5"/>
      <c r="H171" s="5"/>
      <c r="L171" s="7"/>
      <c r="M171" s="7"/>
      <c r="O171" s="5"/>
      <c r="P171" s="5"/>
    </row>
    <row r="172" spans="2:16" x14ac:dyDescent="0.25">
      <c r="B172" s="90">
        <v>635</v>
      </c>
      <c r="C172" s="91">
        <v>4.9699977581999066E-2</v>
      </c>
      <c r="D172" s="92">
        <v>1</v>
      </c>
      <c r="G172" s="5"/>
      <c r="H172" s="5"/>
      <c r="L172" s="7"/>
      <c r="M172" s="7"/>
      <c r="O172" s="5"/>
      <c r="P172" s="5"/>
    </row>
    <row r="173" spans="2:16" x14ac:dyDescent="0.25">
      <c r="B173" s="90">
        <v>632</v>
      </c>
      <c r="C173" s="91">
        <v>5.4346219777758886E-2</v>
      </c>
      <c r="D173" s="92">
        <v>1</v>
      </c>
      <c r="G173" s="5"/>
      <c r="H173" s="5"/>
      <c r="L173" s="7"/>
      <c r="M173" s="7"/>
      <c r="O173" s="5"/>
      <c r="P173" s="5"/>
    </row>
    <row r="174" spans="2:16" x14ac:dyDescent="0.25">
      <c r="B174" s="90">
        <v>634</v>
      </c>
      <c r="C174" s="91">
        <v>8.2485588015315692E-2</v>
      </c>
      <c r="D174" s="92">
        <v>1</v>
      </c>
      <c r="G174" s="5"/>
      <c r="H174" s="5"/>
      <c r="L174" s="7"/>
      <c r="M174" s="7"/>
      <c r="O174" s="5"/>
      <c r="P174" s="5"/>
    </row>
    <row r="175" spans="2:16" x14ac:dyDescent="0.25">
      <c r="B175" s="90">
        <v>633</v>
      </c>
      <c r="C175" s="91">
        <v>9.4625916175409497E-2</v>
      </c>
      <c r="D175" s="92">
        <v>1</v>
      </c>
      <c r="G175" s="5"/>
      <c r="H175" s="5"/>
      <c r="L175" s="7"/>
      <c r="M175" s="7"/>
      <c r="O175" s="5"/>
      <c r="P175" s="5"/>
    </row>
    <row r="176" spans="2:16" x14ac:dyDescent="0.25">
      <c r="B176" s="90">
        <v>277</v>
      </c>
      <c r="C176" s="91">
        <v>3.9693406092282113E-2</v>
      </c>
      <c r="D176" s="92">
        <v>2</v>
      </c>
      <c r="G176" s="5"/>
      <c r="H176" s="5"/>
      <c r="L176" s="7"/>
      <c r="M176" s="7"/>
      <c r="O176" s="5"/>
      <c r="P176" s="5"/>
    </row>
    <row r="177" spans="2:16" x14ac:dyDescent="0.25">
      <c r="B177" s="90">
        <v>279</v>
      </c>
      <c r="C177" s="91">
        <v>5.0774107186450035E-2</v>
      </c>
      <c r="D177" s="92">
        <v>2</v>
      </c>
      <c r="G177" s="5"/>
      <c r="H177" s="5"/>
      <c r="L177" s="7"/>
      <c r="M177" s="7"/>
      <c r="O177" s="5"/>
      <c r="P177" s="5"/>
    </row>
    <row r="178" spans="2:16" x14ac:dyDescent="0.25">
      <c r="B178" s="90">
        <v>278</v>
      </c>
      <c r="C178" s="91">
        <v>5.1477988942004282E-2</v>
      </c>
      <c r="D178" s="92">
        <v>2</v>
      </c>
      <c r="G178" s="5"/>
      <c r="H178" s="5"/>
      <c r="L178" s="7"/>
      <c r="M178" s="7"/>
      <c r="O178" s="5"/>
      <c r="P178" s="5"/>
    </row>
    <row r="179" spans="2:16" x14ac:dyDescent="0.25">
      <c r="B179" s="90">
        <v>284</v>
      </c>
      <c r="C179" s="91">
        <v>7.2937793547811491E-2</v>
      </c>
      <c r="D179" s="92">
        <v>2</v>
      </c>
      <c r="G179" s="5"/>
      <c r="H179" s="5"/>
      <c r="L179" s="7"/>
      <c r="M179" s="7"/>
      <c r="O179" s="5"/>
      <c r="P179" s="5"/>
    </row>
    <row r="180" spans="2:16" x14ac:dyDescent="0.25">
      <c r="B180" s="90">
        <v>280</v>
      </c>
      <c r="C180" s="91">
        <v>7.5502161311405969E-2</v>
      </c>
      <c r="D180" s="92">
        <v>2</v>
      </c>
      <c r="G180" s="5"/>
      <c r="H180" s="5"/>
      <c r="L180" s="7"/>
      <c r="M180" s="7"/>
      <c r="O180" s="5"/>
      <c r="P180" s="5"/>
    </row>
    <row r="181" spans="2:16" x14ac:dyDescent="0.25">
      <c r="B181" s="90">
        <v>216</v>
      </c>
      <c r="C181" s="91">
        <v>8.214478059614061E-2</v>
      </c>
      <c r="D181" s="92">
        <v>2</v>
      </c>
      <c r="G181" s="5"/>
      <c r="H181" s="5"/>
      <c r="L181" s="7"/>
      <c r="M181" s="7"/>
      <c r="O181" s="5"/>
      <c r="P181" s="5"/>
    </row>
    <row r="182" spans="2:16" x14ac:dyDescent="0.25">
      <c r="B182" s="90">
        <v>217</v>
      </c>
      <c r="C182" s="91">
        <v>8.235866434408079E-2</v>
      </c>
      <c r="D182" s="92">
        <v>2</v>
      </c>
      <c r="G182" s="5"/>
      <c r="H182" s="5"/>
      <c r="L182" s="7"/>
      <c r="M182" s="7"/>
      <c r="O182" s="5"/>
      <c r="P182" s="5"/>
    </row>
    <row r="183" spans="2:16" x14ac:dyDescent="0.25">
      <c r="B183" s="90">
        <v>281</v>
      </c>
      <c r="C183" s="91">
        <v>8.4616263604008868E-2</v>
      </c>
      <c r="D183" s="92">
        <v>2</v>
      </c>
      <c r="G183" s="5"/>
      <c r="H183" s="5"/>
      <c r="L183" s="7"/>
      <c r="M183" s="7"/>
      <c r="O183" s="5"/>
      <c r="P183" s="5"/>
    </row>
    <row r="184" spans="2:16" x14ac:dyDescent="0.25">
      <c r="B184" s="90">
        <v>283</v>
      </c>
      <c r="C184" s="91">
        <v>0.10840778104366899</v>
      </c>
      <c r="D184" s="92">
        <v>2</v>
      </c>
      <c r="G184" s="5"/>
      <c r="H184" s="5"/>
      <c r="L184" s="7"/>
      <c r="M184" s="7"/>
      <c r="O184" s="5"/>
      <c r="P184" s="5"/>
    </row>
    <row r="185" spans="2:16" x14ac:dyDescent="0.25">
      <c r="B185" s="90">
        <v>218</v>
      </c>
      <c r="C185" s="91">
        <v>0.11187922398329553</v>
      </c>
      <c r="D185" s="92">
        <v>2</v>
      </c>
      <c r="G185" s="5"/>
      <c r="H185" s="5"/>
      <c r="L185" s="7"/>
      <c r="M185" s="7"/>
      <c r="O185" s="5"/>
      <c r="P185" s="5"/>
    </row>
    <row r="186" spans="2:16" x14ac:dyDescent="0.25">
      <c r="B186" s="90">
        <v>282</v>
      </c>
      <c r="C186" s="91">
        <v>0.12007677914762249</v>
      </c>
      <c r="D186" s="92">
        <v>2</v>
      </c>
      <c r="G186" s="5"/>
      <c r="H186" s="5"/>
      <c r="L186" s="7"/>
      <c r="M186" s="7"/>
      <c r="O186" s="5"/>
      <c r="P186" s="5"/>
    </row>
    <row r="187" spans="2:16" x14ac:dyDescent="0.25">
      <c r="B187" s="90">
        <v>219</v>
      </c>
      <c r="C187" s="91">
        <v>0.12304608606417</v>
      </c>
      <c r="D187" s="92">
        <v>2</v>
      </c>
      <c r="G187" s="5"/>
      <c r="H187" s="5"/>
      <c r="L187" s="7"/>
      <c r="M187" s="7"/>
      <c r="O187" s="5"/>
      <c r="P187" s="5"/>
    </row>
    <row r="188" spans="2:16" x14ac:dyDescent="0.25">
      <c r="B188" s="90">
        <v>285</v>
      </c>
      <c r="C188" s="91">
        <v>0.18221040262106947</v>
      </c>
      <c r="D188" s="92">
        <v>2</v>
      </c>
      <c r="G188" s="5"/>
      <c r="H188" s="5"/>
      <c r="L188" s="7"/>
      <c r="M188" s="7"/>
      <c r="O188" s="5"/>
      <c r="P188" s="5"/>
    </row>
    <row r="189" spans="2:16" x14ac:dyDescent="0.25">
      <c r="B189" s="90">
        <v>630</v>
      </c>
      <c r="C189" s="91">
        <v>3.3904989650908712E-2</v>
      </c>
      <c r="D189" s="92">
        <v>3</v>
      </c>
      <c r="G189" s="5"/>
      <c r="H189" s="5"/>
      <c r="L189" s="7"/>
      <c r="M189" s="7"/>
      <c r="O189" s="5"/>
      <c r="P189" s="5"/>
    </row>
    <row r="190" spans="2:16" x14ac:dyDescent="0.25">
      <c r="B190" s="90">
        <v>631</v>
      </c>
      <c r="C190" s="91">
        <v>4.5520804869471299E-2</v>
      </c>
      <c r="D190" s="92">
        <v>3</v>
      </c>
      <c r="G190" s="5"/>
      <c r="H190" s="5"/>
      <c r="L190" s="7"/>
      <c r="M190" s="7"/>
      <c r="O190" s="5"/>
      <c r="P190" s="5"/>
    </row>
    <row r="191" spans="2:16" x14ac:dyDescent="0.25">
      <c r="B191" s="90">
        <v>579</v>
      </c>
      <c r="C191" s="91">
        <v>5.4214163516923541E-2</v>
      </c>
      <c r="D191" s="92">
        <v>3</v>
      </c>
      <c r="G191" s="5"/>
      <c r="H191" s="5"/>
      <c r="L191" s="7"/>
      <c r="M191" s="7"/>
      <c r="O191" s="5"/>
      <c r="P191" s="5"/>
    </row>
    <row r="192" spans="2:16" x14ac:dyDescent="0.25">
      <c r="B192" s="90">
        <v>519</v>
      </c>
      <c r="C192" s="91">
        <v>5.7387237498051524E-2</v>
      </c>
      <c r="D192" s="92">
        <v>3</v>
      </c>
      <c r="G192" s="5"/>
      <c r="H192" s="5"/>
      <c r="L192" s="7"/>
      <c r="M192" s="7"/>
      <c r="O192" s="5"/>
      <c r="P192" s="5"/>
    </row>
    <row r="193" spans="2:16" x14ac:dyDescent="0.25">
      <c r="B193" s="90">
        <v>576</v>
      </c>
      <c r="C193" s="91">
        <v>5.9598122551807409E-2</v>
      </c>
      <c r="D193" s="92">
        <v>3</v>
      </c>
      <c r="G193" s="5"/>
      <c r="H193" s="5"/>
      <c r="L193" s="7"/>
      <c r="M193" s="7"/>
      <c r="O193" s="5"/>
      <c r="P193" s="5"/>
    </row>
    <row r="194" spans="2:16" x14ac:dyDescent="0.25">
      <c r="B194" s="90">
        <v>405</v>
      </c>
      <c r="C194" s="91">
        <v>7.0981851127255302E-2</v>
      </c>
      <c r="D194" s="92">
        <v>3</v>
      </c>
      <c r="G194" s="5"/>
      <c r="H194" s="5"/>
      <c r="L194" s="7"/>
      <c r="M194" s="7"/>
      <c r="O194" s="5"/>
      <c r="P194" s="5"/>
    </row>
    <row r="195" spans="2:16" x14ac:dyDescent="0.25">
      <c r="B195" s="90">
        <v>461</v>
      </c>
      <c r="C195" s="91">
        <v>7.5621670912067396E-2</v>
      </c>
      <c r="D195" s="92">
        <v>3</v>
      </c>
      <c r="G195" s="5"/>
      <c r="H195" s="5"/>
      <c r="L195" s="7"/>
      <c r="M195" s="7"/>
      <c r="O195" s="5"/>
      <c r="P195" s="5"/>
    </row>
    <row r="196" spans="2:16" x14ac:dyDescent="0.25">
      <c r="B196" s="90">
        <v>402</v>
      </c>
      <c r="C196" s="91">
        <v>7.8562389218297835E-2</v>
      </c>
      <c r="D196" s="92">
        <v>3</v>
      </c>
      <c r="G196" s="5"/>
      <c r="H196" s="5"/>
      <c r="L196" s="7"/>
      <c r="M196" s="7"/>
      <c r="O196" s="5"/>
      <c r="P196" s="5"/>
    </row>
    <row r="197" spans="2:16" x14ac:dyDescent="0.25">
      <c r="B197" s="90">
        <v>578</v>
      </c>
      <c r="C197" s="91">
        <v>8.7254353575870303E-2</v>
      </c>
      <c r="D197" s="92">
        <v>3</v>
      </c>
      <c r="G197" s="5"/>
      <c r="H197" s="5"/>
      <c r="L197" s="7"/>
      <c r="M197" s="7"/>
      <c r="O197" s="5"/>
      <c r="P197" s="5"/>
    </row>
    <row r="198" spans="2:16" x14ac:dyDescent="0.25">
      <c r="B198" s="90">
        <v>577</v>
      </c>
      <c r="C198" s="91">
        <v>9.9337629830192675E-2</v>
      </c>
      <c r="D198" s="92">
        <v>3</v>
      </c>
      <c r="G198" s="5"/>
      <c r="H198" s="5"/>
      <c r="L198" s="7"/>
      <c r="M198" s="7"/>
      <c r="O198" s="5"/>
      <c r="P198" s="5"/>
    </row>
    <row r="199" spans="2:16" x14ac:dyDescent="0.25">
      <c r="B199" s="90">
        <v>89</v>
      </c>
      <c r="C199" s="91">
        <v>0.10235792978032721</v>
      </c>
      <c r="D199" s="92">
        <v>3</v>
      </c>
      <c r="G199" s="5"/>
      <c r="H199" s="5"/>
      <c r="L199" s="7"/>
      <c r="M199" s="7"/>
      <c r="O199" s="5"/>
      <c r="P199" s="5"/>
    </row>
    <row r="200" spans="2:16" x14ac:dyDescent="0.25">
      <c r="B200" s="90">
        <v>90</v>
      </c>
      <c r="C200" s="91">
        <v>0.10444741729094442</v>
      </c>
      <c r="D200" s="92">
        <v>3</v>
      </c>
      <c r="G200" s="5"/>
      <c r="H200" s="5"/>
      <c r="L200" s="7"/>
      <c r="M200" s="7"/>
      <c r="O200" s="5"/>
      <c r="P200" s="5"/>
    </row>
    <row r="201" spans="2:16" x14ac:dyDescent="0.25">
      <c r="B201" s="90">
        <v>404</v>
      </c>
      <c r="C201" s="91">
        <v>0.10548437579530434</v>
      </c>
      <c r="D201" s="92">
        <v>3</v>
      </c>
      <c r="G201" s="5"/>
      <c r="H201" s="5"/>
      <c r="L201" s="7"/>
      <c r="M201" s="7"/>
      <c r="O201" s="5"/>
      <c r="P201" s="5"/>
    </row>
    <row r="202" spans="2:16" x14ac:dyDescent="0.25">
      <c r="B202" s="90">
        <v>153</v>
      </c>
      <c r="C202" s="91">
        <v>0.11354128083463033</v>
      </c>
      <c r="D202" s="92">
        <v>3</v>
      </c>
      <c r="G202" s="5"/>
      <c r="H202" s="5"/>
      <c r="L202" s="7"/>
      <c r="M202" s="7"/>
      <c r="O202" s="5"/>
      <c r="P202" s="5"/>
    </row>
    <row r="203" spans="2:16" x14ac:dyDescent="0.25">
      <c r="B203" s="90">
        <v>154</v>
      </c>
      <c r="C203" s="91">
        <v>0.11522399109530657</v>
      </c>
      <c r="D203" s="92">
        <v>3</v>
      </c>
      <c r="G203" s="5"/>
      <c r="H203" s="5"/>
      <c r="L203" s="7"/>
      <c r="M203" s="7"/>
      <c r="O203" s="5"/>
      <c r="P203" s="5"/>
    </row>
    <row r="204" spans="2:16" x14ac:dyDescent="0.25">
      <c r="B204" s="90">
        <v>403</v>
      </c>
      <c r="C204" s="91">
        <v>0.11757580726936534</v>
      </c>
      <c r="D204" s="92">
        <v>3</v>
      </c>
      <c r="G204" s="5"/>
      <c r="H204" s="5"/>
      <c r="L204" s="7"/>
      <c r="M204" s="7"/>
      <c r="O204" s="5"/>
      <c r="P204" s="5"/>
    </row>
    <row r="205" spans="2:16" x14ac:dyDescent="0.25">
      <c r="B205" s="90">
        <v>91</v>
      </c>
      <c r="C205" s="91">
        <v>0.13647009780056529</v>
      </c>
      <c r="D205" s="92">
        <v>3</v>
      </c>
      <c r="G205" s="5"/>
      <c r="H205" s="5"/>
      <c r="L205" s="7"/>
      <c r="M205" s="7"/>
      <c r="O205" s="5"/>
      <c r="P205" s="5"/>
    </row>
    <row r="206" spans="2:16" x14ac:dyDescent="0.25">
      <c r="B206" s="90">
        <v>95</v>
      </c>
      <c r="C206" s="91">
        <v>0.14375872597650652</v>
      </c>
      <c r="D206" s="92">
        <v>3</v>
      </c>
      <c r="G206" s="5"/>
      <c r="H206" s="5"/>
      <c r="L206" s="7"/>
      <c r="M206" s="7"/>
      <c r="O206" s="5"/>
      <c r="P206" s="5"/>
    </row>
    <row r="207" spans="2:16" x14ac:dyDescent="0.25">
      <c r="B207" s="90">
        <v>155</v>
      </c>
      <c r="C207" s="91">
        <v>0.14752651516801252</v>
      </c>
      <c r="D207" s="92">
        <v>3</v>
      </c>
      <c r="G207" s="5"/>
      <c r="H207" s="5"/>
      <c r="L207" s="7"/>
      <c r="M207" s="7"/>
      <c r="O207" s="5"/>
      <c r="P207" s="5"/>
    </row>
    <row r="208" spans="2:16" x14ac:dyDescent="0.25">
      <c r="B208" s="90">
        <v>92</v>
      </c>
      <c r="C208" s="91">
        <v>0.14862130326009337</v>
      </c>
      <c r="D208" s="92">
        <v>3</v>
      </c>
      <c r="G208" s="5"/>
      <c r="H208" s="5"/>
      <c r="L208" s="7"/>
      <c r="M208" s="7"/>
      <c r="O208" s="5"/>
      <c r="P208" s="5"/>
    </row>
    <row r="209" spans="2:16" x14ac:dyDescent="0.25">
      <c r="B209" s="90">
        <v>159</v>
      </c>
      <c r="C209" s="91">
        <v>0.15761799622626338</v>
      </c>
      <c r="D209" s="92">
        <v>3</v>
      </c>
      <c r="G209" s="5"/>
      <c r="H209" s="5"/>
      <c r="L209" s="7"/>
      <c r="M209" s="7"/>
      <c r="O209" s="5"/>
      <c r="P209" s="5"/>
    </row>
    <row r="210" spans="2:16" x14ac:dyDescent="0.25">
      <c r="B210" s="90">
        <v>156</v>
      </c>
      <c r="C210" s="91">
        <v>0.15980288707786761</v>
      </c>
      <c r="D210" s="92">
        <v>3</v>
      </c>
      <c r="G210" s="5"/>
      <c r="H210" s="5"/>
      <c r="L210" s="7"/>
      <c r="M210" s="7"/>
      <c r="O210" s="5"/>
      <c r="P210" s="5"/>
    </row>
    <row r="211" spans="2:16" x14ac:dyDescent="0.25">
      <c r="B211" s="90">
        <v>94</v>
      </c>
      <c r="C211" s="91">
        <v>0.18642000594506603</v>
      </c>
      <c r="D211" s="92">
        <v>3</v>
      </c>
      <c r="G211" s="5"/>
      <c r="H211" s="5"/>
      <c r="L211" s="7"/>
      <c r="M211" s="7"/>
      <c r="O211" s="5"/>
      <c r="P211" s="5"/>
    </row>
    <row r="212" spans="2:16" x14ac:dyDescent="0.25">
      <c r="B212" s="90">
        <v>158</v>
      </c>
      <c r="C212" s="91">
        <v>0.20006865658944295</v>
      </c>
      <c r="D212" s="92">
        <v>3</v>
      </c>
      <c r="G212" s="5"/>
      <c r="H212" s="5"/>
      <c r="L212" s="7"/>
      <c r="M212" s="7"/>
      <c r="O212" s="5"/>
      <c r="P212" s="5"/>
    </row>
    <row r="213" spans="2:16" x14ac:dyDescent="0.25">
      <c r="B213" s="90">
        <v>93</v>
      </c>
      <c r="C213" s="91">
        <v>0.20155097516366238</v>
      </c>
      <c r="D213" s="92">
        <v>3</v>
      </c>
      <c r="G213" s="5"/>
      <c r="H213" s="5"/>
      <c r="L213" s="7"/>
      <c r="M213" s="7"/>
      <c r="O213" s="5"/>
      <c r="P213" s="5"/>
    </row>
    <row r="214" spans="2:16" x14ac:dyDescent="0.25">
      <c r="B214" s="90">
        <v>157</v>
      </c>
      <c r="C214" s="91">
        <v>0.21543520496084478</v>
      </c>
      <c r="D214" s="92">
        <v>3</v>
      </c>
      <c r="G214" s="5"/>
      <c r="H214" s="5"/>
      <c r="L214" s="7"/>
      <c r="M214" s="7"/>
      <c r="O214" s="5"/>
      <c r="P214" s="5"/>
    </row>
    <row r="215" spans="2:16" x14ac:dyDescent="0.25">
      <c r="B215" s="90">
        <v>1973</v>
      </c>
      <c r="C215" s="91">
        <v>0.22460414029679998</v>
      </c>
      <c r="D215" s="92">
        <v>4</v>
      </c>
      <c r="G215" s="5"/>
      <c r="H215" s="5"/>
      <c r="L215" s="7"/>
      <c r="M215" s="7"/>
      <c r="O215" s="5"/>
      <c r="P215" s="5"/>
    </row>
    <row r="216" spans="2:16" x14ac:dyDescent="0.25">
      <c r="B216" s="90">
        <v>1511</v>
      </c>
      <c r="C216" s="91">
        <v>2.2917512931363238E-2</v>
      </c>
      <c r="D216" s="92">
        <v>8</v>
      </c>
      <c r="G216" s="5"/>
      <c r="H216" s="5"/>
      <c r="L216" s="7"/>
      <c r="M216" s="7"/>
      <c r="O216" s="5"/>
      <c r="P216" s="5"/>
    </row>
    <row r="217" spans="2:16" x14ac:dyDescent="0.25">
      <c r="B217" s="90">
        <v>1397</v>
      </c>
      <c r="C217" s="91">
        <v>3.2379009944097814E-2</v>
      </c>
      <c r="D217" s="92">
        <v>8</v>
      </c>
      <c r="G217" s="5"/>
      <c r="H217" s="5"/>
      <c r="L217" s="7"/>
      <c r="M217" s="7"/>
      <c r="O217" s="5"/>
      <c r="P217" s="5"/>
    </row>
    <row r="218" spans="2:16" x14ac:dyDescent="0.25">
      <c r="B218" s="90">
        <v>1549</v>
      </c>
      <c r="C218" s="91">
        <v>3.3024321133640289E-2</v>
      </c>
      <c r="D218" s="92">
        <v>8</v>
      </c>
      <c r="G218" s="5"/>
      <c r="H218" s="5"/>
      <c r="L218" s="7"/>
      <c r="M218" s="7"/>
      <c r="O218" s="5"/>
      <c r="P218" s="5"/>
    </row>
    <row r="219" spans="2:16" x14ac:dyDescent="0.25">
      <c r="B219" s="90">
        <v>1513</v>
      </c>
      <c r="C219" s="91">
        <v>3.6317667969501088E-2</v>
      </c>
      <c r="D219" s="92">
        <v>8</v>
      </c>
      <c r="G219" s="5"/>
      <c r="H219" s="5"/>
      <c r="L219" s="7"/>
      <c r="M219" s="7"/>
      <c r="O219" s="5"/>
      <c r="P219" s="5"/>
    </row>
    <row r="220" spans="2:16" x14ac:dyDescent="0.25">
      <c r="B220" s="90">
        <v>1474</v>
      </c>
      <c r="C220" s="91">
        <v>4.0552384636674987E-2</v>
      </c>
      <c r="D220" s="92">
        <v>8</v>
      </c>
      <c r="G220" s="5"/>
      <c r="H220" s="5"/>
      <c r="L220" s="7"/>
      <c r="M220" s="7"/>
      <c r="O220" s="5"/>
      <c r="P220" s="5"/>
    </row>
    <row r="221" spans="2:16" x14ac:dyDescent="0.25">
      <c r="B221" s="90">
        <v>1512</v>
      </c>
      <c r="C221" s="91">
        <v>4.5561576520350866E-2</v>
      </c>
      <c r="D221" s="92">
        <v>8</v>
      </c>
      <c r="G221" s="5"/>
      <c r="H221" s="5"/>
      <c r="L221" s="7"/>
      <c r="M221" s="7"/>
      <c r="O221" s="5"/>
      <c r="P221" s="5"/>
    </row>
    <row r="222" spans="2:16" x14ac:dyDescent="0.25">
      <c r="B222" s="90">
        <v>1515</v>
      </c>
      <c r="C222" s="91">
        <v>5.239528299075491E-2</v>
      </c>
      <c r="D222" s="92">
        <v>8</v>
      </c>
      <c r="G222" s="5"/>
      <c r="H222" s="5"/>
      <c r="L222" s="7"/>
      <c r="M222" s="7"/>
      <c r="O222" s="5"/>
      <c r="P222" s="5"/>
    </row>
    <row r="223" spans="2:16" x14ac:dyDescent="0.25">
      <c r="B223" s="90">
        <v>1476</v>
      </c>
      <c r="C223" s="91">
        <v>5.5679321920593328E-2</v>
      </c>
      <c r="D223" s="92">
        <v>8</v>
      </c>
      <c r="G223" s="5"/>
      <c r="H223" s="5"/>
      <c r="L223" s="7"/>
      <c r="M223" s="7"/>
      <c r="O223" s="5"/>
      <c r="P223" s="5"/>
    </row>
    <row r="224" spans="2:16" x14ac:dyDescent="0.25">
      <c r="B224" s="90">
        <v>1479</v>
      </c>
      <c r="C224" s="91">
        <v>8.4298236893427525E-2</v>
      </c>
      <c r="D224" s="92">
        <v>8</v>
      </c>
      <c r="G224" s="5"/>
      <c r="H224" s="5"/>
      <c r="L224" s="7"/>
      <c r="M224" s="7"/>
      <c r="O224" s="5"/>
      <c r="P224" s="5"/>
    </row>
    <row r="225" spans="2:16" x14ac:dyDescent="0.25">
      <c r="B225" s="90">
        <v>1547</v>
      </c>
      <c r="C225" s="91">
        <v>9.8205186481962303E-2</v>
      </c>
      <c r="D225" s="92">
        <v>8</v>
      </c>
      <c r="G225" s="5"/>
      <c r="H225" s="5"/>
      <c r="L225" s="7"/>
      <c r="M225" s="7"/>
      <c r="O225" s="5"/>
      <c r="P225" s="5"/>
    </row>
    <row r="226" spans="2:16" x14ac:dyDescent="0.25">
      <c r="B226" s="90">
        <v>1401</v>
      </c>
      <c r="C226" s="91">
        <v>0.11086758344152958</v>
      </c>
      <c r="D226" s="92">
        <v>8</v>
      </c>
      <c r="G226" s="5"/>
      <c r="H226" s="5"/>
      <c r="L226" s="7"/>
      <c r="M226" s="7"/>
      <c r="O226" s="5"/>
      <c r="P226" s="5"/>
    </row>
    <row r="227" spans="2:16" x14ac:dyDescent="0.25">
      <c r="B227" s="90">
        <v>1548</v>
      </c>
      <c r="C227" s="91">
        <v>0.12104119517961753</v>
      </c>
      <c r="D227" s="92">
        <v>8</v>
      </c>
      <c r="G227" s="5"/>
      <c r="H227" s="5"/>
      <c r="L227" s="7"/>
      <c r="M227" s="7"/>
      <c r="O227" s="5"/>
      <c r="P227" s="5"/>
    </row>
    <row r="228" spans="2:16" x14ac:dyDescent="0.25">
      <c r="B228" s="90">
        <v>222</v>
      </c>
      <c r="C228" s="91">
        <v>0.1225974190837229</v>
      </c>
      <c r="D228" s="92">
        <v>8</v>
      </c>
      <c r="G228" s="5"/>
      <c r="H228" s="5"/>
      <c r="L228" s="7"/>
      <c r="M228" s="7"/>
      <c r="O228" s="5"/>
      <c r="P228" s="5"/>
    </row>
    <row r="229" spans="2:16" x14ac:dyDescent="0.25">
      <c r="B229" s="90">
        <v>1096</v>
      </c>
      <c r="C229" s="91">
        <v>0.13182328855405934</v>
      </c>
      <c r="D229" s="92">
        <v>8</v>
      </c>
      <c r="G229" s="5"/>
      <c r="H229" s="5"/>
      <c r="L229" s="7"/>
      <c r="M229" s="7"/>
      <c r="O229" s="5"/>
      <c r="P229" s="5"/>
    </row>
    <row r="230" spans="2:16" x14ac:dyDescent="0.25">
      <c r="B230" s="90">
        <v>1142</v>
      </c>
      <c r="C230" s="91">
        <v>0.13630820288449119</v>
      </c>
      <c r="D230" s="92">
        <v>8</v>
      </c>
      <c r="G230" s="5"/>
      <c r="H230" s="5"/>
      <c r="L230" s="7"/>
      <c r="M230" s="7"/>
      <c r="O230" s="5"/>
      <c r="P230" s="5"/>
    </row>
    <row r="231" spans="2:16" x14ac:dyDescent="0.25">
      <c r="B231" s="90">
        <v>1097</v>
      </c>
      <c r="C231" s="91">
        <v>0.14528403806022305</v>
      </c>
      <c r="D231" s="92">
        <v>8</v>
      </c>
      <c r="G231" s="5"/>
      <c r="H231" s="5"/>
      <c r="L231" s="7"/>
      <c r="M231" s="7"/>
      <c r="O231" s="5"/>
      <c r="P231" s="5"/>
    </row>
    <row r="232" spans="2:16" x14ac:dyDescent="0.25">
      <c r="B232" s="90">
        <v>1143</v>
      </c>
      <c r="C232" s="91">
        <v>0.15012733293233682</v>
      </c>
      <c r="D232" s="92">
        <v>8</v>
      </c>
      <c r="G232" s="5"/>
      <c r="H232" s="5"/>
      <c r="L232" s="7"/>
      <c r="M232" s="7"/>
      <c r="O232" s="5"/>
      <c r="P232" s="5"/>
    </row>
    <row r="233" spans="2:16" x14ac:dyDescent="0.25">
      <c r="B233" s="90">
        <v>1436</v>
      </c>
      <c r="C233" s="91">
        <v>0.15185269333108331</v>
      </c>
      <c r="D233" s="92">
        <v>8</v>
      </c>
      <c r="G233" s="5"/>
      <c r="H233" s="5"/>
      <c r="L233" s="7"/>
      <c r="M233" s="7"/>
      <c r="O233" s="5"/>
      <c r="P233" s="5"/>
    </row>
    <row r="234" spans="2:16" x14ac:dyDescent="0.25">
      <c r="B234" s="90">
        <v>1098</v>
      </c>
      <c r="C234" s="91">
        <v>0.15200036327045297</v>
      </c>
      <c r="D234" s="92">
        <v>8</v>
      </c>
      <c r="G234" s="5"/>
      <c r="H234" s="5"/>
      <c r="L234" s="7"/>
      <c r="M234" s="7"/>
      <c r="O234" s="5"/>
      <c r="P234" s="5"/>
    </row>
    <row r="235" spans="2:16" x14ac:dyDescent="0.25">
      <c r="B235" s="90">
        <v>1144</v>
      </c>
      <c r="C235" s="91">
        <v>0.15702039044015192</v>
      </c>
      <c r="D235" s="92">
        <v>8</v>
      </c>
      <c r="G235" s="5"/>
      <c r="H235" s="5"/>
      <c r="L235" s="7"/>
      <c r="M235" s="7"/>
      <c r="O235" s="5"/>
      <c r="P235" s="5"/>
    </row>
    <row r="236" spans="2:16" x14ac:dyDescent="0.25">
      <c r="B236" s="90">
        <v>162</v>
      </c>
      <c r="C236" s="91">
        <v>0.15959848301345581</v>
      </c>
      <c r="D236" s="92">
        <v>8</v>
      </c>
      <c r="G236" s="5"/>
      <c r="H236" s="5"/>
      <c r="L236" s="7"/>
      <c r="M236" s="7"/>
      <c r="O236" s="5"/>
      <c r="P236" s="5"/>
    </row>
    <row r="237" spans="2:16" x14ac:dyDescent="0.25">
      <c r="B237" s="90">
        <v>1049</v>
      </c>
      <c r="C237" s="91">
        <v>0.1604879251529453</v>
      </c>
      <c r="D237" s="92">
        <v>8</v>
      </c>
      <c r="G237" s="5"/>
      <c r="H237" s="5"/>
      <c r="L237" s="7"/>
      <c r="M237" s="7"/>
      <c r="O237" s="5"/>
      <c r="P237" s="5"/>
    </row>
    <row r="238" spans="2:16" x14ac:dyDescent="0.25">
      <c r="B238" s="90">
        <v>221</v>
      </c>
      <c r="C238" s="91">
        <v>0.16121923301292074</v>
      </c>
      <c r="D238" s="92">
        <v>8</v>
      </c>
      <c r="G238" s="5"/>
      <c r="H238" s="5"/>
      <c r="L238" s="7"/>
      <c r="M238" s="7"/>
      <c r="O238" s="5"/>
      <c r="P238" s="5"/>
    </row>
    <row r="239" spans="2:16" x14ac:dyDescent="0.25">
      <c r="B239" s="90">
        <v>97</v>
      </c>
      <c r="C239" s="91">
        <v>0.16635517229446972</v>
      </c>
      <c r="D239" s="92">
        <v>8</v>
      </c>
      <c r="G239" s="5"/>
      <c r="H239" s="5"/>
      <c r="L239" s="7"/>
      <c r="M239" s="7"/>
      <c r="O239" s="5"/>
      <c r="P239" s="5"/>
    </row>
    <row r="240" spans="2:16" x14ac:dyDescent="0.25">
      <c r="B240" s="90">
        <v>1368</v>
      </c>
      <c r="C240" s="91">
        <v>0.1705819774501498</v>
      </c>
      <c r="D240" s="92">
        <v>8</v>
      </c>
      <c r="G240" s="5"/>
      <c r="H240" s="5"/>
      <c r="L240" s="7"/>
      <c r="M240" s="7"/>
      <c r="O240" s="5"/>
      <c r="P240" s="5"/>
    </row>
    <row r="241" spans="2:16" x14ac:dyDescent="0.25">
      <c r="B241" s="90">
        <v>165</v>
      </c>
      <c r="C241" s="91">
        <v>0.17172439063107825</v>
      </c>
      <c r="D241" s="92">
        <v>8</v>
      </c>
      <c r="G241" s="5"/>
      <c r="H241" s="5"/>
      <c r="L241" s="7"/>
      <c r="M241" s="7"/>
      <c r="O241" s="5"/>
      <c r="P241" s="5"/>
    </row>
    <row r="242" spans="2:16" x14ac:dyDescent="0.25">
      <c r="B242" s="90">
        <v>347</v>
      </c>
      <c r="C242" s="91">
        <v>0.17301958728670674</v>
      </c>
      <c r="D242" s="92">
        <v>8</v>
      </c>
      <c r="G242" s="5"/>
      <c r="H242" s="5"/>
      <c r="L242" s="7"/>
      <c r="M242" s="7"/>
      <c r="O242" s="5"/>
      <c r="P242" s="5"/>
    </row>
    <row r="243" spans="2:16" x14ac:dyDescent="0.25">
      <c r="B243" s="90">
        <v>98</v>
      </c>
      <c r="C243" s="91">
        <v>0.17302144037839384</v>
      </c>
      <c r="D243" s="92">
        <v>8</v>
      </c>
      <c r="G243" s="5"/>
      <c r="H243" s="5"/>
      <c r="L243" s="7"/>
      <c r="M243" s="7"/>
      <c r="O243" s="5"/>
      <c r="P243" s="5"/>
    </row>
    <row r="244" spans="2:16" x14ac:dyDescent="0.25">
      <c r="B244" s="90">
        <v>1050</v>
      </c>
      <c r="C244" s="91">
        <v>0.17555986614018504</v>
      </c>
      <c r="D244" s="92">
        <v>8</v>
      </c>
      <c r="G244" s="5"/>
      <c r="H244" s="5"/>
      <c r="L244" s="7"/>
      <c r="M244" s="7"/>
      <c r="O244" s="5"/>
      <c r="P244" s="5"/>
    </row>
    <row r="245" spans="2:16" x14ac:dyDescent="0.25">
      <c r="B245" s="90">
        <v>220</v>
      </c>
      <c r="C245" s="91">
        <v>0.17572636727501734</v>
      </c>
      <c r="D245" s="92">
        <v>8</v>
      </c>
      <c r="G245" s="5"/>
      <c r="H245" s="5"/>
      <c r="L245" s="7"/>
      <c r="M245" s="7"/>
      <c r="O245" s="5"/>
      <c r="P245" s="5"/>
    </row>
    <row r="246" spans="2:16" x14ac:dyDescent="0.25">
      <c r="B246" s="90">
        <v>1407</v>
      </c>
      <c r="C246" s="91">
        <v>0.17587653489995536</v>
      </c>
      <c r="D246" s="92">
        <v>8</v>
      </c>
      <c r="G246" s="5"/>
      <c r="H246" s="5"/>
      <c r="L246" s="7"/>
      <c r="M246" s="7"/>
      <c r="O246" s="5"/>
      <c r="P246" s="5"/>
    </row>
    <row r="247" spans="2:16" x14ac:dyDescent="0.25">
      <c r="B247" s="90">
        <v>99</v>
      </c>
      <c r="C247" s="91">
        <v>0.17817682558857251</v>
      </c>
      <c r="D247" s="92">
        <v>8</v>
      </c>
      <c r="G247" s="5"/>
      <c r="H247" s="5"/>
      <c r="L247" s="7"/>
      <c r="M247" s="7"/>
      <c r="O247" s="5"/>
      <c r="P247" s="5"/>
    </row>
    <row r="248" spans="2:16" x14ac:dyDescent="0.25">
      <c r="B248" s="90">
        <v>348</v>
      </c>
      <c r="C248" s="91">
        <v>0.17973279929921704</v>
      </c>
      <c r="D248" s="92">
        <v>8</v>
      </c>
      <c r="G248" s="5"/>
      <c r="H248" s="5"/>
      <c r="L248" s="7"/>
      <c r="M248" s="7"/>
      <c r="O248" s="5"/>
      <c r="P248" s="5"/>
    </row>
    <row r="249" spans="2:16" x14ac:dyDescent="0.25">
      <c r="B249" s="90">
        <v>1001</v>
      </c>
      <c r="C249" s="91">
        <v>0.18189995682830706</v>
      </c>
      <c r="D249" s="92">
        <v>8</v>
      </c>
      <c r="G249" s="5"/>
      <c r="H249" s="5"/>
      <c r="L249" s="7"/>
      <c r="M249" s="7"/>
      <c r="O249" s="5"/>
      <c r="P249" s="5"/>
    </row>
    <row r="250" spans="2:16" x14ac:dyDescent="0.25">
      <c r="B250" s="90">
        <v>851</v>
      </c>
      <c r="C250" s="91">
        <v>0.18306029829512149</v>
      </c>
      <c r="D250" s="92">
        <v>8</v>
      </c>
      <c r="G250" s="5"/>
      <c r="H250" s="5"/>
      <c r="L250" s="7"/>
      <c r="M250" s="7"/>
      <c r="O250" s="5"/>
      <c r="P250" s="5"/>
    </row>
    <row r="251" spans="2:16" x14ac:dyDescent="0.25">
      <c r="B251" s="90">
        <v>1051</v>
      </c>
      <c r="C251" s="91">
        <v>0.18393180436329448</v>
      </c>
      <c r="D251" s="92">
        <v>8</v>
      </c>
      <c r="G251" s="5"/>
      <c r="H251" s="5"/>
      <c r="L251" s="7"/>
      <c r="M251" s="7"/>
      <c r="O251" s="5"/>
      <c r="P251" s="5"/>
    </row>
    <row r="252" spans="2:16" x14ac:dyDescent="0.25">
      <c r="B252" s="90">
        <v>799</v>
      </c>
      <c r="C252" s="91">
        <v>0.18553272299951962</v>
      </c>
      <c r="D252" s="92">
        <v>8</v>
      </c>
      <c r="G252" s="5"/>
      <c r="H252" s="5"/>
      <c r="L252" s="7"/>
      <c r="M252" s="7"/>
      <c r="O252" s="5"/>
      <c r="P252" s="5"/>
    </row>
    <row r="253" spans="2:16" x14ac:dyDescent="0.25">
      <c r="B253" s="90">
        <v>746</v>
      </c>
      <c r="C253" s="91">
        <v>0.18677062145970535</v>
      </c>
      <c r="D253" s="92">
        <v>8</v>
      </c>
      <c r="G253" s="5"/>
      <c r="H253" s="5"/>
      <c r="L253" s="7"/>
      <c r="M253" s="7"/>
      <c r="O253" s="5"/>
      <c r="P253" s="5"/>
    </row>
    <row r="254" spans="2:16" x14ac:dyDescent="0.25">
      <c r="B254" s="90">
        <v>349</v>
      </c>
      <c r="C254" s="91">
        <v>0.18708980145956755</v>
      </c>
      <c r="D254" s="92">
        <v>8</v>
      </c>
      <c r="G254" s="5"/>
      <c r="H254" s="5"/>
      <c r="L254" s="7"/>
      <c r="M254" s="7"/>
      <c r="O254" s="5"/>
      <c r="P254" s="5"/>
    </row>
    <row r="255" spans="2:16" x14ac:dyDescent="0.25">
      <c r="B255" s="90">
        <v>692</v>
      </c>
      <c r="C255" s="91">
        <v>0.18893932336742092</v>
      </c>
      <c r="D255" s="92">
        <v>8</v>
      </c>
      <c r="G255" s="5"/>
      <c r="H255" s="5"/>
      <c r="L255" s="7"/>
      <c r="M255" s="7"/>
      <c r="O255" s="5"/>
      <c r="P255" s="5"/>
    </row>
    <row r="256" spans="2:16" x14ac:dyDescent="0.25">
      <c r="B256" s="90">
        <v>1287</v>
      </c>
      <c r="C256" s="91">
        <v>0.1910529190683381</v>
      </c>
      <c r="D256" s="92">
        <v>8</v>
      </c>
      <c r="G256" s="5"/>
      <c r="H256" s="5"/>
      <c r="L256" s="7"/>
      <c r="M256" s="7"/>
      <c r="O256" s="5"/>
      <c r="P256" s="5"/>
    </row>
    <row r="257" spans="2:16" x14ac:dyDescent="0.25">
      <c r="B257" s="90">
        <v>1245</v>
      </c>
      <c r="C257" s="91">
        <v>0.19559668012979725</v>
      </c>
      <c r="D257" s="92">
        <v>8</v>
      </c>
      <c r="G257" s="5"/>
      <c r="H257" s="5"/>
      <c r="L257" s="7"/>
      <c r="M257" s="7"/>
      <c r="O257" s="5"/>
      <c r="P257" s="5"/>
    </row>
    <row r="258" spans="2:16" x14ac:dyDescent="0.25">
      <c r="B258" s="90">
        <v>1328</v>
      </c>
      <c r="C258" s="91">
        <v>0.21588593738667705</v>
      </c>
      <c r="D258" s="92">
        <v>8</v>
      </c>
      <c r="G258" s="5"/>
      <c r="H258" s="5"/>
      <c r="L258" s="7"/>
      <c r="M258" s="7"/>
      <c r="O258" s="5"/>
      <c r="P258" s="5"/>
    </row>
    <row r="259" spans="2:16" x14ac:dyDescent="0.25">
      <c r="B259" s="90">
        <v>163</v>
      </c>
      <c r="C259" s="91">
        <v>0.16392347429324994</v>
      </c>
      <c r="D259" s="92">
        <v>9</v>
      </c>
      <c r="G259" s="5"/>
      <c r="H259" s="5"/>
      <c r="L259" s="7"/>
      <c r="M259" s="7"/>
      <c r="O259" s="5"/>
      <c r="P259" s="5"/>
    </row>
    <row r="260" spans="2:16" x14ac:dyDescent="0.25">
      <c r="B260" s="90">
        <v>1440</v>
      </c>
      <c r="C260" s="91">
        <v>2.9352539353586837E-2</v>
      </c>
      <c r="D260" s="92">
        <v>10</v>
      </c>
      <c r="G260" s="5"/>
      <c r="H260" s="5"/>
      <c r="L260" s="7"/>
      <c r="M260" s="7"/>
      <c r="O260" s="5"/>
      <c r="P260" s="5"/>
    </row>
    <row r="261" spans="2:16" x14ac:dyDescent="0.25">
      <c r="B261" s="90">
        <v>573</v>
      </c>
      <c r="C261" s="91">
        <v>2.976514529340557E-2</v>
      </c>
      <c r="D261" s="92">
        <v>10</v>
      </c>
      <c r="G261" s="5"/>
      <c r="H261" s="5"/>
      <c r="L261" s="7"/>
      <c r="M261" s="7"/>
      <c r="O261" s="5"/>
      <c r="P261" s="5"/>
    </row>
    <row r="262" spans="2:16" x14ac:dyDescent="0.25">
      <c r="B262" s="90">
        <v>1441</v>
      </c>
      <c r="C262" s="91">
        <v>3.3199967353789828E-2</v>
      </c>
      <c r="D262" s="92">
        <v>10</v>
      </c>
      <c r="G262" s="5"/>
      <c r="H262" s="5"/>
      <c r="L262" s="7"/>
      <c r="M262" s="7"/>
      <c r="O262" s="5"/>
      <c r="P262" s="5"/>
    </row>
    <row r="263" spans="2:16" x14ac:dyDescent="0.25">
      <c r="B263" s="90">
        <v>1442</v>
      </c>
      <c r="C263" s="91">
        <v>3.5483651692408524E-2</v>
      </c>
      <c r="D263" s="92">
        <v>10</v>
      </c>
      <c r="G263" s="5"/>
      <c r="H263" s="5"/>
      <c r="L263" s="7"/>
      <c r="M263" s="7"/>
      <c r="O263" s="5"/>
      <c r="P263" s="5"/>
    </row>
    <row r="264" spans="2:16" x14ac:dyDescent="0.25">
      <c r="B264" s="90">
        <v>1475</v>
      </c>
      <c r="C264" s="91">
        <v>3.5576916911484679E-2</v>
      </c>
      <c r="D264" s="92">
        <v>10</v>
      </c>
      <c r="G264" s="5"/>
      <c r="H264" s="5"/>
      <c r="L264" s="7"/>
      <c r="M264" s="7"/>
      <c r="O264" s="5"/>
      <c r="P264" s="5"/>
    </row>
    <row r="265" spans="2:16" x14ac:dyDescent="0.25">
      <c r="B265" s="90">
        <v>574</v>
      </c>
      <c r="C265" s="91">
        <v>3.649123210635985E-2</v>
      </c>
      <c r="D265" s="92">
        <v>10</v>
      </c>
      <c r="G265" s="5"/>
      <c r="H265" s="5"/>
      <c r="L265" s="7"/>
      <c r="M265" s="7"/>
      <c r="O265" s="5"/>
      <c r="P265" s="5"/>
    </row>
    <row r="266" spans="2:16" x14ac:dyDescent="0.25">
      <c r="B266" s="90">
        <v>400</v>
      </c>
      <c r="C266" s="91">
        <v>4.478510123344126E-2</v>
      </c>
      <c r="D266" s="92">
        <v>10</v>
      </c>
      <c r="G266" s="5"/>
      <c r="H266" s="5"/>
      <c r="L266" s="7"/>
      <c r="M266" s="7"/>
      <c r="O266" s="5"/>
      <c r="P266" s="5"/>
    </row>
    <row r="267" spans="2:16" x14ac:dyDescent="0.25">
      <c r="B267" s="90">
        <v>399</v>
      </c>
      <c r="C267" s="91">
        <v>4.6111067114421589E-2</v>
      </c>
      <c r="D267" s="92">
        <v>10</v>
      </c>
      <c r="G267" s="5"/>
      <c r="H267" s="5"/>
      <c r="L267" s="7"/>
      <c r="M267" s="7"/>
      <c r="O267" s="5"/>
      <c r="P267" s="5"/>
    </row>
    <row r="268" spans="2:16" x14ac:dyDescent="0.25">
      <c r="B268" s="90">
        <v>522</v>
      </c>
      <c r="C268" s="91">
        <v>5.333078734454455E-2</v>
      </c>
      <c r="D268" s="92">
        <v>10</v>
      </c>
      <c r="G268" s="5"/>
      <c r="H268" s="5"/>
      <c r="L268" s="7"/>
      <c r="M268" s="7"/>
      <c r="O268" s="5"/>
      <c r="P268" s="5"/>
    </row>
    <row r="269" spans="2:16" x14ac:dyDescent="0.25">
      <c r="B269" s="90">
        <v>464</v>
      </c>
      <c r="C269" s="91">
        <v>6.8802035255369542E-2</v>
      </c>
      <c r="D269" s="92">
        <v>10</v>
      </c>
      <c r="G269" s="5"/>
      <c r="H269" s="5"/>
      <c r="L269" s="7"/>
      <c r="M269" s="7"/>
      <c r="O269" s="5"/>
      <c r="P269" s="5"/>
    </row>
    <row r="270" spans="2:16" x14ac:dyDescent="0.25">
      <c r="B270" s="90">
        <v>401</v>
      </c>
      <c r="C270" s="91">
        <v>6.943147205680078E-2</v>
      </c>
      <c r="D270" s="92">
        <v>10</v>
      </c>
      <c r="G270" s="5"/>
      <c r="H270" s="5"/>
      <c r="L270" s="7"/>
      <c r="M270" s="7"/>
      <c r="O270" s="5"/>
      <c r="P270" s="5"/>
    </row>
    <row r="271" spans="2:16" x14ac:dyDescent="0.25">
      <c r="B271" s="90">
        <v>521</v>
      </c>
      <c r="C271" s="91">
        <v>8.6682810341184524E-2</v>
      </c>
      <c r="D271" s="92">
        <v>10</v>
      </c>
      <c r="G271" s="5"/>
      <c r="H271" s="5"/>
      <c r="L271" s="7"/>
      <c r="M271" s="7"/>
      <c r="O271" s="5"/>
      <c r="P271" s="5"/>
    </row>
    <row r="272" spans="2:16" x14ac:dyDescent="0.25">
      <c r="B272" s="90">
        <v>1478</v>
      </c>
      <c r="C272" s="91">
        <v>9.3033074700285434E-2</v>
      </c>
      <c r="D272" s="92">
        <v>10</v>
      </c>
      <c r="G272" s="5"/>
      <c r="H272" s="5"/>
      <c r="L272" s="7"/>
      <c r="M272" s="7"/>
      <c r="O272" s="5"/>
      <c r="P272" s="5"/>
    </row>
    <row r="273" spans="2:16" x14ac:dyDescent="0.25">
      <c r="B273" s="90">
        <v>520</v>
      </c>
      <c r="C273" s="91">
        <v>9.9065189120836283E-2</v>
      </c>
      <c r="D273" s="92">
        <v>10</v>
      </c>
      <c r="G273" s="5"/>
      <c r="H273" s="5"/>
      <c r="L273" s="7"/>
      <c r="M273" s="7"/>
      <c r="O273" s="5"/>
      <c r="P273" s="5"/>
    </row>
    <row r="274" spans="2:16" x14ac:dyDescent="0.25">
      <c r="B274" s="90">
        <v>463</v>
      </c>
      <c r="C274" s="91">
        <v>0.10310737620926003</v>
      </c>
      <c r="D274" s="92">
        <v>10</v>
      </c>
      <c r="G274" s="5"/>
      <c r="H274" s="5"/>
      <c r="L274" s="7"/>
      <c r="M274" s="7"/>
      <c r="O274" s="5"/>
      <c r="P274" s="5"/>
    </row>
    <row r="275" spans="2:16" x14ac:dyDescent="0.25">
      <c r="B275" s="90">
        <v>1402</v>
      </c>
      <c r="C275" s="91">
        <v>0.10422360562446931</v>
      </c>
      <c r="D275" s="92">
        <v>10</v>
      </c>
      <c r="G275" s="5"/>
      <c r="H275" s="5"/>
      <c r="L275" s="7"/>
      <c r="M275" s="7"/>
      <c r="O275" s="5"/>
      <c r="P275" s="5"/>
    </row>
    <row r="276" spans="2:16" x14ac:dyDescent="0.25">
      <c r="B276" s="90">
        <v>1403</v>
      </c>
      <c r="C276" s="91">
        <v>0.10779120190824309</v>
      </c>
      <c r="D276" s="92">
        <v>10</v>
      </c>
      <c r="G276" s="5"/>
      <c r="H276" s="5"/>
      <c r="L276" s="7"/>
      <c r="M276" s="7"/>
      <c r="O276" s="5"/>
      <c r="P276" s="5"/>
    </row>
    <row r="277" spans="2:16" x14ac:dyDescent="0.25">
      <c r="B277" s="90">
        <v>462</v>
      </c>
      <c r="C277" s="91">
        <v>0.11527065099463463</v>
      </c>
      <c r="D277" s="92">
        <v>10</v>
      </c>
      <c r="G277" s="5"/>
      <c r="H277" s="5"/>
      <c r="L277" s="7"/>
      <c r="M277" s="7"/>
      <c r="O277" s="5"/>
      <c r="P277" s="5"/>
    </row>
    <row r="278" spans="2:16" x14ac:dyDescent="0.25">
      <c r="B278" s="90">
        <v>1102</v>
      </c>
      <c r="C278" s="91">
        <v>0.13968178854739055</v>
      </c>
      <c r="D278" s="92">
        <v>10</v>
      </c>
      <c r="G278" s="5"/>
      <c r="H278" s="5"/>
      <c r="L278" s="7"/>
      <c r="M278" s="7"/>
      <c r="O278" s="5"/>
      <c r="P278" s="5"/>
    </row>
    <row r="279" spans="2:16" x14ac:dyDescent="0.25">
      <c r="B279" s="90">
        <v>166</v>
      </c>
      <c r="C279" s="91">
        <v>0.14130429668264255</v>
      </c>
      <c r="D279" s="92">
        <v>10</v>
      </c>
      <c r="G279" s="5"/>
      <c r="H279" s="5"/>
      <c r="L279" s="7"/>
      <c r="M279" s="7"/>
      <c r="O279" s="5"/>
      <c r="P279" s="5"/>
    </row>
    <row r="280" spans="2:16" x14ac:dyDescent="0.25">
      <c r="B280" s="90">
        <v>1148</v>
      </c>
      <c r="C280" s="91">
        <v>0.14793258035432477</v>
      </c>
      <c r="D280" s="92">
        <v>10</v>
      </c>
      <c r="G280" s="5"/>
      <c r="H280" s="5"/>
      <c r="L280" s="7"/>
      <c r="M280" s="7"/>
      <c r="O280" s="5"/>
      <c r="P280" s="5"/>
    </row>
    <row r="281" spans="2:16" x14ac:dyDescent="0.25">
      <c r="B281" s="90">
        <v>161</v>
      </c>
      <c r="C281" s="91">
        <v>0.15274552081695725</v>
      </c>
      <c r="D281" s="92">
        <v>10</v>
      </c>
      <c r="G281" s="5"/>
      <c r="H281" s="5"/>
      <c r="L281" s="7"/>
      <c r="M281" s="7"/>
      <c r="O281" s="5"/>
      <c r="P281" s="5"/>
    </row>
    <row r="282" spans="2:16" x14ac:dyDescent="0.25">
      <c r="B282" s="90">
        <v>102</v>
      </c>
      <c r="C282" s="91">
        <v>0.15696353327006196</v>
      </c>
      <c r="D282" s="92">
        <v>10</v>
      </c>
      <c r="G282" s="5"/>
      <c r="H282" s="5"/>
      <c r="L282" s="7"/>
      <c r="M282" s="7"/>
      <c r="O282" s="5"/>
      <c r="P282" s="5"/>
    </row>
    <row r="283" spans="2:16" x14ac:dyDescent="0.25">
      <c r="B283" s="90">
        <v>224</v>
      </c>
      <c r="C283" s="91">
        <v>0.16934561654312974</v>
      </c>
      <c r="D283" s="92">
        <v>10</v>
      </c>
      <c r="G283" s="5"/>
      <c r="H283" s="5"/>
      <c r="L283" s="7"/>
      <c r="M283" s="7"/>
      <c r="O283" s="5"/>
      <c r="P283" s="5"/>
    </row>
    <row r="284" spans="2:16" x14ac:dyDescent="0.25">
      <c r="B284" s="90">
        <v>286</v>
      </c>
      <c r="C284" s="91">
        <v>0.17524834109078291</v>
      </c>
      <c r="D284" s="92">
        <v>10</v>
      </c>
      <c r="G284" s="5"/>
      <c r="H284" s="5"/>
      <c r="L284" s="7"/>
      <c r="M284" s="7"/>
      <c r="O284" s="5"/>
      <c r="P284" s="5"/>
    </row>
    <row r="285" spans="2:16" x14ac:dyDescent="0.25">
      <c r="B285" s="90">
        <v>225</v>
      </c>
      <c r="C285" s="91">
        <v>0.17756281873342117</v>
      </c>
      <c r="D285" s="92">
        <v>10</v>
      </c>
      <c r="G285" s="5"/>
      <c r="H285" s="5"/>
      <c r="L285" s="7"/>
      <c r="M285" s="7"/>
      <c r="O285" s="5"/>
      <c r="P285" s="5"/>
    </row>
    <row r="286" spans="2:16" x14ac:dyDescent="0.25">
      <c r="B286" s="90">
        <v>352</v>
      </c>
      <c r="C286" s="91">
        <v>0.17926912812281326</v>
      </c>
      <c r="D286" s="92">
        <v>10</v>
      </c>
      <c r="G286" s="5"/>
      <c r="H286" s="5"/>
      <c r="L286" s="7"/>
      <c r="M286" s="7"/>
      <c r="O286" s="5"/>
      <c r="P286" s="5"/>
    </row>
    <row r="287" spans="2:16" x14ac:dyDescent="0.25">
      <c r="B287" s="90">
        <v>287</v>
      </c>
      <c r="C287" s="91">
        <v>0.18182586160896153</v>
      </c>
      <c r="D287" s="92">
        <v>10</v>
      </c>
      <c r="G287" s="5"/>
      <c r="H287" s="5"/>
      <c r="L287" s="7"/>
      <c r="M287" s="7"/>
      <c r="O287" s="5"/>
      <c r="P287" s="5"/>
    </row>
    <row r="288" spans="2:16" x14ac:dyDescent="0.25">
      <c r="B288" s="90">
        <v>226</v>
      </c>
      <c r="C288" s="91">
        <v>0.18355795026650212</v>
      </c>
      <c r="D288" s="92">
        <v>10</v>
      </c>
      <c r="G288" s="5"/>
      <c r="H288" s="5"/>
      <c r="L288" s="7"/>
      <c r="M288" s="7"/>
      <c r="O288" s="5"/>
      <c r="P288" s="5"/>
    </row>
    <row r="289" spans="2:16" x14ac:dyDescent="0.25">
      <c r="B289" s="90">
        <v>288</v>
      </c>
      <c r="C289" s="91">
        <v>0.18918626363150115</v>
      </c>
      <c r="D289" s="92">
        <v>10</v>
      </c>
      <c r="G289" s="5"/>
      <c r="H289" s="5"/>
      <c r="L289" s="7"/>
      <c r="M289" s="7"/>
      <c r="O289" s="5"/>
      <c r="P289" s="5"/>
    </row>
    <row r="290" spans="2:16" x14ac:dyDescent="0.25">
      <c r="B290" s="90">
        <v>229</v>
      </c>
      <c r="C290" s="91">
        <v>0.17182900552782276</v>
      </c>
      <c r="D290" s="92">
        <v>12</v>
      </c>
      <c r="G290" s="5"/>
      <c r="H290" s="5"/>
      <c r="L290" s="7"/>
      <c r="M290" s="7"/>
      <c r="O290" s="5"/>
      <c r="P290" s="5"/>
    </row>
    <row r="291" spans="2:16" x14ac:dyDescent="0.25">
      <c r="B291" s="90">
        <v>291</v>
      </c>
      <c r="C291" s="91">
        <v>0.1809804062289182</v>
      </c>
      <c r="D291" s="92">
        <v>12</v>
      </c>
      <c r="G291" s="5"/>
      <c r="H291" s="5"/>
      <c r="L291" s="7"/>
      <c r="M291" s="7"/>
      <c r="O291" s="5"/>
      <c r="P291" s="5"/>
    </row>
    <row r="292" spans="2:16" x14ac:dyDescent="0.25">
      <c r="B292" s="90">
        <v>265</v>
      </c>
      <c r="C292" s="91">
        <v>3.7851841697381872E-2</v>
      </c>
      <c r="D292" s="92">
        <v>13</v>
      </c>
      <c r="G292" s="5"/>
      <c r="H292" s="5"/>
      <c r="L292" s="7"/>
      <c r="M292" s="7"/>
      <c r="O292" s="5"/>
      <c r="P292" s="5"/>
    </row>
    <row r="293" spans="2:16" x14ac:dyDescent="0.25">
      <c r="B293" s="90">
        <v>266</v>
      </c>
      <c r="C293" s="91">
        <v>8.9449071636799937E-2</v>
      </c>
      <c r="D293" s="92">
        <v>13</v>
      </c>
      <c r="G293" s="5"/>
      <c r="H293" s="5"/>
      <c r="L293" s="7"/>
      <c r="M293" s="7"/>
      <c r="O293" s="5"/>
      <c r="P293" s="5"/>
    </row>
    <row r="294" spans="2:16" x14ac:dyDescent="0.25">
      <c r="B294" s="90">
        <v>264</v>
      </c>
      <c r="C294" s="91">
        <v>0.11300942204500686</v>
      </c>
      <c r="D294" s="92">
        <v>13</v>
      </c>
      <c r="G294" s="5"/>
      <c r="H294" s="5"/>
      <c r="L294" s="7"/>
      <c r="M294" s="7"/>
      <c r="O294" s="5"/>
      <c r="P294" s="5"/>
    </row>
    <row r="295" spans="2:16" x14ac:dyDescent="0.25">
      <c r="B295" s="90">
        <v>1550</v>
      </c>
      <c r="C295" s="91">
        <v>3.7224421336034097E-2</v>
      </c>
      <c r="D295" s="92">
        <v>16</v>
      </c>
      <c r="G295" s="5"/>
      <c r="H295" s="5"/>
      <c r="L295" s="7"/>
      <c r="M295" s="7"/>
      <c r="O295" s="5"/>
      <c r="P295" s="5"/>
    </row>
    <row r="296" spans="2:16" x14ac:dyDescent="0.25">
      <c r="B296" s="90">
        <v>164</v>
      </c>
      <c r="C296" s="91">
        <v>0.18536276072499447</v>
      </c>
      <c r="D296" s="92">
        <v>16</v>
      </c>
      <c r="G296" s="5"/>
      <c r="H296" s="5"/>
      <c r="L296" s="7"/>
      <c r="M296" s="7"/>
      <c r="O296" s="5"/>
      <c r="P296" s="5"/>
    </row>
    <row r="297" spans="2:16" x14ac:dyDescent="0.25">
      <c r="B297" s="90">
        <v>1406</v>
      </c>
      <c r="C297" s="91">
        <v>1.9460656342748184E-2</v>
      </c>
      <c r="D297" s="92">
        <v>17</v>
      </c>
      <c r="G297" s="5"/>
      <c r="H297" s="5"/>
      <c r="L297" s="7"/>
      <c r="M297" s="7"/>
      <c r="O297" s="5"/>
      <c r="P297" s="5"/>
    </row>
    <row r="298" spans="2:16" x14ac:dyDescent="0.25">
      <c r="B298" s="90">
        <v>1414</v>
      </c>
      <c r="C298" s="91">
        <v>3.4929473317577675E-2</v>
      </c>
      <c r="D298" s="92">
        <v>17</v>
      </c>
      <c r="G298" s="5"/>
      <c r="H298" s="5"/>
      <c r="L298" s="7"/>
      <c r="M298" s="7"/>
      <c r="O298" s="5"/>
      <c r="P298" s="5"/>
    </row>
    <row r="299" spans="2:16" x14ac:dyDescent="0.25">
      <c r="B299" s="90">
        <v>1375</v>
      </c>
      <c r="C299" s="91">
        <v>3.9186079161642406E-2</v>
      </c>
      <c r="D299" s="92">
        <v>17</v>
      </c>
      <c r="G299" s="5"/>
      <c r="H299" s="5"/>
      <c r="L299" s="7"/>
      <c r="M299" s="7"/>
      <c r="O299" s="5"/>
      <c r="P299" s="5"/>
    </row>
    <row r="300" spans="2:16" x14ac:dyDescent="0.25">
      <c r="B300" s="90">
        <v>1337</v>
      </c>
      <c r="C300" s="91">
        <v>4.571291714423753E-2</v>
      </c>
      <c r="D300" s="92">
        <v>17</v>
      </c>
      <c r="G300" s="5"/>
      <c r="H300" s="5"/>
      <c r="L300" s="7"/>
      <c r="M300" s="7"/>
      <c r="O300" s="5"/>
      <c r="P300" s="5"/>
    </row>
    <row r="301" spans="2:16" x14ac:dyDescent="0.25">
      <c r="B301" s="90">
        <v>1377</v>
      </c>
      <c r="C301" s="91">
        <v>9.1127446241780596E-2</v>
      </c>
      <c r="D301" s="92">
        <v>17</v>
      </c>
      <c r="G301" s="5"/>
      <c r="H301" s="5"/>
      <c r="L301" s="7"/>
      <c r="M301" s="7"/>
      <c r="O301" s="5"/>
      <c r="P301" s="5"/>
    </row>
    <row r="302" spans="2:16" x14ac:dyDescent="0.25">
      <c r="B302" s="90">
        <v>1416</v>
      </c>
      <c r="C302" s="91">
        <v>9.2078139785700452E-2</v>
      </c>
      <c r="D302" s="92">
        <v>17</v>
      </c>
      <c r="G302" s="5"/>
      <c r="H302" s="5"/>
      <c r="L302" s="7"/>
      <c r="M302" s="7"/>
      <c r="O302" s="5"/>
      <c r="P302" s="5"/>
    </row>
    <row r="303" spans="2:16" x14ac:dyDescent="0.25">
      <c r="B303" s="90">
        <v>1182</v>
      </c>
      <c r="C303" s="91">
        <v>1.3999743646189167E-2</v>
      </c>
      <c r="D303" s="92">
        <v>18</v>
      </c>
      <c r="G303" s="5"/>
      <c r="H303" s="5"/>
      <c r="L303" s="7"/>
      <c r="M303" s="7"/>
      <c r="O303" s="5"/>
      <c r="P303" s="5"/>
    </row>
    <row r="304" spans="2:16" x14ac:dyDescent="0.25">
      <c r="B304" s="90">
        <v>1166</v>
      </c>
      <c r="C304" s="91">
        <v>3.0210199860168818E-2</v>
      </c>
      <c r="D304" s="92">
        <v>18</v>
      </c>
      <c r="G304" s="5"/>
      <c r="H304" s="5"/>
      <c r="L304" s="7"/>
      <c r="M304" s="7"/>
      <c r="O304" s="5"/>
      <c r="P304" s="5"/>
    </row>
    <row r="305" spans="2:16" x14ac:dyDescent="0.25">
      <c r="B305" s="90">
        <v>1820</v>
      </c>
      <c r="C305" s="91">
        <v>3.836836486288675E-2</v>
      </c>
      <c r="D305" s="92">
        <v>18</v>
      </c>
      <c r="G305" s="5"/>
      <c r="H305" s="5"/>
      <c r="L305" s="7"/>
      <c r="M305" s="7"/>
      <c r="O305" s="5"/>
      <c r="P305" s="5"/>
    </row>
    <row r="306" spans="2:16" x14ac:dyDescent="0.25">
      <c r="B306" s="90">
        <v>1266</v>
      </c>
      <c r="C306" s="91">
        <v>3.9182044658599424E-2</v>
      </c>
      <c r="D306" s="92">
        <v>18</v>
      </c>
      <c r="G306" s="5"/>
      <c r="H306" s="5"/>
      <c r="L306" s="7"/>
      <c r="M306" s="7"/>
      <c r="O306" s="5"/>
      <c r="P306" s="5"/>
    </row>
    <row r="307" spans="2:16" x14ac:dyDescent="0.25">
      <c r="B307" s="90">
        <v>1121</v>
      </c>
      <c r="C307" s="91">
        <v>5.5098705794135228E-2</v>
      </c>
      <c r="D307" s="92">
        <v>18</v>
      </c>
      <c r="G307" s="5"/>
      <c r="H307" s="5"/>
      <c r="L307" s="7"/>
      <c r="M307" s="7"/>
      <c r="O307" s="5"/>
      <c r="P307" s="5"/>
    </row>
    <row r="308" spans="2:16" x14ac:dyDescent="0.25">
      <c r="B308" s="90">
        <v>1075</v>
      </c>
      <c r="C308" s="91">
        <v>5.8649250424133825E-2</v>
      </c>
      <c r="D308" s="92">
        <v>18</v>
      </c>
      <c r="G308" s="5"/>
      <c r="H308" s="5"/>
      <c r="L308" s="7"/>
      <c r="M308" s="7"/>
      <c r="O308" s="5"/>
      <c r="P308" s="5"/>
    </row>
    <row r="309" spans="2:16" x14ac:dyDescent="0.25">
      <c r="B309" s="90">
        <v>1818</v>
      </c>
      <c r="C309" s="91">
        <v>9.6130322238938026E-2</v>
      </c>
      <c r="D309" s="92">
        <v>18</v>
      </c>
      <c r="G309" s="5"/>
      <c r="H309" s="5"/>
      <c r="L309" s="7"/>
      <c r="M309" s="7"/>
      <c r="O309" s="5"/>
      <c r="P309" s="5"/>
    </row>
    <row r="310" spans="2:16" x14ac:dyDescent="0.25">
      <c r="B310" s="90">
        <v>407</v>
      </c>
      <c r="C310" s="91">
        <v>0.17868377963514614</v>
      </c>
      <c r="D310" s="92">
        <v>18</v>
      </c>
      <c r="G310" s="5"/>
      <c r="H310" s="5"/>
      <c r="L310" s="7"/>
      <c r="M310" s="7"/>
      <c r="O310" s="5"/>
      <c r="P310" s="5"/>
    </row>
    <row r="311" spans="2:16" x14ac:dyDescent="0.25">
      <c r="B311" s="90">
        <v>466</v>
      </c>
      <c r="C311" s="91">
        <v>0.18130310018291496</v>
      </c>
      <c r="D311" s="92">
        <v>18</v>
      </c>
      <c r="G311" s="5"/>
      <c r="H311" s="5"/>
      <c r="L311" s="7"/>
      <c r="M311" s="7"/>
      <c r="O311" s="5"/>
      <c r="P311" s="5"/>
    </row>
    <row r="312" spans="2:16" x14ac:dyDescent="0.25">
      <c r="B312" s="90">
        <v>581</v>
      </c>
      <c r="C312" s="91">
        <v>0.19101753500772856</v>
      </c>
      <c r="D312" s="92">
        <v>18</v>
      </c>
      <c r="G312" s="5"/>
      <c r="H312" s="5"/>
      <c r="L312" s="7"/>
      <c r="M312" s="7"/>
      <c r="O312" s="5"/>
      <c r="P312" s="5"/>
    </row>
    <row r="313" spans="2:16" x14ac:dyDescent="0.25">
      <c r="B313" s="90">
        <v>850</v>
      </c>
      <c r="C313" s="91">
        <v>0.19111086835852487</v>
      </c>
      <c r="D313" s="92">
        <v>18</v>
      </c>
      <c r="G313" s="5"/>
      <c r="H313" s="5"/>
      <c r="L313" s="7"/>
      <c r="M313" s="7"/>
      <c r="O313" s="5"/>
      <c r="P313" s="5"/>
    </row>
    <row r="314" spans="2:16" x14ac:dyDescent="0.25">
      <c r="B314" s="90">
        <v>1433</v>
      </c>
      <c r="C314" s="91">
        <v>0.79132126524943036</v>
      </c>
      <c r="D314" s="92">
        <v>18</v>
      </c>
      <c r="G314" s="5"/>
      <c r="H314" s="5"/>
      <c r="L314" s="7"/>
      <c r="M314" s="7"/>
      <c r="O314" s="5"/>
      <c r="P314" s="5"/>
    </row>
    <row r="315" spans="2:16" x14ac:dyDescent="0.25">
      <c r="B315" s="90">
        <v>1434</v>
      </c>
      <c r="C315" s="91">
        <v>0.7979359189394839</v>
      </c>
      <c r="D315" s="92">
        <v>18</v>
      </c>
      <c r="G315" s="5"/>
      <c r="H315" s="5"/>
      <c r="L315" s="7"/>
      <c r="M315" s="7"/>
      <c r="O315" s="5"/>
      <c r="P315" s="5"/>
    </row>
    <row r="316" spans="2:16" x14ac:dyDescent="0.25">
      <c r="B316" s="90">
        <v>1432</v>
      </c>
      <c r="C316" s="91">
        <v>0.83137039897552678</v>
      </c>
      <c r="D316" s="92">
        <v>18</v>
      </c>
      <c r="G316" s="5"/>
      <c r="H316" s="5"/>
      <c r="L316" s="7"/>
      <c r="M316" s="7"/>
      <c r="O316" s="5"/>
      <c r="P316" s="5"/>
    </row>
    <row r="317" spans="2:16" x14ac:dyDescent="0.25">
      <c r="B317" s="90">
        <v>1417</v>
      </c>
      <c r="C317" s="91">
        <v>7.6410594101148699E-2</v>
      </c>
      <c r="D317" s="92">
        <v>19</v>
      </c>
      <c r="G317" s="5"/>
      <c r="H317" s="5"/>
      <c r="L317" s="7"/>
      <c r="M317" s="7"/>
      <c r="O317" s="5"/>
      <c r="P317" s="5"/>
    </row>
    <row r="318" spans="2:16" x14ac:dyDescent="0.25">
      <c r="B318" s="90">
        <v>1378</v>
      </c>
      <c r="C318" s="91">
        <v>8.148510537210063E-2</v>
      </c>
      <c r="D318" s="92">
        <v>19</v>
      </c>
      <c r="G318" s="5"/>
      <c r="H318" s="5"/>
      <c r="L318" s="7"/>
      <c r="M318" s="7"/>
      <c r="O318" s="5"/>
      <c r="P318" s="5"/>
    </row>
    <row r="319" spans="2:16" x14ac:dyDescent="0.25">
      <c r="B319" s="90">
        <v>1331</v>
      </c>
      <c r="C319" s="91">
        <v>0.24353055052248873</v>
      </c>
      <c r="D319" s="92">
        <v>19</v>
      </c>
      <c r="G319" s="5"/>
      <c r="H319" s="5"/>
      <c r="L319" s="7"/>
      <c r="M319" s="7"/>
      <c r="O319" s="5"/>
      <c r="P319" s="5"/>
    </row>
    <row r="320" spans="2:16" x14ac:dyDescent="0.25">
      <c r="B320" s="90">
        <v>1332</v>
      </c>
      <c r="C320" s="91">
        <v>0.28356773179784112</v>
      </c>
      <c r="D320" s="92">
        <v>19</v>
      </c>
      <c r="G320" s="5"/>
      <c r="H320" s="5"/>
      <c r="L320" s="7"/>
      <c r="M320" s="7"/>
      <c r="O320" s="5"/>
      <c r="P320" s="5"/>
    </row>
    <row r="321" spans="2:16" x14ac:dyDescent="0.25">
      <c r="B321" s="90">
        <v>1410</v>
      </c>
      <c r="C321" s="91">
        <v>0.30414067268956502</v>
      </c>
      <c r="D321" s="92">
        <v>19</v>
      </c>
      <c r="G321" s="5"/>
      <c r="H321" s="5"/>
      <c r="L321" s="7"/>
      <c r="M321" s="7"/>
      <c r="O321" s="5"/>
      <c r="P321" s="5"/>
    </row>
    <row r="322" spans="2:16" x14ac:dyDescent="0.25">
      <c r="B322" s="90">
        <v>1371</v>
      </c>
      <c r="C322" s="91">
        <v>0.31105430030605996</v>
      </c>
      <c r="D322" s="92">
        <v>19</v>
      </c>
      <c r="G322" s="5"/>
      <c r="H322" s="5"/>
      <c r="L322" s="7"/>
      <c r="M322" s="7"/>
      <c r="O322" s="5"/>
      <c r="P322" s="5"/>
    </row>
    <row r="323" spans="2:16" x14ac:dyDescent="0.25">
      <c r="B323" s="90">
        <v>1411</v>
      </c>
      <c r="C323" s="91">
        <v>0.35388922688259572</v>
      </c>
      <c r="D323" s="92">
        <v>19</v>
      </c>
      <c r="G323" s="5"/>
      <c r="H323" s="5"/>
      <c r="L323" s="7"/>
      <c r="M323" s="7"/>
      <c r="O323" s="5"/>
      <c r="P323" s="5"/>
    </row>
    <row r="324" spans="2:16" x14ac:dyDescent="0.25">
      <c r="B324" s="90">
        <v>1372</v>
      </c>
      <c r="C324" s="91">
        <v>0.3566002699858728</v>
      </c>
      <c r="D324" s="92">
        <v>19</v>
      </c>
      <c r="G324" s="5"/>
      <c r="H324" s="5"/>
      <c r="L324" s="7"/>
      <c r="M324" s="7"/>
      <c r="O324" s="5"/>
      <c r="P324" s="5"/>
    </row>
    <row r="325" spans="2:16" x14ac:dyDescent="0.25">
      <c r="B325" s="90">
        <v>326</v>
      </c>
      <c r="C325" s="91">
        <v>3.4162320258093071E-2</v>
      </c>
      <c r="D325" s="92">
        <v>20</v>
      </c>
      <c r="G325" s="5"/>
      <c r="H325" s="5"/>
      <c r="L325" s="7"/>
      <c r="M325" s="7"/>
      <c r="O325" s="5"/>
      <c r="P325" s="5"/>
    </row>
    <row r="326" spans="2:16" x14ac:dyDescent="0.25">
      <c r="B326" s="90">
        <v>327</v>
      </c>
      <c r="C326" s="91">
        <v>8.5469741336905991E-2</v>
      </c>
      <c r="D326" s="92">
        <v>20</v>
      </c>
      <c r="G326" s="5"/>
      <c r="H326" s="5"/>
      <c r="L326" s="7"/>
      <c r="M326" s="7"/>
      <c r="O326" s="5"/>
      <c r="P326" s="5"/>
    </row>
    <row r="327" spans="2:16" x14ac:dyDescent="0.25">
      <c r="B327" s="90">
        <v>325</v>
      </c>
      <c r="C327" s="91">
        <v>0.10918011855858945</v>
      </c>
      <c r="D327" s="92">
        <v>20</v>
      </c>
      <c r="G327" s="5"/>
      <c r="H327" s="5"/>
      <c r="L327" s="7"/>
      <c r="M327" s="7"/>
      <c r="O327" s="5"/>
      <c r="P327" s="5"/>
    </row>
    <row r="328" spans="2:16" x14ac:dyDescent="0.25">
      <c r="B328" s="90">
        <v>223</v>
      </c>
      <c r="C328" s="91">
        <v>0.17980111468391502</v>
      </c>
      <c r="D328" s="92">
        <v>20</v>
      </c>
      <c r="G328" s="5"/>
      <c r="H328" s="5"/>
      <c r="L328" s="7"/>
      <c r="M328" s="7"/>
      <c r="O328" s="5"/>
      <c r="P328" s="5"/>
    </row>
    <row r="329" spans="2:16" x14ac:dyDescent="0.25">
      <c r="B329" s="90">
        <v>1113</v>
      </c>
      <c r="C329" s="91">
        <v>0.22919635690102702</v>
      </c>
      <c r="D329" s="92">
        <v>20</v>
      </c>
      <c r="G329" s="5"/>
      <c r="H329" s="5"/>
      <c r="L329" s="7"/>
      <c r="M329" s="7"/>
      <c r="O329" s="5"/>
      <c r="P329" s="5"/>
    </row>
    <row r="330" spans="2:16" x14ac:dyDescent="0.25">
      <c r="B330" s="90">
        <v>1067</v>
      </c>
      <c r="C330" s="91">
        <v>0.22999993193530521</v>
      </c>
      <c r="D330" s="92">
        <v>20</v>
      </c>
      <c r="G330" s="5"/>
      <c r="H330" s="5"/>
      <c r="L330" s="7"/>
      <c r="M330" s="7"/>
      <c r="O330" s="5"/>
      <c r="P330" s="5"/>
    </row>
    <row r="331" spans="2:16" x14ac:dyDescent="0.25">
      <c r="B331" s="90">
        <v>1020</v>
      </c>
      <c r="C331" s="91">
        <v>0.25855854871954087</v>
      </c>
      <c r="D331" s="92">
        <v>20</v>
      </c>
      <c r="G331" s="5"/>
      <c r="H331" s="5"/>
      <c r="L331" s="7"/>
      <c r="M331" s="7"/>
      <c r="O331" s="5"/>
      <c r="P331" s="5"/>
    </row>
    <row r="332" spans="2:16" x14ac:dyDescent="0.25">
      <c r="B332" s="90">
        <v>1158</v>
      </c>
      <c r="C332" s="91">
        <v>0.26699644078754081</v>
      </c>
      <c r="D332" s="92">
        <v>20</v>
      </c>
      <c r="G332" s="5"/>
      <c r="H332" s="5"/>
      <c r="L332" s="7"/>
      <c r="M332" s="7"/>
      <c r="O332" s="5"/>
      <c r="P332" s="5"/>
    </row>
    <row r="333" spans="2:16" x14ac:dyDescent="0.25">
      <c r="B333" s="90">
        <v>1202</v>
      </c>
      <c r="C333" s="91">
        <v>0.29106267411334208</v>
      </c>
      <c r="D333" s="92">
        <v>20</v>
      </c>
      <c r="G333" s="5"/>
      <c r="H333" s="5"/>
      <c r="L333" s="7"/>
      <c r="M333" s="7"/>
      <c r="O333" s="5"/>
      <c r="P333" s="5"/>
    </row>
    <row r="334" spans="2:16" x14ac:dyDescent="0.25">
      <c r="B334" s="90">
        <v>516</v>
      </c>
      <c r="C334" s="91">
        <v>2.9029404239272805E-2</v>
      </c>
      <c r="D334" s="92">
        <v>21</v>
      </c>
      <c r="G334" s="5"/>
      <c r="H334" s="5"/>
      <c r="L334" s="7"/>
      <c r="M334" s="7"/>
      <c r="O334" s="5"/>
      <c r="P334" s="5"/>
    </row>
    <row r="335" spans="2:16" x14ac:dyDescent="0.25">
      <c r="B335" s="90">
        <v>517</v>
      </c>
      <c r="C335" s="91">
        <v>3.5962127995119109E-2</v>
      </c>
      <c r="D335" s="92">
        <v>21</v>
      </c>
      <c r="G335" s="5"/>
      <c r="H335" s="5"/>
      <c r="L335" s="7"/>
      <c r="M335" s="7"/>
      <c r="O335" s="5"/>
      <c r="P335" s="5"/>
    </row>
    <row r="336" spans="2:16" x14ac:dyDescent="0.25">
      <c r="B336" s="90">
        <v>459</v>
      </c>
      <c r="C336" s="91">
        <v>4.1863706123987487E-2</v>
      </c>
      <c r="D336" s="92">
        <v>21</v>
      </c>
      <c r="G336" s="5"/>
      <c r="H336" s="5"/>
      <c r="L336" s="7"/>
      <c r="M336" s="7"/>
      <c r="O336" s="5"/>
      <c r="P336" s="5"/>
    </row>
    <row r="337" spans="2:16" x14ac:dyDescent="0.25">
      <c r="B337" s="90">
        <v>458</v>
      </c>
      <c r="C337" s="91">
        <v>4.3272064680547118E-2</v>
      </c>
      <c r="D337" s="92">
        <v>21</v>
      </c>
      <c r="G337" s="5"/>
      <c r="H337" s="5"/>
      <c r="L337" s="7"/>
      <c r="M337" s="7"/>
      <c r="O337" s="5"/>
      <c r="P337" s="5"/>
    </row>
    <row r="338" spans="2:16" x14ac:dyDescent="0.25">
      <c r="B338" s="90">
        <v>518</v>
      </c>
      <c r="C338" s="91">
        <v>4.8308398309272693E-2</v>
      </c>
      <c r="D338" s="92">
        <v>21</v>
      </c>
      <c r="G338" s="5"/>
      <c r="H338" s="5"/>
      <c r="L338" s="7"/>
      <c r="M338" s="7"/>
      <c r="O338" s="5"/>
      <c r="P338" s="5"/>
    </row>
    <row r="339" spans="2:16" x14ac:dyDescent="0.25">
      <c r="B339" s="90">
        <v>575</v>
      </c>
      <c r="C339" s="91">
        <v>5.0765591310532487E-2</v>
      </c>
      <c r="D339" s="92">
        <v>21</v>
      </c>
      <c r="G339" s="5"/>
      <c r="H339" s="5"/>
      <c r="L339" s="7"/>
      <c r="M339" s="7"/>
      <c r="O339" s="5"/>
      <c r="P339" s="5"/>
    </row>
    <row r="340" spans="2:16" x14ac:dyDescent="0.25">
      <c r="B340" s="90">
        <v>460</v>
      </c>
      <c r="C340" s="91">
        <v>6.6488335849828051E-2</v>
      </c>
      <c r="D340" s="92">
        <v>21</v>
      </c>
      <c r="G340" s="5"/>
      <c r="H340" s="5"/>
      <c r="L340" s="7"/>
      <c r="M340" s="7"/>
      <c r="O340" s="5"/>
      <c r="P340" s="5"/>
    </row>
    <row r="341" spans="2:16" x14ac:dyDescent="0.25">
      <c r="B341" s="90">
        <v>203</v>
      </c>
      <c r="C341" s="91">
        <v>2.9207273973683945E-2</v>
      </c>
      <c r="D341" s="92">
        <v>22</v>
      </c>
      <c r="G341" s="5"/>
      <c r="H341" s="5"/>
      <c r="L341" s="7"/>
      <c r="M341" s="7"/>
      <c r="O341" s="5"/>
      <c r="P341" s="5"/>
    </row>
    <row r="342" spans="2:16" x14ac:dyDescent="0.25">
      <c r="B342" s="90">
        <v>140</v>
      </c>
      <c r="C342" s="91">
        <v>2.661648744538414E-2</v>
      </c>
      <c r="D342" s="92">
        <v>23</v>
      </c>
      <c r="G342" s="5"/>
      <c r="H342" s="5"/>
      <c r="L342" s="7"/>
      <c r="M342" s="7"/>
      <c r="O342" s="5"/>
      <c r="P342" s="5"/>
    </row>
    <row r="343" spans="2:16" x14ac:dyDescent="0.25">
      <c r="B343" s="90">
        <v>76</v>
      </c>
      <c r="C343" s="91">
        <v>3.9097511522652395E-2</v>
      </c>
      <c r="D343" s="92">
        <v>23</v>
      </c>
      <c r="G343" s="5"/>
      <c r="H343" s="5"/>
      <c r="L343" s="7"/>
      <c r="M343" s="7"/>
      <c r="O343" s="5"/>
      <c r="P343" s="5"/>
    </row>
    <row r="344" spans="2:16" x14ac:dyDescent="0.25">
      <c r="B344" s="90">
        <v>139</v>
      </c>
      <c r="C344" s="91">
        <v>0.11422504435535052</v>
      </c>
      <c r="D344" s="92">
        <v>23</v>
      </c>
      <c r="G344" s="5"/>
      <c r="H344" s="5"/>
      <c r="L344" s="7"/>
      <c r="M344" s="7"/>
      <c r="O344" s="5"/>
      <c r="P344" s="5"/>
    </row>
    <row r="345" spans="2:16" x14ac:dyDescent="0.25">
      <c r="B345" s="90">
        <v>75</v>
      </c>
      <c r="C345" s="91">
        <v>0.12973976849236057</v>
      </c>
      <c r="D345" s="92">
        <v>23</v>
      </c>
      <c r="G345" s="5"/>
      <c r="H345" s="5"/>
      <c r="L345" s="7"/>
      <c r="M345" s="7"/>
      <c r="O345" s="5"/>
      <c r="P345" s="5"/>
    </row>
    <row r="346" spans="2:16" x14ac:dyDescent="0.25">
      <c r="B346" s="90">
        <v>202</v>
      </c>
      <c r="C346" s="91">
        <v>0.11134020822406543</v>
      </c>
      <c r="D346" s="92">
        <v>24</v>
      </c>
      <c r="G346" s="5"/>
      <c r="H346" s="5"/>
      <c r="L346" s="7"/>
      <c r="M346" s="7"/>
      <c r="O346" s="5"/>
      <c r="P346" s="5"/>
    </row>
    <row r="347" spans="2:16" x14ac:dyDescent="0.25">
      <c r="B347" s="90">
        <v>1398</v>
      </c>
      <c r="C347" s="91">
        <v>3.4360973623159485E-2</v>
      </c>
      <c r="D347" s="92">
        <v>25</v>
      </c>
      <c r="G347" s="5"/>
      <c r="H347" s="5"/>
      <c r="L347" s="7"/>
      <c r="M347" s="7"/>
      <c r="O347" s="5"/>
      <c r="P347" s="5"/>
    </row>
    <row r="348" spans="2:16" x14ac:dyDescent="0.25">
      <c r="B348" s="90">
        <v>1316</v>
      </c>
      <c r="C348" s="91">
        <v>0.13785253722667001</v>
      </c>
      <c r="D348" s="92">
        <v>25</v>
      </c>
      <c r="G348" s="5"/>
      <c r="H348" s="5"/>
      <c r="L348" s="7"/>
      <c r="M348" s="7"/>
      <c r="O348" s="5"/>
      <c r="P348" s="5"/>
    </row>
    <row r="349" spans="2:16" x14ac:dyDescent="0.25">
      <c r="B349" s="90">
        <v>101</v>
      </c>
      <c r="C349" s="91">
        <v>0.18611450547144193</v>
      </c>
      <c r="D349" s="92">
        <v>26</v>
      </c>
      <c r="G349" s="5"/>
      <c r="H349" s="5"/>
      <c r="L349" s="7"/>
      <c r="M349" s="7"/>
      <c r="O349" s="5"/>
      <c r="P349" s="5"/>
    </row>
    <row r="350" spans="2:16" x14ac:dyDescent="0.25">
      <c r="B350" s="90">
        <v>902</v>
      </c>
      <c r="C350" s="91">
        <v>0.19041502035597968</v>
      </c>
      <c r="D350" s="92">
        <v>26</v>
      </c>
      <c r="G350" s="5"/>
      <c r="H350" s="5"/>
      <c r="L350" s="7"/>
      <c r="M350" s="7"/>
      <c r="O350" s="5"/>
      <c r="P350" s="5"/>
    </row>
    <row r="351" spans="2:16" x14ac:dyDescent="0.25">
      <c r="B351" s="90">
        <v>852</v>
      </c>
      <c r="C351" s="91">
        <v>0.1931347969147259</v>
      </c>
      <c r="D351" s="92">
        <v>26</v>
      </c>
      <c r="G351" s="5"/>
      <c r="H351" s="5"/>
      <c r="L351" s="7"/>
      <c r="M351" s="7"/>
      <c r="O351" s="5"/>
      <c r="P351" s="5"/>
    </row>
    <row r="352" spans="2:16" x14ac:dyDescent="0.25">
      <c r="B352" s="90">
        <v>853</v>
      </c>
      <c r="C352" s="91">
        <v>0.20199601554070046</v>
      </c>
      <c r="D352" s="92">
        <v>26</v>
      </c>
      <c r="G352" s="5"/>
      <c r="H352" s="5"/>
      <c r="L352" s="7"/>
      <c r="M352" s="7"/>
      <c r="O352" s="5"/>
      <c r="P352" s="5"/>
    </row>
    <row r="353" spans="2:16" x14ac:dyDescent="0.25">
      <c r="B353" s="90">
        <v>1399</v>
      </c>
      <c r="C353" s="91">
        <v>3.9534327344492692E-2</v>
      </c>
      <c r="D353" s="92">
        <v>27</v>
      </c>
      <c r="G353" s="5"/>
      <c r="H353" s="5"/>
      <c r="L353" s="7"/>
      <c r="M353" s="7"/>
      <c r="O353" s="5"/>
      <c r="P353" s="5"/>
    </row>
    <row r="354" spans="2:16" x14ac:dyDescent="0.25">
      <c r="B354" s="90">
        <v>353</v>
      </c>
      <c r="C354" s="91">
        <v>0.15824005687869314</v>
      </c>
      <c r="D354" s="92">
        <v>27</v>
      </c>
      <c r="G354" s="5"/>
      <c r="H354" s="5"/>
      <c r="L354" s="7"/>
      <c r="M354" s="7"/>
      <c r="O354" s="5"/>
      <c r="P354" s="5"/>
    </row>
    <row r="355" spans="2:16" x14ac:dyDescent="0.25">
      <c r="B355" s="90">
        <v>1101</v>
      </c>
      <c r="C355" s="91">
        <v>0.17336949541718394</v>
      </c>
      <c r="D355" s="92">
        <v>28</v>
      </c>
      <c r="G355" s="5"/>
      <c r="H355" s="5"/>
      <c r="L355" s="7"/>
      <c r="M355" s="7"/>
      <c r="O355" s="5"/>
      <c r="P355" s="5"/>
    </row>
    <row r="356" spans="2:16" x14ac:dyDescent="0.25">
      <c r="B356" s="90">
        <v>406</v>
      </c>
      <c r="C356" s="91">
        <v>0.18600639510380845</v>
      </c>
      <c r="D356" s="92">
        <v>28</v>
      </c>
      <c r="G356" s="5"/>
      <c r="H356" s="5"/>
      <c r="L356" s="7"/>
      <c r="M356" s="7"/>
      <c r="O356" s="5"/>
      <c r="P356" s="5"/>
    </row>
    <row r="357" spans="2:16" x14ac:dyDescent="0.25">
      <c r="B357" s="90">
        <v>465</v>
      </c>
      <c r="C357" s="91">
        <v>0.18865346156389651</v>
      </c>
      <c r="D357" s="92">
        <v>28</v>
      </c>
      <c r="G357" s="5"/>
      <c r="H357" s="5"/>
      <c r="L357" s="7"/>
      <c r="M357" s="7"/>
      <c r="O357" s="5"/>
      <c r="P357" s="5"/>
    </row>
    <row r="358" spans="2:16" x14ac:dyDescent="0.25">
      <c r="B358" s="90">
        <v>1613</v>
      </c>
      <c r="C358" s="91">
        <v>1.5216808417755412E-2</v>
      </c>
      <c r="D358" s="92">
        <v>29</v>
      </c>
      <c r="G358" s="5"/>
      <c r="H358" s="5"/>
      <c r="L358" s="7"/>
      <c r="M358" s="7"/>
      <c r="O358" s="5"/>
      <c r="P358" s="5"/>
    </row>
    <row r="359" spans="2:16" x14ac:dyDescent="0.25">
      <c r="B359" s="90">
        <v>1679</v>
      </c>
      <c r="C359" s="91">
        <v>2.3510299043773886E-2</v>
      </c>
      <c r="D359" s="92">
        <v>29</v>
      </c>
      <c r="G359" s="5"/>
      <c r="H359" s="5"/>
      <c r="L359" s="7"/>
      <c r="M359" s="7"/>
      <c r="O359" s="5"/>
      <c r="P359" s="5"/>
    </row>
    <row r="360" spans="2:16" x14ac:dyDescent="0.25">
      <c r="B360" s="90">
        <v>830</v>
      </c>
      <c r="C360" s="91">
        <v>2.6651493107432422E-2</v>
      </c>
      <c r="D360" s="92">
        <v>29</v>
      </c>
      <c r="G360" s="5"/>
      <c r="H360" s="5"/>
      <c r="L360" s="7"/>
      <c r="M360" s="7"/>
      <c r="O360" s="5"/>
      <c r="P360" s="5"/>
    </row>
    <row r="361" spans="2:16" x14ac:dyDescent="0.25">
      <c r="B361" s="90">
        <v>778</v>
      </c>
      <c r="C361" s="91">
        <v>2.8540610885997797E-2</v>
      </c>
      <c r="D361" s="92">
        <v>29</v>
      </c>
      <c r="G361" s="5"/>
      <c r="H361" s="5"/>
      <c r="L361" s="7"/>
      <c r="M361" s="7"/>
      <c r="O361" s="5"/>
      <c r="P361" s="5"/>
    </row>
    <row r="362" spans="2:16" x14ac:dyDescent="0.25">
      <c r="B362" s="90">
        <v>725</v>
      </c>
      <c r="C362" s="91">
        <v>2.9174268395439351E-2</v>
      </c>
      <c r="D362" s="92">
        <v>29</v>
      </c>
      <c r="G362" s="5"/>
      <c r="H362" s="5"/>
      <c r="L362" s="7"/>
      <c r="M362" s="7"/>
      <c r="O362" s="5"/>
      <c r="P362" s="5"/>
    </row>
    <row r="363" spans="2:16" x14ac:dyDescent="0.25">
      <c r="B363" s="90">
        <v>1227</v>
      </c>
      <c r="C363" s="91">
        <v>2.9971514827913048E-2</v>
      </c>
      <c r="D363" s="92">
        <v>29</v>
      </c>
      <c r="G363" s="5"/>
      <c r="H363" s="5"/>
      <c r="L363" s="7"/>
      <c r="M363" s="7"/>
      <c r="O363" s="5"/>
      <c r="P363" s="5"/>
    </row>
    <row r="364" spans="2:16" x14ac:dyDescent="0.25">
      <c r="B364" s="90">
        <v>1228</v>
      </c>
      <c r="C364" s="91">
        <v>3.3529717732640907E-2</v>
      </c>
      <c r="D364" s="92">
        <v>29</v>
      </c>
      <c r="G364" s="5"/>
      <c r="H364" s="5"/>
      <c r="L364" s="7"/>
      <c r="M364" s="7"/>
      <c r="O364" s="5"/>
      <c r="P364" s="5"/>
    </row>
    <row r="365" spans="2:16" x14ac:dyDescent="0.25">
      <c r="B365" s="90">
        <v>1229</v>
      </c>
      <c r="C365" s="91">
        <v>4.1930684533703744E-2</v>
      </c>
      <c r="D365" s="92">
        <v>29</v>
      </c>
      <c r="G365" s="5"/>
      <c r="H365" s="5"/>
      <c r="L365" s="7"/>
      <c r="M365" s="7"/>
      <c r="O365" s="5"/>
      <c r="P365" s="5"/>
    </row>
    <row r="366" spans="2:16" x14ac:dyDescent="0.25">
      <c r="B366" s="90">
        <v>1810</v>
      </c>
      <c r="C366" s="91">
        <v>7.4303695471628073E-2</v>
      </c>
      <c r="D366" s="92">
        <v>29</v>
      </c>
      <c r="G366" s="5"/>
      <c r="H366" s="5"/>
      <c r="L366" s="7"/>
      <c r="M366" s="7"/>
      <c r="O366" s="5"/>
      <c r="P366" s="5"/>
    </row>
    <row r="367" spans="2:16" x14ac:dyDescent="0.25">
      <c r="B367" s="90">
        <v>1930</v>
      </c>
      <c r="C367" s="91">
        <v>0.12263796268845484</v>
      </c>
      <c r="D367" s="92">
        <v>29</v>
      </c>
      <c r="G367" s="5"/>
      <c r="H367" s="5"/>
      <c r="L367" s="7"/>
      <c r="M367" s="7"/>
      <c r="O367" s="5"/>
      <c r="P367" s="5"/>
    </row>
    <row r="368" spans="2:16" x14ac:dyDescent="0.25">
      <c r="B368" s="90">
        <v>1450</v>
      </c>
      <c r="C368" s="91">
        <v>0.13441642682441923</v>
      </c>
      <c r="D368" s="92">
        <v>29</v>
      </c>
      <c r="G368" s="5"/>
      <c r="H368" s="5"/>
      <c r="L368" s="7"/>
      <c r="M368" s="7"/>
      <c r="O368" s="5"/>
      <c r="P368" s="5"/>
    </row>
    <row r="369" spans="2:16" x14ac:dyDescent="0.25">
      <c r="B369" s="90">
        <v>230</v>
      </c>
      <c r="C369" s="91">
        <v>0.14319472086881158</v>
      </c>
      <c r="D369" s="92">
        <v>29</v>
      </c>
      <c r="G369" s="5"/>
      <c r="H369" s="5"/>
      <c r="L369" s="7"/>
      <c r="M369" s="7"/>
      <c r="O369" s="5"/>
      <c r="P369" s="5"/>
    </row>
    <row r="370" spans="2:16" x14ac:dyDescent="0.25">
      <c r="B370" s="90">
        <v>292</v>
      </c>
      <c r="C370" s="91">
        <v>0.16005071118158498</v>
      </c>
      <c r="D370" s="92">
        <v>29</v>
      </c>
      <c r="G370" s="5"/>
      <c r="H370" s="5"/>
      <c r="L370" s="7"/>
      <c r="M370" s="7"/>
      <c r="O370" s="5"/>
      <c r="P370" s="5"/>
    </row>
    <row r="371" spans="2:16" x14ac:dyDescent="0.25">
      <c r="B371" s="90">
        <v>413</v>
      </c>
      <c r="C371" s="91">
        <v>0.16909096353996755</v>
      </c>
      <c r="D371" s="92">
        <v>30</v>
      </c>
      <c r="G371" s="5"/>
      <c r="H371" s="5"/>
      <c r="L371" s="7"/>
      <c r="M371" s="7"/>
      <c r="O371" s="5"/>
      <c r="P371" s="5"/>
    </row>
    <row r="372" spans="2:16" x14ac:dyDescent="0.25">
      <c r="B372" s="90">
        <v>317</v>
      </c>
      <c r="C372" s="91">
        <v>0.23276700896193736</v>
      </c>
      <c r="D372" s="92">
        <v>32</v>
      </c>
      <c r="G372" s="5"/>
      <c r="H372" s="5"/>
      <c r="L372" s="7"/>
      <c r="M372" s="7"/>
      <c r="O372" s="5"/>
      <c r="P372" s="5"/>
    </row>
    <row r="373" spans="2:16" x14ac:dyDescent="0.25">
      <c r="B373" s="90">
        <v>256</v>
      </c>
      <c r="C373" s="91">
        <v>0.23814919456960837</v>
      </c>
      <c r="D373" s="92">
        <v>32</v>
      </c>
      <c r="G373" s="5"/>
      <c r="H373" s="5"/>
      <c r="L373" s="7"/>
      <c r="M373" s="7"/>
      <c r="O373" s="5"/>
      <c r="P373" s="5"/>
    </row>
    <row r="374" spans="2:16" x14ac:dyDescent="0.25">
      <c r="B374" s="90">
        <v>1367</v>
      </c>
      <c r="C374" s="91">
        <v>1.8206671279782372E-2</v>
      </c>
      <c r="D374" s="92">
        <v>35</v>
      </c>
      <c r="G374" s="5"/>
      <c r="H374" s="5"/>
      <c r="L374" s="7"/>
      <c r="M374" s="7"/>
      <c r="O374" s="5"/>
      <c r="P374" s="5"/>
    </row>
    <row r="375" spans="2:16" x14ac:dyDescent="0.25">
      <c r="B375" s="90">
        <v>1253</v>
      </c>
      <c r="C375" s="91">
        <v>5.4375865043250204E-2</v>
      </c>
      <c r="D375" s="92">
        <v>35</v>
      </c>
      <c r="G375" s="5"/>
      <c r="H375" s="5"/>
      <c r="L375" s="7"/>
      <c r="M375" s="7"/>
      <c r="O375" s="5"/>
      <c r="P375" s="5"/>
    </row>
    <row r="376" spans="2:16" x14ac:dyDescent="0.25">
      <c r="B376" s="90">
        <v>1327</v>
      </c>
      <c r="C376" s="91">
        <v>5.4586603135130973E-2</v>
      </c>
      <c r="D376" s="92">
        <v>35</v>
      </c>
      <c r="G376" s="5"/>
      <c r="H376" s="5"/>
      <c r="L376" s="7"/>
      <c r="M376" s="7"/>
      <c r="O376" s="5"/>
      <c r="P376" s="5"/>
    </row>
    <row r="377" spans="2:16" x14ac:dyDescent="0.25">
      <c r="B377" s="90">
        <v>1389</v>
      </c>
      <c r="C377" s="91">
        <v>0.11175652281437731</v>
      </c>
      <c r="D377" s="92">
        <v>35</v>
      </c>
      <c r="G377" s="5"/>
      <c r="H377" s="5"/>
      <c r="L377" s="7"/>
      <c r="M377" s="7"/>
      <c r="O377" s="5"/>
      <c r="P377" s="5"/>
    </row>
    <row r="378" spans="2:16" x14ac:dyDescent="0.25">
      <c r="B378" s="90">
        <v>1181</v>
      </c>
      <c r="C378" s="91">
        <v>1.4247983947894505E-2</v>
      </c>
      <c r="D378" s="92">
        <v>36</v>
      </c>
      <c r="G378" s="5"/>
      <c r="H378" s="5"/>
      <c r="L378" s="7"/>
      <c r="M378" s="7"/>
      <c r="O378" s="5"/>
      <c r="P378" s="5"/>
    </row>
    <row r="379" spans="2:16" x14ac:dyDescent="0.25">
      <c r="B379" s="90">
        <v>881</v>
      </c>
      <c r="C379" s="91">
        <v>2.5776929856110908E-2</v>
      </c>
      <c r="D379" s="92">
        <v>36</v>
      </c>
      <c r="G379" s="5"/>
      <c r="H379" s="5"/>
      <c r="L379" s="7"/>
      <c r="M379" s="7"/>
      <c r="O379" s="5"/>
      <c r="P379" s="5"/>
    </row>
    <row r="380" spans="2:16" x14ac:dyDescent="0.25">
      <c r="B380" s="90">
        <v>931</v>
      </c>
      <c r="C380" s="91">
        <v>2.8878491087438674E-2</v>
      </c>
      <c r="D380" s="92">
        <v>36</v>
      </c>
      <c r="G380" s="5"/>
      <c r="H380" s="5"/>
      <c r="L380" s="7"/>
      <c r="M380" s="7"/>
      <c r="O380" s="5"/>
      <c r="P380" s="5"/>
    </row>
    <row r="381" spans="2:16" x14ac:dyDescent="0.25">
      <c r="B381" s="90">
        <v>980</v>
      </c>
      <c r="C381" s="91">
        <v>3.2083907233488862E-2</v>
      </c>
      <c r="D381" s="92">
        <v>36</v>
      </c>
      <c r="G381" s="5"/>
      <c r="H381" s="5"/>
      <c r="L381" s="7"/>
      <c r="M381" s="7"/>
      <c r="O381" s="5"/>
      <c r="P381" s="5"/>
    </row>
    <row r="382" spans="2:16" x14ac:dyDescent="0.25">
      <c r="B382" s="90">
        <v>1028</v>
      </c>
      <c r="C382" s="91">
        <v>4.1061212788641721E-2</v>
      </c>
      <c r="D382" s="92">
        <v>36</v>
      </c>
      <c r="G382" s="5"/>
      <c r="H382" s="5"/>
      <c r="L382" s="7"/>
      <c r="M382" s="7"/>
      <c r="O382" s="5"/>
      <c r="P382" s="5"/>
    </row>
    <row r="383" spans="2:16" x14ac:dyDescent="0.25">
      <c r="B383" s="90">
        <v>1122</v>
      </c>
      <c r="C383" s="91">
        <v>4.2123296011914113E-2</v>
      </c>
      <c r="D383" s="92">
        <v>36</v>
      </c>
      <c r="G383" s="5"/>
      <c r="H383" s="5"/>
      <c r="L383" s="7"/>
      <c r="M383" s="7"/>
      <c r="O383" s="5"/>
      <c r="P383" s="5"/>
    </row>
    <row r="384" spans="2:16" x14ac:dyDescent="0.25">
      <c r="B384" s="90">
        <v>1076</v>
      </c>
      <c r="C384" s="91">
        <v>4.3434793236135749E-2</v>
      </c>
      <c r="D384" s="92">
        <v>36</v>
      </c>
      <c r="G384" s="5"/>
      <c r="H384" s="5"/>
      <c r="L384" s="7"/>
      <c r="M384" s="7"/>
      <c r="O384" s="5"/>
      <c r="P384" s="5"/>
    </row>
    <row r="385" spans="2:16" x14ac:dyDescent="0.25">
      <c r="B385" s="90">
        <v>1844</v>
      </c>
      <c r="C385" s="91">
        <v>8.3367206203179389E-2</v>
      </c>
      <c r="D385" s="92">
        <v>36</v>
      </c>
      <c r="G385" s="5"/>
      <c r="H385" s="5"/>
      <c r="L385" s="7"/>
      <c r="M385" s="7"/>
      <c r="O385" s="5"/>
      <c r="P385" s="5"/>
    </row>
    <row r="386" spans="2:16" x14ac:dyDescent="0.25">
      <c r="B386" s="90">
        <v>1325</v>
      </c>
      <c r="C386" s="91">
        <v>0.12849617206761099</v>
      </c>
      <c r="D386" s="92">
        <v>36</v>
      </c>
      <c r="G386" s="5"/>
      <c r="H386" s="5"/>
      <c r="L386" s="7"/>
      <c r="M386" s="7"/>
      <c r="O386" s="5"/>
      <c r="P386" s="5"/>
    </row>
    <row r="387" spans="2:16" x14ac:dyDescent="0.25">
      <c r="B387" s="90">
        <v>1803</v>
      </c>
      <c r="C387" s="91">
        <v>0.13759512607424451</v>
      </c>
      <c r="D387" s="92">
        <v>36</v>
      </c>
      <c r="G387" s="5"/>
      <c r="H387" s="5"/>
      <c r="L387" s="7"/>
      <c r="M387" s="7"/>
      <c r="O387" s="5"/>
      <c r="P387" s="5"/>
    </row>
    <row r="388" spans="2:16" x14ac:dyDescent="0.25">
      <c r="B388" s="90">
        <v>872</v>
      </c>
      <c r="C388" s="91">
        <v>0.1578429916115528</v>
      </c>
      <c r="D388" s="92">
        <v>36</v>
      </c>
      <c r="G388" s="5"/>
      <c r="H388" s="5"/>
      <c r="L388" s="7"/>
      <c r="M388" s="7"/>
      <c r="O388" s="5"/>
      <c r="P388" s="5"/>
    </row>
    <row r="389" spans="2:16" x14ac:dyDescent="0.25">
      <c r="B389" s="90">
        <v>922</v>
      </c>
      <c r="C389" s="91">
        <v>0.16251350978804169</v>
      </c>
      <c r="D389" s="92">
        <v>36</v>
      </c>
      <c r="G389" s="5"/>
      <c r="H389" s="5"/>
      <c r="L389" s="7"/>
      <c r="M389" s="7"/>
      <c r="O389" s="5"/>
      <c r="P389" s="5"/>
    </row>
    <row r="390" spans="2:16" x14ac:dyDescent="0.25">
      <c r="B390" s="90">
        <v>821</v>
      </c>
      <c r="C390" s="91">
        <v>0.16397528261162719</v>
      </c>
      <c r="D390" s="92">
        <v>36</v>
      </c>
      <c r="G390" s="5"/>
      <c r="H390" s="5"/>
      <c r="L390" s="7"/>
      <c r="M390" s="7"/>
      <c r="O390" s="5"/>
      <c r="P390" s="5"/>
    </row>
    <row r="391" spans="2:16" x14ac:dyDescent="0.25">
      <c r="B391" s="90">
        <v>408</v>
      </c>
      <c r="C391" s="91">
        <v>0.18619207894540113</v>
      </c>
      <c r="D391" s="92">
        <v>36</v>
      </c>
      <c r="G391" s="5"/>
      <c r="H391" s="5"/>
      <c r="L391" s="7"/>
      <c r="M391" s="7"/>
      <c r="O391" s="5"/>
      <c r="P391" s="5"/>
    </row>
    <row r="392" spans="2:16" x14ac:dyDescent="0.25">
      <c r="B392" s="90">
        <v>798</v>
      </c>
      <c r="C392" s="91">
        <v>0.19326814404636361</v>
      </c>
      <c r="D392" s="92">
        <v>36</v>
      </c>
      <c r="G392" s="5"/>
      <c r="H392" s="5"/>
      <c r="L392" s="7"/>
      <c r="M392" s="7"/>
      <c r="O392" s="5"/>
      <c r="P392" s="5"/>
    </row>
    <row r="393" spans="2:16" x14ac:dyDescent="0.25">
      <c r="B393" s="90">
        <v>409</v>
      </c>
      <c r="C393" s="91">
        <v>0.19387839563006859</v>
      </c>
      <c r="D393" s="92">
        <v>36</v>
      </c>
      <c r="G393" s="5"/>
      <c r="H393" s="5"/>
      <c r="L393" s="7"/>
      <c r="M393" s="7"/>
      <c r="O393" s="5"/>
      <c r="P393" s="5"/>
    </row>
    <row r="394" spans="2:16" x14ac:dyDescent="0.25">
      <c r="B394" s="90">
        <v>1333</v>
      </c>
      <c r="C394" s="91">
        <v>0.23566462104848473</v>
      </c>
      <c r="D394" s="92">
        <v>37</v>
      </c>
      <c r="G394" s="5"/>
      <c r="H394" s="5"/>
      <c r="L394" s="7"/>
      <c r="M394" s="7"/>
      <c r="O394" s="5"/>
      <c r="P394" s="5"/>
    </row>
    <row r="395" spans="2:16" x14ac:dyDescent="0.25">
      <c r="B395" s="90">
        <v>1373</v>
      </c>
      <c r="C395" s="91">
        <v>0.31140867775440473</v>
      </c>
      <c r="D395" s="92">
        <v>37</v>
      </c>
      <c r="G395" s="5"/>
      <c r="H395" s="5"/>
      <c r="L395" s="7"/>
      <c r="M395" s="7"/>
      <c r="O395" s="5"/>
      <c r="P395" s="5"/>
    </row>
    <row r="396" spans="2:16" x14ac:dyDescent="0.25">
      <c r="B396" s="90">
        <v>1412</v>
      </c>
      <c r="C396" s="91">
        <v>0.31389383123078995</v>
      </c>
      <c r="D396" s="92">
        <v>37</v>
      </c>
      <c r="G396" s="5"/>
      <c r="H396" s="5"/>
      <c r="L396" s="7"/>
      <c r="M396" s="7"/>
      <c r="O396" s="5"/>
      <c r="P396" s="5"/>
    </row>
    <row r="397" spans="2:16" x14ac:dyDescent="0.25">
      <c r="B397" s="90">
        <v>671</v>
      </c>
      <c r="C397" s="91">
        <v>3.3161774754465467E-2</v>
      </c>
      <c r="D397" s="92">
        <v>38</v>
      </c>
      <c r="G397" s="5"/>
      <c r="H397" s="5"/>
      <c r="L397" s="7"/>
      <c r="M397" s="7"/>
      <c r="O397" s="5"/>
      <c r="P397" s="5"/>
    </row>
    <row r="398" spans="2:16" x14ac:dyDescent="0.25">
      <c r="B398" s="90">
        <v>215</v>
      </c>
      <c r="C398" s="91">
        <v>3.3817137633664784E-2</v>
      </c>
      <c r="D398" s="92">
        <v>38</v>
      </c>
      <c r="G398" s="5"/>
      <c r="H398" s="5"/>
      <c r="L398" s="7"/>
      <c r="M398" s="7"/>
      <c r="O398" s="5"/>
      <c r="P398" s="5"/>
    </row>
    <row r="399" spans="2:16" x14ac:dyDescent="0.25">
      <c r="B399" s="90">
        <v>324</v>
      </c>
      <c r="C399" s="91">
        <v>6.6086043428438601E-2</v>
      </c>
      <c r="D399" s="92">
        <v>38</v>
      </c>
      <c r="G399" s="5"/>
      <c r="H399" s="5"/>
      <c r="L399" s="7"/>
      <c r="M399" s="7"/>
      <c r="O399" s="5"/>
      <c r="P399" s="5"/>
    </row>
    <row r="400" spans="2:16" x14ac:dyDescent="0.25">
      <c r="B400" s="90">
        <v>263</v>
      </c>
      <c r="C400" s="91">
        <v>7.0498587520638423E-2</v>
      </c>
      <c r="D400" s="92">
        <v>38</v>
      </c>
      <c r="G400" s="5"/>
      <c r="H400" s="5"/>
      <c r="L400" s="7"/>
      <c r="M400" s="7"/>
      <c r="O400" s="5"/>
      <c r="P400" s="5"/>
    </row>
    <row r="401" spans="2:16" x14ac:dyDescent="0.25">
      <c r="B401" s="90">
        <v>332</v>
      </c>
      <c r="C401" s="91">
        <v>0.14245314048457569</v>
      </c>
      <c r="D401" s="92">
        <v>38</v>
      </c>
      <c r="G401" s="5"/>
      <c r="H401" s="5"/>
      <c r="L401" s="7"/>
      <c r="M401" s="7"/>
      <c r="O401" s="5"/>
      <c r="P401" s="5"/>
    </row>
    <row r="402" spans="2:16" x14ac:dyDescent="0.25">
      <c r="B402" s="90">
        <v>271</v>
      </c>
      <c r="C402" s="91">
        <v>0.14533276920469507</v>
      </c>
      <c r="D402" s="92">
        <v>38</v>
      </c>
      <c r="G402" s="5"/>
      <c r="H402" s="5"/>
      <c r="L402" s="7"/>
      <c r="M402" s="7"/>
      <c r="O402" s="5"/>
      <c r="P402" s="5"/>
    </row>
    <row r="403" spans="2:16" x14ac:dyDescent="0.25">
      <c r="B403" s="90">
        <v>972</v>
      </c>
      <c r="C403" s="91">
        <v>0.29140284890009949</v>
      </c>
      <c r="D403" s="92">
        <v>38</v>
      </c>
      <c r="G403" s="5"/>
      <c r="H403" s="5"/>
      <c r="L403" s="7"/>
      <c r="M403" s="7"/>
      <c r="O403" s="5"/>
      <c r="P403" s="5"/>
    </row>
    <row r="404" spans="2:16" x14ac:dyDescent="0.25">
      <c r="B404" s="90">
        <v>386</v>
      </c>
      <c r="C404" s="91">
        <v>3.4495034950379311E-2</v>
      </c>
      <c r="D404" s="92">
        <v>39</v>
      </c>
      <c r="G404" s="5"/>
      <c r="H404" s="5"/>
      <c r="L404" s="7"/>
      <c r="M404" s="7"/>
      <c r="O404" s="5"/>
      <c r="P404" s="5"/>
    </row>
    <row r="405" spans="2:16" x14ac:dyDescent="0.25">
      <c r="B405" s="90">
        <v>445</v>
      </c>
      <c r="C405" s="91">
        <v>3.6064079535995552E-2</v>
      </c>
      <c r="D405" s="92">
        <v>39</v>
      </c>
      <c r="G405" s="5"/>
      <c r="H405" s="5"/>
      <c r="L405" s="7"/>
      <c r="M405" s="7"/>
      <c r="O405" s="5"/>
      <c r="P405" s="5"/>
    </row>
    <row r="406" spans="2:16" x14ac:dyDescent="0.25">
      <c r="B406" s="90">
        <v>560</v>
      </c>
      <c r="C406" s="91">
        <v>3.8432114453401223E-2</v>
      </c>
      <c r="D406" s="92">
        <v>39</v>
      </c>
      <c r="G406" s="5"/>
      <c r="H406" s="5"/>
      <c r="L406" s="7"/>
      <c r="M406" s="7"/>
      <c r="O406" s="5"/>
      <c r="P406" s="5"/>
    </row>
    <row r="407" spans="2:16" x14ac:dyDescent="0.25">
      <c r="B407" s="90">
        <v>616</v>
      </c>
      <c r="C407" s="91">
        <v>4.2050668362865196E-2</v>
      </c>
      <c r="D407" s="92">
        <v>39</v>
      </c>
      <c r="G407" s="5"/>
      <c r="H407" s="5"/>
      <c r="L407" s="7"/>
      <c r="M407" s="7"/>
      <c r="O407" s="5"/>
      <c r="P407" s="5"/>
    </row>
    <row r="408" spans="2:16" x14ac:dyDescent="0.25">
      <c r="B408" s="90">
        <v>503</v>
      </c>
      <c r="C408" s="91">
        <v>4.6130581885621025E-2</v>
      </c>
      <c r="D408" s="92">
        <v>39</v>
      </c>
      <c r="G408" s="5"/>
      <c r="H408" s="5"/>
      <c r="L408" s="7"/>
      <c r="M408" s="7"/>
      <c r="O408" s="5"/>
      <c r="P408" s="5"/>
    </row>
    <row r="409" spans="2:16" x14ac:dyDescent="0.25">
      <c r="B409" s="90">
        <v>387</v>
      </c>
      <c r="C409" s="91">
        <v>8.1839641238313554E-2</v>
      </c>
      <c r="D409" s="92">
        <v>39</v>
      </c>
      <c r="G409" s="5"/>
      <c r="H409" s="5"/>
      <c r="L409" s="7"/>
      <c r="M409" s="7"/>
      <c r="O409" s="5"/>
      <c r="P409" s="5"/>
    </row>
    <row r="410" spans="2:16" x14ac:dyDescent="0.25">
      <c r="B410" s="90">
        <v>385</v>
      </c>
      <c r="C410" s="91">
        <v>0.10610850168495012</v>
      </c>
      <c r="D410" s="92">
        <v>39</v>
      </c>
      <c r="G410" s="5"/>
      <c r="H410" s="5"/>
      <c r="L410" s="7"/>
      <c r="M410" s="7"/>
      <c r="O410" s="5"/>
      <c r="P410" s="5"/>
    </row>
    <row r="411" spans="2:16" x14ac:dyDescent="0.25">
      <c r="B411" s="90">
        <v>444</v>
      </c>
      <c r="C411" s="91">
        <v>0.10699338746589593</v>
      </c>
      <c r="D411" s="92">
        <v>39</v>
      </c>
      <c r="G411" s="5"/>
      <c r="H411" s="5"/>
      <c r="L411" s="7"/>
      <c r="M411" s="7"/>
      <c r="O411" s="5"/>
      <c r="P411" s="5"/>
    </row>
    <row r="412" spans="2:16" x14ac:dyDescent="0.25">
      <c r="B412" s="90">
        <v>1147</v>
      </c>
      <c r="C412" s="91">
        <v>0.18185623479628832</v>
      </c>
      <c r="D412" s="92">
        <v>39</v>
      </c>
      <c r="G412" s="5"/>
      <c r="H412" s="5"/>
      <c r="L412" s="7"/>
      <c r="M412" s="7"/>
      <c r="O412" s="5"/>
      <c r="P412" s="5"/>
    </row>
    <row r="413" spans="2:16" x14ac:dyDescent="0.25">
      <c r="B413" s="90">
        <v>88</v>
      </c>
      <c r="C413" s="91">
        <v>3.3693631262329049E-2</v>
      </c>
      <c r="D413" s="92">
        <v>40</v>
      </c>
      <c r="G413" s="5"/>
      <c r="H413" s="5"/>
      <c r="L413" s="7"/>
      <c r="M413" s="7"/>
      <c r="O413" s="5"/>
      <c r="P413" s="5"/>
    </row>
    <row r="414" spans="2:16" x14ac:dyDescent="0.25">
      <c r="B414" s="90">
        <v>152</v>
      </c>
      <c r="C414" s="91">
        <v>3.7778414062320853E-2</v>
      </c>
      <c r="D414" s="92">
        <v>41</v>
      </c>
      <c r="G414" s="5"/>
      <c r="H414" s="5"/>
      <c r="L414" s="7"/>
      <c r="M414" s="7"/>
      <c r="O414" s="5"/>
      <c r="P414" s="5"/>
    </row>
    <row r="415" spans="2:16" x14ac:dyDescent="0.25">
      <c r="B415" s="90">
        <v>141</v>
      </c>
      <c r="C415" s="91">
        <v>8.4820358547165298E-2</v>
      </c>
      <c r="D415" s="92">
        <v>41</v>
      </c>
      <c r="G415" s="5"/>
      <c r="H415" s="5"/>
      <c r="L415" s="7"/>
      <c r="M415" s="7"/>
      <c r="O415" s="5"/>
      <c r="P415" s="5"/>
    </row>
    <row r="416" spans="2:16" x14ac:dyDescent="0.25">
      <c r="B416" s="90">
        <v>77</v>
      </c>
      <c r="C416" s="91">
        <v>0.10063609051416222</v>
      </c>
      <c r="D416" s="92">
        <v>41</v>
      </c>
      <c r="G416" s="5"/>
      <c r="H416" s="5"/>
      <c r="L416" s="7"/>
      <c r="M416" s="7"/>
      <c r="O416" s="5"/>
      <c r="P416" s="5"/>
    </row>
    <row r="417" spans="2:16" x14ac:dyDescent="0.25">
      <c r="B417" s="90">
        <v>204</v>
      </c>
      <c r="C417" s="91">
        <v>8.4114520047497976E-2</v>
      </c>
      <c r="D417" s="92">
        <v>42</v>
      </c>
      <c r="G417" s="5"/>
      <c r="H417" s="5"/>
      <c r="L417" s="7"/>
      <c r="M417" s="7"/>
      <c r="O417" s="5"/>
      <c r="P417" s="5"/>
    </row>
    <row r="418" spans="2:16" x14ac:dyDescent="0.25">
      <c r="B418" s="90">
        <v>769</v>
      </c>
      <c r="C418" s="91">
        <v>0.18026641428207135</v>
      </c>
      <c r="D418" s="92">
        <v>44</v>
      </c>
      <c r="G418" s="5"/>
      <c r="H418" s="5"/>
      <c r="L418" s="7"/>
      <c r="M418" s="7"/>
      <c r="O418" s="5"/>
      <c r="P418" s="5"/>
    </row>
    <row r="419" spans="2:16" x14ac:dyDescent="0.25">
      <c r="B419" s="90">
        <v>716</v>
      </c>
      <c r="C419" s="91">
        <v>0.18590657918143261</v>
      </c>
      <c r="D419" s="92">
        <v>44</v>
      </c>
      <c r="G419" s="5"/>
      <c r="H419" s="5"/>
      <c r="L419" s="7"/>
      <c r="M419" s="7"/>
      <c r="O419" s="5"/>
      <c r="P419" s="5"/>
    </row>
    <row r="420" spans="2:16" x14ac:dyDescent="0.25">
      <c r="B420" s="90">
        <v>1437</v>
      </c>
      <c r="C420" s="91">
        <v>0.10810355443938091</v>
      </c>
      <c r="D420" s="92">
        <v>45</v>
      </c>
      <c r="G420" s="5"/>
      <c r="H420" s="5"/>
      <c r="L420" s="7"/>
      <c r="M420" s="7"/>
      <c r="O420" s="5"/>
      <c r="P420" s="5"/>
    </row>
    <row r="421" spans="2:16" x14ac:dyDescent="0.25">
      <c r="B421" s="90">
        <v>103</v>
      </c>
      <c r="C421" s="91">
        <v>0.12592632259685022</v>
      </c>
      <c r="D421" s="92">
        <v>45</v>
      </c>
      <c r="G421" s="5"/>
      <c r="H421" s="5"/>
      <c r="L421" s="7"/>
      <c r="M421" s="7"/>
      <c r="O421" s="5"/>
      <c r="P421" s="5"/>
    </row>
    <row r="422" spans="2:16" x14ac:dyDescent="0.25">
      <c r="B422" s="90">
        <v>38</v>
      </c>
      <c r="C422" s="91">
        <v>0.17084795762930804</v>
      </c>
      <c r="D422" s="92">
        <v>45</v>
      </c>
      <c r="G422" s="5"/>
      <c r="H422" s="5"/>
      <c r="L422" s="7"/>
      <c r="M422" s="7"/>
      <c r="O422" s="5"/>
      <c r="P422" s="5"/>
    </row>
    <row r="423" spans="2:16" x14ac:dyDescent="0.25">
      <c r="B423" s="90">
        <v>1443</v>
      </c>
      <c r="C423" s="91">
        <v>0.17084795762930804</v>
      </c>
      <c r="D423" s="92">
        <v>45</v>
      </c>
      <c r="G423" s="5"/>
      <c r="H423" s="5"/>
      <c r="L423" s="7"/>
      <c r="M423" s="7"/>
      <c r="O423" s="5"/>
      <c r="P423" s="5"/>
    </row>
    <row r="424" spans="2:16" x14ac:dyDescent="0.25">
      <c r="B424" s="90">
        <v>1099</v>
      </c>
      <c r="C424" s="91">
        <v>0.19540466397270839</v>
      </c>
      <c r="D424" s="92">
        <v>45</v>
      </c>
      <c r="G424" s="5"/>
      <c r="H424" s="5"/>
      <c r="L424" s="7"/>
      <c r="M424" s="7"/>
      <c r="O424" s="5"/>
      <c r="P424" s="5"/>
    </row>
    <row r="425" spans="2:16" x14ac:dyDescent="0.25">
      <c r="B425" s="90">
        <v>1145</v>
      </c>
      <c r="C425" s="91">
        <v>0.20208512397119116</v>
      </c>
      <c r="D425" s="92">
        <v>45</v>
      </c>
      <c r="G425" s="5"/>
      <c r="H425" s="5"/>
      <c r="L425" s="7"/>
      <c r="M425" s="7"/>
      <c r="O425" s="5"/>
      <c r="P425" s="5"/>
    </row>
    <row r="426" spans="2:16" x14ac:dyDescent="0.25">
      <c r="B426" s="90">
        <v>167</v>
      </c>
      <c r="C426" s="91">
        <v>0.10947319499263553</v>
      </c>
      <c r="D426" s="92">
        <v>46</v>
      </c>
      <c r="G426" s="5"/>
      <c r="H426" s="5"/>
      <c r="L426" s="7"/>
      <c r="M426" s="7"/>
      <c r="O426" s="5"/>
      <c r="P426" s="5"/>
    </row>
    <row r="427" spans="2:16" x14ac:dyDescent="0.25">
      <c r="B427" s="90">
        <v>662</v>
      </c>
      <c r="C427" s="91">
        <v>0.19645372714151443</v>
      </c>
      <c r="D427" s="92">
        <v>46</v>
      </c>
      <c r="G427" s="5"/>
      <c r="H427" s="5"/>
      <c r="L427" s="7"/>
      <c r="M427" s="7"/>
      <c r="O427" s="5"/>
      <c r="P427" s="5"/>
    </row>
    <row r="428" spans="2:16" x14ac:dyDescent="0.25">
      <c r="B428" s="90">
        <v>228</v>
      </c>
      <c r="C428" s="91">
        <v>0.19967764976790459</v>
      </c>
      <c r="D428" s="92">
        <v>46</v>
      </c>
      <c r="G428" s="5"/>
      <c r="H428" s="5"/>
      <c r="L428" s="7"/>
      <c r="M428" s="7"/>
      <c r="O428" s="5"/>
      <c r="P428" s="5"/>
    </row>
    <row r="429" spans="2:16" x14ac:dyDescent="0.25">
      <c r="B429" s="90">
        <v>1612</v>
      </c>
      <c r="C429" s="91">
        <v>1.7235630553813719E-2</v>
      </c>
      <c r="D429" s="92">
        <v>47</v>
      </c>
      <c r="G429" s="5"/>
      <c r="H429" s="5"/>
      <c r="L429" s="7"/>
      <c r="M429" s="7"/>
      <c r="O429" s="5"/>
      <c r="P429" s="5"/>
    </row>
    <row r="430" spans="2:16" x14ac:dyDescent="0.25">
      <c r="B430" s="90">
        <v>29</v>
      </c>
      <c r="C430" s="91">
        <v>1.9587157511619213E-2</v>
      </c>
      <c r="D430" s="92">
        <v>47</v>
      </c>
      <c r="G430" s="5"/>
      <c r="H430" s="5"/>
      <c r="L430" s="7"/>
      <c r="M430" s="7"/>
      <c r="O430" s="5"/>
      <c r="P430" s="5"/>
    </row>
    <row r="431" spans="2:16" x14ac:dyDescent="0.25">
      <c r="B431" s="90">
        <v>1740</v>
      </c>
      <c r="C431" s="91">
        <v>1.9587157511619213E-2</v>
      </c>
      <c r="D431" s="92">
        <v>47</v>
      </c>
      <c r="G431" s="5"/>
      <c r="H431" s="5"/>
      <c r="L431" s="7"/>
      <c r="M431" s="7"/>
      <c r="O431" s="5"/>
      <c r="P431" s="5"/>
    </row>
    <row r="432" spans="2:16" x14ac:dyDescent="0.25">
      <c r="B432" s="90">
        <v>1645</v>
      </c>
      <c r="C432" s="91">
        <v>2.0886900076334647E-2</v>
      </c>
      <c r="D432" s="92">
        <v>47</v>
      </c>
      <c r="G432" s="5"/>
      <c r="H432" s="5"/>
      <c r="L432" s="7"/>
      <c r="M432" s="7"/>
      <c r="O432" s="5"/>
      <c r="P432" s="5"/>
    </row>
    <row r="433" spans="2:16" x14ac:dyDescent="0.25">
      <c r="B433" s="90">
        <v>1120</v>
      </c>
      <c r="C433" s="91">
        <v>2.3954430414240502E-2</v>
      </c>
      <c r="D433" s="92">
        <v>47</v>
      </c>
      <c r="G433" s="5"/>
      <c r="H433" s="5"/>
      <c r="L433" s="7"/>
      <c r="M433" s="7"/>
      <c r="O433" s="5"/>
      <c r="P433" s="5"/>
    </row>
    <row r="434" spans="2:16" x14ac:dyDescent="0.25">
      <c r="B434" s="90">
        <v>1074</v>
      </c>
      <c r="C434" s="91">
        <v>2.5349553644944178E-2</v>
      </c>
      <c r="D434" s="92">
        <v>47</v>
      </c>
      <c r="G434" s="5"/>
      <c r="H434" s="5"/>
      <c r="L434" s="7"/>
      <c r="M434" s="7"/>
      <c r="O434" s="5"/>
      <c r="P434" s="5"/>
    </row>
    <row r="435" spans="2:16" x14ac:dyDescent="0.25">
      <c r="B435" s="90">
        <v>1027</v>
      </c>
      <c r="C435" s="91">
        <v>2.8990211545138478E-2</v>
      </c>
      <c r="D435" s="92">
        <v>47</v>
      </c>
      <c r="G435" s="5"/>
      <c r="H435" s="5"/>
      <c r="L435" s="7"/>
      <c r="M435" s="7"/>
      <c r="O435" s="5"/>
      <c r="P435" s="5"/>
    </row>
    <row r="436" spans="2:16" x14ac:dyDescent="0.25">
      <c r="B436" s="90">
        <v>981</v>
      </c>
      <c r="C436" s="91">
        <v>3.2515373616114673E-2</v>
      </c>
      <c r="D436" s="92">
        <v>47</v>
      </c>
      <c r="G436" s="5"/>
      <c r="H436" s="5"/>
      <c r="L436" s="7"/>
      <c r="M436" s="7"/>
      <c r="O436" s="5"/>
      <c r="P436" s="5"/>
    </row>
    <row r="437" spans="2:16" x14ac:dyDescent="0.25">
      <c r="B437" s="90">
        <v>1336</v>
      </c>
      <c r="C437" s="91">
        <v>3.3292762014667798E-2</v>
      </c>
      <c r="D437" s="92">
        <v>47</v>
      </c>
      <c r="G437" s="5"/>
      <c r="H437" s="5"/>
      <c r="L437" s="7"/>
      <c r="M437" s="7"/>
      <c r="O437" s="5"/>
      <c r="P437" s="5"/>
    </row>
    <row r="438" spans="2:16" x14ac:dyDescent="0.25">
      <c r="B438" s="90">
        <v>1869</v>
      </c>
      <c r="C438" s="91">
        <v>3.6313461736616648E-2</v>
      </c>
      <c r="D438" s="92">
        <v>47</v>
      </c>
      <c r="G438" s="5"/>
      <c r="H438" s="5"/>
      <c r="L438" s="7"/>
      <c r="M438" s="7"/>
      <c r="O438" s="5"/>
      <c r="P438" s="5"/>
    </row>
    <row r="439" spans="2:16" x14ac:dyDescent="0.25">
      <c r="B439" s="90">
        <v>1451</v>
      </c>
      <c r="C439" s="91">
        <v>3.6561821024075125E-2</v>
      </c>
      <c r="D439" s="92">
        <v>47</v>
      </c>
      <c r="G439" s="5"/>
      <c r="H439" s="5"/>
      <c r="L439" s="7"/>
      <c r="M439" s="7"/>
      <c r="O439" s="5"/>
      <c r="P439" s="5"/>
    </row>
    <row r="440" spans="2:16" x14ac:dyDescent="0.25">
      <c r="B440" s="90">
        <v>1029</v>
      </c>
      <c r="C440" s="91">
        <v>3.7234821547128871E-2</v>
      </c>
      <c r="D440" s="92">
        <v>47</v>
      </c>
      <c r="G440" s="5"/>
      <c r="H440" s="5"/>
      <c r="L440" s="7"/>
      <c r="M440" s="7"/>
      <c r="O440" s="5"/>
      <c r="P440" s="5"/>
    </row>
    <row r="441" spans="2:16" x14ac:dyDescent="0.25">
      <c r="B441" s="90">
        <v>1112</v>
      </c>
      <c r="C441" s="91">
        <v>5.0194210348627921E-2</v>
      </c>
      <c r="D441" s="92">
        <v>47</v>
      </c>
      <c r="G441" s="5"/>
      <c r="H441" s="5"/>
      <c r="L441" s="7"/>
      <c r="M441" s="7"/>
      <c r="O441" s="5"/>
      <c r="P441" s="5"/>
    </row>
    <row r="442" spans="2:16" x14ac:dyDescent="0.25">
      <c r="B442" s="90">
        <v>1066</v>
      </c>
      <c r="C442" s="91">
        <v>5.056834671394328E-2</v>
      </c>
      <c r="D442" s="92">
        <v>47</v>
      </c>
      <c r="G442" s="5"/>
      <c r="H442" s="5"/>
      <c r="L442" s="7"/>
      <c r="M442" s="7"/>
      <c r="O442" s="5"/>
      <c r="P442" s="5"/>
    </row>
    <row r="443" spans="2:16" x14ac:dyDescent="0.25">
      <c r="B443" s="90">
        <v>842</v>
      </c>
      <c r="C443" s="91">
        <v>5.2413129795887969E-2</v>
      </c>
      <c r="D443" s="92">
        <v>47</v>
      </c>
      <c r="G443" s="5"/>
      <c r="H443" s="5"/>
      <c r="L443" s="7"/>
      <c r="M443" s="7"/>
      <c r="O443" s="5"/>
      <c r="P443" s="5"/>
    </row>
    <row r="444" spans="2:16" x14ac:dyDescent="0.25">
      <c r="B444" s="90">
        <v>790</v>
      </c>
      <c r="C444" s="91">
        <v>5.3828765925259092E-2</v>
      </c>
      <c r="D444" s="92">
        <v>47</v>
      </c>
      <c r="G444" s="5"/>
      <c r="H444" s="5"/>
      <c r="L444" s="7"/>
      <c r="M444" s="7"/>
      <c r="O444" s="5"/>
      <c r="P444" s="5"/>
    </row>
    <row r="445" spans="2:16" x14ac:dyDescent="0.25">
      <c r="B445" s="90">
        <v>737</v>
      </c>
      <c r="C445" s="91">
        <v>5.4894405845438698E-2</v>
      </c>
      <c r="D445" s="92">
        <v>47</v>
      </c>
      <c r="G445" s="5"/>
      <c r="H445" s="5"/>
      <c r="L445" s="7"/>
      <c r="M445" s="7"/>
      <c r="O445" s="5"/>
      <c r="P445" s="5"/>
    </row>
    <row r="446" spans="2:16" x14ac:dyDescent="0.25">
      <c r="B446" s="90">
        <v>831</v>
      </c>
      <c r="C446" s="91">
        <v>5.5649628279499042E-2</v>
      </c>
      <c r="D446" s="92">
        <v>47</v>
      </c>
      <c r="G446" s="5"/>
      <c r="H446" s="5"/>
      <c r="L446" s="7"/>
      <c r="M446" s="7"/>
      <c r="O446" s="5"/>
      <c r="P446" s="5"/>
    </row>
    <row r="447" spans="2:16" x14ac:dyDescent="0.25">
      <c r="B447" s="90">
        <v>979</v>
      </c>
      <c r="C447" s="91">
        <v>5.6808936476877236E-2</v>
      </c>
      <c r="D447" s="92">
        <v>47</v>
      </c>
      <c r="G447" s="5"/>
      <c r="H447" s="5"/>
      <c r="L447" s="7"/>
      <c r="M447" s="7"/>
      <c r="O447" s="5"/>
      <c r="P447" s="5"/>
    </row>
    <row r="448" spans="2:16" x14ac:dyDescent="0.25">
      <c r="B448" s="90">
        <v>882</v>
      </c>
      <c r="C448" s="91">
        <v>5.807363658101794E-2</v>
      </c>
      <c r="D448" s="92">
        <v>47</v>
      </c>
      <c r="G448" s="5"/>
      <c r="H448" s="5"/>
      <c r="L448" s="7"/>
      <c r="M448" s="7"/>
      <c r="O448" s="5"/>
      <c r="P448" s="5"/>
    </row>
    <row r="449" spans="2:16" x14ac:dyDescent="0.25">
      <c r="B449" s="90">
        <v>932</v>
      </c>
      <c r="C449" s="91">
        <v>6.636657978874716E-2</v>
      </c>
      <c r="D449" s="92">
        <v>47</v>
      </c>
      <c r="G449" s="5"/>
      <c r="H449" s="5"/>
      <c r="L449" s="7"/>
      <c r="M449" s="7"/>
      <c r="O449" s="5"/>
      <c r="P449" s="5"/>
    </row>
    <row r="450" spans="2:16" x14ac:dyDescent="0.25">
      <c r="B450" s="90">
        <v>726</v>
      </c>
      <c r="C450" s="91">
        <v>6.9718108791609446E-2</v>
      </c>
      <c r="D450" s="92">
        <v>47</v>
      </c>
      <c r="G450" s="5"/>
      <c r="H450" s="5"/>
      <c r="L450" s="7"/>
      <c r="M450" s="7"/>
      <c r="O450" s="5"/>
      <c r="P450" s="5"/>
    </row>
    <row r="451" spans="2:16" x14ac:dyDescent="0.25">
      <c r="B451" s="90">
        <v>829</v>
      </c>
      <c r="C451" s="91">
        <v>8.2313316034569817E-2</v>
      </c>
      <c r="D451" s="92">
        <v>47</v>
      </c>
      <c r="G451" s="5"/>
      <c r="H451" s="5"/>
      <c r="L451" s="7"/>
      <c r="M451" s="7"/>
      <c r="O451" s="5"/>
      <c r="P451" s="5"/>
    </row>
    <row r="452" spans="2:16" x14ac:dyDescent="0.25">
      <c r="B452" s="90">
        <v>880</v>
      </c>
      <c r="C452" s="91">
        <v>8.5086876975497105E-2</v>
      </c>
      <c r="D452" s="92">
        <v>47</v>
      </c>
      <c r="G452" s="5"/>
      <c r="H452" s="5"/>
      <c r="L452" s="7"/>
      <c r="M452" s="7"/>
      <c r="O452" s="5"/>
      <c r="P452" s="5"/>
    </row>
    <row r="453" spans="2:16" x14ac:dyDescent="0.25">
      <c r="B453" s="90">
        <v>930</v>
      </c>
      <c r="C453" s="91">
        <v>9.2907533172453149E-2</v>
      </c>
      <c r="D453" s="92">
        <v>47</v>
      </c>
      <c r="G453" s="5"/>
      <c r="H453" s="5"/>
      <c r="L453" s="7"/>
      <c r="M453" s="7"/>
      <c r="O453" s="5"/>
      <c r="P453" s="5"/>
    </row>
    <row r="454" spans="2:16" x14ac:dyDescent="0.25">
      <c r="B454" s="90">
        <v>1157</v>
      </c>
      <c r="C454" s="91">
        <v>9.7600063283559746E-2</v>
      </c>
      <c r="D454" s="92">
        <v>47</v>
      </c>
      <c r="G454" s="5"/>
      <c r="H454" s="5"/>
      <c r="L454" s="7"/>
      <c r="M454" s="7"/>
      <c r="O454" s="5"/>
      <c r="P454" s="5"/>
    </row>
    <row r="455" spans="2:16" x14ac:dyDescent="0.25">
      <c r="B455" s="90">
        <v>1751</v>
      </c>
      <c r="C455" s="91">
        <v>9.9618064594487299E-2</v>
      </c>
      <c r="D455" s="92">
        <v>47</v>
      </c>
      <c r="G455" s="5"/>
      <c r="H455" s="5"/>
      <c r="L455" s="7"/>
      <c r="M455" s="7"/>
      <c r="O455" s="5"/>
      <c r="P455" s="5"/>
    </row>
    <row r="456" spans="2:16" x14ac:dyDescent="0.25">
      <c r="B456" s="90">
        <v>1776</v>
      </c>
      <c r="C456" s="91">
        <v>0.10673126822524748</v>
      </c>
      <c r="D456" s="92">
        <v>47</v>
      </c>
      <c r="G456" s="5"/>
      <c r="H456" s="5"/>
      <c r="L456" s="7"/>
      <c r="M456" s="7"/>
      <c r="O456" s="5"/>
      <c r="P456" s="5"/>
    </row>
    <row r="457" spans="2:16" x14ac:dyDescent="0.25">
      <c r="B457" s="90">
        <v>1748</v>
      </c>
      <c r="C457" s="91">
        <v>0.11308314821993815</v>
      </c>
      <c r="D457" s="92">
        <v>47</v>
      </c>
      <c r="G457" s="5"/>
      <c r="H457" s="5"/>
      <c r="L457" s="7"/>
      <c r="M457" s="7"/>
      <c r="O457" s="5"/>
      <c r="P457" s="5"/>
    </row>
    <row r="458" spans="2:16" x14ac:dyDescent="0.25">
      <c r="B458" s="90">
        <v>1449</v>
      </c>
      <c r="C458" s="91">
        <v>0.17227063332976345</v>
      </c>
      <c r="D458" s="92">
        <v>47</v>
      </c>
      <c r="G458" s="5"/>
      <c r="H458" s="5"/>
      <c r="L458" s="7"/>
      <c r="M458" s="7"/>
      <c r="O458" s="5"/>
      <c r="P458" s="5"/>
    </row>
    <row r="459" spans="2:16" x14ac:dyDescent="0.25">
      <c r="B459" s="90">
        <v>467</v>
      </c>
      <c r="C459" s="91">
        <v>0.18901113173184625</v>
      </c>
      <c r="D459" s="92">
        <v>47</v>
      </c>
      <c r="G459" s="5"/>
      <c r="H459" s="5"/>
      <c r="L459" s="7"/>
      <c r="M459" s="7"/>
      <c r="O459" s="5"/>
      <c r="P459" s="5"/>
    </row>
    <row r="460" spans="2:16" x14ac:dyDescent="0.25">
      <c r="B460" s="90">
        <v>468</v>
      </c>
      <c r="C460" s="91">
        <v>0.19683112176429296</v>
      </c>
      <c r="D460" s="92">
        <v>47</v>
      </c>
      <c r="G460" s="5"/>
      <c r="H460" s="5"/>
      <c r="L460" s="7"/>
      <c r="M460" s="7"/>
      <c r="O460" s="5"/>
      <c r="P460" s="5"/>
    </row>
    <row r="461" spans="2:16" x14ac:dyDescent="0.25">
      <c r="B461" s="90">
        <v>551</v>
      </c>
      <c r="C461" s="91">
        <v>0.20706238608178684</v>
      </c>
      <c r="D461" s="92">
        <v>47</v>
      </c>
      <c r="G461" s="5"/>
      <c r="H461" s="5"/>
      <c r="L461" s="7"/>
      <c r="M461" s="7"/>
      <c r="O461" s="5"/>
      <c r="P461" s="5"/>
    </row>
    <row r="462" spans="2:16" x14ac:dyDescent="0.25">
      <c r="B462" s="90">
        <v>607</v>
      </c>
      <c r="C462" s="91">
        <v>0.2076661081482114</v>
      </c>
      <c r="D462" s="92">
        <v>47</v>
      </c>
      <c r="G462" s="5"/>
      <c r="H462" s="5"/>
      <c r="L462" s="7"/>
      <c r="M462" s="7"/>
      <c r="O462" s="5"/>
      <c r="P462" s="5"/>
    </row>
    <row r="463" spans="2:16" x14ac:dyDescent="0.25">
      <c r="B463" s="90">
        <v>1747</v>
      </c>
      <c r="C463" s="91">
        <v>0.21370394505546209</v>
      </c>
      <c r="D463" s="92">
        <v>47</v>
      </c>
      <c r="G463" s="5"/>
      <c r="H463" s="5"/>
      <c r="L463" s="7"/>
      <c r="M463" s="7"/>
      <c r="O463" s="5"/>
      <c r="P463" s="5"/>
    </row>
    <row r="464" spans="2:16" x14ac:dyDescent="0.25">
      <c r="B464" s="90">
        <v>436</v>
      </c>
      <c r="C464" s="91">
        <v>0.21782951183451549</v>
      </c>
      <c r="D464" s="92">
        <v>47</v>
      </c>
      <c r="G464" s="5"/>
      <c r="H464" s="5"/>
      <c r="L464" s="7"/>
      <c r="M464" s="7"/>
      <c r="O464" s="5"/>
      <c r="P464" s="5"/>
    </row>
    <row r="465" spans="2:16" x14ac:dyDescent="0.25">
      <c r="B465" s="90">
        <v>494</v>
      </c>
      <c r="C465" s="91">
        <v>0.21853973203451371</v>
      </c>
      <c r="D465" s="92">
        <v>47</v>
      </c>
      <c r="G465" s="5"/>
      <c r="H465" s="5"/>
      <c r="L465" s="7"/>
      <c r="M465" s="7"/>
      <c r="O465" s="5"/>
      <c r="P465" s="5"/>
    </row>
    <row r="466" spans="2:16" x14ac:dyDescent="0.25">
      <c r="B466" s="90">
        <v>377</v>
      </c>
      <c r="C466" s="91">
        <v>0.21896165235892096</v>
      </c>
      <c r="D466" s="92">
        <v>47</v>
      </c>
      <c r="G466" s="5"/>
      <c r="H466" s="5"/>
      <c r="L466" s="7"/>
      <c r="M466" s="7"/>
      <c r="O466" s="5"/>
      <c r="P466" s="5"/>
    </row>
    <row r="467" spans="2:16" x14ac:dyDescent="0.25">
      <c r="B467" s="90">
        <v>472</v>
      </c>
      <c r="C467" s="91">
        <v>0.17325181145309143</v>
      </c>
      <c r="D467" s="92">
        <v>48</v>
      </c>
      <c r="G467" s="5"/>
      <c r="H467" s="5"/>
      <c r="L467" s="7"/>
      <c r="M467" s="7"/>
      <c r="O467" s="5"/>
      <c r="P467" s="5"/>
    </row>
    <row r="468" spans="2:16" x14ac:dyDescent="0.25">
      <c r="B468" s="90">
        <v>267</v>
      </c>
      <c r="C468" s="91">
        <v>4.6771646079701967E-2</v>
      </c>
      <c r="D468" s="92">
        <v>49</v>
      </c>
      <c r="G468" s="5"/>
      <c r="H468" s="5"/>
      <c r="L468" s="7"/>
      <c r="M468" s="7"/>
      <c r="O468" s="5"/>
      <c r="P468" s="5"/>
    </row>
    <row r="469" spans="2:16" x14ac:dyDescent="0.25">
      <c r="B469" s="90">
        <v>1308</v>
      </c>
      <c r="C469" s="91">
        <v>4.4188052632230801E-2</v>
      </c>
      <c r="D469" s="92">
        <v>52</v>
      </c>
      <c r="G469" s="5"/>
      <c r="H469" s="5"/>
      <c r="L469" s="7"/>
      <c r="M469" s="7"/>
      <c r="O469" s="5"/>
      <c r="P469" s="5"/>
    </row>
    <row r="470" spans="2:16" x14ac:dyDescent="0.25">
      <c r="B470" s="90">
        <v>1390</v>
      </c>
      <c r="C470" s="91">
        <v>9.9377515189693177E-2</v>
      </c>
      <c r="D470" s="92">
        <v>52</v>
      </c>
      <c r="G470" s="5"/>
      <c r="H470" s="5"/>
      <c r="L470" s="7"/>
      <c r="M470" s="7"/>
      <c r="O470" s="5"/>
      <c r="P470" s="5"/>
    </row>
    <row r="471" spans="2:16" x14ac:dyDescent="0.25">
      <c r="B471" s="90">
        <v>100</v>
      </c>
      <c r="C471" s="91">
        <v>0.19952997129849137</v>
      </c>
      <c r="D471" s="92">
        <v>52</v>
      </c>
      <c r="G471" s="5"/>
      <c r="H471" s="5"/>
      <c r="L471" s="7"/>
      <c r="M471" s="7"/>
      <c r="O471" s="5"/>
      <c r="P471" s="5"/>
    </row>
    <row r="472" spans="2:16" x14ac:dyDescent="0.25">
      <c r="B472" s="90">
        <v>350</v>
      </c>
      <c r="C472" s="91">
        <v>0.20878312172551428</v>
      </c>
      <c r="D472" s="92">
        <v>52</v>
      </c>
      <c r="G472" s="5"/>
      <c r="H472" s="5"/>
      <c r="L472" s="7"/>
      <c r="M472" s="7"/>
      <c r="O472" s="5"/>
      <c r="P472" s="5"/>
    </row>
    <row r="473" spans="2:16" x14ac:dyDescent="0.25">
      <c r="B473" s="90">
        <v>1286</v>
      </c>
      <c r="C473" s="91">
        <v>2.0640279981298915E-2</v>
      </c>
      <c r="D473" s="92">
        <v>53</v>
      </c>
      <c r="G473" s="5"/>
      <c r="H473" s="5"/>
      <c r="L473" s="7"/>
      <c r="M473" s="7"/>
      <c r="O473" s="5"/>
      <c r="P473" s="5"/>
    </row>
    <row r="474" spans="2:16" x14ac:dyDescent="0.25">
      <c r="B474" s="90">
        <v>1294</v>
      </c>
      <c r="C474" s="91">
        <v>3.6237855397732166E-2</v>
      </c>
      <c r="D474" s="92">
        <v>53</v>
      </c>
      <c r="G474" s="5"/>
      <c r="H474" s="5"/>
      <c r="L474" s="7"/>
      <c r="M474" s="7"/>
      <c r="O474" s="5"/>
      <c r="P474" s="5"/>
    </row>
    <row r="475" spans="2:16" x14ac:dyDescent="0.25">
      <c r="B475" s="90">
        <v>1152</v>
      </c>
      <c r="C475" s="91">
        <v>3.6538811322617271E-2</v>
      </c>
      <c r="D475" s="92">
        <v>53</v>
      </c>
      <c r="G475" s="5"/>
      <c r="H475" s="5"/>
      <c r="L475" s="7"/>
      <c r="M475" s="7"/>
      <c r="O475" s="5"/>
      <c r="P475" s="5"/>
    </row>
    <row r="476" spans="2:16" x14ac:dyDescent="0.25">
      <c r="B476" s="90">
        <v>1104</v>
      </c>
      <c r="C476" s="91">
        <v>3.9276276084399098E-2</v>
      </c>
      <c r="D476" s="92">
        <v>53</v>
      </c>
      <c r="G476" s="5"/>
      <c r="H476" s="5"/>
      <c r="L476" s="7"/>
      <c r="M476" s="7"/>
      <c r="O476" s="5"/>
      <c r="P476" s="5"/>
    </row>
    <row r="477" spans="2:16" x14ac:dyDescent="0.25">
      <c r="B477" s="90">
        <v>1150</v>
      </c>
      <c r="C477" s="91">
        <v>4.0155073027631327E-2</v>
      </c>
      <c r="D477" s="92">
        <v>53</v>
      </c>
      <c r="G477" s="5"/>
      <c r="H477" s="5"/>
      <c r="L477" s="7"/>
      <c r="M477" s="7"/>
      <c r="O477" s="5"/>
      <c r="P477" s="5"/>
    </row>
    <row r="478" spans="2:16" x14ac:dyDescent="0.25">
      <c r="B478" s="90">
        <v>1106</v>
      </c>
      <c r="C478" s="91">
        <v>4.0486535724663431E-2</v>
      </c>
      <c r="D478" s="92">
        <v>53</v>
      </c>
      <c r="G478" s="5"/>
      <c r="H478" s="5"/>
      <c r="L478" s="7"/>
      <c r="M478" s="7"/>
      <c r="O478" s="5"/>
      <c r="P478" s="5"/>
    </row>
    <row r="479" spans="2:16" x14ac:dyDescent="0.25">
      <c r="B479" s="90">
        <v>1167</v>
      </c>
      <c r="C479" s="91">
        <v>4.1188760593080076E-2</v>
      </c>
      <c r="D479" s="92">
        <v>53</v>
      </c>
      <c r="G479" s="5"/>
      <c r="H479" s="5"/>
      <c r="L479" s="7"/>
      <c r="M479" s="7"/>
      <c r="O479" s="5"/>
      <c r="P479" s="5"/>
    </row>
    <row r="480" spans="2:16" x14ac:dyDescent="0.25">
      <c r="B480" s="90">
        <v>1105</v>
      </c>
      <c r="C480" s="91">
        <v>4.4558882573344061E-2</v>
      </c>
      <c r="D480" s="92">
        <v>53</v>
      </c>
      <c r="G480" s="5"/>
      <c r="H480" s="5"/>
      <c r="L480" s="7"/>
      <c r="M480" s="7"/>
      <c r="O480" s="5"/>
      <c r="P480" s="5"/>
    </row>
    <row r="481" spans="2:16" x14ac:dyDescent="0.25">
      <c r="B481" s="90">
        <v>1268</v>
      </c>
      <c r="C481" s="91">
        <v>4.8293776467262406E-2</v>
      </c>
      <c r="D481" s="92">
        <v>53</v>
      </c>
      <c r="G481" s="5"/>
      <c r="H481" s="5"/>
      <c r="L481" s="7"/>
      <c r="M481" s="7"/>
      <c r="O481" s="5"/>
      <c r="P481" s="5"/>
    </row>
    <row r="482" spans="2:16" x14ac:dyDescent="0.25">
      <c r="B482" s="90">
        <v>1335</v>
      </c>
      <c r="C482" s="91">
        <v>4.8870509419798425E-2</v>
      </c>
      <c r="D482" s="92">
        <v>53</v>
      </c>
      <c r="G482" s="5"/>
      <c r="H482" s="5"/>
      <c r="L482" s="7"/>
      <c r="M482" s="7"/>
      <c r="O482" s="5"/>
      <c r="P482" s="5"/>
    </row>
    <row r="483" spans="2:16" x14ac:dyDescent="0.25">
      <c r="B483" s="90">
        <v>1242</v>
      </c>
      <c r="C483" s="91">
        <v>6.317404816960015E-2</v>
      </c>
      <c r="D483" s="92">
        <v>53</v>
      </c>
      <c r="G483" s="5"/>
      <c r="H483" s="5"/>
      <c r="L483" s="7"/>
      <c r="M483" s="7"/>
      <c r="O483" s="5"/>
      <c r="P483" s="5"/>
    </row>
    <row r="484" spans="2:16" x14ac:dyDescent="0.25">
      <c r="B484" s="90">
        <v>1296</v>
      </c>
      <c r="C484" s="91">
        <v>6.4852200203255217E-2</v>
      </c>
      <c r="D484" s="92">
        <v>53</v>
      </c>
      <c r="G484" s="5"/>
      <c r="H484" s="5"/>
      <c r="L484" s="7"/>
      <c r="M484" s="7"/>
      <c r="O484" s="5"/>
      <c r="P484" s="5"/>
    </row>
    <row r="485" spans="2:16" x14ac:dyDescent="0.25">
      <c r="B485" s="90">
        <v>1311</v>
      </c>
      <c r="C485" s="91">
        <v>6.7272005162459125E-2</v>
      </c>
      <c r="D485" s="92">
        <v>53</v>
      </c>
      <c r="G485" s="5"/>
      <c r="H485" s="5"/>
      <c r="L485" s="7"/>
      <c r="M485" s="7"/>
      <c r="O485" s="5"/>
      <c r="P485" s="5"/>
    </row>
    <row r="486" spans="2:16" x14ac:dyDescent="0.25">
      <c r="B486" s="90">
        <v>1151</v>
      </c>
      <c r="C486" s="91">
        <v>6.7709544633027141E-2</v>
      </c>
      <c r="D486" s="92">
        <v>53</v>
      </c>
      <c r="G486" s="5"/>
      <c r="H486" s="5"/>
      <c r="L486" s="7"/>
      <c r="M486" s="7"/>
      <c r="O486" s="5"/>
      <c r="P486" s="5"/>
    </row>
    <row r="487" spans="2:16" x14ac:dyDescent="0.25">
      <c r="B487" s="90">
        <v>1165</v>
      </c>
      <c r="C487" s="91">
        <v>6.9227183918303847E-2</v>
      </c>
      <c r="D487" s="92">
        <v>53</v>
      </c>
      <c r="G487" s="5"/>
      <c r="H487" s="5"/>
      <c r="L487" s="7"/>
      <c r="M487" s="7"/>
      <c r="O487" s="5"/>
      <c r="P487" s="5"/>
    </row>
    <row r="488" spans="2:16" x14ac:dyDescent="0.25">
      <c r="B488" s="90">
        <v>1057</v>
      </c>
      <c r="C488" s="91">
        <v>7.0736122713227823E-2</v>
      </c>
      <c r="D488" s="92">
        <v>53</v>
      </c>
      <c r="G488" s="5"/>
      <c r="H488" s="5"/>
      <c r="L488" s="7"/>
      <c r="M488" s="7"/>
      <c r="O488" s="5"/>
      <c r="P488" s="5"/>
    </row>
    <row r="489" spans="2:16" x14ac:dyDescent="0.25">
      <c r="B489" s="90">
        <v>1103</v>
      </c>
      <c r="C489" s="91">
        <v>8.0735217268756321E-2</v>
      </c>
      <c r="D489" s="92">
        <v>53</v>
      </c>
      <c r="G489" s="5"/>
      <c r="H489" s="5"/>
      <c r="L489" s="7"/>
      <c r="M489" s="7"/>
      <c r="O489" s="5"/>
      <c r="P489" s="5"/>
    </row>
    <row r="490" spans="2:16" x14ac:dyDescent="0.25">
      <c r="B490" s="90">
        <v>1149</v>
      </c>
      <c r="C490" s="91">
        <v>8.4348345606927833E-2</v>
      </c>
      <c r="D490" s="92">
        <v>53</v>
      </c>
      <c r="G490" s="5"/>
      <c r="H490" s="5"/>
      <c r="L490" s="7"/>
      <c r="M490" s="7"/>
      <c r="O490" s="5"/>
      <c r="P490" s="5"/>
    </row>
    <row r="491" spans="2:16" x14ac:dyDescent="0.25">
      <c r="B491" s="90">
        <v>1058</v>
      </c>
      <c r="C491" s="91">
        <v>8.8364582430913607E-2</v>
      </c>
      <c r="D491" s="92">
        <v>53</v>
      </c>
      <c r="G491" s="5"/>
      <c r="H491" s="5"/>
      <c r="L491" s="7"/>
      <c r="M491" s="7"/>
      <c r="O491" s="5"/>
      <c r="P491" s="5"/>
    </row>
    <row r="492" spans="2:16" x14ac:dyDescent="0.25">
      <c r="B492" s="90">
        <v>1400</v>
      </c>
      <c r="C492" s="91">
        <v>9.6208151595899349E-2</v>
      </c>
      <c r="D492" s="92">
        <v>53</v>
      </c>
      <c r="G492" s="5"/>
      <c r="H492" s="5"/>
      <c r="L492" s="7"/>
      <c r="M492" s="7"/>
      <c r="O492" s="5"/>
      <c r="P492" s="5"/>
    </row>
    <row r="493" spans="2:16" x14ac:dyDescent="0.25">
      <c r="B493" s="90">
        <v>1196</v>
      </c>
      <c r="C493" s="91">
        <v>0.1212343495670084</v>
      </c>
      <c r="D493" s="92">
        <v>53</v>
      </c>
      <c r="G493" s="5"/>
      <c r="H493" s="5"/>
      <c r="L493" s="7"/>
      <c r="M493" s="7"/>
      <c r="O493" s="5"/>
      <c r="P493" s="5"/>
    </row>
    <row r="494" spans="2:16" x14ac:dyDescent="0.25">
      <c r="B494" s="90">
        <v>1324</v>
      </c>
      <c r="C494" s="91">
        <v>0.12378057889104732</v>
      </c>
      <c r="D494" s="92">
        <v>53</v>
      </c>
      <c r="G494" s="5"/>
      <c r="H494" s="5"/>
      <c r="L494" s="7"/>
      <c r="M494" s="7"/>
      <c r="O494" s="5"/>
      <c r="P494" s="5"/>
    </row>
    <row r="495" spans="2:16" x14ac:dyDescent="0.25">
      <c r="B495" s="90">
        <v>1009</v>
      </c>
      <c r="C495" s="91">
        <v>0.13688614834286517</v>
      </c>
      <c r="D495" s="92">
        <v>53</v>
      </c>
      <c r="G495" s="5"/>
      <c r="H495" s="5"/>
      <c r="L495" s="7"/>
      <c r="M495" s="7"/>
      <c r="O495" s="5"/>
      <c r="P495" s="5"/>
    </row>
    <row r="496" spans="2:16" x14ac:dyDescent="0.25">
      <c r="B496" s="90">
        <v>1056</v>
      </c>
      <c r="C496" s="91">
        <v>0.14030520503361177</v>
      </c>
      <c r="D496" s="92">
        <v>53</v>
      </c>
      <c r="G496" s="5"/>
      <c r="H496" s="5"/>
      <c r="L496" s="7"/>
      <c r="M496" s="7"/>
      <c r="O496" s="5"/>
      <c r="P496" s="5"/>
    </row>
    <row r="497" spans="2:16" x14ac:dyDescent="0.25">
      <c r="B497" s="90">
        <v>1315</v>
      </c>
      <c r="C497" s="91">
        <v>0.15689730473615804</v>
      </c>
      <c r="D497" s="92">
        <v>53</v>
      </c>
      <c r="G497" s="5"/>
      <c r="H497" s="5"/>
      <c r="L497" s="7"/>
      <c r="M497" s="7"/>
      <c r="O497" s="5"/>
      <c r="P497" s="5"/>
    </row>
    <row r="498" spans="2:16" x14ac:dyDescent="0.25">
      <c r="B498" s="90">
        <v>1010</v>
      </c>
      <c r="C498" s="91">
        <v>0.16537307968536019</v>
      </c>
      <c r="D498" s="92">
        <v>53</v>
      </c>
      <c r="G498" s="5"/>
      <c r="H498" s="5"/>
      <c r="L498" s="7"/>
      <c r="M498" s="7"/>
      <c r="O498" s="5"/>
      <c r="P498" s="5"/>
    </row>
    <row r="499" spans="2:16" x14ac:dyDescent="0.25">
      <c r="B499" s="90">
        <v>27</v>
      </c>
      <c r="C499" s="91">
        <v>6.5817352375006077E-3</v>
      </c>
      <c r="D499" s="92">
        <v>54</v>
      </c>
      <c r="G499" s="5"/>
      <c r="H499" s="5"/>
      <c r="L499" s="7"/>
      <c r="M499" s="7"/>
      <c r="O499" s="5"/>
      <c r="P499" s="5"/>
    </row>
    <row r="500" spans="2:16" x14ac:dyDescent="0.25">
      <c r="B500" s="90">
        <v>1795</v>
      </c>
      <c r="C500" s="91">
        <v>6.5817352375006077E-3</v>
      </c>
      <c r="D500" s="92">
        <v>54</v>
      </c>
      <c r="G500" s="5"/>
      <c r="H500" s="5"/>
      <c r="L500" s="7"/>
      <c r="M500" s="7"/>
      <c r="O500" s="5"/>
      <c r="P500" s="5"/>
    </row>
    <row r="501" spans="2:16" x14ac:dyDescent="0.25">
      <c r="B501" s="90">
        <v>26</v>
      </c>
      <c r="C501" s="91">
        <v>1.4110734034962436E-2</v>
      </c>
      <c r="D501" s="92">
        <v>54</v>
      </c>
      <c r="G501" s="5"/>
      <c r="H501" s="5"/>
      <c r="L501" s="7"/>
      <c r="M501" s="7"/>
      <c r="O501" s="5"/>
      <c r="P501" s="5"/>
    </row>
    <row r="502" spans="2:16" x14ac:dyDescent="0.25">
      <c r="B502" s="90">
        <v>1821</v>
      </c>
      <c r="C502" s="91">
        <v>1.4110734034962436E-2</v>
      </c>
      <c r="D502" s="92">
        <v>54</v>
      </c>
      <c r="G502" s="5"/>
      <c r="H502" s="5"/>
      <c r="L502" s="7"/>
      <c r="M502" s="7"/>
      <c r="O502" s="5"/>
      <c r="P502" s="5"/>
    </row>
    <row r="503" spans="2:16" x14ac:dyDescent="0.25">
      <c r="B503" s="90">
        <v>1861</v>
      </c>
      <c r="C503" s="91">
        <v>3.4105015215824097E-2</v>
      </c>
      <c r="D503" s="92">
        <v>54</v>
      </c>
      <c r="G503" s="5"/>
      <c r="H503" s="5"/>
      <c r="L503" s="7"/>
      <c r="M503" s="7"/>
      <c r="O503" s="5"/>
      <c r="P503" s="5"/>
    </row>
    <row r="504" spans="2:16" x14ac:dyDescent="0.25">
      <c r="B504" s="90">
        <v>776</v>
      </c>
      <c r="C504" s="91">
        <v>3.7593436312335471E-2</v>
      </c>
      <c r="D504" s="92">
        <v>54</v>
      </c>
      <c r="G504" s="5"/>
      <c r="H504" s="5"/>
      <c r="L504" s="7"/>
      <c r="M504" s="7"/>
      <c r="O504" s="5"/>
      <c r="P504" s="5"/>
    </row>
    <row r="505" spans="2:16" x14ac:dyDescent="0.25">
      <c r="B505" s="90">
        <v>723</v>
      </c>
      <c r="C505" s="91">
        <v>4.2188884280064509E-2</v>
      </c>
      <c r="D505" s="92">
        <v>54</v>
      </c>
      <c r="G505" s="5"/>
      <c r="H505" s="5"/>
      <c r="L505" s="7"/>
      <c r="M505" s="7"/>
      <c r="O505" s="5"/>
      <c r="P505" s="5"/>
    </row>
    <row r="506" spans="2:16" x14ac:dyDescent="0.25">
      <c r="B506" s="90">
        <v>1815</v>
      </c>
      <c r="C506" s="91">
        <v>6.3334478596196675E-2</v>
      </c>
      <c r="D506" s="92">
        <v>54</v>
      </c>
      <c r="G506" s="5"/>
      <c r="H506" s="5"/>
      <c r="L506" s="7"/>
      <c r="M506" s="7"/>
      <c r="O506" s="5"/>
      <c r="P506" s="5"/>
    </row>
    <row r="507" spans="2:16" x14ac:dyDescent="0.25">
      <c r="B507" s="90">
        <v>1836</v>
      </c>
      <c r="C507" s="91">
        <v>6.5420857382428643E-2</v>
      </c>
      <c r="D507" s="92">
        <v>54</v>
      </c>
      <c r="G507" s="5"/>
      <c r="H507" s="5"/>
      <c r="L507" s="7"/>
      <c r="M507" s="7"/>
      <c r="O507" s="5"/>
      <c r="P507" s="5"/>
    </row>
    <row r="508" spans="2:16" x14ac:dyDescent="0.25">
      <c r="B508" s="90">
        <v>779</v>
      </c>
      <c r="C508" s="91">
        <v>6.5826112115243585E-2</v>
      </c>
      <c r="D508" s="92">
        <v>54</v>
      </c>
      <c r="G508" s="5"/>
      <c r="H508" s="5"/>
      <c r="L508" s="7"/>
      <c r="M508" s="7"/>
      <c r="O508" s="5"/>
      <c r="P508" s="5"/>
    </row>
    <row r="509" spans="2:16" x14ac:dyDescent="0.25">
      <c r="B509" s="90">
        <v>1019</v>
      </c>
      <c r="C509" s="91">
        <v>7.6052729333713986E-2</v>
      </c>
      <c r="D509" s="92">
        <v>54</v>
      </c>
      <c r="G509" s="5"/>
      <c r="H509" s="5"/>
      <c r="L509" s="7"/>
      <c r="M509" s="7"/>
      <c r="O509" s="5"/>
      <c r="P509" s="5"/>
    </row>
    <row r="510" spans="2:16" x14ac:dyDescent="0.25">
      <c r="B510" s="90">
        <v>777</v>
      </c>
      <c r="C510" s="91">
        <v>9.1623628258359568E-2</v>
      </c>
      <c r="D510" s="92">
        <v>54</v>
      </c>
      <c r="G510" s="5"/>
      <c r="H510" s="5"/>
      <c r="L510" s="7"/>
      <c r="M510" s="7"/>
      <c r="O510" s="5"/>
      <c r="P510" s="5"/>
    </row>
    <row r="511" spans="2:16" x14ac:dyDescent="0.25">
      <c r="B511" s="90">
        <v>1857</v>
      </c>
      <c r="C511" s="91">
        <v>9.2867005736912089E-2</v>
      </c>
      <c r="D511" s="92">
        <v>54</v>
      </c>
      <c r="G511" s="5"/>
      <c r="H511" s="5"/>
      <c r="L511" s="7"/>
      <c r="M511" s="7"/>
      <c r="O511" s="5"/>
      <c r="P511" s="5"/>
    </row>
    <row r="512" spans="2:16" x14ac:dyDescent="0.25">
      <c r="B512" s="90">
        <v>724</v>
      </c>
      <c r="C512" s="91">
        <v>9.5163497359717852E-2</v>
      </c>
      <c r="D512" s="92">
        <v>54</v>
      </c>
      <c r="G512" s="5"/>
      <c r="H512" s="5"/>
      <c r="L512" s="7"/>
      <c r="M512" s="7"/>
      <c r="O512" s="5"/>
      <c r="P512" s="5"/>
    </row>
    <row r="513" spans="2:16" x14ac:dyDescent="0.25">
      <c r="B513" s="90">
        <v>1854</v>
      </c>
      <c r="C513" s="91">
        <v>0.10244718032492872</v>
      </c>
      <c r="D513" s="92">
        <v>54</v>
      </c>
      <c r="G513" s="5"/>
      <c r="H513" s="5"/>
      <c r="L513" s="7"/>
      <c r="M513" s="7"/>
      <c r="O513" s="5"/>
      <c r="P513" s="5"/>
    </row>
    <row r="514" spans="2:16" x14ac:dyDescent="0.25">
      <c r="B514" s="90">
        <v>971</v>
      </c>
      <c r="C514" s="91">
        <v>0.11315250420862555</v>
      </c>
      <c r="D514" s="92">
        <v>54</v>
      </c>
      <c r="G514" s="5"/>
      <c r="H514" s="5"/>
      <c r="L514" s="7"/>
      <c r="M514" s="7"/>
      <c r="O514" s="5"/>
      <c r="P514" s="5"/>
    </row>
    <row r="515" spans="2:16" x14ac:dyDescent="0.25">
      <c r="B515" s="90">
        <v>1832</v>
      </c>
      <c r="C515" s="91">
        <v>0.12167183826976768</v>
      </c>
      <c r="D515" s="92">
        <v>54</v>
      </c>
      <c r="G515" s="5"/>
      <c r="H515" s="5"/>
      <c r="L515" s="7"/>
      <c r="M515" s="7"/>
      <c r="O515" s="5"/>
      <c r="P515" s="5"/>
    </row>
    <row r="516" spans="2:16" x14ac:dyDescent="0.25">
      <c r="B516" s="90">
        <v>1829</v>
      </c>
      <c r="C516" s="91">
        <v>0.12922367164286719</v>
      </c>
      <c r="D516" s="92">
        <v>54</v>
      </c>
      <c r="G516" s="5"/>
      <c r="H516" s="5"/>
      <c r="L516" s="7"/>
      <c r="M516" s="7"/>
      <c r="O516" s="5"/>
      <c r="P516" s="5"/>
    </row>
    <row r="517" spans="2:16" x14ac:dyDescent="0.25">
      <c r="B517" s="90">
        <v>1806</v>
      </c>
      <c r="C517" s="91">
        <v>0.12990245269851197</v>
      </c>
      <c r="D517" s="92">
        <v>54</v>
      </c>
      <c r="G517" s="5"/>
      <c r="H517" s="5"/>
      <c r="L517" s="7"/>
      <c r="M517" s="7"/>
      <c r="O517" s="5"/>
      <c r="P517" s="5"/>
    </row>
    <row r="518" spans="2:16" x14ac:dyDescent="0.25">
      <c r="B518" s="90">
        <v>1914</v>
      </c>
      <c r="C518" s="91">
        <v>0.13205941596757054</v>
      </c>
      <c r="D518" s="92">
        <v>54</v>
      </c>
      <c r="G518" s="5"/>
      <c r="H518" s="5"/>
      <c r="L518" s="7"/>
      <c r="M518" s="7"/>
      <c r="O518" s="5"/>
      <c r="P518" s="5"/>
    </row>
    <row r="519" spans="2:16" x14ac:dyDescent="0.25">
      <c r="B519" s="90">
        <v>1195</v>
      </c>
      <c r="C519" s="91">
        <v>0.13562850016320138</v>
      </c>
      <c r="D519" s="92">
        <v>54</v>
      </c>
      <c r="G519" s="5"/>
      <c r="H519" s="5"/>
      <c r="L519" s="7"/>
      <c r="M519" s="7"/>
      <c r="O519" s="5"/>
      <c r="P519" s="5"/>
    </row>
    <row r="520" spans="2:16" x14ac:dyDescent="0.25">
      <c r="B520" s="90">
        <v>1926</v>
      </c>
      <c r="C520" s="91">
        <v>0.16306427831930881</v>
      </c>
      <c r="D520" s="92">
        <v>54</v>
      </c>
      <c r="G520" s="5"/>
      <c r="H520" s="5"/>
      <c r="L520" s="7"/>
      <c r="M520" s="7"/>
      <c r="O520" s="5"/>
      <c r="P520" s="5"/>
    </row>
    <row r="521" spans="2:16" x14ac:dyDescent="0.25">
      <c r="B521" s="90">
        <v>1853</v>
      </c>
      <c r="C521" s="91">
        <v>0.19146582226412834</v>
      </c>
      <c r="D521" s="92">
        <v>54</v>
      </c>
      <c r="G521" s="5"/>
      <c r="H521" s="5"/>
      <c r="L521" s="7"/>
      <c r="M521" s="7"/>
      <c r="O521" s="5"/>
      <c r="P521" s="5"/>
    </row>
    <row r="522" spans="2:16" x14ac:dyDescent="0.25">
      <c r="B522" s="90">
        <v>745</v>
      </c>
      <c r="C522" s="91">
        <v>0.19429747306857492</v>
      </c>
      <c r="D522" s="92">
        <v>54</v>
      </c>
      <c r="G522" s="5"/>
      <c r="H522" s="5"/>
      <c r="L522" s="7"/>
      <c r="M522" s="7"/>
      <c r="O522" s="5"/>
      <c r="P522" s="5"/>
    </row>
    <row r="523" spans="2:16" x14ac:dyDescent="0.25">
      <c r="B523" s="90">
        <v>691</v>
      </c>
      <c r="C523" s="91">
        <v>0.19592277020649573</v>
      </c>
      <c r="D523" s="92">
        <v>54</v>
      </c>
      <c r="G523" s="5"/>
      <c r="H523" s="5"/>
      <c r="L523" s="7"/>
      <c r="M523" s="7"/>
      <c r="O523" s="5"/>
      <c r="P523" s="5"/>
    </row>
    <row r="524" spans="2:16" x14ac:dyDescent="0.25">
      <c r="B524" s="90">
        <v>1828</v>
      </c>
      <c r="C524" s="91">
        <v>0.22133140041634514</v>
      </c>
      <c r="D524" s="92">
        <v>54</v>
      </c>
      <c r="G524" s="5"/>
      <c r="H524" s="5"/>
      <c r="L524" s="7"/>
      <c r="M524" s="7"/>
      <c r="O524" s="5"/>
      <c r="P524" s="5"/>
    </row>
    <row r="525" spans="2:16" x14ac:dyDescent="0.25">
      <c r="B525" s="90">
        <v>1802</v>
      </c>
      <c r="C525" s="91">
        <v>0.23126417152769152</v>
      </c>
      <c r="D525" s="92">
        <v>54</v>
      </c>
      <c r="G525" s="5"/>
      <c r="H525" s="5"/>
      <c r="L525" s="7"/>
      <c r="M525" s="7"/>
      <c r="O525" s="5"/>
      <c r="P525" s="5"/>
    </row>
    <row r="526" spans="2:16" x14ac:dyDescent="0.25">
      <c r="B526" s="90">
        <v>1334</v>
      </c>
      <c r="C526" s="91">
        <v>7.565442128582911E-2</v>
      </c>
      <c r="D526" s="92">
        <v>55</v>
      </c>
      <c r="G526" s="5"/>
      <c r="H526" s="5"/>
      <c r="L526" s="7"/>
      <c r="M526" s="7"/>
      <c r="O526" s="5"/>
      <c r="P526" s="5"/>
    </row>
    <row r="527" spans="2:16" x14ac:dyDescent="0.25">
      <c r="B527" s="90">
        <v>1374</v>
      </c>
      <c r="C527" s="91">
        <v>0.13858535668294425</v>
      </c>
      <c r="D527" s="92">
        <v>55</v>
      </c>
      <c r="G527" s="5"/>
      <c r="H527" s="5"/>
      <c r="L527" s="7"/>
      <c r="M527" s="7"/>
      <c r="O527" s="5"/>
      <c r="P527" s="5"/>
    </row>
    <row r="528" spans="2:16" x14ac:dyDescent="0.25">
      <c r="B528" s="90">
        <v>1413</v>
      </c>
      <c r="C528" s="91">
        <v>0.14268522176763909</v>
      </c>
      <c r="D528" s="92">
        <v>55</v>
      </c>
      <c r="G528" s="5"/>
      <c r="H528" s="5"/>
      <c r="L528" s="7"/>
      <c r="M528" s="7"/>
      <c r="O528" s="5"/>
      <c r="P528" s="5"/>
    </row>
    <row r="529" spans="2:16" x14ac:dyDescent="0.25">
      <c r="B529" s="90">
        <v>1392</v>
      </c>
      <c r="C529" s="91">
        <v>0.16478147494730044</v>
      </c>
      <c r="D529" s="92">
        <v>55</v>
      </c>
      <c r="G529" s="5"/>
      <c r="H529" s="5"/>
      <c r="L529" s="7"/>
      <c r="M529" s="7"/>
      <c r="O529" s="5"/>
      <c r="P529" s="5"/>
    </row>
    <row r="530" spans="2:16" x14ac:dyDescent="0.25">
      <c r="B530" s="90">
        <v>1197</v>
      </c>
      <c r="C530" s="91">
        <v>0.17446282640504407</v>
      </c>
      <c r="D530" s="92">
        <v>55</v>
      </c>
      <c r="G530" s="5"/>
      <c r="H530" s="5"/>
      <c r="L530" s="7"/>
      <c r="M530" s="7"/>
      <c r="O530" s="5"/>
      <c r="P530" s="5"/>
    </row>
    <row r="531" spans="2:16" x14ac:dyDescent="0.25">
      <c r="B531" s="90">
        <v>351</v>
      </c>
      <c r="C531" s="91">
        <v>0.20055822277357882</v>
      </c>
      <c r="D531" s="92">
        <v>55</v>
      </c>
      <c r="G531" s="5"/>
      <c r="H531" s="5"/>
      <c r="L531" s="7"/>
      <c r="M531" s="7"/>
      <c r="O531" s="5"/>
      <c r="P531" s="5"/>
    </row>
    <row r="532" spans="2:16" x14ac:dyDescent="0.25">
      <c r="B532" s="90">
        <v>1290</v>
      </c>
      <c r="C532" s="91">
        <v>0.30300562331876391</v>
      </c>
      <c r="D532" s="92">
        <v>55</v>
      </c>
      <c r="G532" s="5"/>
      <c r="H532" s="5"/>
      <c r="L532" s="7"/>
      <c r="M532" s="7"/>
      <c r="O532" s="5"/>
      <c r="P532" s="5"/>
    </row>
    <row r="533" spans="2:16" x14ac:dyDescent="0.25">
      <c r="B533" s="90">
        <v>328</v>
      </c>
      <c r="C533" s="91">
        <v>4.8178256711075673E-2</v>
      </c>
      <c r="D533" s="92">
        <v>56</v>
      </c>
      <c r="G533" s="5"/>
      <c r="H533" s="5"/>
      <c r="L533" s="7"/>
      <c r="M533" s="7"/>
      <c r="O533" s="5"/>
      <c r="P533" s="5"/>
    </row>
    <row r="534" spans="2:16" x14ac:dyDescent="0.25">
      <c r="B534" s="90">
        <v>669</v>
      </c>
      <c r="C534" s="91">
        <v>5.152609331153557E-2</v>
      </c>
      <c r="D534" s="92">
        <v>56</v>
      </c>
      <c r="G534" s="5"/>
      <c r="H534" s="5"/>
      <c r="L534" s="7"/>
      <c r="M534" s="7"/>
      <c r="O534" s="5"/>
      <c r="P534" s="5"/>
    </row>
    <row r="535" spans="2:16" x14ac:dyDescent="0.25">
      <c r="B535" s="90">
        <v>683</v>
      </c>
      <c r="C535" s="91">
        <v>5.7382376359135789E-2</v>
      </c>
      <c r="D535" s="92">
        <v>56</v>
      </c>
      <c r="G535" s="5"/>
      <c r="H535" s="5"/>
      <c r="L535" s="7"/>
      <c r="M535" s="7"/>
      <c r="O535" s="5"/>
      <c r="P535" s="5"/>
    </row>
    <row r="536" spans="2:16" x14ac:dyDescent="0.25">
      <c r="B536" s="90">
        <v>672</v>
      </c>
      <c r="C536" s="91">
        <v>7.7443933438089418E-2</v>
      </c>
      <c r="D536" s="92">
        <v>56</v>
      </c>
      <c r="G536" s="5"/>
      <c r="H536" s="5"/>
      <c r="L536" s="7"/>
      <c r="M536" s="7"/>
      <c r="O536" s="5"/>
      <c r="P536" s="5"/>
    </row>
    <row r="537" spans="2:16" x14ac:dyDescent="0.25">
      <c r="B537" s="90">
        <v>670</v>
      </c>
      <c r="C537" s="91">
        <v>0.10208020125993189</v>
      </c>
      <c r="D537" s="92">
        <v>56</v>
      </c>
      <c r="G537" s="5"/>
      <c r="H537" s="5"/>
      <c r="L537" s="7"/>
      <c r="M537" s="7"/>
      <c r="O537" s="5"/>
      <c r="P537" s="5"/>
    </row>
    <row r="538" spans="2:16" x14ac:dyDescent="0.25">
      <c r="B538" s="90">
        <v>262</v>
      </c>
      <c r="C538" s="91">
        <v>0.15590551845438871</v>
      </c>
      <c r="D538" s="92">
        <v>56</v>
      </c>
      <c r="G538" s="5"/>
      <c r="H538" s="5"/>
      <c r="L538" s="7"/>
      <c r="M538" s="7"/>
      <c r="O538" s="5"/>
      <c r="P538" s="5"/>
    </row>
    <row r="539" spans="2:16" x14ac:dyDescent="0.25">
      <c r="B539" s="90">
        <v>323</v>
      </c>
      <c r="C539" s="91">
        <v>0.16027745564522755</v>
      </c>
      <c r="D539" s="92">
        <v>56</v>
      </c>
      <c r="G539" s="5"/>
      <c r="H539" s="5"/>
      <c r="L539" s="7"/>
      <c r="M539" s="7"/>
      <c r="O539" s="5"/>
      <c r="P539" s="5"/>
    </row>
    <row r="540" spans="2:16" x14ac:dyDescent="0.25">
      <c r="B540" s="90">
        <v>289</v>
      </c>
      <c r="C540" s="91">
        <v>0.2105150091571717</v>
      </c>
      <c r="D540" s="92">
        <v>56</v>
      </c>
      <c r="G540" s="5"/>
      <c r="H540" s="5"/>
      <c r="L540" s="7"/>
      <c r="M540" s="7"/>
      <c r="O540" s="5"/>
      <c r="P540" s="5"/>
    </row>
    <row r="541" spans="2:16" x14ac:dyDescent="0.25">
      <c r="B541" s="90">
        <v>260</v>
      </c>
      <c r="C541" s="91">
        <v>0.23344342021048092</v>
      </c>
      <c r="D541" s="92">
        <v>56</v>
      </c>
      <c r="G541" s="5"/>
      <c r="H541" s="5"/>
      <c r="L541" s="7"/>
      <c r="M541" s="7"/>
      <c r="O541" s="5"/>
      <c r="P541" s="5"/>
    </row>
    <row r="542" spans="2:16" x14ac:dyDescent="0.25">
      <c r="B542" s="90">
        <v>321</v>
      </c>
      <c r="C542" s="91">
        <v>0.23754499427140185</v>
      </c>
      <c r="D542" s="92">
        <v>56</v>
      </c>
      <c r="G542" s="5"/>
      <c r="H542" s="5"/>
      <c r="L542" s="7"/>
      <c r="M542" s="7"/>
      <c r="O542" s="5"/>
      <c r="P542" s="5"/>
    </row>
    <row r="543" spans="2:16" x14ac:dyDescent="0.25">
      <c r="B543" s="90">
        <v>398</v>
      </c>
      <c r="C543" s="91">
        <v>4.4283844228300673E-2</v>
      </c>
      <c r="D543" s="92">
        <v>57</v>
      </c>
      <c r="G543" s="5"/>
      <c r="H543" s="5"/>
      <c r="L543" s="7"/>
      <c r="M543" s="7"/>
      <c r="O543" s="5"/>
      <c r="P543" s="5"/>
    </row>
    <row r="544" spans="2:16" x14ac:dyDescent="0.25">
      <c r="B544" s="90">
        <v>457</v>
      </c>
      <c r="C544" s="91">
        <v>4.700000937733817E-2</v>
      </c>
      <c r="D544" s="92">
        <v>57</v>
      </c>
      <c r="G544" s="5"/>
      <c r="H544" s="5"/>
      <c r="L544" s="7"/>
      <c r="M544" s="7"/>
      <c r="O544" s="5"/>
      <c r="P544" s="5"/>
    </row>
    <row r="545" spans="2:16" x14ac:dyDescent="0.25">
      <c r="B545" s="90">
        <v>572</v>
      </c>
      <c r="C545" s="91">
        <v>5.8735795835770044E-2</v>
      </c>
      <c r="D545" s="92">
        <v>57</v>
      </c>
      <c r="G545" s="5"/>
      <c r="H545" s="5"/>
      <c r="L545" s="7"/>
      <c r="M545" s="7"/>
      <c r="O545" s="5"/>
      <c r="P545" s="5"/>
    </row>
    <row r="546" spans="2:16" x14ac:dyDescent="0.25">
      <c r="B546" s="90">
        <v>558</v>
      </c>
      <c r="C546" s="91">
        <v>5.8851116294242889E-2</v>
      </c>
      <c r="D546" s="92">
        <v>57</v>
      </c>
      <c r="G546" s="5"/>
      <c r="H546" s="5"/>
      <c r="L546" s="7"/>
      <c r="M546" s="7"/>
      <c r="O546" s="5"/>
      <c r="P546" s="5"/>
    </row>
    <row r="547" spans="2:16" x14ac:dyDescent="0.25">
      <c r="B547" s="90">
        <v>384</v>
      </c>
      <c r="C547" s="91">
        <v>5.972142572393413E-2</v>
      </c>
      <c r="D547" s="92">
        <v>57</v>
      </c>
      <c r="G547" s="5"/>
      <c r="H547" s="5"/>
      <c r="L547" s="7"/>
      <c r="M547" s="7"/>
      <c r="O547" s="5"/>
      <c r="P547" s="5"/>
    </row>
    <row r="548" spans="2:16" x14ac:dyDescent="0.25">
      <c r="B548" s="90">
        <v>443</v>
      </c>
      <c r="C548" s="91">
        <v>5.9961564440218718E-2</v>
      </c>
      <c r="D548" s="92">
        <v>57</v>
      </c>
      <c r="G548" s="5"/>
      <c r="H548" s="5"/>
      <c r="L548" s="7"/>
      <c r="M548" s="7"/>
      <c r="O548" s="5"/>
      <c r="P548" s="5"/>
    </row>
    <row r="549" spans="2:16" x14ac:dyDescent="0.25">
      <c r="B549" s="90">
        <v>614</v>
      </c>
      <c r="C549" s="91">
        <v>6.1132884024774681E-2</v>
      </c>
      <c r="D549" s="92">
        <v>57</v>
      </c>
      <c r="G549" s="5"/>
      <c r="H549" s="5"/>
      <c r="L549" s="7"/>
      <c r="M549" s="7"/>
      <c r="O549" s="5"/>
      <c r="P549" s="5"/>
    </row>
    <row r="550" spans="2:16" x14ac:dyDescent="0.25">
      <c r="B550" s="90">
        <v>628</v>
      </c>
      <c r="C550" s="91">
        <v>6.3742594800602514E-2</v>
      </c>
      <c r="D550" s="92">
        <v>57</v>
      </c>
      <c r="G550" s="5"/>
      <c r="H550" s="5"/>
      <c r="L550" s="7"/>
      <c r="M550" s="7"/>
      <c r="O550" s="5"/>
      <c r="P550" s="5"/>
    </row>
    <row r="551" spans="2:16" x14ac:dyDescent="0.25">
      <c r="B551" s="90">
        <v>515</v>
      </c>
      <c r="C551" s="91">
        <v>6.4045839330293619E-2</v>
      </c>
      <c r="D551" s="92">
        <v>57</v>
      </c>
      <c r="G551" s="5"/>
      <c r="H551" s="5"/>
      <c r="L551" s="7"/>
      <c r="M551" s="7"/>
      <c r="O551" s="5"/>
      <c r="P551" s="5"/>
    </row>
    <row r="552" spans="2:16" x14ac:dyDescent="0.25">
      <c r="B552" s="90">
        <v>501</v>
      </c>
      <c r="C552" s="91">
        <v>6.6817997994954914E-2</v>
      </c>
      <c r="D552" s="92">
        <v>57</v>
      </c>
      <c r="G552" s="5"/>
      <c r="H552" s="5"/>
      <c r="L552" s="7"/>
      <c r="M552" s="7"/>
      <c r="O552" s="5"/>
      <c r="P552" s="5"/>
    </row>
    <row r="553" spans="2:16" x14ac:dyDescent="0.25">
      <c r="B553" s="90">
        <v>446</v>
      </c>
      <c r="C553" s="91">
        <v>8.2633962697399088E-2</v>
      </c>
      <c r="D553" s="92">
        <v>57</v>
      </c>
      <c r="G553" s="5"/>
      <c r="H553" s="5"/>
      <c r="L553" s="7"/>
      <c r="M553" s="7"/>
      <c r="O553" s="5"/>
      <c r="P553" s="5"/>
    </row>
    <row r="554" spans="2:16" x14ac:dyDescent="0.25">
      <c r="B554" s="90">
        <v>561</v>
      </c>
      <c r="C554" s="91">
        <v>8.3771182736524508E-2</v>
      </c>
      <c r="D554" s="92">
        <v>57</v>
      </c>
      <c r="G554" s="5"/>
      <c r="H554" s="5"/>
      <c r="L554" s="7"/>
      <c r="M554" s="7"/>
      <c r="O554" s="5"/>
      <c r="P554" s="5"/>
    </row>
    <row r="555" spans="2:16" x14ac:dyDescent="0.25">
      <c r="B555" s="90">
        <v>617</v>
      </c>
      <c r="C555" s="91">
        <v>8.6758694942504988E-2</v>
      </c>
      <c r="D555" s="92">
        <v>57</v>
      </c>
      <c r="G555" s="5"/>
      <c r="H555" s="5"/>
      <c r="L555" s="7"/>
      <c r="M555" s="7"/>
      <c r="O555" s="5"/>
      <c r="P555" s="5"/>
    </row>
    <row r="556" spans="2:16" x14ac:dyDescent="0.25">
      <c r="B556" s="90">
        <v>504</v>
      </c>
      <c r="C556" s="91">
        <v>9.2002199967219922E-2</v>
      </c>
      <c r="D556" s="92">
        <v>57</v>
      </c>
      <c r="G556" s="5"/>
      <c r="H556" s="5"/>
      <c r="L556" s="7"/>
      <c r="M556" s="7"/>
      <c r="O556" s="5"/>
      <c r="P556" s="5"/>
    </row>
    <row r="557" spans="2:16" x14ac:dyDescent="0.25">
      <c r="B557" s="90">
        <v>559</v>
      </c>
      <c r="C557" s="91">
        <v>0.10811970336001664</v>
      </c>
      <c r="D557" s="92">
        <v>57</v>
      </c>
      <c r="G557" s="5"/>
      <c r="H557" s="5"/>
      <c r="L557" s="7"/>
      <c r="M557" s="7"/>
      <c r="O557" s="5"/>
      <c r="P557" s="5"/>
    </row>
    <row r="558" spans="2:16" x14ac:dyDescent="0.25">
      <c r="B558" s="90">
        <v>615</v>
      </c>
      <c r="C558" s="91">
        <v>0.11113433533468697</v>
      </c>
      <c r="D558" s="92">
        <v>57</v>
      </c>
      <c r="G558" s="5"/>
      <c r="H558" s="5"/>
      <c r="L558" s="7"/>
      <c r="M558" s="7"/>
      <c r="O558" s="5"/>
      <c r="P558" s="5"/>
    </row>
    <row r="559" spans="2:16" x14ac:dyDescent="0.25">
      <c r="B559" s="90">
        <v>502</v>
      </c>
      <c r="C559" s="91">
        <v>0.11651935552012049</v>
      </c>
      <c r="D559" s="92">
        <v>57</v>
      </c>
      <c r="G559" s="5"/>
      <c r="H559" s="5"/>
      <c r="L559" s="7"/>
      <c r="M559" s="7"/>
      <c r="O559" s="5"/>
      <c r="P559" s="5"/>
    </row>
    <row r="560" spans="2:16" x14ac:dyDescent="0.25">
      <c r="B560" s="90">
        <v>28</v>
      </c>
      <c r="C560" s="91">
        <v>1.9804830901713255E-2</v>
      </c>
      <c r="D560" s="92">
        <v>58</v>
      </c>
      <c r="G560" s="5"/>
      <c r="H560" s="5"/>
      <c r="L560" s="7"/>
      <c r="M560" s="7"/>
      <c r="O560" s="5"/>
      <c r="P560" s="5"/>
    </row>
    <row r="561" spans="2:16" x14ac:dyDescent="0.25">
      <c r="B561" s="90">
        <v>1768</v>
      </c>
      <c r="C561" s="91">
        <v>1.9804830901713255E-2</v>
      </c>
      <c r="D561" s="92">
        <v>58</v>
      </c>
      <c r="G561" s="5"/>
      <c r="H561" s="5"/>
      <c r="L561" s="7"/>
      <c r="M561" s="7"/>
      <c r="O561" s="5"/>
      <c r="P561" s="5"/>
    </row>
    <row r="562" spans="2:16" x14ac:dyDescent="0.25">
      <c r="B562" s="90">
        <v>1755</v>
      </c>
      <c r="C562" s="91">
        <v>3.2442883403605016E-2</v>
      </c>
      <c r="D562" s="92">
        <v>58</v>
      </c>
      <c r="G562" s="5"/>
      <c r="H562" s="5"/>
      <c r="L562" s="7"/>
      <c r="M562" s="7"/>
      <c r="O562" s="5"/>
      <c r="P562" s="5"/>
    </row>
    <row r="563" spans="2:16" x14ac:dyDescent="0.25">
      <c r="B563" s="90">
        <v>1783</v>
      </c>
      <c r="C563" s="91">
        <v>3.3049996753398592E-2</v>
      </c>
      <c r="D563" s="92">
        <v>58</v>
      </c>
      <c r="G563" s="5"/>
      <c r="H563" s="5"/>
      <c r="L563" s="7"/>
      <c r="M563" s="7"/>
      <c r="O563" s="5"/>
      <c r="P563" s="5"/>
    </row>
    <row r="564" spans="2:16" x14ac:dyDescent="0.25">
      <c r="B564" s="90">
        <v>1754</v>
      </c>
      <c r="C564" s="91">
        <v>4.1707910119192615E-2</v>
      </c>
      <c r="D564" s="92">
        <v>58</v>
      </c>
      <c r="G564" s="5"/>
      <c r="H564" s="5"/>
      <c r="L564" s="7"/>
      <c r="M564" s="7"/>
      <c r="O564" s="5"/>
      <c r="P564" s="5"/>
    </row>
    <row r="565" spans="2:16" x14ac:dyDescent="0.25">
      <c r="B565" s="90">
        <v>1782</v>
      </c>
      <c r="C565" s="91">
        <v>4.2686108855159111E-2</v>
      </c>
      <c r="D565" s="92">
        <v>58</v>
      </c>
      <c r="G565" s="5"/>
      <c r="H565" s="5"/>
      <c r="L565" s="7"/>
      <c r="M565" s="7"/>
      <c r="O565" s="5"/>
      <c r="P565" s="5"/>
    </row>
    <row r="566" spans="2:16" x14ac:dyDescent="0.25">
      <c r="B566" s="90">
        <v>1779</v>
      </c>
      <c r="C566" s="91">
        <v>9.4789239542180548E-2</v>
      </c>
      <c r="D566" s="92">
        <v>58</v>
      </c>
      <c r="G566" s="5"/>
      <c r="H566" s="5"/>
      <c r="L566" s="7"/>
      <c r="M566" s="7"/>
      <c r="O566" s="5"/>
      <c r="P566" s="5"/>
    </row>
    <row r="567" spans="2:16" x14ac:dyDescent="0.25">
      <c r="B567" s="90">
        <v>209</v>
      </c>
      <c r="C567" s="91">
        <v>0.14479700399598761</v>
      </c>
      <c r="D567" s="92">
        <v>58</v>
      </c>
      <c r="G567" s="5"/>
      <c r="H567" s="5"/>
      <c r="L567" s="7"/>
      <c r="M567" s="7"/>
      <c r="O567" s="5"/>
      <c r="P567" s="5"/>
    </row>
    <row r="568" spans="2:16" x14ac:dyDescent="0.25">
      <c r="B568" s="90">
        <v>1775</v>
      </c>
      <c r="C568" s="91">
        <v>0.20410830224906218</v>
      </c>
      <c r="D568" s="92">
        <v>58</v>
      </c>
      <c r="G568" s="5"/>
      <c r="H568" s="5"/>
      <c r="L568" s="7"/>
      <c r="M568" s="7"/>
      <c r="O568" s="5"/>
      <c r="P568" s="5"/>
    </row>
    <row r="569" spans="2:16" x14ac:dyDescent="0.25">
      <c r="B569" s="90">
        <v>1746</v>
      </c>
      <c r="C569" s="91">
        <v>0.23926443743433135</v>
      </c>
      <c r="D569" s="92">
        <v>58</v>
      </c>
      <c r="G569" s="5"/>
      <c r="H569" s="5"/>
      <c r="L569" s="7"/>
      <c r="M569" s="7"/>
      <c r="O569" s="5"/>
      <c r="P569" s="5"/>
    </row>
    <row r="570" spans="2:16" x14ac:dyDescent="0.25">
      <c r="B570" s="90">
        <v>138</v>
      </c>
      <c r="C570" s="91">
        <v>6.5157094834996099E-2</v>
      </c>
      <c r="D570" s="92">
        <v>59</v>
      </c>
      <c r="G570" s="5"/>
      <c r="H570" s="5"/>
      <c r="L570" s="7"/>
      <c r="M570" s="7"/>
      <c r="O570" s="5"/>
      <c r="P570" s="5"/>
    </row>
    <row r="571" spans="2:16" x14ac:dyDescent="0.25">
      <c r="B571" s="90">
        <v>74</v>
      </c>
      <c r="C571" s="91">
        <v>8.1276362327506457E-2</v>
      </c>
      <c r="D571" s="92">
        <v>59</v>
      </c>
      <c r="G571" s="5"/>
      <c r="H571" s="5"/>
      <c r="L571" s="7"/>
      <c r="M571" s="7"/>
      <c r="O571" s="5"/>
      <c r="P571" s="5"/>
    </row>
    <row r="572" spans="2:16" x14ac:dyDescent="0.25">
      <c r="B572" s="90">
        <v>1408</v>
      </c>
      <c r="C572" s="91">
        <v>0.18499737040557473</v>
      </c>
      <c r="D572" s="92">
        <v>60</v>
      </c>
      <c r="G572" s="5"/>
      <c r="H572" s="5"/>
      <c r="L572" s="7"/>
      <c r="M572" s="7"/>
      <c r="O572" s="5"/>
      <c r="P572" s="5"/>
    </row>
    <row r="573" spans="2:16" x14ac:dyDescent="0.25">
      <c r="B573" s="90">
        <v>412</v>
      </c>
      <c r="C573" s="91">
        <v>0.18997547163577166</v>
      </c>
      <c r="D573" s="92">
        <v>60</v>
      </c>
      <c r="G573" s="5"/>
      <c r="H573" s="5"/>
      <c r="L573" s="7"/>
      <c r="M573" s="7"/>
      <c r="O573" s="5"/>
      <c r="P573" s="5"/>
    </row>
    <row r="574" spans="2:16" x14ac:dyDescent="0.25">
      <c r="B574" s="90">
        <v>1288</v>
      </c>
      <c r="C574" s="91">
        <v>0.19730318077818465</v>
      </c>
      <c r="D574" s="92">
        <v>60</v>
      </c>
      <c r="G574" s="5"/>
      <c r="H574" s="5"/>
      <c r="L574" s="7"/>
      <c r="M574" s="7"/>
      <c r="O574" s="5"/>
      <c r="P574" s="5"/>
    </row>
    <row r="575" spans="2:16" x14ac:dyDescent="0.25">
      <c r="B575" s="90">
        <v>1369</v>
      </c>
      <c r="C575" s="91">
        <v>0.20244060901250815</v>
      </c>
      <c r="D575" s="92">
        <v>60</v>
      </c>
      <c r="G575" s="5"/>
      <c r="H575" s="5"/>
      <c r="L575" s="7"/>
      <c r="M575" s="7"/>
      <c r="O575" s="5"/>
      <c r="P575" s="5"/>
    </row>
    <row r="576" spans="2:16" x14ac:dyDescent="0.25">
      <c r="B576" s="90">
        <v>1409</v>
      </c>
      <c r="C576" s="91">
        <v>0.30122205677358327</v>
      </c>
      <c r="D576" s="92">
        <v>60</v>
      </c>
      <c r="G576" s="5"/>
      <c r="H576" s="5"/>
      <c r="L576" s="7"/>
      <c r="M576" s="7"/>
      <c r="O576" s="5"/>
      <c r="P576" s="5"/>
    </row>
    <row r="577" spans="2:16" x14ac:dyDescent="0.25">
      <c r="B577" s="90">
        <v>1370</v>
      </c>
      <c r="C577" s="91">
        <v>0.31034384026732065</v>
      </c>
      <c r="D577" s="92">
        <v>60</v>
      </c>
      <c r="G577" s="5"/>
      <c r="H577" s="5"/>
      <c r="L577" s="7"/>
      <c r="M577" s="7"/>
      <c r="O577" s="5"/>
      <c r="P577" s="5"/>
    </row>
    <row r="578" spans="2:16" x14ac:dyDescent="0.25">
      <c r="B578" s="90">
        <v>1274</v>
      </c>
      <c r="C578" s="91">
        <v>0.168466251594515</v>
      </c>
      <c r="D578" s="92">
        <v>61</v>
      </c>
      <c r="G578" s="5"/>
      <c r="H578" s="5"/>
      <c r="L578" s="7"/>
      <c r="M578" s="7"/>
      <c r="O578" s="5"/>
      <c r="P578" s="5"/>
    </row>
    <row r="579" spans="2:16" x14ac:dyDescent="0.25">
      <c r="B579" s="90">
        <v>1002</v>
      </c>
      <c r="C579" s="91">
        <v>0.19484694549934212</v>
      </c>
      <c r="D579" s="92">
        <v>62</v>
      </c>
      <c r="G579" s="5"/>
      <c r="H579" s="5"/>
      <c r="L579" s="7"/>
      <c r="M579" s="7"/>
      <c r="O579" s="5"/>
      <c r="P579" s="5"/>
    </row>
    <row r="580" spans="2:16" x14ac:dyDescent="0.25">
      <c r="B580" s="90">
        <v>800</v>
      </c>
      <c r="C580" s="91">
        <v>0.19497108448128653</v>
      </c>
      <c r="D580" s="92">
        <v>62</v>
      </c>
      <c r="G580" s="5"/>
      <c r="H580" s="5"/>
      <c r="L580" s="7"/>
      <c r="M580" s="7"/>
      <c r="O580" s="5"/>
      <c r="P580" s="5"/>
    </row>
    <row r="581" spans="2:16" x14ac:dyDescent="0.25">
      <c r="B581" s="90">
        <v>747</v>
      </c>
      <c r="C581" s="91">
        <v>0.19594689203328308</v>
      </c>
      <c r="D581" s="92">
        <v>62</v>
      </c>
      <c r="G581" s="5"/>
      <c r="H581" s="5"/>
      <c r="L581" s="7"/>
      <c r="M581" s="7"/>
      <c r="O581" s="5"/>
      <c r="P581" s="5"/>
    </row>
    <row r="582" spans="2:16" x14ac:dyDescent="0.25">
      <c r="B582" s="90">
        <v>693</v>
      </c>
      <c r="C582" s="91">
        <v>0.19747460907647341</v>
      </c>
      <c r="D582" s="92">
        <v>62</v>
      </c>
      <c r="G582" s="5"/>
      <c r="H582" s="5"/>
      <c r="L582" s="7"/>
      <c r="M582" s="7"/>
      <c r="O582" s="5"/>
      <c r="P582" s="5"/>
    </row>
    <row r="583" spans="2:16" x14ac:dyDescent="0.25">
      <c r="B583" s="90">
        <v>1100</v>
      </c>
      <c r="C583" s="91">
        <v>0.20132847719115421</v>
      </c>
      <c r="D583" s="92">
        <v>62</v>
      </c>
      <c r="G583" s="5"/>
      <c r="H583" s="5"/>
      <c r="L583" s="7"/>
      <c r="M583" s="7"/>
      <c r="O583" s="5"/>
      <c r="P583" s="5"/>
    </row>
    <row r="584" spans="2:16" x14ac:dyDescent="0.25">
      <c r="B584" s="90">
        <v>801</v>
      </c>
      <c r="C584" s="91">
        <v>0.20368192649168859</v>
      </c>
      <c r="D584" s="92">
        <v>62</v>
      </c>
      <c r="G584" s="5"/>
      <c r="H584" s="5"/>
      <c r="L584" s="7"/>
      <c r="M584" s="7"/>
      <c r="O584" s="5"/>
      <c r="P584" s="5"/>
    </row>
    <row r="585" spans="2:16" x14ac:dyDescent="0.25">
      <c r="B585" s="90">
        <v>748</v>
      </c>
      <c r="C585" s="91">
        <v>0.2046615619839085</v>
      </c>
      <c r="D585" s="92">
        <v>62</v>
      </c>
      <c r="G585" s="5"/>
      <c r="H585" s="5"/>
      <c r="L585" s="7"/>
      <c r="M585" s="7"/>
      <c r="O585" s="5"/>
      <c r="P585" s="5"/>
    </row>
    <row r="586" spans="2:16" x14ac:dyDescent="0.25">
      <c r="B586" s="90">
        <v>694</v>
      </c>
      <c r="C586" s="91">
        <v>0.20617514970479811</v>
      </c>
      <c r="D586" s="92">
        <v>62</v>
      </c>
      <c r="G586" s="5"/>
      <c r="H586" s="5"/>
      <c r="L586" s="7"/>
      <c r="M586" s="7"/>
      <c r="O586" s="5"/>
      <c r="P586" s="5"/>
    </row>
    <row r="587" spans="2:16" x14ac:dyDescent="0.25">
      <c r="B587" s="90">
        <v>1246</v>
      </c>
      <c r="C587" s="91">
        <v>0.22142852040977745</v>
      </c>
      <c r="D587" s="92">
        <v>62</v>
      </c>
      <c r="G587" s="5"/>
      <c r="H587" s="5"/>
      <c r="L587" s="7"/>
      <c r="M587" s="7"/>
      <c r="O587" s="5"/>
      <c r="P587" s="5"/>
    </row>
    <row r="588" spans="2:16" x14ac:dyDescent="0.25">
      <c r="B588" s="90">
        <v>1330</v>
      </c>
      <c r="C588" s="91">
        <v>0.24594239490583614</v>
      </c>
      <c r="D588" s="92">
        <v>62</v>
      </c>
      <c r="G588" s="5"/>
      <c r="H588" s="5"/>
      <c r="L588" s="7"/>
      <c r="M588" s="7"/>
      <c r="O588" s="5"/>
      <c r="P588" s="5"/>
    </row>
    <row r="589" spans="2:16" x14ac:dyDescent="0.25">
      <c r="B589" s="90">
        <v>194</v>
      </c>
      <c r="C589" s="91">
        <v>0.25522786012165577</v>
      </c>
      <c r="D589" s="92">
        <v>62</v>
      </c>
      <c r="G589" s="5"/>
      <c r="H589" s="5"/>
      <c r="L589" s="7"/>
      <c r="M589" s="7"/>
      <c r="O589" s="5"/>
      <c r="P589" s="5"/>
    </row>
    <row r="590" spans="2:16" x14ac:dyDescent="0.25">
      <c r="B590" s="90">
        <v>1438</v>
      </c>
      <c r="C590" s="91">
        <v>0.12617827242651081</v>
      </c>
      <c r="D590" s="92">
        <v>63</v>
      </c>
      <c r="G590" s="5"/>
      <c r="H590" s="5"/>
      <c r="L590" s="7"/>
      <c r="M590" s="7"/>
      <c r="O590" s="5"/>
      <c r="P590" s="5"/>
    </row>
    <row r="591" spans="2:16" x14ac:dyDescent="0.25">
      <c r="B591" s="90">
        <v>1318</v>
      </c>
      <c r="C591" s="91">
        <v>0.16825143959714794</v>
      </c>
      <c r="D591" s="92">
        <v>63</v>
      </c>
      <c r="G591" s="5"/>
      <c r="H591" s="5"/>
      <c r="L591" s="7"/>
      <c r="M591" s="7"/>
      <c r="O591" s="5"/>
      <c r="P591" s="5"/>
    </row>
    <row r="592" spans="2:16" x14ac:dyDescent="0.25">
      <c r="B592" s="90">
        <v>637</v>
      </c>
      <c r="C592" s="91">
        <v>0.19603935499390568</v>
      </c>
      <c r="D592" s="92">
        <v>63</v>
      </c>
      <c r="G592" s="5"/>
      <c r="H592" s="5"/>
      <c r="L592" s="7"/>
      <c r="M592" s="7"/>
      <c r="O592" s="5"/>
      <c r="P592" s="5"/>
    </row>
    <row r="593" spans="2:16" x14ac:dyDescent="0.25">
      <c r="B593" s="90">
        <v>1244</v>
      </c>
      <c r="C593" s="91">
        <v>1.7348697855534501E-2</v>
      </c>
      <c r="D593" s="92">
        <v>64</v>
      </c>
      <c r="G593" s="5"/>
      <c r="H593" s="5"/>
      <c r="L593" s="7"/>
      <c r="M593" s="7"/>
      <c r="O593" s="5"/>
      <c r="P593" s="5"/>
    </row>
    <row r="594" spans="2:16" x14ac:dyDescent="0.25">
      <c r="B594" s="90">
        <v>1087</v>
      </c>
      <c r="C594" s="91">
        <v>3.8914073537309801E-2</v>
      </c>
      <c r="D594" s="92">
        <v>64</v>
      </c>
      <c r="G594" s="5"/>
      <c r="H594" s="5"/>
      <c r="L594" s="7"/>
      <c r="M594" s="7"/>
      <c r="O594" s="5"/>
      <c r="P594" s="5"/>
    </row>
    <row r="595" spans="2:16" x14ac:dyDescent="0.25">
      <c r="B595" s="90">
        <v>1252</v>
      </c>
      <c r="C595" s="91">
        <v>3.935520452508745E-2</v>
      </c>
      <c r="D595" s="92">
        <v>64</v>
      </c>
      <c r="G595" s="5"/>
      <c r="H595" s="5"/>
      <c r="L595" s="7"/>
      <c r="M595" s="7"/>
      <c r="O595" s="5"/>
      <c r="P595" s="5"/>
    </row>
    <row r="596" spans="2:16" x14ac:dyDescent="0.25">
      <c r="B596" s="90">
        <v>1133</v>
      </c>
      <c r="C596" s="91">
        <v>4.1602322533169089E-2</v>
      </c>
      <c r="D596" s="92">
        <v>64</v>
      </c>
      <c r="G596" s="5"/>
      <c r="H596" s="5"/>
      <c r="L596" s="7"/>
      <c r="M596" s="7"/>
      <c r="O596" s="5"/>
      <c r="P596" s="5"/>
    </row>
    <row r="597" spans="2:16" x14ac:dyDescent="0.25">
      <c r="B597" s="90">
        <v>1040</v>
      </c>
      <c r="C597" s="91">
        <v>4.3881344124161892E-2</v>
      </c>
      <c r="D597" s="92">
        <v>64</v>
      </c>
      <c r="G597" s="5"/>
      <c r="H597" s="5"/>
      <c r="L597" s="7"/>
      <c r="M597" s="7"/>
      <c r="O597" s="5"/>
      <c r="P597" s="5"/>
    </row>
    <row r="598" spans="2:16" x14ac:dyDescent="0.25">
      <c r="B598" s="90">
        <v>992</v>
      </c>
      <c r="C598" s="91">
        <v>5.7609648804262892E-2</v>
      </c>
      <c r="D598" s="92">
        <v>64</v>
      </c>
      <c r="G598" s="5"/>
      <c r="H598" s="5"/>
      <c r="L598" s="7"/>
      <c r="M598" s="7"/>
      <c r="O598" s="5"/>
      <c r="P598" s="5"/>
    </row>
    <row r="599" spans="2:16" x14ac:dyDescent="0.25">
      <c r="B599" s="90">
        <v>201</v>
      </c>
      <c r="C599" s="91">
        <v>6.2560577819974261E-2</v>
      </c>
      <c r="D599" s="92">
        <v>64</v>
      </c>
      <c r="G599" s="5"/>
      <c r="H599" s="5"/>
      <c r="L599" s="7"/>
      <c r="M599" s="7"/>
      <c r="O599" s="5"/>
      <c r="P599" s="5"/>
    </row>
    <row r="600" spans="2:16" x14ac:dyDescent="0.25">
      <c r="B600" s="90">
        <v>1211</v>
      </c>
      <c r="C600" s="91">
        <v>7.2479481683311198E-2</v>
      </c>
      <c r="D600" s="92">
        <v>64</v>
      </c>
      <c r="G600" s="5"/>
      <c r="H600" s="5"/>
      <c r="L600" s="7"/>
      <c r="M600" s="7"/>
      <c r="O600" s="5"/>
      <c r="P600" s="5"/>
    </row>
    <row r="601" spans="2:16" x14ac:dyDescent="0.25">
      <c r="B601" s="90">
        <v>1119</v>
      </c>
      <c r="C601" s="91">
        <v>7.5268447100996116E-2</v>
      </c>
      <c r="D601" s="92">
        <v>64</v>
      </c>
      <c r="G601" s="5"/>
      <c r="H601" s="5"/>
      <c r="L601" s="7"/>
      <c r="M601" s="7"/>
      <c r="O601" s="5"/>
      <c r="P601" s="5"/>
    </row>
    <row r="602" spans="2:16" x14ac:dyDescent="0.25">
      <c r="B602" s="90">
        <v>1073</v>
      </c>
      <c r="C602" s="91">
        <v>7.6219340986514617E-2</v>
      </c>
      <c r="D602" s="92">
        <v>64</v>
      </c>
      <c r="G602" s="5"/>
      <c r="H602" s="5"/>
      <c r="L602" s="7"/>
      <c r="M602" s="7"/>
      <c r="O602" s="5"/>
      <c r="P602" s="5"/>
    </row>
    <row r="603" spans="2:16" x14ac:dyDescent="0.25">
      <c r="B603" s="90">
        <v>580</v>
      </c>
      <c r="C603" s="91">
        <v>0.19795715407005632</v>
      </c>
      <c r="D603" s="92">
        <v>64</v>
      </c>
      <c r="G603" s="5"/>
      <c r="H603" s="5"/>
      <c r="L603" s="7"/>
      <c r="M603" s="7"/>
      <c r="O603" s="5"/>
      <c r="P603" s="5"/>
    </row>
    <row r="604" spans="2:16" x14ac:dyDescent="0.25">
      <c r="B604" s="90">
        <v>873</v>
      </c>
      <c r="C604" s="91">
        <v>0.32876919769306678</v>
      </c>
      <c r="D604" s="92">
        <v>64</v>
      </c>
      <c r="G604" s="5"/>
      <c r="H604" s="5"/>
      <c r="L604" s="7"/>
      <c r="M604" s="7"/>
      <c r="O604" s="5"/>
      <c r="P604" s="5"/>
    </row>
    <row r="605" spans="2:16" x14ac:dyDescent="0.25">
      <c r="B605" s="90">
        <v>923</v>
      </c>
      <c r="C605" s="91">
        <v>0.33186227020368253</v>
      </c>
      <c r="D605" s="92">
        <v>64</v>
      </c>
      <c r="G605" s="5"/>
      <c r="H605" s="5"/>
      <c r="L605" s="7"/>
      <c r="M605" s="7"/>
      <c r="O605" s="5"/>
      <c r="P605" s="5"/>
    </row>
    <row r="606" spans="2:16" x14ac:dyDescent="0.25">
      <c r="B606" s="90">
        <v>1788</v>
      </c>
      <c r="C606" s="91">
        <v>2.1674681698813369E-2</v>
      </c>
      <c r="D606" s="92">
        <v>65</v>
      </c>
      <c r="G606" s="5"/>
      <c r="H606" s="5"/>
      <c r="L606" s="7"/>
      <c r="M606" s="7"/>
      <c r="O606" s="5"/>
      <c r="P606" s="5"/>
    </row>
    <row r="607" spans="2:16" x14ac:dyDescent="0.25">
      <c r="B607" s="90">
        <v>1885</v>
      </c>
      <c r="C607" s="91">
        <v>2.5737817850360445E-2</v>
      </c>
      <c r="D607" s="92">
        <v>65</v>
      </c>
      <c r="G607" s="5"/>
      <c r="H607" s="5"/>
      <c r="L607" s="7"/>
      <c r="M607" s="7"/>
      <c r="O607" s="5"/>
      <c r="P607" s="5"/>
    </row>
    <row r="608" spans="2:16" x14ac:dyDescent="0.25">
      <c r="B608" s="90">
        <v>1179</v>
      </c>
      <c r="C608" s="91">
        <v>2.6020248988079864E-2</v>
      </c>
      <c r="D608" s="92">
        <v>65</v>
      </c>
      <c r="G608" s="5"/>
      <c r="H608" s="5"/>
      <c r="L608" s="7"/>
      <c r="M608" s="7"/>
      <c r="O608" s="5"/>
      <c r="P608" s="5"/>
    </row>
    <row r="609" spans="2:16" x14ac:dyDescent="0.25">
      <c r="B609" s="90">
        <v>1791</v>
      </c>
      <c r="C609" s="91">
        <v>2.752792109200819E-2</v>
      </c>
      <c r="D609" s="92">
        <v>65</v>
      </c>
      <c r="G609" s="5"/>
      <c r="H609" s="5"/>
      <c r="L609" s="7"/>
      <c r="M609" s="7"/>
      <c r="O609" s="5"/>
      <c r="P609" s="5"/>
    </row>
    <row r="610" spans="2:16" x14ac:dyDescent="0.25">
      <c r="B610" s="90">
        <v>1789</v>
      </c>
      <c r="C610" s="91">
        <v>3.0632576782167575E-2</v>
      </c>
      <c r="D610" s="92">
        <v>65</v>
      </c>
      <c r="G610" s="5"/>
      <c r="H610" s="5"/>
      <c r="L610" s="7"/>
      <c r="M610" s="7"/>
      <c r="O610" s="5"/>
      <c r="P610" s="5"/>
    </row>
    <row r="611" spans="2:16" x14ac:dyDescent="0.25">
      <c r="B611" s="90">
        <v>1841</v>
      </c>
      <c r="C611" s="91">
        <v>4.9844882617779529E-2</v>
      </c>
      <c r="D611" s="92">
        <v>65</v>
      </c>
      <c r="G611" s="5"/>
      <c r="H611" s="5"/>
      <c r="L611" s="7"/>
      <c r="M611" s="7"/>
      <c r="O611" s="5"/>
      <c r="P611" s="5"/>
    </row>
    <row r="612" spans="2:16" x14ac:dyDescent="0.25">
      <c r="B612" s="90">
        <v>1835</v>
      </c>
      <c r="C612" s="91">
        <v>5.6536368877539989E-2</v>
      </c>
      <c r="D612" s="92">
        <v>65</v>
      </c>
      <c r="G612" s="5"/>
      <c r="H612" s="5"/>
      <c r="L612" s="7"/>
      <c r="M612" s="7"/>
      <c r="O612" s="5"/>
      <c r="P612" s="5"/>
    </row>
    <row r="613" spans="2:16" x14ac:dyDescent="0.25">
      <c r="B613" s="90">
        <v>1842</v>
      </c>
      <c r="C613" s="91">
        <v>6.0749618132671879E-2</v>
      </c>
      <c r="D613" s="92">
        <v>65</v>
      </c>
      <c r="G613" s="5"/>
      <c r="H613" s="5"/>
      <c r="L613" s="7"/>
      <c r="M613" s="7"/>
      <c r="O613" s="5"/>
      <c r="P613" s="5"/>
    </row>
    <row r="614" spans="2:16" x14ac:dyDescent="0.25">
      <c r="B614" s="90">
        <v>1719</v>
      </c>
      <c r="C614" s="91">
        <v>6.1214788845090684E-2</v>
      </c>
      <c r="D614" s="92">
        <v>65</v>
      </c>
      <c r="G614" s="5"/>
      <c r="H614" s="5"/>
      <c r="L614" s="7"/>
      <c r="M614" s="7"/>
      <c r="O614" s="5"/>
      <c r="P614" s="5"/>
    </row>
    <row r="615" spans="2:16" x14ac:dyDescent="0.25">
      <c r="B615" s="90">
        <v>893</v>
      </c>
      <c r="C615" s="91">
        <v>6.3169435744478308E-2</v>
      </c>
      <c r="D615" s="92">
        <v>65</v>
      </c>
      <c r="G615" s="5"/>
      <c r="H615" s="5"/>
      <c r="L615" s="7"/>
      <c r="M615" s="7"/>
      <c r="O615" s="5"/>
      <c r="P615" s="5"/>
    </row>
    <row r="616" spans="2:16" x14ac:dyDescent="0.25">
      <c r="B616" s="90">
        <v>1809</v>
      </c>
      <c r="C616" s="91">
        <v>6.8352481213222127E-2</v>
      </c>
      <c r="D616" s="92">
        <v>65</v>
      </c>
      <c r="G616" s="5"/>
      <c r="H616" s="5"/>
      <c r="L616" s="7"/>
      <c r="M616" s="7"/>
      <c r="O616" s="5"/>
      <c r="P616" s="5"/>
    </row>
    <row r="617" spans="2:16" x14ac:dyDescent="0.25">
      <c r="B617" s="90">
        <v>1816</v>
      </c>
      <c r="C617" s="91">
        <v>7.469691733355055E-2</v>
      </c>
      <c r="D617" s="92">
        <v>65</v>
      </c>
      <c r="G617" s="5"/>
      <c r="H617" s="5"/>
      <c r="L617" s="7"/>
      <c r="M617" s="7"/>
      <c r="O617" s="5"/>
      <c r="P617" s="5"/>
    </row>
    <row r="618" spans="2:16" x14ac:dyDescent="0.25">
      <c r="B618" s="90">
        <v>1752</v>
      </c>
      <c r="C618" s="91">
        <v>8.5278163969184861E-2</v>
      </c>
      <c r="D618" s="92">
        <v>65</v>
      </c>
      <c r="G618" s="5"/>
      <c r="H618" s="5"/>
      <c r="L618" s="7"/>
      <c r="M618" s="7"/>
      <c r="O618" s="5"/>
      <c r="P618" s="5"/>
    </row>
    <row r="619" spans="2:16" x14ac:dyDescent="0.25">
      <c r="B619" s="90">
        <v>1929</v>
      </c>
      <c r="C619" s="91">
        <v>9.5468441045227559E-2</v>
      </c>
      <c r="D619" s="92">
        <v>65</v>
      </c>
      <c r="G619" s="5"/>
      <c r="H619" s="5"/>
      <c r="L619" s="7"/>
      <c r="M619" s="7"/>
      <c r="O619" s="5"/>
      <c r="P619" s="5"/>
    </row>
    <row r="620" spans="2:16" x14ac:dyDescent="0.25">
      <c r="B620" s="90">
        <v>1967</v>
      </c>
      <c r="C620" s="91">
        <v>0.10010021948613801</v>
      </c>
      <c r="D620" s="92">
        <v>65</v>
      </c>
      <c r="G620" s="5"/>
      <c r="H620" s="5"/>
      <c r="L620" s="7"/>
      <c r="M620" s="7"/>
      <c r="O620" s="5"/>
      <c r="P620" s="5"/>
    </row>
    <row r="621" spans="2:16" x14ac:dyDescent="0.25">
      <c r="B621" s="90">
        <v>1807</v>
      </c>
      <c r="C621" s="91">
        <v>0.10060744720859827</v>
      </c>
      <c r="D621" s="92">
        <v>65</v>
      </c>
      <c r="G621" s="5"/>
      <c r="H621" s="5"/>
      <c r="L621" s="7"/>
      <c r="M621" s="7"/>
      <c r="O621" s="5"/>
      <c r="P621" s="5"/>
    </row>
    <row r="622" spans="2:16" x14ac:dyDescent="0.25">
      <c r="B622" s="90">
        <v>1923</v>
      </c>
      <c r="C622" s="91">
        <v>0.13495345723905516</v>
      </c>
      <c r="D622" s="92">
        <v>65</v>
      </c>
      <c r="G622" s="5"/>
      <c r="H622" s="5"/>
      <c r="L622" s="7"/>
      <c r="M622" s="7"/>
      <c r="O622" s="5"/>
      <c r="P622" s="5"/>
    </row>
    <row r="623" spans="2:16" x14ac:dyDescent="0.25">
      <c r="B623" s="90">
        <v>1718</v>
      </c>
      <c r="C623" s="91">
        <v>0.16112195427216935</v>
      </c>
      <c r="D623" s="92">
        <v>65</v>
      </c>
      <c r="G623" s="5"/>
      <c r="H623" s="5"/>
      <c r="L623" s="7"/>
      <c r="M623" s="7"/>
      <c r="O623" s="5"/>
      <c r="P623" s="5"/>
    </row>
    <row r="624" spans="2:16" x14ac:dyDescent="0.25">
      <c r="B624" s="90">
        <v>1546</v>
      </c>
      <c r="C624" s="91">
        <v>0.17975484111575923</v>
      </c>
      <c r="D624" s="92">
        <v>65</v>
      </c>
      <c r="G624" s="5"/>
      <c r="H624" s="5"/>
      <c r="L624" s="7"/>
      <c r="M624" s="7"/>
      <c r="O624" s="5"/>
      <c r="P624" s="5"/>
    </row>
    <row r="625" spans="2:16" x14ac:dyDescent="0.25">
      <c r="B625" s="90">
        <v>1922</v>
      </c>
      <c r="C625" s="91">
        <v>0.19141444948614783</v>
      </c>
      <c r="D625" s="92">
        <v>65</v>
      </c>
      <c r="G625" s="5"/>
      <c r="H625" s="5"/>
      <c r="L625" s="7"/>
      <c r="M625" s="7"/>
      <c r="O625" s="5"/>
      <c r="P625" s="5"/>
    </row>
    <row r="626" spans="2:16" x14ac:dyDescent="0.25">
      <c r="B626" s="90">
        <v>1000</v>
      </c>
      <c r="C626" s="91">
        <v>0.19177527374073189</v>
      </c>
      <c r="D626" s="92">
        <v>65</v>
      </c>
      <c r="G626" s="5"/>
      <c r="H626" s="5"/>
      <c r="L626" s="7"/>
      <c r="M626" s="7"/>
      <c r="O626" s="5"/>
      <c r="P626" s="5"/>
    </row>
    <row r="627" spans="2:16" x14ac:dyDescent="0.25">
      <c r="B627" s="90">
        <v>1852</v>
      </c>
      <c r="C627" s="91">
        <v>0.19676782559451422</v>
      </c>
      <c r="D627" s="92">
        <v>65</v>
      </c>
      <c r="G627" s="5"/>
      <c r="H627" s="5"/>
      <c r="L627" s="7"/>
      <c r="M627" s="7"/>
      <c r="O627" s="5"/>
      <c r="P627" s="5"/>
    </row>
    <row r="628" spans="2:16" x14ac:dyDescent="0.25">
      <c r="B628" s="90">
        <v>901</v>
      </c>
      <c r="C628" s="91">
        <v>0.19793156412575952</v>
      </c>
      <c r="D628" s="92">
        <v>65</v>
      </c>
      <c r="G628" s="5"/>
      <c r="H628" s="5"/>
      <c r="L628" s="7"/>
      <c r="M628" s="7"/>
      <c r="O628" s="5"/>
      <c r="P628" s="5"/>
    </row>
    <row r="629" spans="2:16" x14ac:dyDescent="0.25">
      <c r="B629" s="90">
        <v>1800</v>
      </c>
      <c r="C629" s="91">
        <v>0.21069748636953989</v>
      </c>
      <c r="D629" s="92">
        <v>65</v>
      </c>
      <c r="G629" s="5"/>
      <c r="H629" s="5"/>
      <c r="L629" s="7"/>
      <c r="M629" s="7"/>
      <c r="O629" s="5"/>
      <c r="P629" s="5"/>
    </row>
    <row r="630" spans="2:16" x14ac:dyDescent="0.25">
      <c r="B630" s="90">
        <v>1745</v>
      </c>
      <c r="C630" s="91">
        <v>0.21608525666937295</v>
      </c>
      <c r="D630" s="92">
        <v>65</v>
      </c>
      <c r="G630" s="5"/>
      <c r="H630" s="5"/>
      <c r="L630" s="7"/>
      <c r="M630" s="7"/>
      <c r="O630" s="5"/>
      <c r="P630" s="5"/>
    </row>
    <row r="631" spans="2:16" x14ac:dyDescent="0.25">
      <c r="B631" s="90">
        <v>1774</v>
      </c>
      <c r="C631" s="91">
        <v>0.22960287168584181</v>
      </c>
      <c r="D631" s="92">
        <v>65</v>
      </c>
      <c r="G631" s="5"/>
      <c r="H631" s="5"/>
      <c r="L631" s="7"/>
      <c r="M631" s="7"/>
      <c r="O631" s="5"/>
      <c r="P631" s="5"/>
    </row>
    <row r="632" spans="2:16" x14ac:dyDescent="0.25">
      <c r="B632" s="90">
        <v>1827</v>
      </c>
      <c r="C632" s="91">
        <v>0.23265391008831005</v>
      </c>
      <c r="D632" s="92">
        <v>65</v>
      </c>
      <c r="G632" s="5"/>
      <c r="H632" s="5"/>
      <c r="L632" s="7"/>
      <c r="M632" s="7"/>
      <c r="O632" s="5"/>
      <c r="P632" s="5"/>
    </row>
    <row r="633" spans="2:16" x14ac:dyDescent="0.25">
      <c r="B633" s="90">
        <v>1801</v>
      </c>
      <c r="C633" s="91">
        <v>0.244960765877408</v>
      </c>
      <c r="D633" s="92">
        <v>65</v>
      </c>
      <c r="G633" s="5"/>
      <c r="H633" s="5"/>
      <c r="L633" s="7"/>
      <c r="M633" s="7"/>
      <c r="O633" s="5"/>
      <c r="P633" s="5"/>
    </row>
    <row r="634" spans="2:16" x14ac:dyDescent="0.25">
      <c r="B634" s="90">
        <v>1164</v>
      </c>
      <c r="C634" s="91">
        <v>4.6115087839143976E-2</v>
      </c>
      <c r="D634" s="92">
        <v>66</v>
      </c>
      <c r="G634" s="5"/>
      <c r="H634" s="5"/>
      <c r="L634" s="7"/>
      <c r="M634" s="7"/>
      <c r="O634" s="5"/>
      <c r="P634" s="5"/>
    </row>
    <row r="635" spans="2:16" x14ac:dyDescent="0.25">
      <c r="B635" s="90">
        <v>933</v>
      </c>
      <c r="C635" s="91">
        <v>5.1830081290142105E-2</v>
      </c>
      <c r="D635" s="92">
        <v>66</v>
      </c>
      <c r="G635" s="5"/>
      <c r="H635" s="5"/>
      <c r="L635" s="7"/>
      <c r="M635" s="7"/>
      <c r="O635" s="5"/>
      <c r="P635" s="5"/>
    </row>
    <row r="636" spans="2:16" x14ac:dyDescent="0.25">
      <c r="B636" s="90">
        <v>1338</v>
      </c>
      <c r="C636" s="91">
        <v>5.7663633631636291E-2</v>
      </c>
      <c r="D636" s="92">
        <v>66</v>
      </c>
      <c r="G636" s="5"/>
      <c r="H636" s="5"/>
      <c r="L636" s="7"/>
      <c r="M636" s="7"/>
      <c r="O636" s="5"/>
      <c r="P636" s="5"/>
    </row>
    <row r="637" spans="2:16" x14ac:dyDescent="0.25">
      <c r="B637" s="90">
        <v>276</v>
      </c>
      <c r="C637" s="91">
        <v>6.5875034793440257E-2</v>
      </c>
      <c r="D637" s="92">
        <v>66</v>
      </c>
      <c r="G637" s="5"/>
      <c r="H637" s="5"/>
      <c r="L637" s="7"/>
      <c r="M637" s="7"/>
      <c r="O637" s="5"/>
      <c r="P637" s="5"/>
    </row>
    <row r="638" spans="2:16" x14ac:dyDescent="0.25">
      <c r="B638" s="90">
        <v>1254</v>
      </c>
      <c r="C638" s="91">
        <v>6.856505391259804E-2</v>
      </c>
      <c r="D638" s="92">
        <v>66</v>
      </c>
      <c r="G638" s="5"/>
      <c r="H638" s="5"/>
      <c r="L638" s="7"/>
      <c r="M638" s="7"/>
      <c r="O638" s="5"/>
      <c r="P638" s="5"/>
    </row>
    <row r="639" spans="2:16" x14ac:dyDescent="0.25">
      <c r="B639" s="90">
        <v>1293</v>
      </c>
      <c r="C639" s="91">
        <v>0.11647667567990783</v>
      </c>
      <c r="D639" s="92">
        <v>66</v>
      </c>
      <c r="G639" s="5"/>
      <c r="H639" s="5"/>
      <c r="L639" s="7"/>
      <c r="M639" s="7"/>
      <c r="O639" s="5"/>
      <c r="P639" s="5"/>
    </row>
    <row r="640" spans="2:16" x14ac:dyDescent="0.25">
      <c r="B640" s="90">
        <v>1428</v>
      </c>
      <c r="C640" s="91">
        <v>0.14218940181151751</v>
      </c>
      <c r="D640" s="92">
        <v>66</v>
      </c>
      <c r="G640" s="5"/>
      <c r="H640" s="5"/>
      <c r="L640" s="7"/>
      <c r="M640" s="7"/>
      <c r="O640" s="5"/>
      <c r="P640" s="5"/>
    </row>
    <row r="641" spans="2:16" x14ac:dyDescent="0.25">
      <c r="B641" s="90">
        <v>928</v>
      </c>
      <c r="C641" s="91">
        <v>0.17101922769205968</v>
      </c>
      <c r="D641" s="92">
        <v>66</v>
      </c>
      <c r="G641" s="5"/>
      <c r="H641" s="5"/>
      <c r="L641" s="7"/>
      <c r="M641" s="7"/>
      <c r="O641" s="5"/>
      <c r="P641" s="5"/>
    </row>
    <row r="642" spans="2:16" x14ac:dyDescent="0.25">
      <c r="B642" s="90">
        <v>1357</v>
      </c>
      <c r="C642" s="91">
        <v>0.17885047511483509</v>
      </c>
      <c r="D642" s="92">
        <v>66</v>
      </c>
      <c r="G642" s="5"/>
      <c r="H642" s="5"/>
      <c r="L642" s="7"/>
      <c r="M642" s="7"/>
      <c r="O642" s="5"/>
      <c r="P642" s="5"/>
    </row>
    <row r="643" spans="2:16" x14ac:dyDescent="0.25">
      <c r="B643" s="90">
        <v>1205</v>
      </c>
      <c r="C643" s="91">
        <v>0.19123101107610707</v>
      </c>
      <c r="D643" s="92">
        <v>66</v>
      </c>
      <c r="G643" s="5"/>
      <c r="H643" s="5"/>
      <c r="L643" s="7"/>
      <c r="M643" s="7"/>
      <c r="O643" s="5"/>
      <c r="P643" s="5"/>
    </row>
    <row r="644" spans="2:16" x14ac:dyDescent="0.25">
      <c r="B644" s="90">
        <v>1163</v>
      </c>
      <c r="C644" s="91">
        <v>0.19749781619372264</v>
      </c>
      <c r="D644" s="92">
        <v>66</v>
      </c>
      <c r="G644" s="5"/>
      <c r="H644" s="5"/>
      <c r="L644" s="7"/>
      <c r="M644" s="7"/>
      <c r="O644" s="5"/>
      <c r="P644" s="5"/>
    </row>
    <row r="645" spans="2:16" x14ac:dyDescent="0.25">
      <c r="B645" s="90">
        <v>636</v>
      </c>
      <c r="C645" s="91">
        <v>0.20289978719595059</v>
      </c>
      <c r="D645" s="92">
        <v>66</v>
      </c>
      <c r="G645" s="5"/>
      <c r="H645" s="5"/>
      <c r="L645" s="7"/>
      <c r="M645" s="7"/>
      <c r="O645" s="5"/>
      <c r="P645" s="5"/>
    </row>
    <row r="646" spans="2:16" x14ac:dyDescent="0.25">
      <c r="B646" s="90">
        <v>977</v>
      </c>
      <c r="C646" s="91">
        <v>0.22555439290364099</v>
      </c>
      <c r="D646" s="92">
        <v>66</v>
      </c>
      <c r="G646" s="5"/>
      <c r="H646" s="5"/>
      <c r="L646" s="7"/>
      <c r="M646" s="7"/>
      <c r="O646" s="5"/>
      <c r="P646" s="5"/>
    </row>
    <row r="647" spans="2:16" x14ac:dyDescent="0.25">
      <c r="B647" s="90">
        <v>926</v>
      </c>
      <c r="C647" s="91">
        <v>0.23247831920179163</v>
      </c>
      <c r="D647" s="92">
        <v>66</v>
      </c>
      <c r="G647" s="5"/>
      <c r="H647" s="5"/>
      <c r="L647" s="7"/>
      <c r="M647" s="7"/>
      <c r="O647" s="5"/>
      <c r="P647" s="5"/>
    </row>
    <row r="648" spans="2:16" x14ac:dyDescent="0.25">
      <c r="B648" s="90">
        <v>1161</v>
      </c>
      <c r="C648" s="91">
        <v>0.2386770390884938</v>
      </c>
      <c r="D648" s="92">
        <v>66</v>
      </c>
      <c r="G648" s="5"/>
      <c r="H648" s="5"/>
      <c r="L648" s="7"/>
      <c r="M648" s="7"/>
      <c r="O648" s="5"/>
      <c r="P648" s="5"/>
    </row>
    <row r="649" spans="2:16" x14ac:dyDescent="0.25">
      <c r="B649" s="90">
        <v>876</v>
      </c>
      <c r="C649" s="91">
        <v>0.24513533952853117</v>
      </c>
      <c r="D649" s="92">
        <v>66</v>
      </c>
      <c r="G649" s="5"/>
      <c r="H649" s="5"/>
      <c r="L649" s="7"/>
      <c r="M649" s="7"/>
      <c r="O649" s="5"/>
      <c r="P649" s="5"/>
    </row>
    <row r="650" spans="2:16" x14ac:dyDescent="0.25">
      <c r="B650" s="90">
        <v>927</v>
      </c>
      <c r="C650" s="91">
        <v>0.25941975891306424</v>
      </c>
      <c r="D650" s="92">
        <v>66</v>
      </c>
      <c r="G650" s="5"/>
      <c r="H650" s="5"/>
      <c r="L650" s="7"/>
      <c r="M650" s="7"/>
      <c r="O650" s="5"/>
      <c r="P650" s="5"/>
    </row>
    <row r="651" spans="2:16" x14ac:dyDescent="0.25">
      <c r="B651" s="90">
        <v>1025</v>
      </c>
      <c r="C651" s="91">
        <v>0.26622462703900296</v>
      </c>
      <c r="D651" s="92">
        <v>66</v>
      </c>
      <c r="G651" s="5"/>
      <c r="H651" s="5"/>
      <c r="L651" s="7"/>
      <c r="M651" s="7"/>
      <c r="O651" s="5"/>
      <c r="P651" s="5"/>
    </row>
    <row r="652" spans="2:16" x14ac:dyDescent="0.25">
      <c r="B652" s="90">
        <v>877</v>
      </c>
      <c r="C652" s="91">
        <v>0.27257972740740644</v>
      </c>
      <c r="D652" s="92">
        <v>66</v>
      </c>
      <c r="G652" s="5"/>
      <c r="H652" s="5"/>
      <c r="L652" s="7"/>
      <c r="M652" s="7"/>
      <c r="O652" s="5"/>
      <c r="P652" s="5"/>
    </row>
    <row r="653" spans="2:16" x14ac:dyDescent="0.25">
      <c r="B653" s="90">
        <v>1118</v>
      </c>
      <c r="C653" s="91">
        <v>0.27925757149955954</v>
      </c>
      <c r="D653" s="92">
        <v>66</v>
      </c>
      <c r="G653" s="5"/>
      <c r="H653" s="5"/>
      <c r="L653" s="7"/>
      <c r="M653" s="7"/>
      <c r="O653" s="5"/>
      <c r="P653" s="5"/>
    </row>
    <row r="654" spans="2:16" x14ac:dyDescent="0.25">
      <c r="B654" s="90">
        <v>975</v>
      </c>
      <c r="C654" s="91">
        <v>0.28188517063321106</v>
      </c>
      <c r="D654" s="92">
        <v>66</v>
      </c>
      <c r="G654" s="5"/>
      <c r="H654" s="5"/>
      <c r="L654" s="7"/>
      <c r="M654" s="7"/>
      <c r="O654" s="5"/>
      <c r="P654" s="5"/>
    </row>
    <row r="655" spans="2:16" x14ac:dyDescent="0.25">
      <c r="B655" s="90">
        <v>1072</v>
      </c>
      <c r="C655" s="91">
        <v>0.28194905044770469</v>
      </c>
      <c r="D655" s="92">
        <v>66</v>
      </c>
      <c r="G655" s="5"/>
      <c r="H655" s="5"/>
      <c r="L655" s="7"/>
      <c r="M655" s="7"/>
      <c r="O655" s="5"/>
      <c r="P655" s="5"/>
    </row>
    <row r="656" spans="2:16" x14ac:dyDescent="0.25">
      <c r="B656" s="90">
        <v>1023</v>
      </c>
      <c r="C656" s="91">
        <v>0.31757874147885135</v>
      </c>
      <c r="D656" s="92">
        <v>66</v>
      </c>
      <c r="G656" s="5"/>
      <c r="H656" s="5"/>
      <c r="L656" s="7"/>
      <c r="M656" s="7"/>
      <c r="O656" s="5"/>
      <c r="P656" s="5"/>
    </row>
    <row r="657" spans="2:16" x14ac:dyDescent="0.25">
      <c r="B657" s="90">
        <v>1116</v>
      </c>
      <c r="C657" s="91">
        <v>0.32522361846743619</v>
      </c>
      <c r="D657" s="92">
        <v>66</v>
      </c>
      <c r="G657" s="5"/>
      <c r="H657" s="5"/>
      <c r="L657" s="7"/>
      <c r="M657" s="7"/>
      <c r="O657" s="5"/>
      <c r="P657" s="5"/>
    </row>
    <row r="658" spans="2:16" x14ac:dyDescent="0.25">
      <c r="B658" s="90">
        <v>1070</v>
      </c>
      <c r="C658" s="91">
        <v>0.32958629176281451</v>
      </c>
      <c r="D658" s="92">
        <v>66</v>
      </c>
      <c r="G658" s="5"/>
      <c r="H658" s="5"/>
      <c r="L658" s="7"/>
      <c r="M658" s="7"/>
      <c r="O658" s="5"/>
      <c r="P658" s="5"/>
    </row>
    <row r="659" spans="2:16" x14ac:dyDescent="0.25">
      <c r="B659" s="90">
        <v>1878</v>
      </c>
      <c r="C659" s="91">
        <v>8.2361802425256592E-2</v>
      </c>
      <c r="D659" s="92">
        <v>67</v>
      </c>
      <c r="G659" s="5"/>
      <c r="H659" s="5"/>
      <c r="L659" s="7"/>
      <c r="M659" s="7"/>
      <c r="O659" s="5"/>
      <c r="P659" s="5"/>
    </row>
    <row r="660" spans="2:16" x14ac:dyDescent="0.25">
      <c r="B660" s="90">
        <v>1833</v>
      </c>
      <c r="C660" s="91">
        <v>8.8663161258247358E-2</v>
      </c>
      <c r="D660" s="92">
        <v>67</v>
      </c>
      <c r="G660" s="5"/>
      <c r="H660" s="5"/>
      <c r="L660" s="7"/>
      <c r="M660" s="7"/>
      <c r="O660" s="5"/>
      <c r="P660" s="5"/>
    </row>
    <row r="661" spans="2:16" x14ac:dyDescent="0.25">
      <c r="B661" s="90">
        <v>1877</v>
      </c>
      <c r="C661" s="91">
        <v>0.16285902661712992</v>
      </c>
      <c r="D661" s="92">
        <v>67</v>
      </c>
      <c r="G661" s="5"/>
      <c r="H661" s="5"/>
      <c r="L661" s="7"/>
      <c r="M661" s="7"/>
      <c r="O661" s="5"/>
      <c r="P661" s="5"/>
    </row>
    <row r="662" spans="2:16" x14ac:dyDescent="0.25">
      <c r="B662" s="90">
        <v>471</v>
      </c>
      <c r="C662" s="91">
        <v>0.1940655453286354</v>
      </c>
      <c r="D662" s="92">
        <v>67</v>
      </c>
      <c r="G662" s="5"/>
      <c r="H662" s="5"/>
      <c r="L662" s="7"/>
      <c r="M662" s="7"/>
      <c r="O662" s="5"/>
      <c r="P662" s="5"/>
    </row>
    <row r="663" spans="2:16" x14ac:dyDescent="0.25">
      <c r="B663" s="90">
        <v>1055</v>
      </c>
      <c r="C663" s="91">
        <v>0.18954647891649845</v>
      </c>
      <c r="D663" s="92">
        <v>68</v>
      </c>
      <c r="G663" s="5"/>
      <c r="H663" s="5"/>
      <c r="L663" s="7"/>
      <c r="M663" s="7"/>
      <c r="O663" s="5"/>
      <c r="P663" s="5"/>
    </row>
    <row r="664" spans="2:16" x14ac:dyDescent="0.25">
      <c r="B664" s="90">
        <v>290</v>
      </c>
      <c r="C664" s="91">
        <v>0.20212502851014613</v>
      </c>
      <c r="D664" s="92">
        <v>68</v>
      </c>
      <c r="G664" s="5"/>
      <c r="H664" s="5"/>
      <c r="L664" s="7"/>
      <c r="M664" s="7"/>
      <c r="O664" s="5"/>
      <c r="P664" s="5"/>
    </row>
    <row r="665" spans="2:16" x14ac:dyDescent="0.25">
      <c r="B665" s="90">
        <v>1932</v>
      </c>
      <c r="C665" s="91">
        <v>6.4100870825216649E-2</v>
      </c>
      <c r="D665" s="92">
        <v>69</v>
      </c>
      <c r="G665" s="5"/>
      <c r="H665" s="5"/>
      <c r="L665" s="7"/>
      <c r="M665" s="7"/>
      <c r="O665" s="5"/>
      <c r="P665" s="5"/>
    </row>
    <row r="666" spans="2:16" x14ac:dyDescent="0.25">
      <c r="B666" s="90">
        <v>1155</v>
      </c>
      <c r="C666" s="91">
        <v>0.18900661769419447</v>
      </c>
      <c r="D666" s="92">
        <v>69</v>
      </c>
      <c r="G666" s="5"/>
      <c r="H666" s="5"/>
      <c r="L666" s="7"/>
      <c r="M666" s="7"/>
      <c r="O666" s="5"/>
      <c r="P666" s="5"/>
    </row>
    <row r="667" spans="2:16" x14ac:dyDescent="0.25">
      <c r="B667" s="90">
        <v>1199</v>
      </c>
      <c r="C667" s="91">
        <v>0.19405754016002552</v>
      </c>
      <c r="D667" s="92">
        <v>69</v>
      </c>
      <c r="G667" s="5"/>
      <c r="H667" s="5"/>
      <c r="L667" s="7"/>
      <c r="M667" s="7"/>
      <c r="O667" s="5"/>
      <c r="P667" s="5"/>
    </row>
    <row r="668" spans="2:16" x14ac:dyDescent="0.25">
      <c r="B668" s="90">
        <v>1154</v>
      </c>
      <c r="C668" s="91">
        <v>0.2017458618133765</v>
      </c>
      <c r="D668" s="92">
        <v>69</v>
      </c>
      <c r="G668" s="5"/>
      <c r="H668" s="5"/>
      <c r="L668" s="7"/>
      <c r="M668" s="7"/>
      <c r="O668" s="5"/>
      <c r="P668" s="5"/>
    </row>
    <row r="669" spans="2:16" x14ac:dyDescent="0.25">
      <c r="B669" s="90">
        <v>1109</v>
      </c>
      <c r="C669" s="91">
        <v>0.22514373135094201</v>
      </c>
      <c r="D669" s="92">
        <v>69</v>
      </c>
      <c r="G669" s="5"/>
      <c r="H669" s="5"/>
      <c r="L669" s="7"/>
      <c r="M669" s="7"/>
      <c r="O669" s="5"/>
      <c r="P669" s="5"/>
    </row>
    <row r="670" spans="2:16" x14ac:dyDescent="0.25">
      <c r="B670" s="90">
        <v>1108</v>
      </c>
      <c r="C670" s="91">
        <v>0.23002893307708971</v>
      </c>
      <c r="D670" s="92">
        <v>69</v>
      </c>
      <c r="G670" s="5"/>
      <c r="H670" s="5"/>
      <c r="L670" s="7"/>
      <c r="M670" s="7"/>
      <c r="O670" s="5"/>
      <c r="P670" s="5"/>
    </row>
    <row r="671" spans="2:16" x14ac:dyDescent="0.25">
      <c r="B671" s="90">
        <v>1391</v>
      </c>
      <c r="C671" s="91">
        <v>0.145706351597088</v>
      </c>
      <c r="D671" s="92">
        <v>70</v>
      </c>
      <c r="G671" s="5"/>
      <c r="H671" s="5"/>
      <c r="L671" s="7"/>
      <c r="M671" s="7"/>
      <c r="O671" s="5"/>
      <c r="P671" s="5"/>
    </row>
    <row r="672" spans="2:16" x14ac:dyDescent="0.25">
      <c r="B672" s="90">
        <v>828</v>
      </c>
      <c r="C672" s="91">
        <v>3.4217959499123318E-2</v>
      </c>
      <c r="D672" s="92">
        <v>71</v>
      </c>
      <c r="G672" s="5"/>
      <c r="H672" s="5"/>
      <c r="L672" s="7"/>
      <c r="M672" s="7"/>
      <c r="O672" s="5"/>
      <c r="P672" s="5"/>
    </row>
    <row r="673" spans="2:16" x14ac:dyDescent="0.25">
      <c r="B673" s="90">
        <v>929</v>
      </c>
      <c r="C673" s="91">
        <v>3.4323999757430279E-2</v>
      </c>
      <c r="D673" s="92">
        <v>71</v>
      </c>
      <c r="G673" s="5"/>
      <c r="H673" s="5"/>
      <c r="L673" s="7"/>
      <c r="M673" s="7"/>
      <c r="O673" s="5"/>
      <c r="P673" s="5"/>
    </row>
    <row r="674" spans="2:16" x14ac:dyDescent="0.25">
      <c r="B674" s="90">
        <v>879</v>
      </c>
      <c r="C674" s="91">
        <v>3.515220559806076E-2</v>
      </c>
      <c r="D674" s="92">
        <v>71</v>
      </c>
      <c r="G674" s="5"/>
      <c r="H674" s="5"/>
      <c r="L674" s="7"/>
      <c r="M674" s="7"/>
      <c r="O674" s="5"/>
      <c r="P674" s="5"/>
    </row>
    <row r="675" spans="2:16" x14ac:dyDescent="0.25">
      <c r="B675" s="90">
        <v>1267</v>
      </c>
      <c r="C675" s="91">
        <v>4.2847568035684569E-2</v>
      </c>
      <c r="D675" s="92">
        <v>71</v>
      </c>
      <c r="G675" s="5"/>
      <c r="H675" s="5"/>
      <c r="L675" s="7"/>
      <c r="M675" s="7"/>
      <c r="O675" s="5"/>
      <c r="P675" s="5"/>
    </row>
    <row r="676" spans="2:16" x14ac:dyDescent="0.25">
      <c r="B676" s="90">
        <v>1514</v>
      </c>
      <c r="C676" s="91">
        <v>4.4177931783935587E-2</v>
      </c>
      <c r="D676" s="92">
        <v>71</v>
      </c>
      <c r="G676" s="5"/>
      <c r="H676" s="5"/>
      <c r="L676" s="7"/>
      <c r="M676" s="7"/>
      <c r="O676" s="5"/>
      <c r="P676" s="5"/>
    </row>
    <row r="677" spans="2:16" x14ac:dyDescent="0.25">
      <c r="B677" s="90">
        <v>978</v>
      </c>
      <c r="C677" s="91">
        <v>4.9349751050967727E-2</v>
      </c>
      <c r="D677" s="92">
        <v>71</v>
      </c>
      <c r="G677" s="5"/>
      <c r="H677" s="5"/>
      <c r="L677" s="7"/>
      <c r="M677" s="7"/>
      <c r="O677" s="5"/>
      <c r="P677" s="5"/>
    </row>
    <row r="678" spans="2:16" x14ac:dyDescent="0.25">
      <c r="B678" s="90">
        <v>1026</v>
      </c>
      <c r="C678" s="91">
        <v>6.2782836242675555E-2</v>
      </c>
      <c r="D678" s="92">
        <v>71</v>
      </c>
      <c r="G678" s="5"/>
      <c r="H678" s="5"/>
      <c r="L678" s="7"/>
      <c r="M678" s="7"/>
      <c r="O678" s="5"/>
      <c r="P678" s="5"/>
    </row>
    <row r="679" spans="2:16" x14ac:dyDescent="0.25">
      <c r="B679" s="90">
        <v>355</v>
      </c>
      <c r="C679" s="91">
        <v>0.101340424022618</v>
      </c>
      <c r="D679" s="92">
        <v>71</v>
      </c>
      <c r="G679" s="5"/>
      <c r="H679" s="5"/>
      <c r="L679" s="7"/>
      <c r="M679" s="7"/>
      <c r="O679" s="5"/>
      <c r="P679" s="5"/>
    </row>
    <row r="680" spans="2:16" x14ac:dyDescent="0.25">
      <c r="B680" s="90">
        <v>354</v>
      </c>
      <c r="C680" s="91">
        <v>0.11177403429731814</v>
      </c>
      <c r="D680" s="92">
        <v>71</v>
      </c>
      <c r="G680" s="5"/>
      <c r="H680" s="5"/>
      <c r="L680" s="7"/>
      <c r="M680" s="7"/>
      <c r="O680" s="5"/>
      <c r="P680" s="5"/>
    </row>
    <row r="681" spans="2:16" x14ac:dyDescent="0.25">
      <c r="B681" s="90">
        <v>1201</v>
      </c>
      <c r="C681" s="91">
        <v>0.12568430576193745</v>
      </c>
      <c r="D681" s="92">
        <v>71</v>
      </c>
      <c r="G681" s="5"/>
      <c r="H681" s="5"/>
      <c r="L681" s="7"/>
      <c r="M681" s="7"/>
      <c r="O681" s="5"/>
      <c r="P681" s="5"/>
    </row>
    <row r="682" spans="2:16" x14ac:dyDescent="0.25">
      <c r="B682" s="90">
        <v>807</v>
      </c>
      <c r="C682" s="91">
        <v>0.13375920657875295</v>
      </c>
      <c r="D682" s="92">
        <v>71</v>
      </c>
      <c r="G682" s="5"/>
      <c r="H682" s="5"/>
      <c r="L682" s="7"/>
      <c r="M682" s="7"/>
      <c r="O682" s="5"/>
      <c r="P682" s="5"/>
    </row>
    <row r="683" spans="2:16" x14ac:dyDescent="0.25">
      <c r="B683" s="90">
        <v>754</v>
      </c>
      <c r="C683" s="91">
        <v>0.13482299004687781</v>
      </c>
      <c r="D683" s="92">
        <v>71</v>
      </c>
      <c r="G683" s="5"/>
      <c r="H683" s="5"/>
      <c r="L683" s="7"/>
      <c r="M683" s="7"/>
      <c r="O683" s="5"/>
      <c r="P683" s="5"/>
    </row>
    <row r="684" spans="2:16" x14ac:dyDescent="0.25">
      <c r="B684" s="90">
        <v>859</v>
      </c>
      <c r="C684" s="91">
        <v>0.13493439231931958</v>
      </c>
      <c r="D684" s="92">
        <v>71</v>
      </c>
      <c r="G684" s="5"/>
      <c r="H684" s="5"/>
      <c r="L684" s="7"/>
      <c r="M684" s="7"/>
      <c r="O684" s="5"/>
      <c r="P684" s="5"/>
    </row>
    <row r="685" spans="2:16" x14ac:dyDescent="0.25">
      <c r="B685" s="90">
        <v>357</v>
      </c>
      <c r="C685" s="91">
        <v>0.13575203532289115</v>
      </c>
      <c r="D685" s="92">
        <v>71</v>
      </c>
      <c r="G685" s="5"/>
      <c r="H685" s="5"/>
      <c r="L685" s="7"/>
      <c r="M685" s="7"/>
      <c r="O685" s="5"/>
      <c r="P685" s="5"/>
    </row>
    <row r="686" spans="2:16" x14ac:dyDescent="0.25">
      <c r="B686" s="90">
        <v>356</v>
      </c>
      <c r="C686" s="91">
        <v>0.13672928420070807</v>
      </c>
      <c r="D686" s="92">
        <v>71</v>
      </c>
      <c r="G686" s="5"/>
      <c r="H686" s="5"/>
      <c r="L686" s="7"/>
      <c r="M686" s="7"/>
      <c r="O686" s="5"/>
      <c r="P686" s="5"/>
    </row>
    <row r="687" spans="2:16" x14ac:dyDescent="0.25">
      <c r="B687" s="90">
        <v>700</v>
      </c>
      <c r="C687" s="91">
        <v>0.13759526924486742</v>
      </c>
      <c r="D687" s="92">
        <v>71</v>
      </c>
      <c r="G687" s="5"/>
      <c r="H687" s="5"/>
      <c r="L687" s="7"/>
      <c r="M687" s="7"/>
      <c r="O687" s="5"/>
      <c r="P687" s="5"/>
    </row>
    <row r="688" spans="2:16" x14ac:dyDescent="0.25">
      <c r="B688" s="90">
        <v>836</v>
      </c>
      <c r="C688" s="91">
        <v>0.13934606404005201</v>
      </c>
      <c r="D688" s="92">
        <v>71</v>
      </c>
      <c r="G688" s="5"/>
      <c r="H688" s="5"/>
      <c r="L688" s="7"/>
      <c r="M688" s="7"/>
      <c r="O688" s="5"/>
      <c r="P688" s="5"/>
    </row>
    <row r="689" spans="2:16" x14ac:dyDescent="0.25">
      <c r="B689" s="90">
        <v>784</v>
      </c>
      <c r="C689" s="91">
        <v>0.1441739642951767</v>
      </c>
      <c r="D689" s="92">
        <v>71</v>
      </c>
      <c r="G689" s="5"/>
      <c r="H689" s="5"/>
      <c r="L689" s="7"/>
      <c r="M689" s="7"/>
      <c r="O689" s="5"/>
      <c r="P689" s="5"/>
    </row>
    <row r="690" spans="2:16" x14ac:dyDescent="0.25">
      <c r="B690" s="90">
        <v>731</v>
      </c>
      <c r="C690" s="91">
        <v>0.14618931266174173</v>
      </c>
      <c r="D690" s="92">
        <v>71</v>
      </c>
      <c r="G690" s="5"/>
      <c r="H690" s="5"/>
      <c r="L690" s="7"/>
      <c r="M690" s="7"/>
      <c r="O690" s="5"/>
      <c r="P690" s="5"/>
    </row>
    <row r="691" spans="2:16" x14ac:dyDescent="0.25">
      <c r="B691" s="90">
        <v>910</v>
      </c>
      <c r="C691" s="91">
        <v>0.15054776183595675</v>
      </c>
      <c r="D691" s="92">
        <v>71</v>
      </c>
      <c r="G691" s="5"/>
      <c r="H691" s="5"/>
      <c r="L691" s="7"/>
      <c r="M691" s="7"/>
      <c r="O691" s="5"/>
      <c r="P691" s="5"/>
    </row>
    <row r="692" spans="2:16" x14ac:dyDescent="0.25">
      <c r="B692" s="90">
        <v>753</v>
      </c>
      <c r="C692" s="91">
        <v>0.1510418704867178</v>
      </c>
      <c r="D692" s="92">
        <v>71</v>
      </c>
      <c r="G692" s="5"/>
      <c r="H692" s="5"/>
      <c r="L692" s="7"/>
      <c r="M692" s="7"/>
      <c r="O692" s="5"/>
      <c r="P692" s="5"/>
    </row>
    <row r="693" spans="2:16" x14ac:dyDescent="0.25">
      <c r="B693" s="90">
        <v>806</v>
      </c>
      <c r="C693" s="91">
        <v>0.15105698791778199</v>
      </c>
      <c r="D693" s="92">
        <v>71</v>
      </c>
      <c r="G693" s="5"/>
      <c r="H693" s="5"/>
      <c r="L693" s="7"/>
      <c r="M693" s="7"/>
      <c r="O693" s="5"/>
      <c r="P693" s="5"/>
    </row>
    <row r="694" spans="2:16" x14ac:dyDescent="0.25">
      <c r="B694" s="90">
        <v>699</v>
      </c>
      <c r="C694" s="91">
        <v>0.15154485280609209</v>
      </c>
      <c r="D694" s="92">
        <v>71</v>
      </c>
      <c r="G694" s="5"/>
      <c r="H694" s="5"/>
      <c r="L694" s="7"/>
      <c r="M694" s="7"/>
      <c r="O694" s="5"/>
      <c r="P694" s="5"/>
    </row>
    <row r="695" spans="2:16" x14ac:dyDescent="0.25">
      <c r="B695" s="90">
        <v>808</v>
      </c>
      <c r="C695" s="91">
        <v>0.16596180513630576</v>
      </c>
      <c r="D695" s="92">
        <v>71</v>
      </c>
      <c r="G695" s="5"/>
      <c r="H695" s="5"/>
      <c r="L695" s="7"/>
      <c r="M695" s="7"/>
      <c r="O695" s="5"/>
      <c r="P695" s="5"/>
    </row>
    <row r="696" spans="2:16" x14ac:dyDescent="0.25">
      <c r="B696" s="90">
        <v>860</v>
      </c>
      <c r="C696" s="91">
        <v>0.16629101896603782</v>
      </c>
      <c r="D696" s="92">
        <v>71</v>
      </c>
      <c r="G696" s="5"/>
      <c r="H696" s="5"/>
      <c r="L696" s="7"/>
      <c r="M696" s="7"/>
      <c r="O696" s="5"/>
      <c r="P696" s="5"/>
    </row>
    <row r="697" spans="2:16" x14ac:dyDescent="0.25">
      <c r="B697" s="90">
        <v>755</v>
      </c>
      <c r="C697" s="91">
        <v>0.16724350686215406</v>
      </c>
      <c r="D697" s="92">
        <v>71</v>
      </c>
      <c r="G697" s="5"/>
      <c r="H697" s="5"/>
      <c r="L697" s="7"/>
      <c r="M697" s="7"/>
      <c r="O697" s="5"/>
      <c r="P697" s="5"/>
    </row>
    <row r="698" spans="2:16" x14ac:dyDescent="0.25">
      <c r="B698" s="90">
        <v>701</v>
      </c>
      <c r="C698" s="91">
        <v>0.17018996374157647</v>
      </c>
      <c r="D698" s="92">
        <v>71</v>
      </c>
      <c r="G698" s="5"/>
      <c r="H698" s="5"/>
      <c r="L698" s="7"/>
      <c r="M698" s="7"/>
      <c r="O698" s="5"/>
      <c r="P698" s="5"/>
    </row>
    <row r="699" spans="2:16" x14ac:dyDescent="0.25">
      <c r="B699" s="90">
        <v>911</v>
      </c>
      <c r="C699" s="91">
        <v>0.18104771255152674</v>
      </c>
      <c r="D699" s="92">
        <v>71</v>
      </c>
      <c r="G699" s="5"/>
      <c r="H699" s="5"/>
      <c r="L699" s="7"/>
      <c r="M699" s="7"/>
      <c r="O699" s="5"/>
      <c r="P699" s="5"/>
    </row>
    <row r="700" spans="2:16" x14ac:dyDescent="0.25">
      <c r="B700" s="90">
        <v>1811</v>
      </c>
      <c r="C700" s="91">
        <v>1.5862667976521139E-2</v>
      </c>
      <c r="D700" s="92">
        <v>72</v>
      </c>
      <c r="G700" s="5"/>
      <c r="H700" s="5"/>
      <c r="L700" s="7"/>
      <c r="M700" s="7"/>
      <c r="O700" s="5"/>
      <c r="P700" s="5"/>
    </row>
    <row r="701" spans="2:16" x14ac:dyDescent="0.25">
      <c r="B701" s="90">
        <v>1454</v>
      </c>
      <c r="C701" s="91">
        <v>3.651608764351999E-2</v>
      </c>
      <c r="D701" s="92">
        <v>72</v>
      </c>
      <c r="G701" s="5"/>
      <c r="H701" s="5"/>
      <c r="L701" s="7"/>
      <c r="M701" s="7"/>
      <c r="O701" s="5"/>
      <c r="P701" s="5"/>
    </row>
    <row r="702" spans="2:16" x14ac:dyDescent="0.25">
      <c r="B702" s="90">
        <v>1763</v>
      </c>
      <c r="C702" s="91">
        <v>3.7772296845178577E-2</v>
      </c>
      <c r="D702" s="92">
        <v>72</v>
      </c>
      <c r="G702" s="5"/>
      <c r="H702" s="5"/>
      <c r="L702" s="7"/>
      <c r="M702" s="7"/>
      <c r="O702" s="5"/>
      <c r="P702" s="5"/>
    </row>
    <row r="703" spans="2:16" x14ac:dyDescent="0.25">
      <c r="B703" s="90">
        <v>1722</v>
      </c>
      <c r="C703" s="91">
        <v>4.3459859890319086E-2</v>
      </c>
      <c r="D703" s="92">
        <v>72</v>
      </c>
      <c r="G703" s="5"/>
      <c r="H703" s="5"/>
      <c r="L703" s="7"/>
      <c r="M703" s="7"/>
      <c r="O703" s="5"/>
      <c r="P703" s="5"/>
    </row>
    <row r="704" spans="2:16" x14ac:dyDescent="0.25">
      <c r="B704" s="90">
        <v>1777</v>
      </c>
      <c r="C704" s="91">
        <v>4.7129243968832224E-2</v>
      </c>
      <c r="D704" s="92">
        <v>72</v>
      </c>
      <c r="G704" s="5"/>
      <c r="H704" s="5"/>
      <c r="L704" s="7"/>
      <c r="M704" s="7"/>
      <c r="O704" s="5"/>
      <c r="P704" s="5"/>
    </row>
    <row r="705" spans="2:16" x14ac:dyDescent="0.25">
      <c r="B705" s="90">
        <v>1749</v>
      </c>
      <c r="C705" s="91">
        <v>4.8203290912136376E-2</v>
      </c>
      <c r="D705" s="92">
        <v>72</v>
      </c>
      <c r="G705" s="5"/>
      <c r="H705" s="5"/>
      <c r="L705" s="7"/>
      <c r="M705" s="7"/>
      <c r="O705" s="5"/>
      <c r="P705" s="5"/>
    </row>
    <row r="706" spans="2:16" x14ac:dyDescent="0.25">
      <c r="B706" s="90">
        <v>1770</v>
      </c>
      <c r="C706" s="91">
        <v>6.3457305437811251E-2</v>
      </c>
      <c r="D706" s="92">
        <v>72</v>
      </c>
      <c r="G706" s="5"/>
      <c r="H706" s="5"/>
      <c r="L706" s="7"/>
      <c r="M706" s="7"/>
      <c r="O706" s="5"/>
      <c r="P706" s="5"/>
    </row>
    <row r="707" spans="2:16" x14ac:dyDescent="0.25">
      <c r="B707" s="90">
        <v>1742</v>
      </c>
      <c r="C707" s="91">
        <v>6.5675201134106631E-2</v>
      </c>
      <c r="D707" s="92">
        <v>72</v>
      </c>
      <c r="G707" s="5"/>
      <c r="H707" s="5"/>
      <c r="L707" s="7"/>
      <c r="M707" s="7"/>
      <c r="O707" s="5"/>
      <c r="P707" s="5"/>
    </row>
    <row r="708" spans="2:16" x14ac:dyDescent="0.25">
      <c r="B708" s="90">
        <v>1780</v>
      </c>
      <c r="C708" s="91">
        <v>8.2926048144606801E-2</v>
      </c>
      <c r="D708" s="92">
        <v>72</v>
      </c>
      <c r="G708" s="5"/>
      <c r="H708" s="5"/>
      <c r="L708" s="7"/>
      <c r="M708" s="7"/>
      <c r="O708" s="5"/>
      <c r="P708" s="5"/>
    </row>
    <row r="709" spans="2:16" x14ac:dyDescent="0.25">
      <c r="B709" s="90">
        <v>1778</v>
      </c>
      <c r="C709" s="91">
        <v>8.3230091071100576E-2</v>
      </c>
      <c r="D709" s="92">
        <v>72</v>
      </c>
      <c r="G709" s="5"/>
      <c r="H709" s="5"/>
      <c r="L709" s="7"/>
      <c r="M709" s="7"/>
      <c r="O709" s="5"/>
      <c r="P709" s="5"/>
    </row>
    <row r="710" spans="2:16" x14ac:dyDescent="0.25">
      <c r="B710" s="90">
        <v>1750</v>
      </c>
      <c r="C710" s="91">
        <v>8.5180372087656275E-2</v>
      </c>
      <c r="D710" s="92">
        <v>72</v>
      </c>
      <c r="G710" s="5"/>
      <c r="H710" s="5"/>
      <c r="L710" s="7"/>
      <c r="M710" s="7"/>
      <c r="O710" s="5"/>
      <c r="P710" s="5"/>
    </row>
    <row r="711" spans="2:16" x14ac:dyDescent="0.25">
      <c r="B711" s="90">
        <v>1819</v>
      </c>
      <c r="C711" s="91">
        <v>9.1256240421866641E-2</v>
      </c>
      <c r="D711" s="92">
        <v>72</v>
      </c>
      <c r="G711" s="5"/>
      <c r="H711" s="5"/>
      <c r="L711" s="7"/>
      <c r="M711" s="7"/>
      <c r="O711" s="5"/>
      <c r="P711" s="5"/>
    </row>
    <row r="712" spans="2:16" x14ac:dyDescent="0.25">
      <c r="B712" s="90">
        <v>1927</v>
      </c>
      <c r="C712" s="91">
        <v>9.8261923761943093E-2</v>
      </c>
      <c r="D712" s="92">
        <v>72</v>
      </c>
      <c r="G712" s="5"/>
      <c r="H712" s="5"/>
      <c r="L712" s="7"/>
      <c r="M712" s="7"/>
      <c r="O712" s="5"/>
      <c r="P712" s="5"/>
    </row>
    <row r="713" spans="2:16" x14ac:dyDescent="0.25">
      <c r="B713" s="90">
        <v>645</v>
      </c>
      <c r="C713" s="91">
        <v>0.14441333487289587</v>
      </c>
      <c r="D713" s="92">
        <v>72</v>
      </c>
      <c r="G713" s="5"/>
      <c r="H713" s="5"/>
      <c r="L713" s="7"/>
      <c r="M713" s="7"/>
      <c r="O713" s="5"/>
      <c r="P713" s="5"/>
    </row>
    <row r="714" spans="2:16" x14ac:dyDescent="0.25">
      <c r="B714" s="90">
        <v>646</v>
      </c>
      <c r="C714" s="91">
        <v>0.1774207673879481</v>
      </c>
      <c r="D714" s="92">
        <v>72</v>
      </c>
      <c r="G714" s="5"/>
      <c r="H714" s="5"/>
      <c r="L714" s="7"/>
      <c r="M714" s="7"/>
      <c r="O714" s="5"/>
      <c r="P714" s="5"/>
    </row>
    <row r="715" spans="2:16" x14ac:dyDescent="0.25">
      <c r="B715" s="90">
        <v>1717</v>
      </c>
      <c r="C715" s="91">
        <v>0.18720219092896828</v>
      </c>
      <c r="D715" s="92">
        <v>72</v>
      </c>
      <c r="G715" s="5"/>
      <c r="H715" s="5"/>
      <c r="L715" s="7"/>
      <c r="M715" s="7"/>
      <c r="O715" s="5"/>
      <c r="P715" s="5"/>
    </row>
    <row r="716" spans="2:16" x14ac:dyDescent="0.25">
      <c r="B716" s="90">
        <v>524</v>
      </c>
      <c r="C716" s="91">
        <v>0.19830159657304181</v>
      </c>
      <c r="D716" s="92">
        <v>72</v>
      </c>
      <c r="G716" s="5"/>
      <c r="H716" s="5"/>
      <c r="L716" s="7"/>
      <c r="M716" s="7"/>
      <c r="O716" s="5"/>
      <c r="P716" s="5"/>
    </row>
    <row r="717" spans="2:16" x14ac:dyDescent="0.25">
      <c r="B717" s="90">
        <v>582</v>
      </c>
      <c r="C717" s="91">
        <v>0.19929395440460418</v>
      </c>
      <c r="D717" s="92">
        <v>72</v>
      </c>
      <c r="G717" s="5"/>
      <c r="H717" s="5"/>
      <c r="L717" s="7"/>
      <c r="M717" s="7"/>
      <c r="O717" s="5"/>
      <c r="P717" s="5"/>
    </row>
    <row r="718" spans="2:16" x14ac:dyDescent="0.25">
      <c r="B718" s="90">
        <v>583</v>
      </c>
      <c r="C718" s="91">
        <v>0.20788415014805861</v>
      </c>
      <c r="D718" s="92">
        <v>72</v>
      </c>
      <c r="G718" s="5"/>
      <c r="H718" s="5"/>
      <c r="L718" s="7"/>
      <c r="M718" s="7"/>
      <c r="O718" s="5"/>
      <c r="P718" s="5"/>
    </row>
    <row r="719" spans="2:16" x14ac:dyDescent="0.25">
      <c r="B719" s="90">
        <v>1773</v>
      </c>
      <c r="C719" s="91">
        <v>0.20816405365198287</v>
      </c>
      <c r="D719" s="92">
        <v>72</v>
      </c>
      <c r="G719" s="5"/>
      <c r="H719" s="5"/>
      <c r="L719" s="7"/>
      <c r="M719" s="7"/>
      <c r="O719" s="5"/>
      <c r="P719" s="5"/>
    </row>
    <row r="720" spans="2:16" x14ac:dyDescent="0.25">
      <c r="B720" s="90">
        <v>227</v>
      </c>
      <c r="C720" s="91">
        <v>0.20925179261413485</v>
      </c>
      <c r="D720" s="92">
        <v>72</v>
      </c>
      <c r="G720" s="5"/>
      <c r="H720" s="5"/>
      <c r="L720" s="7"/>
      <c r="M720" s="7"/>
      <c r="O720" s="5"/>
      <c r="P720" s="5"/>
    </row>
    <row r="721" spans="2:16" x14ac:dyDescent="0.25">
      <c r="B721" s="90">
        <v>1110</v>
      </c>
      <c r="C721" s="91">
        <v>0.23547598714186502</v>
      </c>
      <c r="D721" s="92">
        <v>72</v>
      </c>
      <c r="G721" s="5"/>
      <c r="H721" s="5"/>
      <c r="L721" s="7"/>
      <c r="M721" s="7"/>
      <c r="O721" s="5"/>
      <c r="P721" s="5"/>
    </row>
    <row r="722" spans="2:16" x14ac:dyDescent="0.25">
      <c r="B722" s="90">
        <v>814</v>
      </c>
      <c r="C722" s="91">
        <v>0.25918316728949375</v>
      </c>
      <c r="D722" s="92">
        <v>72</v>
      </c>
      <c r="G722" s="5"/>
      <c r="H722" s="5"/>
      <c r="L722" s="7"/>
      <c r="M722" s="7"/>
      <c r="O722" s="5"/>
      <c r="P722" s="5"/>
    </row>
    <row r="723" spans="2:16" x14ac:dyDescent="0.25">
      <c r="B723" s="90">
        <v>761</v>
      </c>
      <c r="C723" s="91">
        <v>0.26057311115990422</v>
      </c>
      <c r="D723" s="92">
        <v>72</v>
      </c>
      <c r="G723" s="5"/>
      <c r="H723" s="5"/>
      <c r="L723" s="7"/>
      <c r="M723" s="7"/>
      <c r="O723" s="5"/>
      <c r="P723" s="5"/>
    </row>
    <row r="724" spans="2:16" x14ac:dyDescent="0.25">
      <c r="B724" s="90">
        <v>1208</v>
      </c>
      <c r="C724" s="91">
        <v>4.1830685349938168E-2</v>
      </c>
      <c r="D724" s="92">
        <v>73</v>
      </c>
      <c r="G724" s="5"/>
      <c r="H724" s="5"/>
      <c r="L724" s="7"/>
      <c r="M724" s="7"/>
      <c r="O724" s="5"/>
      <c r="P724" s="5"/>
    </row>
    <row r="725" spans="2:16" x14ac:dyDescent="0.25">
      <c r="B725" s="90">
        <v>1168</v>
      </c>
      <c r="C725" s="91">
        <v>4.8294641231531932E-2</v>
      </c>
      <c r="D725" s="92">
        <v>73</v>
      </c>
      <c r="G725" s="5"/>
      <c r="H725" s="5"/>
      <c r="L725" s="7"/>
      <c r="M725" s="7"/>
      <c r="O725" s="5"/>
      <c r="P725" s="5"/>
    </row>
    <row r="726" spans="2:16" x14ac:dyDescent="0.25">
      <c r="B726" s="90">
        <v>337</v>
      </c>
      <c r="C726" s="91">
        <v>6.6964140532105421E-2</v>
      </c>
      <c r="D726" s="92">
        <v>73</v>
      </c>
      <c r="G726" s="5"/>
      <c r="H726" s="5"/>
      <c r="L726" s="7"/>
      <c r="M726" s="7"/>
      <c r="O726" s="5"/>
      <c r="P726" s="5"/>
    </row>
    <row r="727" spans="2:16" x14ac:dyDescent="0.25">
      <c r="B727" s="90">
        <v>1123</v>
      </c>
      <c r="C727" s="91">
        <v>7.2973104658751065E-2</v>
      </c>
      <c r="D727" s="92">
        <v>73</v>
      </c>
      <c r="G727" s="5"/>
      <c r="H727" s="5"/>
      <c r="L727" s="7"/>
      <c r="M727" s="7"/>
      <c r="O727" s="5"/>
      <c r="P727" s="5"/>
    </row>
    <row r="728" spans="2:16" x14ac:dyDescent="0.25">
      <c r="B728" s="90">
        <v>1077</v>
      </c>
      <c r="C728" s="91">
        <v>7.5253717049994173E-2</v>
      </c>
      <c r="D728" s="92">
        <v>73</v>
      </c>
      <c r="G728" s="5"/>
      <c r="H728" s="5"/>
      <c r="L728" s="7"/>
      <c r="M728" s="7"/>
      <c r="O728" s="5"/>
      <c r="P728" s="5"/>
    </row>
    <row r="729" spans="2:16" x14ac:dyDescent="0.25">
      <c r="B729" s="90">
        <v>1297</v>
      </c>
      <c r="C729" s="91">
        <v>7.7059089573151995E-2</v>
      </c>
      <c r="D729" s="92">
        <v>73</v>
      </c>
      <c r="G729" s="5"/>
      <c r="H729" s="5"/>
      <c r="L729" s="7"/>
      <c r="M729" s="7"/>
      <c r="O729" s="5"/>
      <c r="P729" s="5"/>
    </row>
    <row r="730" spans="2:16" x14ac:dyDescent="0.25">
      <c r="B730" s="90">
        <v>1081</v>
      </c>
      <c r="C730" s="91">
        <v>8.8136625647615152E-2</v>
      </c>
      <c r="D730" s="92">
        <v>73</v>
      </c>
      <c r="G730" s="5"/>
      <c r="H730" s="5"/>
      <c r="L730" s="7"/>
      <c r="M730" s="7"/>
      <c r="O730" s="5"/>
      <c r="P730" s="5"/>
    </row>
    <row r="731" spans="2:16" x14ac:dyDescent="0.25">
      <c r="B731" s="90">
        <v>1127</v>
      </c>
      <c r="C731" s="91">
        <v>9.3583143467292795E-2</v>
      </c>
      <c r="D731" s="92">
        <v>73</v>
      </c>
      <c r="G731" s="5"/>
      <c r="H731" s="5"/>
      <c r="L731" s="7"/>
      <c r="M731" s="7"/>
      <c r="O731" s="5"/>
      <c r="P731" s="5"/>
    </row>
    <row r="732" spans="2:16" x14ac:dyDescent="0.25">
      <c r="B732" s="90">
        <v>294</v>
      </c>
      <c r="C732" s="91">
        <v>0.10333797468784922</v>
      </c>
      <c r="D732" s="92">
        <v>73</v>
      </c>
      <c r="G732" s="5"/>
      <c r="H732" s="5"/>
      <c r="L732" s="7"/>
      <c r="M732" s="7"/>
      <c r="O732" s="5"/>
      <c r="P732" s="5"/>
    </row>
    <row r="733" spans="2:16" x14ac:dyDescent="0.25">
      <c r="B733" s="90">
        <v>293</v>
      </c>
      <c r="C733" s="91">
        <v>0.11335645123665417</v>
      </c>
      <c r="D733" s="92">
        <v>73</v>
      </c>
      <c r="G733" s="5"/>
      <c r="H733" s="5"/>
      <c r="L733" s="7"/>
      <c r="M733" s="7"/>
      <c r="O733" s="5"/>
      <c r="P733" s="5"/>
    </row>
    <row r="734" spans="2:16" x14ac:dyDescent="0.25">
      <c r="B734" s="90">
        <v>1034</v>
      </c>
      <c r="C734" s="91">
        <v>0.11349574049268385</v>
      </c>
      <c r="D734" s="92">
        <v>73</v>
      </c>
      <c r="G734" s="5"/>
      <c r="H734" s="5"/>
      <c r="L734" s="7"/>
      <c r="M734" s="7"/>
      <c r="O734" s="5"/>
      <c r="P734" s="5"/>
    </row>
    <row r="735" spans="2:16" x14ac:dyDescent="0.25">
      <c r="B735" s="90">
        <v>1251</v>
      </c>
      <c r="C735" s="91">
        <v>0.13117106609116691</v>
      </c>
      <c r="D735" s="92">
        <v>73</v>
      </c>
      <c r="G735" s="5"/>
      <c r="H735" s="5"/>
      <c r="L735" s="7"/>
      <c r="M735" s="7"/>
      <c r="O735" s="5"/>
      <c r="P735" s="5"/>
    </row>
    <row r="736" spans="2:16" x14ac:dyDescent="0.25">
      <c r="B736" s="90">
        <v>296</v>
      </c>
      <c r="C736" s="91">
        <v>0.13730630242647313</v>
      </c>
      <c r="D736" s="92">
        <v>73</v>
      </c>
      <c r="G736" s="5"/>
      <c r="H736" s="5"/>
      <c r="L736" s="7"/>
      <c r="M736" s="7"/>
      <c r="O736" s="5"/>
      <c r="P736" s="5"/>
    </row>
    <row r="737" spans="2:16" x14ac:dyDescent="0.25">
      <c r="B737" s="90">
        <v>295</v>
      </c>
      <c r="C737" s="91">
        <v>0.13882144711176925</v>
      </c>
      <c r="D737" s="92">
        <v>73</v>
      </c>
      <c r="G737" s="5"/>
      <c r="H737" s="5"/>
      <c r="L737" s="7"/>
      <c r="M737" s="7"/>
      <c r="O737" s="5"/>
      <c r="P737" s="5"/>
    </row>
    <row r="738" spans="2:16" x14ac:dyDescent="0.25">
      <c r="B738" s="90">
        <v>677</v>
      </c>
      <c r="C738" s="91">
        <v>0.14985961816719728</v>
      </c>
      <c r="D738" s="92">
        <v>73</v>
      </c>
      <c r="G738" s="5"/>
      <c r="H738" s="5"/>
      <c r="L738" s="7"/>
      <c r="M738" s="7"/>
      <c r="O738" s="5"/>
      <c r="P738" s="5"/>
    </row>
    <row r="739" spans="2:16" x14ac:dyDescent="0.25">
      <c r="B739" s="90">
        <v>1207</v>
      </c>
      <c r="C739" s="91">
        <v>0.15242741838561757</v>
      </c>
      <c r="D739" s="92">
        <v>73</v>
      </c>
      <c r="G739" s="5"/>
      <c r="H739" s="5"/>
      <c r="L739" s="7"/>
      <c r="M739" s="7"/>
      <c r="O739" s="5"/>
      <c r="P739" s="5"/>
    </row>
    <row r="740" spans="2:16" x14ac:dyDescent="0.25">
      <c r="B740" s="90">
        <v>668</v>
      </c>
      <c r="C740" s="91">
        <v>0.16291909708581453</v>
      </c>
      <c r="D740" s="92">
        <v>73</v>
      </c>
      <c r="G740" s="5"/>
      <c r="H740" s="5"/>
      <c r="L740" s="7"/>
      <c r="M740" s="7"/>
      <c r="O740" s="5"/>
      <c r="P740" s="5"/>
    </row>
    <row r="741" spans="2:16" x14ac:dyDescent="0.25">
      <c r="B741" s="90">
        <v>722</v>
      </c>
      <c r="C741" s="91">
        <v>0.17308273020301379</v>
      </c>
      <c r="D741" s="92">
        <v>73</v>
      </c>
      <c r="G741" s="5"/>
      <c r="H741" s="5"/>
      <c r="L741" s="7"/>
      <c r="M741" s="7"/>
      <c r="O741" s="5"/>
      <c r="P741" s="5"/>
    </row>
    <row r="742" spans="2:16" x14ac:dyDescent="0.25">
      <c r="B742" s="90">
        <v>775</v>
      </c>
      <c r="C742" s="91">
        <v>0.17756693324561179</v>
      </c>
      <c r="D742" s="92">
        <v>73</v>
      </c>
      <c r="G742" s="5"/>
      <c r="H742" s="5"/>
      <c r="L742" s="7"/>
      <c r="M742" s="7"/>
      <c r="O742" s="5"/>
      <c r="P742" s="5"/>
    </row>
    <row r="743" spans="2:16" x14ac:dyDescent="0.25">
      <c r="B743" s="90">
        <v>878</v>
      </c>
      <c r="C743" s="91">
        <v>0.18253023778558797</v>
      </c>
      <c r="D743" s="92">
        <v>73</v>
      </c>
      <c r="G743" s="5"/>
      <c r="H743" s="5"/>
      <c r="L743" s="7"/>
      <c r="M743" s="7"/>
      <c r="O743" s="5"/>
      <c r="P743" s="5"/>
    </row>
    <row r="744" spans="2:16" x14ac:dyDescent="0.25">
      <c r="B744" s="90">
        <v>827</v>
      </c>
      <c r="C744" s="91">
        <v>0.18813395924006082</v>
      </c>
      <c r="D744" s="92">
        <v>73</v>
      </c>
      <c r="G744" s="5"/>
      <c r="H744" s="5"/>
      <c r="L744" s="7"/>
      <c r="M744" s="7"/>
      <c r="O744" s="5"/>
      <c r="P744" s="5"/>
    </row>
    <row r="745" spans="2:16" x14ac:dyDescent="0.25">
      <c r="B745" s="90">
        <v>952</v>
      </c>
      <c r="C745" s="91">
        <v>0.19861495046695465</v>
      </c>
      <c r="D745" s="92">
        <v>73</v>
      </c>
      <c r="G745" s="5"/>
      <c r="H745" s="5"/>
      <c r="L745" s="7"/>
      <c r="M745" s="7"/>
      <c r="O745" s="5"/>
      <c r="P745" s="5"/>
    </row>
    <row r="746" spans="2:16" x14ac:dyDescent="0.25">
      <c r="B746" s="90">
        <v>1003</v>
      </c>
      <c r="C746" s="91">
        <v>0.20432048767735933</v>
      </c>
      <c r="D746" s="92">
        <v>73</v>
      </c>
      <c r="G746" s="5"/>
      <c r="H746" s="5"/>
      <c r="L746" s="7"/>
      <c r="M746" s="7"/>
      <c r="O746" s="5"/>
      <c r="P746" s="5"/>
    </row>
    <row r="747" spans="2:16" x14ac:dyDescent="0.25">
      <c r="B747" s="90">
        <v>1431</v>
      </c>
      <c r="C747" s="91">
        <v>0.23630147261783563</v>
      </c>
      <c r="D747" s="92">
        <v>73</v>
      </c>
      <c r="G747" s="5"/>
      <c r="H747" s="5"/>
      <c r="L747" s="7"/>
      <c r="M747" s="7"/>
      <c r="O747" s="5"/>
      <c r="P747" s="5"/>
    </row>
    <row r="748" spans="2:16" x14ac:dyDescent="0.25">
      <c r="B748" s="90">
        <v>720</v>
      </c>
      <c r="C748" s="91">
        <v>0.24143280444815907</v>
      </c>
      <c r="D748" s="92">
        <v>73</v>
      </c>
      <c r="G748" s="5"/>
      <c r="H748" s="5"/>
      <c r="L748" s="7"/>
      <c r="M748" s="7"/>
      <c r="O748" s="5"/>
      <c r="P748" s="5"/>
    </row>
    <row r="749" spans="2:16" x14ac:dyDescent="0.25">
      <c r="B749" s="90">
        <v>773</v>
      </c>
      <c r="C749" s="91">
        <v>0.2453532777854861</v>
      </c>
      <c r="D749" s="92">
        <v>73</v>
      </c>
      <c r="G749" s="5"/>
      <c r="H749" s="5"/>
      <c r="L749" s="7"/>
      <c r="M749" s="7"/>
      <c r="O749" s="5"/>
      <c r="P749" s="5"/>
    </row>
    <row r="750" spans="2:16" x14ac:dyDescent="0.25">
      <c r="B750" s="90">
        <v>825</v>
      </c>
      <c r="C750" s="91">
        <v>0.25384682024578731</v>
      </c>
      <c r="D750" s="92">
        <v>73</v>
      </c>
      <c r="G750" s="5"/>
      <c r="H750" s="5"/>
      <c r="L750" s="7"/>
      <c r="M750" s="7"/>
      <c r="O750" s="5"/>
      <c r="P750" s="5"/>
    </row>
    <row r="751" spans="2:16" x14ac:dyDescent="0.25">
      <c r="B751" s="90">
        <v>261</v>
      </c>
      <c r="C751" s="91">
        <v>0.26101114505992085</v>
      </c>
      <c r="D751" s="92">
        <v>73</v>
      </c>
      <c r="G751" s="5"/>
      <c r="H751" s="5"/>
      <c r="L751" s="7"/>
      <c r="M751" s="7"/>
      <c r="O751" s="5"/>
      <c r="P751" s="5"/>
    </row>
    <row r="752" spans="2:16" x14ac:dyDescent="0.25">
      <c r="B752" s="90">
        <v>322</v>
      </c>
      <c r="C752" s="91">
        <v>0.26515523003742714</v>
      </c>
      <c r="D752" s="92">
        <v>73</v>
      </c>
      <c r="G752" s="5"/>
      <c r="H752" s="5"/>
      <c r="L752" s="7"/>
      <c r="M752" s="7"/>
      <c r="O752" s="5"/>
      <c r="P752" s="5"/>
    </row>
    <row r="753" spans="2:16" x14ac:dyDescent="0.25">
      <c r="B753" s="90">
        <v>721</v>
      </c>
      <c r="C753" s="91">
        <v>0.26875911196090296</v>
      </c>
      <c r="D753" s="92">
        <v>73</v>
      </c>
      <c r="G753" s="5"/>
      <c r="H753" s="5"/>
      <c r="L753" s="7"/>
      <c r="M753" s="7"/>
      <c r="O753" s="5"/>
      <c r="P753" s="5"/>
    </row>
    <row r="754" spans="2:16" x14ac:dyDescent="0.25">
      <c r="B754" s="90">
        <v>774</v>
      </c>
      <c r="C754" s="91">
        <v>0.27282819708749395</v>
      </c>
      <c r="D754" s="92">
        <v>73</v>
      </c>
      <c r="G754" s="5"/>
      <c r="H754" s="5"/>
      <c r="L754" s="7"/>
      <c r="M754" s="7"/>
      <c r="O754" s="5"/>
      <c r="P754" s="5"/>
    </row>
    <row r="755" spans="2:16" x14ac:dyDescent="0.25">
      <c r="B755" s="90">
        <v>826</v>
      </c>
      <c r="C755" s="91">
        <v>0.28154673514624262</v>
      </c>
      <c r="D755" s="92">
        <v>73</v>
      </c>
      <c r="G755" s="5"/>
      <c r="H755" s="5"/>
      <c r="L755" s="7"/>
      <c r="M755" s="7"/>
      <c r="O755" s="5"/>
      <c r="P755" s="5"/>
    </row>
    <row r="756" spans="2:16" x14ac:dyDescent="0.25">
      <c r="B756" s="90">
        <v>1292</v>
      </c>
      <c r="C756" s="91">
        <v>0.29710963771967269</v>
      </c>
      <c r="D756" s="92">
        <v>73</v>
      </c>
      <c r="G756" s="5"/>
      <c r="H756" s="5"/>
      <c r="L756" s="7"/>
      <c r="M756" s="7"/>
      <c r="O756" s="5"/>
      <c r="P756" s="5"/>
    </row>
    <row r="757" spans="2:16" x14ac:dyDescent="0.25">
      <c r="B757" s="90">
        <v>1291</v>
      </c>
      <c r="C757" s="91">
        <v>0.34753144322596796</v>
      </c>
      <c r="D757" s="92">
        <v>73</v>
      </c>
      <c r="G757" s="5"/>
      <c r="H757" s="5"/>
      <c r="L757" s="7"/>
      <c r="M757" s="7"/>
      <c r="O757" s="5"/>
      <c r="P757" s="5"/>
    </row>
    <row r="758" spans="2:16" x14ac:dyDescent="0.25">
      <c r="B758" s="90">
        <v>1814</v>
      </c>
      <c r="C758" s="91">
        <v>2.5597835373165845E-2</v>
      </c>
      <c r="D758" s="92">
        <v>74</v>
      </c>
      <c r="G758" s="5"/>
      <c r="H758" s="5"/>
      <c r="L758" s="7"/>
      <c r="M758" s="7"/>
      <c r="O758" s="5"/>
      <c r="P758" s="5"/>
    </row>
    <row r="759" spans="2:16" x14ac:dyDescent="0.25">
      <c r="B759" s="90">
        <v>1808</v>
      </c>
      <c r="C759" s="91">
        <v>2.7732808122942876E-2</v>
      </c>
      <c r="D759" s="92">
        <v>74</v>
      </c>
      <c r="G759" s="5"/>
      <c r="H759" s="5"/>
      <c r="L759" s="7"/>
      <c r="M759" s="7"/>
      <c r="O759" s="5"/>
      <c r="P759" s="5"/>
    </row>
    <row r="760" spans="2:16" x14ac:dyDescent="0.25">
      <c r="B760" s="90">
        <v>1837</v>
      </c>
      <c r="C760" s="91">
        <v>2.8319625518862801E-2</v>
      </c>
      <c r="D760" s="92">
        <v>74</v>
      </c>
      <c r="G760" s="5"/>
      <c r="H760" s="5"/>
      <c r="L760" s="7"/>
      <c r="M760" s="7"/>
      <c r="O760" s="5"/>
      <c r="P760" s="5"/>
    </row>
    <row r="761" spans="2:16" x14ac:dyDescent="0.25">
      <c r="B761" s="90">
        <v>1834</v>
      </c>
      <c r="C761" s="91">
        <v>3.8889500091453866E-2</v>
      </c>
      <c r="D761" s="92">
        <v>74</v>
      </c>
      <c r="G761" s="5"/>
      <c r="H761" s="5"/>
      <c r="L761" s="7"/>
      <c r="M761" s="7"/>
      <c r="O761" s="5"/>
      <c r="P761" s="5"/>
    </row>
    <row r="762" spans="2:16" x14ac:dyDescent="0.25">
      <c r="B762" s="90">
        <v>1813</v>
      </c>
      <c r="C762" s="91">
        <v>3.8966737748695413E-2</v>
      </c>
      <c r="D762" s="92">
        <v>74</v>
      </c>
      <c r="G762" s="5"/>
      <c r="H762" s="5"/>
      <c r="L762" s="7"/>
      <c r="M762" s="7"/>
      <c r="O762" s="5"/>
      <c r="P762" s="5"/>
    </row>
    <row r="763" spans="2:16" x14ac:dyDescent="0.25">
      <c r="B763" s="90">
        <v>1840</v>
      </c>
      <c r="C763" s="91">
        <v>4.5730019109793352E-2</v>
      </c>
      <c r="D763" s="92">
        <v>74</v>
      </c>
      <c r="G763" s="5"/>
      <c r="H763" s="5"/>
      <c r="L763" s="7"/>
      <c r="M763" s="7"/>
      <c r="O763" s="5"/>
      <c r="P763" s="5"/>
    </row>
    <row r="764" spans="2:16" x14ac:dyDescent="0.25">
      <c r="B764" s="90">
        <v>1882</v>
      </c>
      <c r="C764" s="91">
        <v>4.6942013210201305E-2</v>
      </c>
      <c r="D764" s="92">
        <v>74</v>
      </c>
      <c r="G764" s="5"/>
      <c r="H764" s="5"/>
      <c r="L764" s="7"/>
      <c r="M764" s="7"/>
      <c r="O764" s="5"/>
      <c r="P764" s="5"/>
    </row>
    <row r="765" spans="2:16" x14ac:dyDescent="0.25">
      <c r="B765" s="90">
        <v>1858</v>
      </c>
      <c r="C765" s="91">
        <v>4.864997877731958E-2</v>
      </c>
      <c r="D765" s="92">
        <v>74</v>
      </c>
      <c r="G765" s="5"/>
      <c r="H765" s="5"/>
      <c r="L765" s="7"/>
      <c r="M765" s="7"/>
      <c r="O765" s="5"/>
      <c r="P765" s="5"/>
    </row>
    <row r="766" spans="2:16" x14ac:dyDescent="0.25">
      <c r="B766" s="90">
        <v>1933</v>
      </c>
      <c r="C766" s="91">
        <v>4.9140045795456277E-2</v>
      </c>
      <c r="D766" s="92">
        <v>74</v>
      </c>
      <c r="G766" s="5"/>
      <c r="H766" s="5"/>
      <c r="L766" s="7"/>
      <c r="M766" s="7"/>
      <c r="O766" s="5"/>
      <c r="P766" s="5"/>
    </row>
    <row r="767" spans="2:16" x14ac:dyDescent="0.25">
      <c r="B767" s="90">
        <v>1804</v>
      </c>
      <c r="C767" s="91">
        <v>5.6217169208639062E-2</v>
      </c>
      <c r="D767" s="92">
        <v>74</v>
      </c>
      <c r="G767" s="5"/>
      <c r="H767" s="5"/>
      <c r="L767" s="7"/>
      <c r="M767" s="7"/>
      <c r="O767" s="5"/>
      <c r="P767" s="5"/>
    </row>
    <row r="768" spans="2:16" x14ac:dyDescent="0.25">
      <c r="B768" s="90">
        <v>1830</v>
      </c>
      <c r="C768" s="91">
        <v>5.8547538966660428E-2</v>
      </c>
      <c r="D768" s="92">
        <v>74</v>
      </c>
      <c r="G768" s="5"/>
      <c r="H768" s="5"/>
      <c r="L768" s="7"/>
      <c r="M768" s="7"/>
      <c r="O768" s="5"/>
      <c r="P768" s="5"/>
    </row>
    <row r="769" spans="2:16" x14ac:dyDescent="0.25">
      <c r="B769" s="90">
        <v>1839</v>
      </c>
      <c r="C769" s="91">
        <v>5.8667382105850652E-2</v>
      </c>
      <c r="D769" s="92">
        <v>74</v>
      </c>
      <c r="G769" s="5"/>
      <c r="H769" s="5"/>
      <c r="L769" s="7"/>
      <c r="M769" s="7"/>
      <c r="O769" s="5"/>
      <c r="P769" s="5"/>
    </row>
    <row r="770" spans="2:16" x14ac:dyDescent="0.25">
      <c r="B770" s="90">
        <v>1913</v>
      </c>
      <c r="C770" s="91">
        <v>6.1368463445411581E-2</v>
      </c>
      <c r="D770" s="92">
        <v>74</v>
      </c>
      <c r="G770" s="5"/>
      <c r="H770" s="5"/>
      <c r="L770" s="7"/>
      <c r="M770" s="7"/>
      <c r="O770" s="5"/>
      <c r="P770" s="5"/>
    </row>
    <row r="771" spans="2:16" x14ac:dyDescent="0.25">
      <c r="B771" s="90">
        <v>1817</v>
      </c>
      <c r="C771" s="91">
        <v>6.2121236430630389E-2</v>
      </c>
      <c r="D771" s="92">
        <v>74</v>
      </c>
      <c r="G771" s="5"/>
      <c r="H771" s="5"/>
      <c r="L771" s="7"/>
      <c r="M771" s="7"/>
      <c r="O771" s="5"/>
      <c r="P771" s="5"/>
    </row>
    <row r="772" spans="2:16" x14ac:dyDescent="0.25">
      <c r="B772" s="90">
        <v>1947</v>
      </c>
      <c r="C772" s="91">
        <v>6.7785564949542021E-2</v>
      </c>
      <c r="D772" s="92">
        <v>74</v>
      </c>
      <c r="G772" s="5"/>
      <c r="H772" s="5"/>
      <c r="L772" s="7"/>
      <c r="M772" s="7"/>
      <c r="O772" s="5"/>
      <c r="P772" s="5"/>
    </row>
    <row r="773" spans="2:16" x14ac:dyDescent="0.25">
      <c r="B773" s="90">
        <v>1831</v>
      </c>
      <c r="C773" s="91">
        <v>7.6705506041640947E-2</v>
      </c>
      <c r="D773" s="92">
        <v>74</v>
      </c>
      <c r="G773" s="5"/>
      <c r="H773" s="5"/>
      <c r="L773" s="7"/>
      <c r="M773" s="7"/>
      <c r="O773" s="5"/>
      <c r="P773" s="5"/>
    </row>
    <row r="774" spans="2:16" x14ac:dyDescent="0.25">
      <c r="B774" s="90">
        <v>1881</v>
      </c>
      <c r="C774" s="91">
        <v>7.7118586941280487E-2</v>
      </c>
      <c r="D774" s="92">
        <v>74</v>
      </c>
      <c r="G774" s="5"/>
      <c r="H774" s="5"/>
      <c r="L774" s="7"/>
      <c r="M774" s="7"/>
      <c r="O774" s="5"/>
      <c r="P774" s="5"/>
    </row>
    <row r="775" spans="2:16" x14ac:dyDescent="0.25">
      <c r="B775" s="90">
        <v>1797</v>
      </c>
      <c r="C775" s="91">
        <v>8.0947497688000136E-2</v>
      </c>
      <c r="D775" s="92">
        <v>74</v>
      </c>
      <c r="G775" s="5"/>
      <c r="H775" s="5"/>
      <c r="L775" s="7"/>
      <c r="M775" s="7"/>
      <c r="O775" s="5"/>
      <c r="P775" s="5"/>
    </row>
    <row r="776" spans="2:16" x14ac:dyDescent="0.25">
      <c r="B776" s="90">
        <v>1823</v>
      </c>
      <c r="C776" s="91">
        <v>8.8838103303363503E-2</v>
      </c>
      <c r="D776" s="92">
        <v>74</v>
      </c>
      <c r="G776" s="5"/>
      <c r="H776" s="5"/>
      <c r="L776" s="7"/>
      <c r="M776" s="7"/>
      <c r="O776" s="5"/>
      <c r="P776" s="5"/>
    </row>
    <row r="777" spans="2:16" x14ac:dyDescent="0.25">
      <c r="B777" s="90">
        <v>1805</v>
      </c>
      <c r="C777" s="91">
        <v>8.9594226866273274E-2</v>
      </c>
      <c r="D777" s="92">
        <v>74</v>
      </c>
      <c r="G777" s="5"/>
      <c r="H777" s="5"/>
      <c r="L777" s="7"/>
      <c r="M777" s="7"/>
      <c r="O777" s="5"/>
      <c r="P777" s="5"/>
    </row>
    <row r="778" spans="2:16" x14ac:dyDescent="0.25">
      <c r="B778" s="90">
        <v>415</v>
      </c>
      <c r="C778" s="91">
        <v>0.1115953871576657</v>
      </c>
      <c r="D778" s="92">
        <v>74</v>
      </c>
      <c r="G778" s="5"/>
      <c r="H778" s="5"/>
      <c r="L778" s="7"/>
      <c r="M778" s="7"/>
      <c r="O778" s="5"/>
      <c r="P778" s="5"/>
    </row>
    <row r="779" spans="2:16" x14ac:dyDescent="0.25">
      <c r="B779" s="90">
        <v>414</v>
      </c>
      <c r="C779" s="91">
        <v>0.12385348312785238</v>
      </c>
      <c r="D779" s="92">
        <v>74</v>
      </c>
      <c r="G779" s="5"/>
      <c r="H779" s="5"/>
      <c r="L779" s="7"/>
      <c r="M779" s="7"/>
      <c r="O779" s="5"/>
      <c r="P779" s="5"/>
    </row>
    <row r="780" spans="2:16" x14ac:dyDescent="0.25">
      <c r="B780" s="90">
        <v>589</v>
      </c>
      <c r="C780" s="91">
        <v>0.13647322612061519</v>
      </c>
      <c r="D780" s="92">
        <v>74</v>
      </c>
      <c r="G780" s="5"/>
      <c r="H780" s="5"/>
      <c r="L780" s="7"/>
      <c r="M780" s="7"/>
      <c r="O780" s="5"/>
      <c r="P780" s="5"/>
    </row>
    <row r="781" spans="2:16" x14ac:dyDescent="0.25">
      <c r="B781" s="90">
        <v>392</v>
      </c>
      <c r="C781" s="91">
        <v>0.14508364489241954</v>
      </c>
      <c r="D781" s="92">
        <v>74</v>
      </c>
      <c r="G781" s="5"/>
      <c r="H781" s="5"/>
      <c r="L781" s="7"/>
      <c r="M781" s="7"/>
      <c r="O781" s="5"/>
      <c r="P781" s="5"/>
    </row>
    <row r="782" spans="2:16" x14ac:dyDescent="0.25">
      <c r="B782" s="90">
        <v>416</v>
      </c>
      <c r="C782" s="91">
        <v>0.14608100565772708</v>
      </c>
      <c r="D782" s="92">
        <v>74</v>
      </c>
      <c r="G782" s="5"/>
      <c r="H782" s="5"/>
      <c r="L782" s="7"/>
      <c r="M782" s="7"/>
      <c r="O782" s="5"/>
      <c r="P782" s="5"/>
    </row>
    <row r="783" spans="2:16" x14ac:dyDescent="0.25">
      <c r="B783" s="90">
        <v>451</v>
      </c>
      <c r="C783" s="91">
        <v>0.14710323053764995</v>
      </c>
      <c r="D783" s="92">
        <v>74</v>
      </c>
      <c r="G783" s="5"/>
      <c r="H783" s="5"/>
      <c r="L783" s="7"/>
      <c r="M783" s="7"/>
      <c r="O783" s="5"/>
      <c r="P783" s="5"/>
    </row>
    <row r="784" spans="2:16" x14ac:dyDescent="0.25">
      <c r="B784" s="90">
        <v>588</v>
      </c>
      <c r="C784" s="91">
        <v>0.14973252447218277</v>
      </c>
      <c r="D784" s="92">
        <v>74</v>
      </c>
      <c r="G784" s="5"/>
      <c r="H784" s="5"/>
      <c r="L784" s="7"/>
      <c r="M784" s="7"/>
      <c r="O784" s="5"/>
      <c r="P784" s="5"/>
    </row>
    <row r="785" spans="2:16" x14ac:dyDescent="0.25">
      <c r="B785" s="90">
        <v>557</v>
      </c>
      <c r="C785" s="91">
        <v>0.15705232237643063</v>
      </c>
      <c r="D785" s="92">
        <v>74</v>
      </c>
      <c r="G785" s="5"/>
      <c r="H785" s="5"/>
      <c r="L785" s="7"/>
      <c r="M785" s="7"/>
      <c r="O785" s="5"/>
      <c r="P785" s="5"/>
    </row>
    <row r="786" spans="2:16" x14ac:dyDescent="0.25">
      <c r="B786" s="90">
        <v>383</v>
      </c>
      <c r="C786" s="91">
        <v>0.16324473435673759</v>
      </c>
      <c r="D786" s="92">
        <v>74</v>
      </c>
      <c r="G786" s="5"/>
      <c r="H786" s="5"/>
      <c r="L786" s="7"/>
      <c r="M786" s="7"/>
      <c r="O786" s="5"/>
      <c r="P786" s="5"/>
    </row>
    <row r="787" spans="2:16" x14ac:dyDescent="0.25">
      <c r="B787" s="90">
        <v>1876</v>
      </c>
      <c r="C787" s="91">
        <v>0.1638089928471993</v>
      </c>
      <c r="D787" s="92">
        <v>74</v>
      </c>
      <c r="G787" s="5"/>
      <c r="H787" s="5"/>
      <c r="L787" s="7"/>
      <c r="M787" s="7"/>
      <c r="O787" s="5"/>
      <c r="P787" s="5"/>
    </row>
    <row r="788" spans="2:16" x14ac:dyDescent="0.25">
      <c r="B788" s="90">
        <v>590</v>
      </c>
      <c r="C788" s="91">
        <v>0.1695663381953405</v>
      </c>
      <c r="D788" s="92">
        <v>74</v>
      </c>
      <c r="G788" s="5"/>
      <c r="H788" s="5"/>
      <c r="L788" s="7"/>
      <c r="M788" s="7"/>
      <c r="O788" s="5"/>
      <c r="P788" s="5"/>
    </row>
    <row r="789" spans="2:16" x14ac:dyDescent="0.25">
      <c r="B789" s="90">
        <v>757</v>
      </c>
      <c r="C789" s="91">
        <v>0.18261968945591167</v>
      </c>
      <c r="D789" s="92">
        <v>74</v>
      </c>
      <c r="G789" s="5"/>
      <c r="H789" s="5"/>
      <c r="L789" s="7"/>
      <c r="M789" s="7"/>
      <c r="O789" s="5"/>
      <c r="P789" s="5"/>
    </row>
    <row r="790" spans="2:16" x14ac:dyDescent="0.25">
      <c r="B790" s="90">
        <v>703</v>
      </c>
      <c r="C790" s="91">
        <v>0.18278734927491413</v>
      </c>
      <c r="D790" s="92">
        <v>74</v>
      </c>
      <c r="G790" s="5"/>
      <c r="H790" s="5"/>
      <c r="L790" s="7"/>
      <c r="M790" s="7"/>
      <c r="O790" s="5"/>
      <c r="P790" s="5"/>
    </row>
    <row r="791" spans="2:16" x14ac:dyDescent="0.25">
      <c r="B791" s="90">
        <v>810</v>
      </c>
      <c r="C791" s="91">
        <v>0.18299309017308196</v>
      </c>
      <c r="D791" s="92">
        <v>74</v>
      </c>
      <c r="G791" s="5"/>
      <c r="H791" s="5"/>
      <c r="L791" s="7"/>
      <c r="M791" s="7"/>
      <c r="O791" s="5"/>
      <c r="P791" s="5"/>
    </row>
    <row r="792" spans="2:16" x14ac:dyDescent="0.25">
      <c r="B792" s="90">
        <v>1826</v>
      </c>
      <c r="C792" s="91">
        <v>0.19627768053672701</v>
      </c>
      <c r="D792" s="92">
        <v>74</v>
      </c>
      <c r="G792" s="5"/>
      <c r="H792" s="5"/>
      <c r="L792" s="7"/>
      <c r="M792" s="7"/>
      <c r="O792" s="5"/>
      <c r="P792" s="5"/>
    </row>
    <row r="793" spans="2:16" x14ac:dyDescent="0.25">
      <c r="B793" s="90">
        <v>867</v>
      </c>
      <c r="C793" s="91">
        <v>0.25958455819717074</v>
      </c>
      <c r="D793" s="92">
        <v>74</v>
      </c>
      <c r="G793" s="5"/>
      <c r="H793" s="5"/>
      <c r="L793" s="7"/>
      <c r="M793" s="7"/>
      <c r="O793" s="5"/>
      <c r="P793" s="5"/>
    </row>
    <row r="794" spans="2:16" x14ac:dyDescent="0.25">
      <c r="B794" s="90">
        <v>815</v>
      </c>
      <c r="C794" s="91">
        <v>0.27111639221643613</v>
      </c>
      <c r="D794" s="92">
        <v>74</v>
      </c>
      <c r="G794" s="5"/>
      <c r="H794" s="5"/>
      <c r="L794" s="7"/>
      <c r="M794" s="7"/>
      <c r="O794" s="5"/>
      <c r="P794" s="5"/>
    </row>
    <row r="795" spans="2:16" x14ac:dyDescent="0.25">
      <c r="B795" s="90">
        <v>673</v>
      </c>
      <c r="C795" s="91">
        <v>5.1901992279863807E-2</v>
      </c>
      <c r="D795" s="92">
        <v>75</v>
      </c>
      <c r="G795" s="5"/>
      <c r="H795" s="5"/>
      <c r="L795" s="7"/>
      <c r="M795" s="7"/>
      <c r="O795" s="5"/>
      <c r="P795" s="5"/>
    </row>
    <row r="796" spans="2:16" x14ac:dyDescent="0.25">
      <c r="B796" s="90">
        <v>331</v>
      </c>
      <c r="C796" s="91">
        <v>0.140407592949084</v>
      </c>
      <c r="D796" s="92">
        <v>75</v>
      </c>
      <c r="G796" s="5"/>
      <c r="H796" s="5"/>
      <c r="L796" s="7"/>
      <c r="M796" s="7"/>
      <c r="O796" s="5"/>
      <c r="P796" s="5"/>
    </row>
    <row r="797" spans="2:16" x14ac:dyDescent="0.25">
      <c r="B797" s="90">
        <v>270</v>
      </c>
      <c r="C797" s="91">
        <v>0.14361657048434151</v>
      </c>
      <c r="D797" s="92">
        <v>75</v>
      </c>
      <c r="G797" s="5"/>
      <c r="H797" s="5"/>
      <c r="L797" s="7"/>
      <c r="M797" s="7"/>
      <c r="O797" s="5"/>
      <c r="P797" s="5"/>
    </row>
    <row r="798" spans="2:16" x14ac:dyDescent="0.25">
      <c r="B798" s="90">
        <v>666</v>
      </c>
      <c r="C798" s="91">
        <v>0.23206662960718938</v>
      </c>
      <c r="D798" s="92">
        <v>75</v>
      </c>
      <c r="G798" s="5"/>
      <c r="H798" s="5"/>
      <c r="L798" s="7"/>
      <c r="M798" s="7"/>
      <c r="O798" s="5"/>
      <c r="P798" s="5"/>
    </row>
    <row r="799" spans="2:16" x14ac:dyDescent="0.25">
      <c r="B799" s="90">
        <v>667</v>
      </c>
      <c r="C799" s="91">
        <v>0.25891264979007933</v>
      </c>
      <c r="D799" s="92">
        <v>75</v>
      </c>
      <c r="G799" s="5"/>
      <c r="H799" s="5"/>
      <c r="L799" s="7"/>
      <c r="M799" s="7"/>
      <c r="O799" s="5"/>
      <c r="P799" s="5"/>
    </row>
    <row r="800" spans="2:16" x14ac:dyDescent="0.25">
      <c r="B800" s="90">
        <v>822</v>
      </c>
      <c r="C800" s="91">
        <v>0.33548169118710003</v>
      </c>
      <c r="D800" s="92">
        <v>75</v>
      </c>
      <c r="G800" s="5"/>
      <c r="H800" s="5"/>
      <c r="L800" s="7"/>
      <c r="M800" s="7"/>
      <c r="O800" s="5"/>
      <c r="P800" s="5"/>
    </row>
    <row r="801" spans="2:16" x14ac:dyDescent="0.25">
      <c r="B801" s="90">
        <v>1785</v>
      </c>
      <c r="C801" s="91">
        <v>2.6101957664175113E-2</v>
      </c>
      <c r="D801" s="92">
        <v>76</v>
      </c>
      <c r="G801" s="5"/>
      <c r="H801" s="5"/>
      <c r="L801" s="7"/>
      <c r="M801" s="7"/>
      <c r="O801" s="5"/>
      <c r="P801" s="5"/>
    </row>
    <row r="802" spans="2:16" x14ac:dyDescent="0.25">
      <c r="B802" s="90">
        <v>388</v>
      </c>
      <c r="C802" s="91">
        <v>5.2179599616150374E-2</v>
      </c>
      <c r="D802" s="92">
        <v>76</v>
      </c>
      <c r="G802" s="5"/>
      <c r="H802" s="5"/>
      <c r="L802" s="7"/>
      <c r="M802" s="7"/>
      <c r="O802" s="5"/>
      <c r="P802" s="5"/>
    </row>
    <row r="803" spans="2:16" x14ac:dyDescent="0.25">
      <c r="B803" s="90">
        <v>1934</v>
      </c>
      <c r="C803" s="91">
        <v>6.8443744737794132E-2</v>
      </c>
      <c r="D803" s="92">
        <v>76</v>
      </c>
      <c r="G803" s="5"/>
      <c r="H803" s="5"/>
      <c r="L803" s="7"/>
      <c r="M803" s="7"/>
      <c r="O803" s="5"/>
      <c r="P803" s="5"/>
    </row>
    <row r="804" spans="2:16" x14ac:dyDescent="0.25">
      <c r="B804" s="90">
        <v>943</v>
      </c>
      <c r="C804" s="91">
        <v>7.2954146067975567E-2</v>
      </c>
      <c r="D804" s="92">
        <v>76</v>
      </c>
      <c r="G804" s="5"/>
      <c r="H804" s="5"/>
      <c r="L804" s="7"/>
      <c r="M804" s="7"/>
      <c r="O804" s="5"/>
      <c r="P804" s="5"/>
    </row>
    <row r="805" spans="2:16" x14ac:dyDescent="0.25">
      <c r="B805" s="90">
        <v>1843</v>
      </c>
      <c r="C805" s="91">
        <v>8.6797627371969388E-2</v>
      </c>
      <c r="D805" s="92">
        <v>76</v>
      </c>
      <c r="G805" s="5"/>
      <c r="H805" s="5"/>
      <c r="L805" s="7"/>
      <c r="M805" s="7"/>
      <c r="O805" s="5"/>
      <c r="P805" s="5"/>
    </row>
    <row r="806" spans="2:16" x14ac:dyDescent="0.25">
      <c r="B806" s="90">
        <v>500</v>
      </c>
      <c r="C806" s="91">
        <v>0.15160728952200708</v>
      </c>
      <c r="D806" s="92">
        <v>76</v>
      </c>
      <c r="G806" s="5"/>
      <c r="H806" s="5"/>
      <c r="L806" s="7"/>
      <c r="M806" s="7"/>
      <c r="O806" s="5"/>
      <c r="P806" s="5"/>
    </row>
    <row r="807" spans="2:16" x14ac:dyDescent="0.25">
      <c r="B807" s="90">
        <v>613</v>
      </c>
      <c r="C807" s="91">
        <v>0.15371420043587158</v>
      </c>
      <c r="D807" s="92">
        <v>76</v>
      </c>
      <c r="G807" s="5"/>
      <c r="H807" s="5"/>
      <c r="L807" s="7"/>
      <c r="M807" s="7"/>
      <c r="O807" s="5"/>
      <c r="P807" s="5"/>
    </row>
    <row r="808" spans="2:16" x14ac:dyDescent="0.25">
      <c r="B808" s="90">
        <v>82</v>
      </c>
      <c r="C808" s="91">
        <v>0.15436637418281829</v>
      </c>
      <c r="D808" s="92">
        <v>76</v>
      </c>
      <c r="G808" s="5"/>
      <c r="H808" s="5"/>
      <c r="L808" s="7"/>
      <c r="M808" s="7"/>
      <c r="O808" s="5"/>
      <c r="P808" s="5"/>
    </row>
    <row r="809" spans="2:16" x14ac:dyDescent="0.25">
      <c r="B809" s="90">
        <v>442</v>
      </c>
      <c r="C809" s="91">
        <v>0.16225077149030009</v>
      </c>
      <c r="D809" s="92">
        <v>76</v>
      </c>
      <c r="G809" s="5"/>
      <c r="H809" s="5"/>
      <c r="L809" s="7"/>
      <c r="M809" s="7"/>
      <c r="O809" s="5"/>
      <c r="P809" s="5"/>
    </row>
    <row r="810" spans="2:16" x14ac:dyDescent="0.25">
      <c r="B810" s="90">
        <v>498</v>
      </c>
      <c r="C810" s="91">
        <v>0.2229428716120625</v>
      </c>
      <c r="D810" s="92">
        <v>76</v>
      </c>
      <c r="G810" s="5"/>
      <c r="H810" s="5"/>
      <c r="L810" s="7"/>
      <c r="M810" s="7"/>
      <c r="O810" s="5"/>
      <c r="P810" s="5"/>
    </row>
    <row r="811" spans="2:16" x14ac:dyDescent="0.25">
      <c r="B811" s="90">
        <v>611</v>
      </c>
      <c r="C811" s="91">
        <v>0.22338518071133229</v>
      </c>
      <c r="D811" s="92">
        <v>76</v>
      </c>
      <c r="G811" s="5"/>
      <c r="H811" s="5"/>
      <c r="L811" s="7"/>
      <c r="M811" s="7"/>
      <c r="O811" s="5"/>
      <c r="P811" s="5"/>
    </row>
    <row r="812" spans="2:16" x14ac:dyDescent="0.25">
      <c r="B812" s="90">
        <v>555</v>
      </c>
      <c r="C812" s="91">
        <v>0.22740191811645949</v>
      </c>
      <c r="D812" s="92">
        <v>76</v>
      </c>
      <c r="G812" s="5"/>
      <c r="H812" s="5"/>
      <c r="L812" s="7"/>
      <c r="M812" s="7"/>
      <c r="O812" s="5"/>
      <c r="P812" s="5"/>
    </row>
    <row r="813" spans="2:16" x14ac:dyDescent="0.25">
      <c r="B813" s="90">
        <v>440</v>
      </c>
      <c r="C813" s="91">
        <v>0.23614585831467738</v>
      </c>
      <c r="D813" s="92">
        <v>76</v>
      </c>
      <c r="G813" s="5"/>
      <c r="H813" s="5"/>
      <c r="L813" s="7"/>
      <c r="M813" s="7"/>
      <c r="O813" s="5"/>
      <c r="P813" s="5"/>
    </row>
    <row r="814" spans="2:16" x14ac:dyDescent="0.25">
      <c r="B814" s="90">
        <v>381</v>
      </c>
      <c r="C814" s="91">
        <v>0.23771043354596921</v>
      </c>
      <c r="D814" s="92">
        <v>76</v>
      </c>
      <c r="G814" s="5"/>
      <c r="H814" s="5"/>
      <c r="L814" s="7"/>
      <c r="M814" s="7"/>
      <c r="O814" s="5"/>
      <c r="P814" s="5"/>
    </row>
    <row r="815" spans="2:16" x14ac:dyDescent="0.25">
      <c r="B815" s="90">
        <v>612</v>
      </c>
      <c r="C815" s="91">
        <v>0.25024827837910735</v>
      </c>
      <c r="D815" s="92">
        <v>76</v>
      </c>
      <c r="G815" s="5"/>
      <c r="H815" s="5"/>
      <c r="L815" s="7"/>
      <c r="M815" s="7"/>
      <c r="O815" s="5"/>
      <c r="P815" s="5"/>
    </row>
    <row r="816" spans="2:16" x14ac:dyDescent="0.25">
      <c r="B816" s="90">
        <v>499</v>
      </c>
      <c r="C816" s="91">
        <v>0.25032820694243707</v>
      </c>
      <c r="D816" s="92">
        <v>76</v>
      </c>
      <c r="G816" s="5"/>
      <c r="H816" s="5"/>
      <c r="L816" s="7"/>
      <c r="M816" s="7"/>
      <c r="O816" s="5"/>
      <c r="P816" s="5"/>
    </row>
    <row r="817" spans="2:16" x14ac:dyDescent="0.25">
      <c r="B817" s="90">
        <v>556</v>
      </c>
      <c r="C817" s="91">
        <v>0.25429601331350371</v>
      </c>
      <c r="D817" s="92">
        <v>76</v>
      </c>
      <c r="G817" s="5"/>
      <c r="H817" s="5"/>
      <c r="L817" s="7"/>
      <c r="M817" s="7"/>
      <c r="O817" s="5"/>
      <c r="P817" s="5"/>
    </row>
    <row r="818" spans="2:16" x14ac:dyDescent="0.25">
      <c r="B818" s="90">
        <v>441</v>
      </c>
      <c r="C818" s="91">
        <v>0.26367167385700307</v>
      </c>
      <c r="D818" s="92">
        <v>76</v>
      </c>
      <c r="G818" s="5"/>
      <c r="H818" s="5"/>
      <c r="L818" s="7"/>
      <c r="M818" s="7"/>
      <c r="O818" s="5"/>
      <c r="P818" s="5"/>
    </row>
    <row r="819" spans="2:16" x14ac:dyDescent="0.25">
      <c r="B819" s="90">
        <v>382</v>
      </c>
      <c r="C819" s="91">
        <v>0.26524903872089212</v>
      </c>
      <c r="D819" s="92">
        <v>76</v>
      </c>
      <c r="G819" s="5"/>
      <c r="H819" s="5"/>
      <c r="L819" s="7"/>
      <c r="M819" s="7"/>
      <c r="O819" s="5"/>
      <c r="P819" s="5"/>
    </row>
    <row r="820" spans="2:16" x14ac:dyDescent="0.25">
      <c r="B820" s="90">
        <v>205</v>
      </c>
      <c r="C820" s="91">
        <v>5.6653685350378513E-2</v>
      </c>
      <c r="D820" s="92">
        <v>77</v>
      </c>
      <c r="G820" s="5"/>
      <c r="H820" s="5"/>
      <c r="L820" s="7"/>
      <c r="M820" s="7"/>
      <c r="O820" s="5"/>
      <c r="P820" s="5"/>
    </row>
    <row r="821" spans="2:16" x14ac:dyDescent="0.25">
      <c r="B821" s="90">
        <v>146</v>
      </c>
      <c r="C821" s="91">
        <v>0.1401828445070622</v>
      </c>
      <c r="D821" s="92">
        <v>77</v>
      </c>
      <c r="G821" s="5"/>
      <c r="H821" s="5"/>
      <c r="L821" s="7"/>
      <c r="M821" s="7"/>
      <c r="O821" s="5"/>
      <c r="P821" s="5"/>
    </row>
    <row r="822" spans="2:16" x14ac:dyDescent="0.25">
      <c r="B822" s="90">
        <v>1812</v>
      </c>
      <c r="C822" s="91">
        <v>4.2773297399524512E-2</v>
      </c>
      <c r="D822" s="92">
        <v>78</v>
      </c>
      <c r="G822" s="5"/>
      <c r="H822" s="5"/>
      <c r="L822" s="7"/>
      <c r="M822" s="7"/>
      <c r="O822" s="5"/>
      <c r="P822" s="5"/>
    </row>
    <row r="823" spans="2:16" x14ac:dyDescent="0.25">
      <c r="B823" s="90">
        <v>1838</v>
      </c>
      <c r="C823" s="91">
        <v>6.1956340232124485E-2</v>
      </c>
      <c r="D823" s="92">
        <v>78</v>
      </c>
      <c r="G823" s="5"/>
      <c r="H823" s="5"/>
      <c r="L823" s="7"/>
      <c r="M823" s="7"/>
      <c r="O823" s="5"/>
      <c r="P823" s="5"/>
    </row>
    <row r="824" spans="2:16" x14ac:dyDescent="0.25">
      <c r="B824" s="90">
        <v>73</v>
      </c>
      <c r="C824" s="91">
        <v>0.19256725657352658</v>
      </c>
      <c r="D824" s="92">
        <v>78</v>
      </c>
      <c r="G824" s="5"/>
      <c r="H824" s="5"/>
      <c r="L824" s="7"/>
      <c r="M824" s="7"/>
      <c r="O824" s="5"/>
      <c r="P824" s="5"/>
    </row>
    <row r="825" spans="2:16" x14ac:dyDescent="0.25">
      <c r="B825" s="90">
        <v>137</v>
      </c>
      <c r="C825" s="91">
        <v>0.20821844049310267</v>
      </c>
      <c r="D825" s="92">
        <v>78</v>
      </c>
      <c r="G825" s="5"/>
      <c r="H825" s="5"/>
      <c r="L825" s="7"/>
      <c r="M825" s="7"/>
      <c r="O825" s="5"/>
      <c r="P825" s="5"/>
    </row>
    <row r="826" spans="2:16" x14ac:dyDescent="0.25">
      <c r="B826" s="90">
        <v>131</v>
      </c>
      <c r="C826" s="91">
        <v>0.28636231358416497</v>
      </c>
      <c r="D826" s="92">
        <v>78</v>
      </c>
      <c r="G826" s="5"/>
      <c r="H826" s="5"/>
      <c r="L826" s="7"/>
      <c r="M826" s="7"/>
      <c r="O826" s="5"/>
      <c r="P826" s="5"/>
    </row>
    <row r="827" spans="2:16" x14ac:dyDescent="0.25">
      <c r="B827" s="90">
        <v>71</v>
      </c>
      <c r="C827" s="91">
        <v>0.28765803489910624</v>
      </c>
      <c r="D827" s="92">
        <v>78</v>
      </c>
      <c r="G827" s="5"/>
      <c r="H827" s="5"/>
      <c r="L827" s="7"/>
      <c r="M827" s="7"/>
      <c r="O827" s="5"/>
      <c r="P827" s="5"/>
    </row>
    <row r="828" spans="2:16" x14ac:dyDescent="0.25">
      <c r="B828" s="90">
        <v>135</v>
      </c>
      <c r="C828" s="91">
        <v>0.30262308579209285</v>
      </c>
      <c r="D828" s="92">
        <v>78</v>
      </c>
      <c r="G828" s="5"/>
      <c r="H828" s="5"/>
      <c r="L828" s="7"/>
      <c r="M828" s="7"/>
      <c r="O828" s="5"/>
      <c r="P828" s="5"/>
    </row>
    <row r="829" spans="2:16" x14ac:dyDescent="0.25">
      <c r="B829" s="90">
        <v>1317</v>
      </c>
      <c r="C829" s="91">
        <v>0.15961641072821808</v>
      </c>
      <c r="D829" s="92">
        <v>79</v>
      </c>
      <c r="G829" s="5"/>
      <c r="H829" s="5"/>
      <c r="L829" s="7"/>
      <c r="M829" s="7"/>
      <c r="O829" s="5"/>
      <c r="P829" s="5"/>
    </row>
    <row r="830" spans="2:16" x14ac:dyDescent="0.25">
      <c r="B830" s="90">
        <v>1159</v>
      </c>
      <c r="C830" s="91">
        <v>0.18083085187835257</v>
      </c>
      <c r="D830" s="92">
        <v>79</v>
      </c>
      <c r="G830" s="5"/>
      <c r="H830" s="5"/>
      <c r="L830" s="7"/>
      <c r="M830" s="7"/>
      <c r="O830" s="5"/>
      <c r="P830" s="5"/>
    </row>
    <row r="831" spans="2:16" x14ac:dyDescent="0.25">
      <c r="B831" s="90">
        <v>1772</v>
      </c>
      <c r="C831" s="91">
        <v>0.20629722875298251</v>
      </c>
      <c r="D831" s="92">
        <v>80</v>
      </c>
      <c r="G831" s="5"/>
      <c r="H831" s="5"/>
      <c r="L831" s="7"/>
      <c r="M831" s="7"/>
      <c r="O831" s="5"/>
      <c r="P831" s="5"/>
    </row>
    <row r="832" spans="2:16" x14ac:dyDescent="0.25">
      <c r="B832" s="90">
        <v>1744</v>
      </c>
      <c r="C832" s="91">
        <v>0.21388345159837607</v>
      </c>
      <c r="D832" s="92">
        <v>80</v>
      </c>
      <c r="G832" s="5"/>
      <c r="H832" s="5"/>
      <c r="L832" s="7"/>
      <c r="M832" s="7"/>
      <c r="O832" s="5"/>
      <c r="P832" s="5"/>
    </row>
    <row r="833" spans="2:16" x14ac:dyDescent="0.25">
      <c r="B833" s="90">
        <v>532</v>
      </c>
      <c r="C833" s="91">
        <v>0.1409399017584817</v>
      </c>
      <c r="D833" s="92">
        <v>81</v>
      </c>
      <c r="G833" s="5"/>
      <c r="H833" s="5"/>
      <c r="L833" s="7"/>
      <c r="M833" s="7"/>
      <c r="O833" s="5"/>
      <c r="P833" s="5"/>
    </row>
    <row r="834" spans="2:16" x14ac:dyDescent="0.25">
      <c r="B834" s="90">
        <v>533</v>
      </c>
      <c r="C834" s="91">
        <v>0.17480369794904072</v>
      </c>
      <c r="D834" s="92">
        <v>81</v>
      </c>
      <c r="G834" s="5"/>
      <c r="H834" s="5"/>
      <c r="L834" s="7"/>
      <c r="M834" s="7"/>
      <c r="O834" s="5"/>
      <c r="P834" s="5"/>
    </row>
    <row r="835" spans="2:16" x14ac:dyDescent="0.25">
      <c r="B835" s="90">
        <v>200</v>
      </c>
      <c r="C835" s="91">
        <v>0.1878949052180956</v>
      </c>
      <c r="D835" s="92">
        <v>81</v>
      </c>
      <c r="G835" s="5"/>
      <c r="H835" s="5"/>
      <c r="L835" s="7"/>
      <c r="M835" s="7"/>
      <c r="O835" s="5"/>
      <c r="P835" s="5"/>
    </row>
    <row r="836" spans="2:16" x14ac:dyDescent="0.25">
      <c r="B836" s="90">
        <v>198</v>
      </c>
      <c r="C836" s="91">
        <v>0.27280768261143984</v>
      </c>
      <c r="D836" s="92">
        <v>81</v>
      </c>
      <c r="G836" s="5"/>
      <c r="H836" s="5"/>
      <c r="L836" s="7"/>
      <c r="M836" s="7"/>
      <c r="O836" s="5"/>
      <c r="P836" s="5"/>
    </row>
    <row r="837" spans="2:16" x14ac:dyDescent="0.25">
      <c r="B837" s="90">
        <v>1349</v>
      </c>
      <c r="C837" s="91">
        <v>4.0949711625181906E-2</v>
      </c>
      <c r="D837" s="92">
        <v>82</v>
      </c>
      <c r="G837" s="5"/>
      <c r="H837" s="5"/>
      <c r="L837" s="7"/>
      <c r="M837" s="7"/>
      <c r="O837" s="5"/>
      <c r="P837" s="5"/>
    </row>
    <row r="838" spans="2:16" x14ac:dyDescent="0.25">
      <c r="B838" s="90">
        <v>1439</v>
      </c>
      <c r="C838" s="91">
        <v>4.8805620256337057E-2</v>
      </c>
      <c r="D838" s="92">
        <v>82</v>
      </c>
      <c r="G838" s="5"/>
      <c r="H838" s="5"/>
      <c r="L838" s="7"/>
      <c r="M838" s="7"/>
      <c r="O838" s="5"/>
      <c r="P838" s="5"/>
    </row>
    <row r="839" spans="2:16" x14ac:dyDescent="0.25">
      <c r="B839" s="90">
        <v>1825</v>
      </c>
      <c r="C839" s="91">
        <v>0.18637109452336964</v>
      </c>
      <c r="D839" s="92">
        <v>82</v>
      </c>
      <c r="G839" s="5"/>
      <c r="H839" s="5"/>
      <c r="L839" s="7"/>
      <c r="M839" s="7"/>
      <c r="O839" s="5"/>
      <c r="P839" s="5"/>
    </row>
    <row r="840" spans="2:16" x14ac:dyDescent="0.25">
      <c r="B840" s="90">
        <v>1799</v>
      </c>
      <c r="C840" s="91">
        <v>0.20185570817595355</v>
      </c>
      <c r="D840" s="92">
        <v>82</v>
      </c>
      <c r="G840" s="5"/>
      <c r="H840" s="5"/>
      <c r="L840" s="7"/>
      <c r="M840" s="7"/>
      <c r="O840" s="5"/>
      <c r="P840" s="5"/>
    </row>
    <row r="841" spans="2:16" x14ac:dyDescent="0.25">
      <c r="B841" s="90">
        <v>1283</v>
      </c>
      <c r="C841" s="91">
        <v>0.20534090867962274</v>
      </c>
      <c r="D841" s="92">
        <v>82</v>
      </c>
      <c r="G841" s="5"/>
      <c r="H841" s="5"/>
      <c r="L841" s="7"/>
      <c r="M841" s="7"/>
      <c r="O841" s="5"/>
      <c r="P841" s="5"/>
    </row>
    <row r="842" spans="2:16" x14ac:dyDescent="0.25">
      <c r="B842" s="90">
        <v>1860</v>
      </c>
      <c r="C842" s="91">
        <v>2.5279836754071194E-2</v>
      </c>
      <c r="D842" s="92">
        <v>83</v>
      </c>
      <c r="G842" s="5"/>
      <c r="H842" s="5"/>
      <c r="L842" s="7"/>
      <c r="M842" s="7"/>
      <c r="O842" s="5"/>
      <c r="P842" s="5"/>
    </row>
    <row r="843" spans="2:16" x14ac:dyDescent="0.25">
      <c r="B843" s="90">
        <v>1761</v>
      </c>
      <c r="C843" s="91">
        <v>2.7488441918785189E-2</v>
      </c>
      <c r="D843" s="92">
        <v>83</v>
      </c>
      <c r="G843" s="5"/>
      <c r="H843" s="5"/>
      <c r="L843" s="7"/>
      <c r="M843" s="7"/>
      <c r="O843" s="5"/>
      <c r="P843" s="5"/>
    </row>
    <row r="844" spans="2:16" x14ac:dyDescent="0.25">
      <c r="B844" s="90">
        <v>1760</v>
      </c>
      <c r="C844" s="91">
        <v>2.8066820871558651E-2</v>
      </c>
      <c r="D844" s="92">
        <v>83</v>
      </c>
      <c r="G844" s="5"/>
      <c r="H844" s="5"/>
      <c r="L844" s="7"/>
      <c r="M844" s="7"/>
      <c r="O844" s="5"/>
      <c r="P844" s="5"/>
    </row>
    <row r="845" spans="2:16" x14ac:dyDescent="0.25">
      <c r="B845" s="90">
        <v>1180</v>
      </c>
      <c r="C845" s="91">
        <v>3.045322547466689E-2</v>
      </c>
      <c r="D845" s="92">
        <v>83</v>
      </c>
      <c r="G845" s="5"/>
      <c r="H845" s="5"/>
      <c r="L845" s="7"/>
      <c r="M845" s="7"/>
      <c r="O845" s="5"/>
      <c r="P845" s="5"/>
    </row>
    <row r="846" spans="2:16" x14ac:dyDescent="0.25">
      <c r="B846" s="90">
        <v>25</v>
      </c>
      <c r="C846" s="91">
        <v>3.4868212875522997E-2</v>
      </c>
      <c r="D846" s="92">
        <v>83</v>
      </c>
      <c r="G846" s="5"/>
      <c r="H846" s="5"/>
      <c r="L846" s="7"/>
      <c r="M846" s="7"/>
      <c r="O846" s="5"/>
      <c r="P846" s="5"/>
    </row>
    <row r="847" spans="2:16" x14ac:dyDescent="0.25">
      <c r="B847" s="90">
        <v>1846</v>
      </c>
      <c r="C847" s="91">
        <v>3.4868212875522997E-2</v>
      </c>
      <c r="D847" s="92">
        <v>83</v>
      </c>
      <c r="G847" s="5"/>
      <c r="H847" s="5"/>
      <c r="L847" s="7"/>
      <c r="M847" s="7"/>
      <c r="O847" s="5"/>
      <c r="P847" s="5"/>
    </row>
    <row r="848" spans="2:16" x14ac:dyDescent="0.25">
      <c r="B848" s="90">
        <v>30</v>
      </c>
      <c r="C848" s="91">
        <v>5.9660477160083492E-2</v>
      </c>
      <c r="D848" s="92">
        <v>83</v>
      </c>
      <c r="G848" s="5"/>
      <c r="H848" s="5"/>
      <c r="L848" s="7"/>
      <c r="M848" s="7"/>
      <c r="O848" s="5"/>
      <c r="P848" s="5"/>
    </row>
    <row r="849" spans="2:16" x14ac:dyDescent="0.25">
      <c r="B849" s="90">
        <v>1711</v>
      </c>
      <c r="C849" s="91">
        <v>5.9660477160083492E-2</v>
      </c>
      <c r="D849" s="92">
        <v>83</v>
      </c>
      <c r="G849" s="5"/>
      <c r="H849" s="5"/>
      <c r="L849" s="7"/>
      <c r="M849" s="7"/>
      <c r="O849" s="5"/>
      <c r="P849" s="5"/>
    </row>
    <row r="850" spans="2:16" x14ac:dyDescent="0.25">
      <c r="B850" s="90">
        <v>1429</v>
      </c>
      <c r="C850" s="91">
        <v>0.12814955157710983</v>
      </c>
      <c r="D850" s="92">
        <v>83</v>
      </c>
      <c r="G850" s="5"/>
      <c r="H850" s="5"/>
      <c r="L850" s="7"/>
      <c r="M850" s="7"/>
      <c r="O850" s="5"/>
      <c r="P850" s="5"/>
    </row>
    <row r="851" spans="2:16" x14ac:dyDescent="0.25">
      <c r="B851" s="90">
        <v>1356</v>
      </c>
      <c r="C851" s="91">
        <v>0.19266257191609304</v>
      </c>
      <c r="D851" s="92">
        <v>83</v>
      </c>
      <c r="G851" s="5"/>
      <c r="H851" s="5"/>
      <c r="L851" s="7"/>
      <c r="M851" s="7"/>
      <c r="O851" s="5"/>
      <c r="P851" s="5"/>
    </row>
    <row r="852" spans="2:16" x14ac:dyDescent="0.25">
      <c r="B852" s="90">
        <v>199</v>
      </c>
      <c r="C852" s="91">
        <v>0.30506203437100932</v>
      </c>
      <c r="D852" s="92">
        <v>83</v>
      </c>
      <c r="G852" s="5"/>
      <c r="H852" s="5"/>
      <c r="L852" s="7"/>
      <c r="M852" s="7"/>
      <c r="O852" s="5"/>
      <c r="P852" s="5"/>
    </row>
    <row r="853" spans="2:16" x14ac:dyDescent="0.25">
      <c r="B853" s="90">
        <v>727</v>
      </c>
      <c r="C853" s="91">
        <v>5.384972185122916E-2</v>
      </c>
      <c r="D853" s="92">
        <v>84</v>
      </c>
      <c r="G853" s="5"/>
      <c r="H853" s="5"/>
      <c r="L853" s="7"/>
      <c r="M853" s="7"/>
      <c r="O853" s="5"/>
      <c r="P853" s="5"/>
    </row>
    <row r="854" spans="2:16" x14ac:dyDescent="0.25">
      <c r="B854" s="90">
        <v>780</v>
      </c>
      <c r="C854" s="91">
        <v>5.452082531386182E-2</v>
      </c>
      <c r="D854" s="92">
        <v>84</v>
      </c>
      <c r="G854" s="5"/>
      <c r="H854" s="5"/>
      <c r="L854" s="7"/>
      <c r="M854" s="7"/>
      <c r="O854" s="5"/>
      <c r="P854" s="5"/>
    </row>
    <row r="855" spans="2:16" x14ac:dyDescent="0.25">
      <c r="B855" s="90">
        <v>883</v>
      </c>
      <c r="C855" s="91">
        <v>5.5746069559702516E-2</v>
      </c>
      <c r="D855" s="92">
        <v>84</v>
      </c>
      <c r="G855" s="5"/>
      <c r="H855" s="5"/>
      <c r="L855" s="7"/>
      <c r="M855" s="7"/>
      <c r="O855" s="5"/>
      <c r="P855" s="5"/>
    </row>
    <row r="856" spans="2:16" x14ac:dyDescent="0.25">
      <c r="B856" s="90">
        <v>832</v>
      </c>
      <c r="C856" s="91">
        <v>5.6642155628199187E-2</v>
      </c>
      <c r="D856" s="92">
        <v>84</v>
      </c>
      <c r="G856" s="5"/>
      <c r="H856" s="5"/>
      <c r="L856" s="7"/>
      <c r="M856" s="7"/>
      <c r="O856" s="5"/>
      <c r="P856" s="5"/>
    </row>
    <row r="857" spans="2:16" x14ac:dyDescent="0.25">
      <c r="B857" s="90">
        <v>942</v>
      </c>
      <c r="C857" s="91">
        <v>5.9352705190792054E-2</v>
      </c>
      <c r="D857" s="92">
        <v>84</v>
      </c>
      <c r="G857" s="5"/>
      <c r="H857" s="5"/>
      <c r="L857" s="7"/>
      <c r="M857" s="7"/>
      <c r="O857" s="5"/>
      <c r="P857" s="5"/>
    </row>
    <row r="858" spans="2:16" x14ac:dyDescent="0.25">
      <c r="B858" s="90">
        <v>982</v>
      </c>
      <c r="C858" s="91">
        <v>6.2218618655975888E-2</v>
      </c>
      <c r="D858" s="92">
        <v>84</v>
      </c>
      <c r="G858" s="5"/>
      <c r="H858" s="5"/>
      <c r="L858" s="7"/>
      <c r="M858" s="7"/>
      <c r="O858" s="5"/>
      <c r="P858" s="5"/>
    </row>
    <row r="859" spans="2:16" x14ac:dyDescent="0.25">
      <c r="B859" s="90">
        <v>892</v>
      </c>
      <c r="C859" s="91">
        <v>6.3694444036888731E-2</v>
      </c>
      <c r="D859" s="92">
        <v>84</v>
      </c>
      <c r="G859" s="5"/>
      <c r="H859" s="5"/>
      <c r="L859" s="7"/>
      <c r="M859" s="7"/>
      <c r="O859" s="5"/>
      <c r="P859" s="5"/>
    </row>
    <row r="860" spans="2:16" x14ac:dyDescent="0.25">
      <c r="B860" s="90">
        <v>736</v>
      </c>
      <c r="C860" s="91">
        <v>6.5591117372523988E-2</v>
      </c>
      <c r="D860" s="92">
        <v>84</v>
      </c>
      <c r="G860" s="5"/>
      <c r="H860" s="5"/>
      <c r="L860" s="7"/>
      <c r="M860" s="7"/>
      <c r="O860" s="5"/>
      <c r="P860" s="5"/>
    </row>
    <row r="861" spans="2:16" x14ac:dyDescent="0.25">
      <c r="B861" s="90">
        <v>991</v>
      </c>
      <c r="C861" s="91">
        <v>6.5928380029106171E-2</v>
      </c>
      <c r="D861" s="92">
        <v>84</v>
      </c>
      <c r="G861" s="5"/>
      <c r="H861" s="5"/>
      <c r="L861" s="7"/>
      <c r="M861" s="7"/>
      <c r="O861" s="5"/>
      <c r="P861" s="5"/>
    </row>
    <row r="862" spans="2:16" x14ac:dyDescent="0.25">
      <c r="B862" s="90">
        <v>841</v>
      </c>
      <c r="C862" s="91">
        <v>6.6190705698461638E-2</v>
      </c>
      <c r="D862" s="92">
        <v>84</v>
      </c>
      <c r="G862" s="5"/>
      <c r="H862" s="5"/>
      <c r="L862" s="7"/>
      <c r="M862" s="7"/>
      <c r="O862" s="5"/>
      <c r="P862" s="5"/>
    </row>
    <row r="863" spans="2:16" x14ac:dyDescent="0.25">
      <c r="B863" s="90">
        <v>1030</v>
      </c>
      <c r="C863" s="91">
        <v>7.0888479378476643E-2</v>
      </c>
      <c r="D863" s="92">
        <v>84</v>
      </c>
      <c r="G863" s="5"/>
      <c r="H863" s="5"/>
      <c r="L863" s="7"/>
      <c r="M863" s="7"/>
      <c r="O863" s="5"/>
      <c r="P863" s="5"/>
    </row>
    <row r="864" spans="2:16" x14ac:dyDescent="0.25">
      <c r="B864" s="90">
        <v>1039</v>
      </c>
      <c r="C864" s="91">
        <v>7.2319828660738161E-2</v>
      </c>
      <c r="D864" s="92">
        <v>84</v>
      </c>
      <c r="G864" s="5"/>
      <c r="H864" s="5"/>
      <c r="L864" s="7"/>
      <c r="M864" s="7"/>
      <c r="O864" s="5"/>
      <c r="P864" s="5"/>
    </row>
    <row r="865" spans="2:16" x14ac:dyDescent="0.25">
      <c r="B865" s="90">
        <v>1132</v>
      </c>
      <c r="C865" s="91">
        <v>7.315551827781297E-2</v>
      </c>
      <c r="D865" s="92">
        <v>84</v>
      </c>
      <c r="G865" s="5"/>
      <c r="H865" s="5"/>
      <c r="L865" s="7"/>
      <c r="M865" s="7"/>
      <c r="O865" s="5"/>
      <c r="P865" s="5"/>
    </row>
    <row r="866" spans="2:16" x14ac:dyDescent="0.25">
      <c r="B866" s="90">
        <v>1086</v>
      </c>
      <c r="C866" s="91">
        <v>7.8760259221055673E-2</v>
      </c>
      <c r="D866" s="92">
        <v>84</v>
      </c>
      <c r="G866" s="5"/>
      <c r="H866" s="5"/>
      <c r="L866" s="7"/>
      <c r="M866" s="7"/>
      <c r="O866" s="5"/>
      <c r="P866" s="5"/>
    </row>
    <row r="867" spans="2:16" x14ac:dyDescent="0.25">
      <c r="B867" s="90">
        <v>903</v>
      </c>
      <c r="C867" s="91">
        <v>0.20049669545252935</v>
      </c>
      <c r="D867" s="92">
        <v>84</v>
      </c>
      <c r="G867" s="5"/>
      <c r="H867" s="5"/>
      <c r="L867" s="7"/>
      <c r="M867" s="7"/>
      <c r="O867" s="5"/>
      <c r="P867" s="5"/>
    </row>
    <row r="868" spans="2:16" x14ac:dyDescent="0.25">
      <c r="B868" s="90">
        <v>904</v>
      </c>
      <c r="C868" s="91">
        <v>0.20983475859582612</v>
      </c>
      <c r="D868" s="92">
        <v>84</v>
      </c>
      <c r="G868" s="5"/>
      <c r="H868" s="5"/>
      <c r="L868" s="7"/>
      <c r="M868" s="7"/>
      <c r="O868" s="5"/>
      <c r="P868" s="5"/>
    </row>
    <row r="869" spans="2:16" x14ac:dyDescent="0.25">
      <c r="B869" s="90">
        <v>1206</v>
      </c>
      <c r="C869" s="91">
        <v>0.22001103215924545</v>
      </c>
      <c r="D869" s="92">
        <v>84</v>
      </c>
      <c r="G869" s="5"/>
      <c r="H869" s="5"/>
      <c r="L869" s="7"/>
      <c r="M869" s="7"/>
      <c r="O869" s="5"/>
      <c r="P869" s="5"/>
    </row>
    <row r="870" spans="2:16" x14ac:dyDescent="0.25">
      <c r="B870" s="90">
        <v>1162</v>
      </c>
      <c r="C870" s="91">
        <v>0.26861712595671139</v>
      </c>
      <c r="D870" s="92">
        <v>84</v>
      </c>
      <c r="G870" s="5"/>
      <c r="H870" s="5"/>
      <c r="L870" s="7"/>
      <c r="M870" s="7"/>
      <c r="O870" s="5"/>
      <c r="P870" s="5"/>
    </row>
    <row r="871" spans="2:16" x14ac:dyDescent="0.25">
      <c r="B871" s="90">
        <v>976</v>
      </c>
      <c r="C871" s="91">
        <v>0.31225870451498339</v>
      </c>
      <c r="D871" s="92">
        <v>84</v>
      </c>
      <c r="G871" s="5"/>
      <c r="H871" s="5"/>
      <c r="L871" s="7"/>
      <c r="M871" s="7"/>
      <c r="O871" s="5"/>
      <c r="P871" s="5"/>
    </row>
    <row r="872" spans="2:16" x14ac:dyDescent="0.25">
      <c r="B872" s="90">
        <v>1250</v>
      </c>
      <c r="C872" s="91">
        <v>0.32706650365607048</v>
      </c>
      <c r="D872" s="92">
        <v>84</v>
      </c>
      <c r="G872" s="5"/>
      <c r="H872" s="5"/>
      <c r="L872" s="7"/>
      <c r="M872" s="7"/>
      <c r="O872" s="5"/>
      <c r="P872" s="5"/>
    </row>
    <row r="873" spans="2:16" x14ac:dyDescent="0.25">
      <c r="B873" s="90">
        <v>1248</v>
      </c>
      <c r="C873" s="91">
        <v>0.33482852084746018</v>
      </c>
      <c r="D873" s="92">
        <v>84</v>
      </c>
      <c r="G873" s="5"/>
      <c r="H873" s="5"/>
      <c r="L873" s="7"/>
      <c r="M873" s="7"/>
      <c r="O873" s="5"/>
      <c r="P873" s="5"/>
    </row>
    <row r="874" spans="2:16" x14ac:dyDescent="0.25">
      <c r="B874" s="90">
        <v>1024</v>
      </c>
      <c r="C874" s="91">
        <v>0.35048172571353398</v>
      </c>
      <c r="D874" s="92">
        <v>84</v>
      </c>
      <c r="G874" s="5"/>
      <c r="H874" s="5"/>
      <c r="L874" s="7"/>
      <c r="M874" s="7"/>
      <c r="O874" s="5"/>
      <c r="P874" s="5"/>
    </row>
    <row r="875" spans="2:16" x14ac:dyDescent="0.25">
      <c r="B875" s="90">
        <v>1117</v>
      </c>
      <c r="C875" s="91">
        <v>0.35790248685957904</v>
      </c>
      <c r="D875" s="92">
        <v>84</v>
      </c>
      <c r="G875" s="5"/>
      <c r="H875" s="5"/>
      <c r="L875" s="7"/>
      <c r="M875" s="7"/>
      <c r="O875" s="5"/>
      <c r="P875" s="5"/>
    </row>
    <row r="876" spans="2:16" x14ac:dyDescent="0.25">
      <c r="B876" s="90">
        <v>1071</v>
      </c>
      <c r="C876" s="91">
        <v>0.3620332757708935</v>
      </c>
      <c r="D876" s="92">
        <v>84</v>
      </c>
      <c r="G876" s="5"/>
      <c r="H876" s="5"/>
      <c r="L876" s="7"/>
      <c r="M876" s="7"/>
      <c r="O876" s="5"/>
      <c r="P876" s="5"/>
    </row>
    <row r="877" spans="2:16" x14ac:dyDescent="0.25">
      <c r="B877" s="90">
        <v>1249</v>
      </c>
      <c r="C877" s="91">
        <v>0.38286356095750684</v>
      </c>
      <c r="D877" s="92">
        <v>84</v>
      </c>
      <c r="G877" s="5"/>
      <c r="H877" s="5"/>
      <c r="L877" s="7"/>
      <c r="M877" s="7"/>
      <c r="O877" s="5"/>
      <c r="P877" s="5"/>
    </row>
    <row r="878" spans="2:16" x14ac:dyDescent="0.25">
      <c r="B878" s="90">
        <v>638</v>
      </c>
      <c r="C878" s="91">
        <v>0.20457292906412339</v>
      </c>
      <c r="D878" s="92">
        <v>85</v>
      </c>
      <c r="G878" s="5"/>
      <c r="H878" s="5"/>
      <c r="L878" s="7"/>
      <c r="M878" s="7"/>
      <c r="O878" s="5"/>
      <c r="P878" s="5"/>
    </row>
    <row r="879" spans="2:16" x14ac:dyDescent="0.25">
      <c r="B879" s="90">
        <v>639</v>
      </c>
      <c r="C879" s="91">
        <v>0.21347913366975724</v>
      </c>
      <c r="D879" s="92">
        <v>85</v>
      </c>
      <c r="G879" s="5"/>
      <c r="H879" s="5"/>
      <c r="L879" s="7"/>
      <c r="M879" s="7"/>
      <c r="O879" s="5"/>
      <c r="P879" s="5"/>
    </row>
    <row r="880" spans="2:16" x14ac:dyDescent="0.25">
      <c r="B880" s="90">
        <v>37</v>
      </c>
      <c r="C880" s="91">
        <v>0.19680160403286684</v>
      </c>
      <c r="D880" s="92">
        <v>86</v>
      </c>
      <c r="G880" s="5"/>
      <c r="H880" s="5"/>
      <c r="L880" s="7"/>
      <c r="M880" s="7"/>
      <c r="O880" s="5"/>
      <c r="P880" s="5"/>
    </row>
    <row r="881" spans="2:16" x14ac:dyDescent="0.25">
      <c r="B881" s="90">
        <v>1480</v>
      </c>
      <c r="C881" s="91">
        <v>0.19680160403286684</v>
      </c>
      <c r="D881" s="92">
        <v>86</v>
      </c>
      <c r="G881" s="5"/>
      <c r="H881" s="5"/>
      <c r="L881" s="7"/>
      <c r="M881" s="7"/>
      <c r="O881" s="5"/>
      <c r="P881" s="5"/>
    </row>
    <row r="882" spans="2:16" x14ac:dyDescent="0.25">
      <c r="B882" s="90">
        <v>951</v>
      </c>
      <c r="C882" s="91">
        <v>0.20547529950256627</v>
      </c>
      <c r="D882" s="92">
        <v>87</v>
      </c>
      <c r="G882" s="5"/>
      <c r="H882" s="5"/>
      <c r="L882" s="7"/>
      <c r="M882" s="7"/>
      <c r="O882" s="5"/>
      <c r="P882" s="5"/>
    </row>
    <row r="883" spans="2:16" x14ac:dyDescent="0.25">
      <c r="B883" s="90">
        <v>1310</v>
      </c>
      <c r="C883" s="91">
        <v>5.1598194077146831E-2</v>
      </c>
      <c r="D883" s="92">
        <v>88</v>
      </c>
      <c r="G883" s="5"/>
      <c r="H883" s="5"/>
      <c r="L883" s="7"/>
      <c r="M883" s="7"/>
      <c r="O883" s="5"/>
      <c r="P883" s="5"/>
    </row>
    <row r="884" spans="2:16" x14ac:dyDescent="0.25">
      <c r="B884" s="90">
        <v>887</v>
      </c>
      <c r="C884" s="91">
        <v>0.14632918145076557</v>
      </c>
      <c r="D884" s="92">
        <v>89</v>
      </c>
      <c r="G884" s="5"/>
      <c r="H884" s="5"/>
      <c r="L884" s="7"/>
      <c r="M884" s="7"/>
      <c r="O884" s="5"/>
      <c r="P884" s="5"/>
    </row>
    <row r="885" spans="2:16" x14ac:dyDescent="0.25">
      <c r="B885" s="90">
        <v>858</v>
      </c>
      <c r="C885" s="91">
        <v>0.15462873818731326</v>
      </c>
      <c r="D885" s="92">
        <v>89</v>
      </c>
      <c r="G885" s="5"/>
      <c r="H885" s="5"/>
      <c r="L885" s="7"/>
      <c r="M885" s="7"/>
      <c r="O885" s="5"/>
      <c r="P885" s="5"/>
    </row>
    <row r="886" spans="2:16" x14ac:dyDescent="0.25">
      <c r="B886" s="90">
        <v>238</v>
      </c>
      <c r="C886" s="91">
        <v>0.19162089964503537</v>
      </c>
      <c r="D886" s="92">
        <v>89</v>
      </c>
      <c r="G886" s="5"/>
      <c r="H886" s="5"/>
      <c r="L886" s="7"/>
      <c r="M886" s="7"/>
      <c r="O886" s="5"/>
      <c r="P886" s="5"/>
    </row>
    <row r="887" spans="2:16" x14ac:dyDescent="0.25">
      <c r="B887" s="90">
        <v>1781</v>
      </c>
      <c r="C887" s="91">
        <v>1.5365629391839608E-2</v>
      </c>
      <c r="D887" s="92">
        <v>90</v>
      </c>
      <c r="G887" s="5"/>
      <c r="H887" s="5"/>
      <c r="L887" s="7"/>
      <c r="M887" s="7"/>
      <c r="O887" s="5"/>
      <c r="P887" s="5"/>
    </row>
    <row r="888" spans="2:16" x14ac:dyDescent="0.25">
      <c r="B888" s="90">
        <v>1753</v>
      </c>
      <c r="C888" s="91">
        <v>1.983265649154653E-2</v>
      </c>
      <c r="D888" s="92">
        <v>90</v>
      </c>
      <c r="G888" s="5"/>
      <c r="H888" s="5"/>
      <c r="L888" s="7"/>
      <c r="M888" s="7"/>
      <c r="O888" s="5"/>
      <c r="P888" s="5"/>
    </row>
    <row r="889" spans="2:16" x14ac:dyDescent="0.25">
      <c r="B889" s="90">
        <v>1787</v>
      </c>
      <c r="C889" s="91">
        <v>2.5901882684110755E-2</v>
      </c>
      <c r="D889" s="92">
        <v>90</v>
      </c>
      <c r="G889" s="5"/>
      <c r="H889" s="5"/>
      <c r="L889" s="7"/>
      <c r="M889" s="7"/>
      <c r="O889" s="5"/>
      <c r="P889" s="5"/>
    </row>
    <row r="890" spans="2:16" x14ac:dyDescent="0.25">
      <c r="B890" s="90">
        <v>1784</v>
      </c>
      <c r="C890" s="91">
        <v>2.6363507916958628E-2</v>
      </c>
      <c r="D890" s="92">
        <v>90</v>
      </c>
      <c r="G890" s="5"/>
      <c r="H890" s="5"/>
      <c r="L890" s="7"/>
      <c r="M890" s="7"/>
      <c r="O890" s="5"/>
      <c r="P890" s="5"/>
    </row>
    <row r="891" spans="2:16" x14ac:dyDescent="0.25">
      <c r="B891" s="90">
        <v>1723</v>
      </c>
      <c r="C891" s="91">
        <v>2.8791107262333915E-2</v>
      </c>
      <c r="D891" s="92">
        <v>90</v>
      </c>
      <c r="G891" s="5"/>
      <c r="H891" s="5"/>
      <c r="L891" s="7"/>
      <c r="M891" s="7"/>
      <c r="O891" s="5"/>
      <c r="P891" s="5"/>
    </row>
    <row r="892" spans="2:16" x14ac:dyDescent="0.25">
      <c r="B892" s="90">
        <v>1786</v>
      </c>
      <c r="C892" s="91">
        <v>2.9631491600981774E-2</v>
      </c>
      <c r="D892" s="92">
        <v>90</v>
      </c>
      <c r="G892" s="5"/>
      <c r="H892" s="5"/>
      <c r="L892" s="7"/>
      <c r="M892" s="7"/>
      <c r="O892" s="5"/>
      <c r="P892" s="5"/>
    </row>
    <row r="893" spans="2:16" x14ac:dyDescent="0.25">
      <c r="B893" s="90">
        <v>1759</v>
      </c>
      <c r="C893" s="91">
        <v>3.3862672427079632E-2</v>
      </c>
      <c r="D893" s="92">
        <v>90</v>
      </c>
      <c r="G893" s="5"/>
      <c r="H893" s="5"/>
      <c r="L893" s="7"/>
      <c r="M893" s="7"/>
      <c r="O893" s="5"/>
      <c r="P893" s="5"/>
    </row>
    <row r="894" spans="2:16" x14ac:dyDescent="0.25">
      <c r="B894" s="90">
        <v>1769</v>
      </c>
      <c r="C894" s="91">
        <v>3.6117340591764746E-2</v>
      </c>
      <c r="D894" s="92">
        <v>90</v>
      </c>
      <c r="G894" s="5"/>
      <c r="H894" s="5"/>
      <c r="L894" s="7"/>
      <c r="M894" s="7"/>
      <c r="O894" s="5"/>
      <c r="P894" s="5"/>
    </row>
    <row r="895" spans="2:16" x14ac:dyDescent="0.25">
      <c r="B895" s="90">
        <v>1741</v>
      </c>
      <c r="C895" s="91">
        <v>3.6238959187681052E-2</v>
      </c>
      <c r="D895" s="92">
        <v>90</v>
      </c>
      <c r="G895" s="5"/>
      <c r="H895" s="5"/>
      <c r="L895" s="7"/>
      <c r="M895" s="7"/>
      <c r="O895" s="5"/>
      <c r="P895" s="5"/>
    </row>
    <row r="896" spans="2:16" x14ac:dyDescent="0.25">
      <c r="B896" s="90">
        <v>1758</v>
      </c>
      <c r="C896" s="91">
        <v>3.7086623133252283E-2</v>
      </c>
      <c r="D896" s="92">
        <v>90</v>
      </c>
      <c r="G896" s="5"/>
      <c r="H896" s="5"/>
      <c r="L896" s="7"/>
      <c r="M896" s="7"/>
      <c r="O896" s="5"/>
      <c r="P896" s="5"/>
    </row>
    <row r="897" spans="2:16" x14ac:dyDescent="0.25">
      <c r="B897" s="90">
        <v>1477</v>
      </c>
      <c r="C897" s="91">
        <v>4.3900430194823148E-2</v>
      </c>
      <c r="D897" s="92">
        <v>90</v>
      </c>
      <c r="G897" s="5"/>
      <c r="H897" s="5"/>
      <c r="L897" s="7"/>
      <c r="M897" s="7"/>
      <c r="O897" s="5"/>
      <c r="P897" s="5"/>
    </row>
    <row r="898" spans="2:16" x14ac:dyDescent="0.25">
      <c r="B898" s="90">
        <v>358</v>
      </c>
      <c r="C898" s="91">
        <v>0.1414754328068677</v>
      </c>
      <c r="D898" s="92">
        <v>90</v>
      </c>
      <c r="G898" s="5"/>
      <c r="H898" s="5"/>
      <c r="L898" s="7"/>
      <c r="M898" s="7"/>
      <c r="O898" s="5"/>
      <c r="P898" s="5"/>
    </row>
    <row r="899" spans="2:16" x14ac:dyDescent="0.25">
      <c r="B899" s="90">
        <v>1716</v>
      </c>
      <c r="C899" s="91">
        <v>0.16484448627813886</v>
      </c>
      <c r="D899" s="92">
        <v>90</v>
      </c>
      <c r="G899" s="5"/>
      <c r="H899" s="5"/>
      <c r="L899" s="7"/>
      <c r="M899" s="7"/>
      <c r="O899" s="5"/>
      <c r="P899" s="5"/>
    </row>
    <row r="900" spans="2:16" x14ac:dyDescent="0.25">
      <c r="B900" s="90">
        <v>1358</v>
      </c>
      <c r="C900" s="91">
        <v>0.19625938639528528</v>
      </c>
      <c r="D900" s="92">
        <v>90</v>
      </c>
      <c r="G900" s="5"/>
      <c r="H900" s="5"/>
      <c r="L900" s="7"/>
      <c r="M900" s="7"/>
      <c r="O900" s="5"/>
      <c r="P900" s="5"/>
    </row>
    <row r="901" spans="2:16" x14ac:dyDescent="0.25">
      <c r="B901" s="90">
        <v>362</v>
      </c>
      <c r="C901" s="91">
        <v>0.22254455681149654</v>
      </c>
      <c r="D901" s="92">
        <v>90</v>
      </c>
      <c r="G901" s="5"/>
      <c r="H901" s="5"/>
      <c r="L901" s="7"/>
      <c r="M901" s="7"/>
      <c r="O901" s="5"/>
      <c r="P901" s="5"/>
    </row>
    <row r="902" spans="2:16" x14ac:dyDescent="0.25">
      <c r="B902" s="90">
        <v>707</v>
      </c>
      <c r="C902" s="91">
        <v>0.26256569740037994</v>
      </c>
      <c r="D902" s="92">
        <v>90</v>
      </c>
      <c r="G902" s="5"/>
      <c r="H902" s="5"/>
      <c r="L902" s="7"/>
      <c r="M902" s="7"/>
      <c r="O902" s="5"/>
      <c r="P902" s="5"/>
    </row>
    <row r="903" spans="2:16" x14ac:dyDescent="0.25">
      <c r="B903" s="90">
        <v>760</v>
      </c>
      <c r="C903" s="91">
        <v>0.26763146296522988</v>
      </c>
      <c r="D903" s="92">
        <v>90</v>
      </c>
      <c r="G903" s="5"/>
      <c r="H903" s="5"/>
      <c r="L903" s="7"/>
      <c r="M903" s="7"/>
      <c r="O903" s="5"/>
      <c r="P903" s="5"/>
    </row>
    <row r="904" spans="2:16" x14ac:dyDescent="0.25">
      <c r="B904" s="90">
        <v>813</v>
      </c>
      <c r="C904" s="91">
        <v>0.26815437750972193</v>
      </c>
      <c r="D904" s="92">
        <v>90</v>
      </c>
      <c r="G904" s="5"/>
      <c r="H904" s="5"/>
      <c r="L904" s="7"/>
      <c r="M904" s="7"/>
      <c r="O904" s="5"/>
      <c r="P904" s="5"/>
    </row>
    <row r="905" spans="2:16" x14ac:dyDescent="0.25">
      <c r="B905" s="90">
        <v>1709</v>
      </c>
      <c r="C905" s="91">
        <v>2.8062013329443025E-2</v>
      </c>
      <c r="D905" s="92">
        <v>91</v>
      </c>
      <c r="G905" s="5"/>
      <c r="H905" s="5"/>
      <c r="L905" s="7"/>
      <c r="M905" s="7"/>
      <c r="O905" s="5"/>
      <c r="P905" s="5"/>
    </row>
    <row r="906" spans="2:16" x14ac:dyDescent="0.25">
      <c r="B906" s="90">
        <v>789</v>
      </c>
      <c r="C906" s="91">
        <v>6.5752988455303862E-2</v>
      </c>
      <c r="D906" s="92">
        <v>91</v>
      </c>
      <c r="G906" s="5"/>
      <c r="H906" s="5"/>
      <c r="L906" s="7"/>
      <c r="M906" s="7"/>
      <c r="O906" s="5"/>
      <c r="P906" s="5"/>
    </row>
    <row r="907" spans="2:16" x14ac:dyDescent="0.25">
      <c r="B907" s="90">
        <v>232</v>
      </c>
      <c r="C907" s="91">
        <v>6.5861073342790344E-2</v>
      </c>
      <c r="D907" s="92">
        <v>91</v>
      </c>
      <c r="G907" s="5"/>
      <c r="H907" s="5"/>
      <c r="L907" s="7"/>
      <c r="M907" s="7"/>
      <c r="O907" s="5"/>
      <c r="P907" s="5"/>
    </row>
    <row r="908" spans="2:16" x14ac:dyDescent="0.25">
      <c r="B908" s="90">
        <v>231</v>
      </c>
      <c r="C908" s="91">
        <v>8.2154314442145826E-2</v>
      </c>
      <c r="D908" s="92">
        <v>91</v>
      </c>
      <c r="G908" s="5"/>
      <c r="H908" s="5"/>
      <c r="L908" s="7"/>
      <c r="M908" s="7"/>
      <c r="O908" s="5"/>
      <c r="P908" s="5"/>
    </row>
    <row r="909" spans="2:16" x14ac:dyDescent="0.25">
      <c r="B909" s="90">
        <v>233</v>
      </c>
      <c r="C909" s="91">
        <v>0.10506642226366802</v>
      </c>
      <c r="D909" s="92">
        <v>91</v>
      </c>
      <c r="G909" s="5"/>
      <c r="H909" s="5"/>
      <c r="L909" s="7"/>
      <c r="M909" s="7"/>
      <c r="O909" s="5"/>
      <c r="P909" s="5"/>
    </row>
    <row r="910" spans="2:16" x14ac:dyDescent="0.25">
      <c r="B910" s="90">
        <v>234</v>
      </c>
      <c r="C910" s="91">
        <v>0.10697686116334515</v>
      </c>
      <c r="D910" s="92">
        <v>91</v>
      </c>
      <c r="G910" s="5"/>
      <c r="H910" s="5"/>
      <c r="L910" s="7"/>
      <c r="M910" s="7"/>
      <c r="O910" s="5"/>
      <c r="P910" s="5"/>
    </row>
    <row r="911" spans="2:16" x14ac:dyDescent="0.25">
      <c r="B911" s="90">
        <v>235</v>
      </c>
      <c r="C911" s="91">
        <v>0.10828409796749683</v>
      </c>
      <c r="D911" s="92">
        <v>91</v>
      </c>
      <c r="G911" s="5"/>
      <c r="H911" s="5"/>
      <c r="L911" s="7"/>
      <c r="M911" s="7"/>
      <c r="O911" s="5"/>
      <c r="P911" s="5"/>
    </row>
    <row r="912" spans="2:16" x14ac:dyDescent="0.25">
      <c r="B912" s="90">
        <v>835</v>
      </c>
      <c r="C912" s="91">
        <v>0.12829288808426742</v>
      </c>
      <c r="D912" s="92">
        <v>91</v>
      </c>
      <c r="G912" s="5"/>
      <c r="H912" s="5"/>
      <c r="L912" s="7"/>
      <c r="M912" s="7"/>
      <c r="O912" s="5"/>
      <c r="P912" s="5"/>
    </row>
    <row r="913" spans="2:16" x14ac:dyDescent="0.25">
      <c r="B913" s="90">
        <v>886</v>
      </c>
      <c r="C913" s="91">
        <v>0.13356172721584259</v>
      </c>
      <c r="D913" s="92">
        <v>91</v>
      </c>
      <c r="G913" s="5"/>
      <c r="H913" s="5"/>
      <c r="L913" s="7"/>
      <c r="M913" s="7"/>
      <c r="O913" s="5"/>
      <c r="P913" s="5"/>
    </row>
    <row r="914" spans="2:16" x14ac:dyDescent="0.25">
      <c r="B914" s="90">
        <v>986</v>
      </c>
      <c r="C914" s="91">
        <v>0.13440613916750954</v>
      </c>
      <c r="D914" s="92">
        <v>91</v>
      </c>
      <c r="G914" s="5"/>
      <c r="H914" s="5"/>
      <c r="L914" s="7"/>
      <c r="M914" s="7"/>
      <c r="O914" s="5"/>
      <c r="P914" s="5"/>
    </row>
    <row r="915" spans="2:16" x14ac:dyDescent="0.25">
      <c r="B915" s="90">
        <v>783</v>
      </c>
      <c r="C915" s="91">
        <v>0.13492514064504257</v>
      </c>
      <c r="D915" s="92">
        <v>91</v>
      </c>
      <c r="G915" s="5"/>
      <c r="H915" s="5"/>
      <c r="L915" s="7"/>
      <c r="M915" s="7"/>
      <c r="O915" s="5"/>
      <c r="P915" s="5"/>
    </row>
    <row r="916" spans="2:16" x14ac:dyDescent="0.25">
      <c r="B916" s="90">
        <v>730</v>
      </c>
      <c r="C916" s="91">
        <v>0.13755257446600233</v>
      </c>
      <c r="D916" s="92">
        <v>91</v>
      </c>
      <c r="G916" s="5"/>
      <c r="H916" s="5"/>
      <c r="L916" s="7"/>
      <c r="M916" s="7"/>
      <c r="O916" s="5"/>
      <c r="P916" s="5"/>
    </row>
    <row r="917" spans="2:16" x14ac:dyDescent="0.25">
      <c r="B917" s="90">
        <v>936</v>
      </c>
      <c r="C917" s="91">
        <v>0.14191751126501073</v>
      </c>
      <c r="D917" s="92">
        <v>91</v>
      </c>
      <c r="G917" s="5"/>
      <c r="H917" s="5"/>
      <c r="L917" s="7"/>
      <c r="M917" s="7"/>
      <c r="O917" s="5"/>
      <c r="P917" s="5"/>
    </row>
    <row r="918" spans="2:16" x14ac:dyDescent="0.25">
      <c r="B918" s="90">
        <v>239</v>
      </c>
      <c r="C918" s="91">
        <v>0.18798111226662839</v>
      </c>
      <c r="D918" s="92">
        <v>91</v>
      </c>
      <c r="G918" s="5"/>
      <c r="H918" s="5"/>
      <c r="L918" s="7"/>
      <c r="M918" s="7"/>
      <c r="O918" s="5"/>
      <c r="P918" s="5"/>
    </row>
    <row r="919" spans="2:16" x14ac:dyDescent="0.25">
      <c r="B919" s="90">
        <v>1146</v>
      </c>
      <c r="C919" s="91">
        <v>0.20940526566561912</v>
      </c>
      <c r="D919" s="92">
        <v>91</v>
      </c>
      <c r="G919" s="5"/>
      <c r="H919" s="5"/>
      <c r="L919" s="7"/>
      <c r="M919" s="7"/>
      <c r="O919" s="5"/>
      <c r="P919" s="5"/>
    </row>
    <row r="920" spans="2:16" x14ac:dyDescent="0.25">
      <c r="B920" s="90">
        <v>361</v>
      </c>
      <c r="C920" s="91">
        <v>0.22356243749285376</v>
      </c>
      <c r="D920" s="92">
        <v>91</v>
      </c>
      <c r="G920" s="5"/>
      <c r="H920" s="5"/>
      <c r="L920" s="7"/>
      <c r="M920" s="7"/>
      <c r="O920" s="5"/>
      <c r="P920" s="5"/>
    </row>
    <row r="921" spans="2:16" x14ac:dyDescent="0.25">
      <c r="B921" s="90">
        <v>301</v>
      </c>
      <c r="C921" s="91">
        <v>0.22498216463295384</v>
      </c>
      <c r="D921" s="92">
        <v>91</v>
      </c>
      <c r="G921" s="5"/>
      <c r="H921" s="5"/>
      <c r="L921" s="7"/>
      <c r="M921" s="7"/>
      <c r="O921" s="5"/>
      <c r="P921" s="5"/>
    </row>
    <row r="922" spans="2:16" x14ac:dyDescent="0.25">
      <c r="B922" s="90">
        <v>1884</v>
      </c>
      <c r="C922" s="91">
        <v>1.0356900524094104E-2</v>
      </c>
      <c r="D922" s="92">
        <v>92</v>
      </c>
      <c r="G922" s="5"/>
      <c r="H922" s="5"/>
      <c r="L922" s="7"/>
      <c r="M922" s="7"/>
      <c r="O922" s="5"/>
      <c r="P922" s="5"/>
    </row>
    <row r="923" spans="2:16" x14ac:dyDescent="0.25">
      <c r="B923" s="90">
        <v>1720</v>
      </c>
      <c r="C923" s="91">
        <v>1.668741617213243E-2</v>
      </c>
      <c r="D923" s="92">
        <v>92</v>
      </c>
      <c r="G923" s="5"/>
      <c r="H923" s="5"/>
      <c r="L923" s="7"/>
      <c r="M923" s="7"/>
      <c r="O923" s="5"/>
      <c r="P923" s="5"/>
    </row>
    <row r="924" spans="2:16" x14ac:dyDescent="0.25">
      <c r="B924" s="90">
        <v>1891</v>
      </c>
      <c r="C924" s="91">
        <v>1.7118608780129718E-2</v>
      </c>
      <c r="D924" s="92">
        <v>92</v>
      </c>
      <c r="G924" s="5"/>
      <c r="H924" s="5"/>
      <c r="L924" s="7"/>
      <c r="M924" s="7"/>
      <c r="O924" s="5"/>
      <c r="P924" s="5"/>
    </row>
    <row r="925" spans="2:16" x14ac:dyDescent="0.25">
      <c r="B925" s="90">
        <v>1890</v>
      </c>
      <c r="C925" s="91">
        <v>1.847877893799188E-2</v>
      </c>
      <c r="D925" s="92">
        <v>92</v>
      </c>
      <c r="G925" s="5"/>
      <c r="H925" s="5"/>
      <c r="L925" s="7"/>
      <c r="M925" s="7"/>
      <c r="O925" s="5"/>
      <c r="P925" s="5"/>
    </row>
    <row r="926" spans="2:16" x14ac:dyDescent="0.25">
      <c r="B926" s="90">
        <v>1855</v>
      </c>
      <c r="C926" s="91">
        <v>2.9836773051854726E-2</v>
      </c>
      <c r="D926" s="92">
        <v>92</v>
      </c>
      <c r="G926" s="5"/>
      <c r="H926" s="5"/>
      <c r="L926" s="7"/>
      <c r="M926" s="7"/>
      <c r="O926" s="5"/>
      <c r="P926" s="5"/>
    </row>
    <row r="927" spans="2:16" x14ac:dyDescent="0.25">
      <c r="B927" s="90">
        <v>1721</v>
      </c>
      <c r="C927" s="91">
        <v>3.0646372840059444E-2</v>
      </c>
      <c r="D927" s="92">
        <v>92</v>
      </c>
      <c r="G927" s="5"/>
      <c r="H927" s="5"/>
      <c r="L927" s="7"/>
      <c r="M927" s="7"/>
      <c r="O927" s="5"/>
      <c r="P927" s="5"/>
    </row>
    <row r="928" spans="2:16" x14ac:dyDescent="0.25">
      <c r="B928" s="90">
        <v>1856</v>
      </c>
      <c r="C928" s="91">
        <v>4.5890231500343548E-2</v>
      </c>
      <c r="D928" s="92">
        <v>92</v>
      </c>
      <c r="G928" s="5"/>
      <c r="H928" s="5"/>
      <c r="L928" s="7"/>
      <c r="M928" s="7"/>
      <c r="O928" s="5"/>
      <c r="P928" s="5"/>
    </row>
    <row r="929" spans="2:16" x14ac:dyDescent="0.25">
      <c r="B929" s="90">
        <v>1796</v>
      </c>
      <c r="C929" s="91">
        <v>5.4661772181018975E-2</v>
      </c>
      <c r="D929" s="92">
        <v>92</v>
      </c>
      <c r="G929" s="5"/>
      <c r="H929" s="5"/>
      <c r="L929" s="7"/>
      <c r="M929" s="7"/>
      <c r="O929" s="5"/>
      <c r="P929" s="5"/>
    </row>
    <row r="930" spans="2:16" x14ac:dyDescent="0.25">
      <c r="B930" s="90">
        <v>1713</v>
      </c>
      <c r="C930" s="91">
        <v>0.11194289923215062</v>
      </c>
      <c r="D930" s="92">
        <v>92</v>
      </c>
      <c r="G930" s="5"/>
      <c r="H930" s="5"/>
      <c r="L930" s="7"/>
      <c r="M930" s="7"/>
      <c r="O930" s="5"/>
      <c r="P930" s="5"/>
    </row>
    <row r="931" spans="2:16" x14ac:dyDescent="0.25">
      <c r="B931" s="90">
        <v>297</v>
      </c>
      <c r="C931" s="91">
        <v>0.1429465636518924</v>
      </c>
      <c r="D931" s="92">
        <v>92</v>
      </c>
      <c r="G931" s="5"/>
      <c r="H931" s="5"/>
      <c r="L931" s="7"/>
      <c r="M931" s="7"/>
      <c r="O931" s="5"/>
      <c r="P931" s="5"/>
    </row>
    <row r="932" spans="2:16" x14ac:dyDescent="0.25">
      <c r="B932" s="90">
        <v>417</v>
      </c>
      <c r="C932" s="91">
        <v>0.14757660614523116</v>
      </c>
      <c r="D932" s="92">
        <v>92</v>
      </c>
      <c r="G932" s="5"/>
      <c r="H932" s="5"/>
      <c r="L932" s="7"/>
      <c r="M932" s="7"/>
      <c r="O932" s="5"/>
      <c r="P932" s="5"/>
    </row>
    <row r="933" spans="2:16" x14ac:dyDescent="0.25">
      <c r="B933" s="90">
        <v>566</v>
      </c>
      <c r="C933" s="91">
        <v>0.15348688265624022</v>
      </c>
      <c r="D933" s="92">
        <v>92</v>
      </c>
      <c r="G933" s="5"/>
      <c r="H933" s="5"/>
      <c r="L933" s="7"/>
      <c r="M933" s="7"/>
      <c r="O933" s="5"/>
      <c r="P933" s="5"/>
    </row>
    <row r="934" spans="2:16" x14ac:dyDescent="0.25">
      <c r="B934" s="90">
        <v>1851</v>
      </c>
      <c r="C934" s="91">
        <v>0.1547767885381377</v>
      </c>
      <c r="D934" s="92">
        <v>92</v>
      </c>
      <c r="G934" s="5"/>
      <c r="H934" s="5"/>
      <c r="L934" s="7"/>
      <c r="M934" s="7"/>
      <c r="O934" s="5"/>
      <c r="P934" s="5"/>
    </row>
    <row r="935" spans="2:16" x14ac:dyDescent="0.25">
      <c r="B935" s="90">
        <v>622</v>
      </c>
      <c r="C935" s="91">
        <v>0.15795318741617903</v>
      </c>
      <c r="D935" s="92">
        <v>92</v>
      </c>
      <c r="G935" s="5"/>
      <c r="H935" s="5"/>
      <c r="L935" s="7"/>
      <c r="M935" s="7"/>
      <c r="O935" s="5"/>
      <c r="P935" s="5"/>
    </row>
    <row r="936" spans="2:16" x14ac:dyDescent="0.25">
      <c r="B936" s="90">
        <v>509</v>
      </c>
      <c r="C936" s="91">
        <v>0.16167599640215491</v>
      </c>
      <c r="D936" s="92">
        <v>92</v>
      </c>
      <c r="G936" s="5"/>
      <c r="H936" s="5"/>
      <c r="L936" s="7"/>
      <c r="M936" s="7"/>
      <c r="O936" s="5"/>
      <c r="P936" s="5"/>
    </row>
    <row r="937" spans="2:16" x14ac:dyDescent="0.25">
      <c r="B937" s="90">
        <v>1921</v>
      </c>
      <c r="C937" s="91">
        <v>0.16556398055261301</v>
      </c>
      <c r="D937" s="92">
        <v>92</v>
      </c>
      <c r="G937" s="5"/>
      <c r="H937" s="5"/>
      <c r="L937" s="7"/>
      <c r="M937" s="7"/>
      <c r="O937" s="5"/>
      <c r="P937" s="5"/>
    </row>
    <row r="938" spans="2:16" x14ac:dyDescent="0.25">
      <c r="B938" s="90">
        <v>862</v>
      </c>
      <c r="C938" s="91">
        <v>0.18842385868964262</v>
      </c>
      <c r="D938" s="92">
        <v>92</v>
      </c>
      <c r="G938" s="5"/>
      <c r="H938" s="5"/>
      <c r="L938" s="7"/>
      <c r="M938" s="7"/>
      <c r="O938" s="5"/>
      <c r="P938" s="5"/>
    </row>
    <row r="939" spans="2:16" x14ac:dyDescent="0.25">
      <c r="B939" s="90">
        <v>1359</v>
      </c>
      <c r="C939" s="91">
        <v>0.20636735210074042</v>
      </c>
      <c r="D939" s="92">
        <v>92</v>
      </c>
      <c r="G939" s="5"/>
      <c r="H939" s="5"/>
      <c r="L939" s="7"/>
      <c r="M939" s="7"/>
      <c r="O939" s="5"/>
      <c r="P939" s="5"/>
    </row>
    <row r="940" spans="2:16" x14ac:dyDescent="0.25">
      <c r="B940" s="90">
        <v>918</v>
      </c>
      <c r="C940" s="91">
        <v>0.26864414273606885</v>
      </c>
      <c r="D940" s="92">
        <v>92</v>
      </c>
      <c r="G940" s="5"/>
      <c r="H940" s="5"/>
      <c r="L940" s="7"/>
      <c r="M940" s="7"/>
      <c r="O940" s="5"/>
      <c r="P940" s="5"/>
    </row>
    <row r="941" spans="2:16" x14ac:dyDescent="0.25">
      <c r="B941" s="90">
        <v>682</v>
      </c>
      <c r="C941" s="91">
        <v>6.4585445428376187E-2</v>
      </c>
      <c r="D941" s="92">
        <v>93</v>
      </c>
      <c r="G941" s="5"/>
      <c r="H941" s="5"/>
      <c r="L941" s="7"/>
      <c r="M941" s="7"/>
      <c r="O941" s="5"/>
      <c r="P941" s="5"/>
    </row>
    <row r="942" spans="2:16" x14ac:dyDescent="0.25">
      <c r="B942" s="90">
        <v>214</v>
      </c>
      <c r="C942" s="91">
        <v>8.852032976505253E-2</v>
      </c>
      <c r="D942" s="92">
        <v>93</v>
      </c>
      <c r="G942" s="5"/>
      <c r="H942" s="5"/>
      <c r="L942" s="7"/>
      <c r="M942" s="7"/>
      <c r="O942" s="5"/>
      <c r="P942" s="5"/>
    </row>
    <row r="943" spans="2:16" x14ac:dyDescent="0.25">
      <c r="B943" s="90">
        <v>676</v>
      </c>
      <c r="C943" s="91">
        <v>0.14250348009370439</v>
      </c>
      <c r="D943" s="92">
        <v>93</v>
      </c>
      <c r="G943" s="5"/>
      <c r="H943" s="5"/>
      <c r="L943" s="7"/>
      <c r="M943" s="7"/>
      <c r="O943" s="5"/>
      <c r="P943" s="5"/>
    </row>
    <row r="944" spans="2:16" x14ac:dyDescent="0.25">
      <c r="B944" s="90">
        <v>523</v>
      </c>
      <c r="C944" s="91">
        <v>0.20548613560393314</v>
      </c>
      <c r="D944" s="92">
        <v>93</v>
      </c>
      <c r="G944" s="5"/>
      <c r="H944" s="5"/>
      <c r="L944" s="7"/>
      <c r="M944" s="7"/>
      <c r="O944" s="5"/>
      <c r="P944" s="5"/>
    </row>
    <row r="945" spans="2:16" x14ac:dyDescent="0.25">
      <c r="B945" s="90">
        <v>300</v>
      </c>
      <c r="C945" s="91">
        <v>0.2256785520391601</v>
      </c>
      <c r="D945" s="92">
        <v>93</v>
      </c>
      <c r="G945" s="5"/>
      <c r="H945" s="5"/>
      <c r="L945" s="7"/>
      <c r="M945" s="7"/>
      <c r="O945" s="5"/>
      <c r="P945" s="5"/>
    </row>
    <row r="946" spans="2:16" x14ac:dyDescent="0.25">
      <c r="B946" s="90">
        <v>422</v>
      </c>
      <c r="C946" s="91">
        <v>0.23050480964313036</v>
      </c>
      <c r="D946" s="92">
        <v>93</v>
      </c>
      <c r="G946" s="5"/>
      <c r="H946" s="5"/>
      <c r="L946" s="7"/>
      <c r="M946" s="7"/>
      <c r="O946" s="5"/>
      <c r="P946" s="5"/>
    </row>
    <row r="947" spans="2:16" x14ac:dyDescent="0.25">
      <c r="B947" s="90">
        <v>363</v>
      </c>
      <c r="C947" s="91">
        <v>0.25003892015281171</v>
      </c>
      <c r="D947" s="92">
        <v>93</v>
      </c>
      <c r="G947" s="5"/>
      <c r="H947" s="5"/>
      <c r="L947" s="7"/>
      <c r="M947" s="7"/>
      <c r="O947" s="5"/>
      <c r="P947" s="5"/>
    </row>
    <row r="948" spans="2:16" x14ac:dyDescent="0.25">
      <c r="B948" s="90">
        <v>596</v>
      </c>
      <c r="C948" s="91">
        <v>0.25947825027915294</v>
      </c>
      <c r="D948" s="92">
        <v>93</v>
      </c>
      <c r="G948" s="5"/>
      <c r="H948" s="5"/>
      <c r="L948" s="7"/>
      <c r="M948" s="7"/>
      <c r="O948" s="5"/>
      <c r="P948" s="5"/>
    </row>
    <row r="949" spans="2:16" x14ac:dyDescent="0.25">
      <c r="B949" s="90">
        <v>762</v>
      </c>
      <c r="C949" s="91">
        <v>0.27692234268399563</v>
      </c>
      <c r="D949" s="92">
        <v>93</v>
      </c>
      <c r="G949" s="5"/>
      <c r="H949" s="5"/>
      <c r="L949" s="7"/>
      <c r="M949" s="7"/>
      <c r="O949" s="5"/>
      <c r="P949" s="5"/>
    </row>
    <row r="950" spans="2:16" x14ac:dyDescent="0.25">
      <c r="B950" s="90">
        <v>708</v>
      </c>
      <c r="C950" s="91">
        <v>0.28387930573084608</v>
      </c>
      <c r="D950" s="92">
        <v>93</v>
      </c>
      <c r="G950" s="5"/>
      <c r="H950" s="5"/>
      <c r="L950" s="7"/>
      <c r="M950" s="7"/>
      <c r="O950" s="5"/>
      <c r="P950" s="5"/>
    </row>
    <row r="951" spans="2:16" x14ac:dyDescent="0.25">
      <c r="B951" s="90">
        <v>1757</v>
      </c>
      <c r="C951" s="91">
        <v>3.3720598066547369E-2</v>
      </c>
      <c r="D951" s="92">
        <v>94</v>
      </c>
      <c r="G951" s="5"/>
      <c r="H951" s="5"/>
      <c r="L951" s="7"/>
      <c r="M951" s="7"/>
      <c r="O951" s="5"/>
      <c r="P951" s="5"/>
    </row>
    <row r="952" spans="2:16" x14ac:dyDescent="0.25">
      <c r="B952" s="90">
        <v>1931</v>
      </c>
      <c r="C952" s="91">
        <v>3.8534011021288617E-2</v>
      </c>
      <c r="D952" s="92">
        <v>94</v>
      </c>
      <c r="G952" s="5"/>
      <c r="H952" s="5"/>
      <c r="L952" s="7"/>
      <c r="M952" s="7"/>
      <c r="O952" s="5"/>
      <c r="P952" s="5"/>
    </row>
    <row r="953" spans="2:16" x14ac:dyDescent="0.25">
      <c r="B953" s="90">
        <v>1925</v>
      </c>
      <c r="C953" s="91">
        <v>4.0529988164865083E-2</v>
      </c>
      <c r="D953" s="92">
        <v>94</v>
      </c>
      <c r="G953" s="5"/>
      <c r="H953" s="5"/>
      <c r="L953" s="7"/>
      <c r="M953" s="7"/>
      <c r="O953" s="5"/>
      <c r="P953" s="5"/>
    </row>
    <row r="954" spans="2:16" x14ac:dyDescent="0.25">
      <c r="B954" s="90">
        <v>1488</v>
      </c>
      <c r="C954" s="91">
        <v>4.8289891807672847E-2</v>
      </c>
      <c r="D954" s="92">
        <v>94</v>
      </c>
      <c r="G954" s="5"/>
      <c r="H954" s="5"/>
      <c r="L954" s="7"/>
      <c r="M954" s="7"/>
      <c r="O954" s="5"/>
      <c r="P954" s="5"/>
    </row>
    <row r="955" spans="2:16" x14ac:dyDescent="0.25">
      <c r="B955" s="90">
        <v>618</v>
      </c>
      <c r="C955" s="91">
        <v>5.0029141692894075E-2</v>
      </c>
      <c r="D955" s="92">
        <v>94</v>
      </c>
      <c r="G955" s="5"/>
      <c r="H955" s="5"/>
      <c r="L955" s="7"/>
      <c r="M955" s="7"/>
      <c r="O955" s="5"/>
      <c r="P955" s="5"/>
    </row>
    <row r="956" spans="2:16" x14ac:dyDescent="0.25">
      <c r="B956" s="90">
        <v>505</v>
      </c>
      <c r="C956" s="91">
        <v>5.0987387861305189E-2</v>
      </c>
      <c r="D956" s="92">
        <v>94</v>
      </c>
      <c r="G956" s="5"/>
      <c r="H956" s="5"/>
      <c r="L956" s="7"/>
      <c r="M956" s="7"/>
      <c r="O956" s="5"/>
      <c r="P956" s="5"/>
    </row>
    <row r="957" spans="2:16" x14ac:dyDescent="0.25">
      <c r="B957" s="90">
        <v>562</v>
      </c>
      <c r="C957" s="91">
        <v>5.2305327832520843E-2</v>
      </c>
      <c r="D957" s="92">
        <v>94</v>
      </c>
      <c r="G957" s="5"/>
      <c r="H957" s="5"/>
      <c r="L957" s="7"/>
      <c r="M957" s="7"/>
      <c r="O957" s="5"/>
      <c r="P957" s="5"/>
    </row>
    <row r="958" spans="2:16" x14ac:dyDescent="0.25">
      <c r="B958" s="90">
        <v>447</v>
      </c>
      <c r="C958" s="91">
        <v>5.2367117497425841E-2</v>
      </c>
      <c r="D958" s="92">
        <v>94</v>
      </c>
      <c r="G958" s="5"/>
      <c r="H958" s="5"/>
      <c r="L958" s="7"/>
      <c r="M958" s="7"/>
      <c r="O958" s="5"/>
      <c r="P958" s="5"/>
    </row>
    <row r="959" spans="2:16" x14ac:dyDescent="0.25">
      <c r="B959" s="90">
        <v>1971</v>
      </c>
      <c r="C959" s="91">
        <v>5.7945446681556656E-2</v>
      </c>
      <c r="D959" s="92">
        <v>94</v>
      </c>
      <c r="G959" s="5"/>
      <c r="H959" s="5"/>
      <c r="L959" s="7"/>
      <c r="M959" s="7"/>
      <c r="O959" s="5"/>
      <c r="P959" s="5"/>
    </row>
    <row r="960" spans="2:16" x14ac:dyDescent="0.25">
      <c r="B960" s="90">
        <v>627</v>
      </c>
      <c r="C960" s="91">
        <v>6.3321722060322383E-2</v>
      </c>
      <c r="D960" s="92">
        <v>94</v>
      </c>
      <c r="G960" s="5"/>
      <c r="H960" s="5"/>
      <c r="L960" s="7"/>
      <c r="M960" s="7"/>
      <c r="O960" s="5"/>
      <c r="P960" s="5"/>
    </row>
    <row r="961" spans="2:16" x14ac:dyDescent="0.25">
      <c r="B961" s="90">
        <v>514</v>
      </c>
      <c r="C961" s="91">
        <v>6.5456773958867176E-2</v>
      </c>
      <c r="D961" s="92">
        <v>94</v>
      </c>
      <c r="G961" s="5"/>
      <c r="H961" s="5"/>
      <c r="L961" s="7"/>
      <c r="M961" s="7"/>
      <c r="O961" s="5"/>
      <c r="P961" s="5"/>
    </row>
    <row r="962" spans="2:16" x14ac:dyDescent="0.25">
      <c r="B962" s="90">
        <v>571</v>
      </c>
      <c r="C962" s="91">
        <v>6.6028793112466566E-2</v>
      </c>
      <c r="D962" s="92">
        <v>94</v>
      </c>
      <c r="G962" s="5"/>
      <c r="H962" s="5"/>
      <c r="L962" s="7"/>
      <c r="M962" s="7"/>
      <c r="O962" s="5"/>
      <c r="P962" s="5"/>
    </row>
    <row r="963" spans="2:16" x14ac:dyDescent="0.25">
      <c r="B963" s="90">
        <v>456</v>
      </c>
      <c r="C963" s="91">
        <v>6.8496257231034807E-2</v>
      </c>
      <c r="D963" s="92">
        <v>94</v>
      </c>
      <c r="G963" s="5"/>
      <c r="H963" s="5"/>
      <c r="L963" s="7"/>
      <c r="M963" s="7"/>
      <c r="O963" s="5"/>
      <c r="P963" s="5"/>
    </row>
    <row r="964" spans="2:16" x14ac:dyDescent="0.25">
      <c r="B964" s="90">
        <v>397</v>
      </c>
      <c r="C964" s="91">
        <v>6.8723842066340413E-2</v>
      </c>
      <c r="D964" s="92">
        <v>94</v>
      </c>
      <c r="G964" s="5"/>
      <c r="H964" s="5"/>
      <c r="L964" s="7"/>
      <c r="M964" s="7"/>
      <c r="O964" s="5"/>
      <c r="P964" s="5"/>
    </row>
    <row r="965" spans="2:16" x14ac:dyDescent="0.25">
      <c r="B965" s="90">
        <v>1487</v>
      </c>
      <c r="C965" s="91">
        <v>7.5263172120032751E-2</v>
      </c>
      <c r="D965" s="92">
        <v>94</v>
      </c>
      <c r="G965" s="5"/>
      <c r="H965" s="5"/>
      <c r="L965" s="7"/>
      <c r="M965" s="7"/>
      <c r="O965" s="5"/>
      <c r="P965" s="5"/>
    </row>
    <row r="966" spans="2:16" x14ac:dyDescent="0.25">
      <c r="B966" s="90">
        <v>1444</v>
      </c>
      <c r="C966" s="91">
        <v>9.8792052992712653E-2</v>
      </c>
      <c r="D966" s="92">
        <v>94</v>
      </c>
      <c r="G966" s="5"/>
      <c r="H966" s="5"/>
      <c r="L966" s="7"/>
      <c r="M966" s="7"/>
      <c r="O966" s="5"/>
      <c r="P966" s="5"/>
    </row>
    <row r="967" spans="2:16" x14ac:dyDescent="0.25">
      <c r="B967" s="90">
        <v>1875</v>
      </c>
      <c r="C967" s="91">
        <v>0.12096069161156109</v>
      </c>
      <c r="D967" s="92">
        <v>94</v>
      </c>
      <c r="G967" s="5"/>
      <c r="H967" s="5"/>
      <c r="L967" s="7"/>
      <c r="M967" s="7"/>
      <c r="O967" s="5"/>
      <c r="P967" s="5"/>
    </row>
    <row r="968" spans="2:16" x14ac:dyDescent="0.25">
      <c r="B968" s="90">
        <v>1448</v>
      </c>
      <c r="C968" s="91">
        <v>0.14077541851915187</v>
      </c>
      <c r="D968" s="92">
        <v>94</v>
      </c>
      <c r="G968" s="5"/>
      <c r="H968" s="5"/>
      <c r="L968" s="7"/>
      <c r="M968" s="7"/>
      <c r="O968" s="5"/>
      <c r="P968" s="5"/>
    </row>
    <row r="969" spans="2:16" x14ac:dyDescent="0.25">
      <c r="B969" s="90">
        <v>391</v>
      </c>
      <c r="C969" s="91">
        <v>0.14090173981628384</v>
      </c>
      <c r="D969" s="92">
        <v>94</v>
      </c>
      <c r="G969" s="5"/>
      <c r="H969" s="5"/>
      <c r="L969" s="7"/>
      <c r="M969" s="7"/>
      <c r="O969" s="5"/>
      <c r="P969" s="5"/>
    </row>
    <row r="970" spans="2:16" x14ac:dyDescent="0.25">
      <c r="B970" s="90">
        <v>450</v>
      </c>
      <c r="C970" s="91">
        <v>0.14248991755265039</v>
      </c>
      <c r="D970" s="92">
        <v>94</v>
      </c>
      <c r="G970" s="5"/>
      <c r="H970" s="5"/>
      <c r="L970" s="7"/>
      <c r="M970" s="7"/>
      <c r="O970" s="5"/>
      <c r="P970" s="5"/>
    </row>
    <row r="971" spans="2:16" x14ac:dyDescent="0.25">
      <c r="B971" s="90">
        <v>565</v>
      </c>
      <c r="C971" s="91">
        <v>0.14699508991051469</v>
      </c>
      <c r="D971" s="92">
        <v>94</v>
      </c>
      <c r="G971" s="5"/>
      <c r="H971" s="5"/>
      <c r="L971" s="7"/>
      <c r="M971" s="7"/>
      <c r="O971" s="5"/>
      <c r="P971" s="5"/>
    </row>
    <row r="972" spans="2:16" x14ac:dyDescent="0.25">
      <c r="B972" s="90">
        <v>621</v>
      </c>
      <c r="C972" s="91">
        <v>0.15096073976136826</v>
      </c>
      <c r="D972" s="92">
        <v>94</v>
      </c>
      <c r="G972" s="5"/>
      <c r="H972" s="5"/>
      <c r="L972" s="7"/>
      <c r="M972" s="7"/>
      <c r="O972" s="5"/>
      <c r="P972" s="5"/>
    </row>
    <row r="973" spans="2:16" x14ac:dyDescent="0.25">
      <c r="B973" s="90">
        <v>418</v>
      </c>
      <c r="C973" s="91">
        <v>0.15320611591171218</v>
      </c>
      <c r="D973" s="92">
        <v>94</v>
      </c>
      <c r="G973" s="5"/>
      <c r="H973" s="5"/>
      <c r="L973" s="7"/>
      <c r="M973" s="7"/>
      <c r="O973" s="5"/>
      <c r="P973" s="5"/>
    </row>
    <row r="974" spans="2:16" x14ac:dyDescent="0.25">
      <c r="B974" s="90">
        <v>508</v>
      </c>
      <c r="C974" s="91">
        <v>0.15521796303117497</v>
      </c>
      <c r="D974" s="92">
        <v>94</v>
      </c>
      <c r="G974" s="5"/>
      <c r="H974" s="5"/>
      <c r="L974" s="7"/>
      <c r="M974" s="7"/>
      <c r="O974" s="5"/>
      <c r="P974" s="5"/>
    </row>
    <row r="975" spans="2:16" x14ac:dyDescent="0.25">
      <c r="B975" s="90">
        <v>1186</v>
      </c>
      <c r="C975" s="91">
        <v>0.20623789009900995</v>
      </c>
      <c r="D975" s="92">
        <v>94</v>
      </c>
      <c r="G975" s="5"/>
      <c r="H975" s="5"/>
      <c r="L975" s="7"/>
      <c r="M975" s="7"/>
      <c r="O975" s="5"/>
      <c r="P975" s="5"/>
    </row>
    <row r="976" spans="2:16" x14ac:dyDescent="0.25">
      <c r="B976" s="90">
        <v>411</v>
      </c>
      <c r="C976" s="91">
        <v>0.21127846980593024</v>
      </c>
      <c r="D976" s="92">
        <v>94</v>
      </c>
      <c r="G976" s="5"/>
      <c r="H976" s="5"/>
      <c r="L976" s="7"/>
      <c r="M976" s="7"/>
      <c r="O976" s="5"/>
      <c r="P976" s="5"/>
    </row>
    <row r="977" spans="2:16" x14ac:dyDescent="0.25">
      <c r="B977" s="90">
        <v>421</v>
      </c>
      <c r="C977" s="91">
        <v>0.2328402927765294</v>
      </c>
      <c r="D977" s="92">
        <v>94</v>
      </c>
      <c r="G977" s="5"/>
      <c r="H977" s="5"/>
      <c r="L977" s="7"/>
      <c r="M977" s="7"/>
      <c r="O977" s="5"/>
      <c r="P977" s="5"/>
    </row>
    <row r="978" spans="2:16" x14ac:dyDescent="0.25">
      <c r="B978" s="90">
        <v>1469</v>
      </c>
      <c r="C978" s="91">
        <v>1.9855290742323506E-2</v>
      </c>
      <c r="D978" s="92">
        <v>95</v>
      </c>
      <c r="G978" s="5"/>
      <c r="H978" s="5"/>
      <c r="L978" s="7"/>
      <c r="M978" s="7"/>
      <c r="O978" s="5"/>
      <c r="P978" s="5"/>
    </row>
    <row r="979" spans="2:16" x14ac:dyDescent="0.25">
      <c r="B979" s="90">
        <v>208</v>
      </c>
      <c r="C979" s="91">
        <v>0.14203739253909498</v>
      </c>
      <c r="D979" s="92">
        <v>95</v>
      </c>
      <c r="G979" s="5"/>
      <c r="H979" s="5"/>
      <c r="L979" s="7"/>
      <c r="M979" s="7"/>
      <c r="O979" s="5"/>
      <c r="P979" s="5"/>
    </row>
    <row r="980" spans="2:16" x14ac:dyDescent="0.25">
      <c r="B980" s="90">
        <v>953</v>
      </c>
      <c r="C980" s="91">
        <v>0.20843616297908929</v>
      </c>
      <c r="D980" s="92">
        <v>95</v>
      </c>
      <c r="G980" s="5"/>
      <c r="H980" s="5"/>
      <c r="L980" s="7"/>
      <c r="M980" s="7"/>
      <c r="O980" s="5"/>
      <c r="P980" s="5"/>
    </row>
    <row r="981" spans="2:16" x14ac:dyDescent="0.25">
      <c r="B981" s="90">
        <v>954</v>
      </c>
      <c r="C981" s="91">
        <v>0.21819561635951723</v>
      </c>
      <c r="D981" s="92">
        <v>95</v>
      </c>
      <c r="G981" s="5"/>
      <c r="H981" s="5"/>
      <c r="L981" s="7"/>
      <c r="M981" s="7"/>
      <c r="O981" s="5"/>
      <c r="P981" s="5"/>
    </row>
    <row r="982" spans="2:16" x14ac:dyDescent="0.25">
      <c r="B982" s="90">
        <v>302</v>
      </c>
      <c r="C982" s="91">
        <v>0.25281348113636559</v>
      </c>
      <c r="D982" s="92">
        <v>95</v>
      </c>
      <c r="G982" s="5"/>
      <c r="H982" s="5"/>
      <c r="L982" s="7"/>
      <c r="M982" s="7"/>
      <c r="O982" s="5"/>
      <c r="P982" s="5"/>
    </row>
    <row r="983" spans="2:16" x14ac:dyDescent="0.25">
      <c r="B983" s="90">
        <v>919</v>
      </c>
      <c r="C983" s="91">
        <v>0.2906003053587447</v>
      </c>
      <c r="D983" s="92">
        <v>95</v>
      </c>
      <c r="G983" s="5"/>
      <c r="H983" s="5"/>
      <c r="L983" s="7"/>
      <c r="M983" s="7"/>
      <c r="O983" s="5"/>
      <c r="P983" s="5"/>
    </row>
    <row r="984" spans="2:16" x14ac:dyDescent="0.25">
      <c r="B984" s="90">
        <v>653</v>
      </c>
      <c r="C984" s="91">
        <v>0.29324386520745471</v>
      </c>
      <c r="D984" s="92">
        <v>95</v>
      </c>
      <c r="G984" s="5"/>
      <c r="H984" s="5"/>
      <c r="L984" s="7"/>
      <c r="M984" s="7"/>
      <c r="O984" s="5"/>
      <c r="P984" s="5"/>
    </row>
    <row r="985" spans="2:16" x14ac:dyDescent="0.25">
      <c r="B985" s="90">
        <v>816</v>
      </c>
      <c r="C985" s="91">
        <v>0.31929586901697948</v>
      </c>
      <c r="D985" s="92">
        <v>95</v>
      </c>
      <c r="G985" s="5"/>
      <c r="H985" s="5"/>
      <c r="L985" s="7"/>
      <c r="M985" s="7"/>
      <c r="O985" s="5"/>
      <c r="P985" s="5"/>
    </row>
    <row r="986" spans="2:16" x14ac:dyDescent="0.25">
      <c r="B986" s="90">
        <v>78</v>
      </c>
      <c r="C986" s="91">
        <v>6.1201573840749202E-2</v>
      </c>
      <c r="D986" s="92">
        <v>96</v>
      </c>
      <c r="G986" s="5"/>
      <c r="H986" s="5"/>
      <c r="L986" s="7"/>
      <c r="M986" s="7"/>
      <c r="O986" s="5"/>
      <c r="P986" s="5"/>
    </row>
    <row r="987" spans="2:16" x14ac:dyDescent="0.25">
      <c r="B987" s="90">
        <v>142</v>
      </c>
      <c r="C987" s="91">
        <v>6.6226531850108405E-2</v>
      </c>
      <c r="D987" s="92">
        <v>96</v>
      </c>
      <c r="G987" s="5"/>
      <c r="H987" s="5"/>
      <c r="L987" s="7"/>
      <c r="M987" s="7"/>
      <c r="O987" s="5"/>
      <c r="P987" s="5"/>
    </row>
    <row r="988" spans="2:16" x14ac:dyDescent="0.25">
      <c r="B988" s="90">
        <v>87</v>
      </c>
      <c r="C988" s="91">
        <v>0.10695584152877236</v>
      </c>
      <c r="D988" s="92">
        <v>96</v>
      </c>
      <c r="G988" s="5"/>
      <c r="H988" s="5"/>
      <c r="L988" s="7"/>
      <c r="M988" s="7"/>
      <c r="O988" s="5"/>
      <c r="P988" s="5"/>
    </row>
    <row r="989" spans="2:16" x14ac:dyDescent="0.25">
      <c r="B989" s="90">
        <v>151</v>
      </c>
      <c r="C989" s="91">
        <v>0.11841216596424542</v>
      </c>
      <c r="D989" s="92">
        <v>96</v>
      </c>
      <c r="G989" s="5"/>
      <c r="H989" s="5"/>
      <c r="L989" s="7"/>
      <c r="M989" s="7"/>
      <c r="O989" s="5"/>
      <c r="P989" s="5"/>
    </row>
    <row r="990" spans="2:16" x14ac:dyDescent="0.25">
      <c r="B990" s="90">
        <v>145</v>
      </c>
      <c r="C990" s="91">
        <v>0.13960160003350075</v>
      </c>
      <c r="D990" s="92">
        <v>96</v>
      </c>
      <c r="G990" s="5"/>
      <c r="H990" s="5"/>
      <c r="L990" s="7"/>
      <c r="M990" s="7"/>
      <c r="O990" s="5"/>
      <c r="P990" s="5"/>
    </row>
    <row r="991" spans="2:16" x14ac:dyDescent="0.25">
      <c r="B991" s="90">
        <v>423</v>
      </c>
      <c r="C991" s="91">
        <v>0.2557568969400793</v>
      </c>
      <c r="D991" s="92">
        <v>96</v>
      </c>
      <c r="G991" s="5"/>
      <c r="H991" s="5"/>
      <c r="L991" s="7"/>
      <c r="M991" s="7"/>
      <c r="O991" s="5"/>
      <c r="P991" s="5"/>
    </row>
    <row r="992" spans="2:16" x14ac:dyDescent="0.25">
      <c r="B992" s="90">
        <v>868</v>
      </c>
      <c r="C992" s="91">
        <v>0.30898043529770891</v>
      </c>
      <c r="D992" s="92">
        <v>96</v>
      </c>
      <c r="G992" s="5"/>
      <c r="H992" s="5"/>
      <c r="L992" s="7"/>
      <c r="M992" s="7"/>
      <c r="O992" s="5"/>
      <c r="P992" s="5"/>
    </row>
    <row r="993" spans="2:16" x14ac:dyDescent="0.25">
      <c r="B993" s="90">
        <v>72</v>
      </c>
      <c r="C993" s="91">
        <v>0.3237654345551868</v>
      </c>
      <c r="D993" s="92">
        <v>96</v>
      </c>
      <c r="G993" s="5"/>
      <c r="H993" s="5"/>
      <c r="L993" s="7"/>
      <c r="M993" s="7"/>
      <c r="O993" s="5"/>
      <c r="P993" s="5"/>
    </row>
    <row r="994" spans="2:16" x14ac:dyDescent="0.25">
      <c r="B994" s="90">
        <v>136</v>
      </c>
      <c r="C994" s="91">
        <v>0.33861079069269895</v>
      </c>
      <c r="D994" s="92">
        <v>96</v>
      </c>
      <c r="G994" s="5"/>
      <c r="H994" s="5"/>
      <c r="L994" s="7"/>
      <c r="M994" s="7"/>
      <c r="O994" s="5"/>
      <c r="P994" s="5"/>
    </row>
    <row r="995" spans="2:16" x14ac:dyDescent="0.25">
      <c r="B995" s="90">
        <v>702</v>
      </c>
      <c r="C995" s="91">
        <v>0.17598347095063815</v>
      </c>
      <c r="D995" s="92">
        <v>97</v>
      </c>
      <c r="G995" s="5"/>
      <c r="H995" s="5"/>
      <c r="L995" s="7"/>
      <c r="M995" s="7"/>
      <c r="O995" s="5"/>
      <c r="P995" s="5"/>
    </row>
    <row r="996" spans="2:16" x14ac:dyDescent="0.25">
      <c r="B996" s="90">
        <v>240</v>
      </c>
      <c r="C996" s="91">
        <v>0.21510796134903287</v>
      </c>
      <c r="D996" s="92">
        <v>97</v>
      </c>
      <c r="G996" s="5"/>
      <c r="H996" s="5"/>
      <c r="L996" s="7"/>
      <c r="M996" s="7"/>
      <c r="O996" s="5"/>
      <c r="P996" s="5"/>
    </row>
    <row r="997" spans="2:16" x14ac:dyDescent="0.25">
      <c r="B997" s="90">
        <v>1114</v>
      </c>
      <c r="C997" s="91">
        <v>0.26272262303234828</v>
      </c>
      <c r="D997" s="92">
        <v>97</v>
      </c>
      <c r="G997" s="5"/>
      <c r="H997" s="5"/>
      <c r="L997" s="7"/>
      <c r="M997" s="7"/>
      <c r="O997" s="5"/>
      <c r="P997" s="5"/>
    </row>
    <row r="998" spans="2:16" x14ac:dyDescent="0.25">
      <c r="B998" s="90">
        <v>1068</v>
      </c>
      <c r="C998" s="91">
        <v>0.26863198354855888</v>
      </c>
      <c r="D998" s="92">
        <v>97</v>
      </c>
      <c r="G998" s="5"/>
      <c r="H998" s="5"/>
      <c r="L998" s="7"/>
      <c r="M998" s="7"/>
      <c r="O998" s="5"/>
      <c r="P998" s="5"/>
    </row>
    <row r="999" spans="2:16" x14ac:dyDescent="0.25">
      <c r="B999" s="90">
        <v>1289</v>
      </c>
      <c r="C999" s="91">
        <v>0.30486062472207065</v>
      </c>
      <c r="D999" s="92">
        <v>97</v>
      </c>
      <c r="G999" s="5"/>
      <c r="H999" s="5"/>
      <c r="L999" s="7"/>
      <c r="M999" s="7"/>
      <c r="O999" s="5"/>
      <c r="P999" s="5"/>
    </row>
    <row r="1000" spans="2:16" x14ac:dyDescent="0.25">
      <c r="B1000" s="90">
        <v>969</v>
      </c>
      <c r="C1000" s="91">
        <v>0.34431519922777798</v>
      </c>
      <c r="D1000" s="92">
        <v>97</v>
      </c>
      <c r="G1000" s="5"/>
      <c r="H1000" s="5"/>
      <c r="L1000" s="7"/>
      <c r="M1000" s="7"/>
      <c r="O1000" s="5"/>
      <c r="P1000" s="5"/>
    </row>
    <row r="1001" spans="2:16" x14ac:dyDescent="0.25">
      <c r="B1001" s="90">
        <v>1715</v>
      </c>
      <c r="C1001" s="91">
        <v>0.16362244743803545</v>
      </c>
      <c r="D1001" s="92">
        <v>98</v>
      </c>
      <c r="G1001" s="5"/>
      <c r="H1001" s="5"/>
      <c r="L1001" s="7"/>
      <c r="M1001" s="7"/>
      <c r="O1001" s="5"/>
      <c r="P1001" s="5"/>
    </row>
    <row r="1002" spans="2:16" x14ac:dyDescent="0.25">
      <c r="B1002" s="90">
        <v>410</v>
      </c>
      <c r="C1002" s="91">
        <v>0.21800161478750901</v>
      </c>
      <c r="D1002" s="92">
        <v>98</v>
      </c>
      <c r="G1002" s="5"/>
      <c r="H1002" s="5"/>
      <c r="L1002" s="7"/>
      <c r="M1002" s="7"/>
      <c r="O1002" s="5"/>
      <c r="P1002" s="5"/>
    </row>
    <row r="1003" spans="2:16" x14ac:dyDescent="0.25">
      <c r="B1003" s="90">
        <v>474</v>
      </c>
      <c r="C1003" s="91">
        <v>0.11541917195069662</v>
      </c>
      <c r="D1003" s="92">
        <v>99</v>
      </c>
      <c r="G1003" s="5"/>
      <c r="H1003" s="5"/>
      <c r="L1003" s="7"/>
      <c r="M1003" s="7"/>
      <c r="O1003" s="5"/>
      <c r="P1003" s="5"/>
    </row>
    <row r="1004" spans="2:16" x14ac:dyDescent="0.25">
      <c r="B1004" s="90">
        <v>473</v>
      </c>
      <c r="C1004" s="91">
        <v>0.12809596479038898</v>
      </c>
      <c r="D1004" s="92">
        <v>99</v>
      </c>
      <c r="G1004" s="5"/>
      <c r="H1004" s="5"/>
      <c r="L1004" s="7"/>
      <c r="M1004" s="7"/>
      <c r="O1004" s="5"/>
      <c r="P1004" s="5"/>
    </row>
    <row r="1005" spans="2:16" x14ac:dyDescent="0.25">
      <c r="B1005" s="90">
        <v>475</v>
      </c>
      <c r="C1005" s="91">
        <v>0.14975442481732226</v>
      </c>
      <c r="D1005" s="92">
        <v>99</v>
      </c>
      <c r="G1005" s="5"/>
      <c r="H1005" s="5"/>
      <c r="L1005" s="7"/>
      <c r="M1005" s="7"/>
      <c r="O1005" s="5"/>
      <c r="P1005" s="5"/>
    </row>
    <row r="1006" spans="2:16" x14ac:dyDescent="0.25">
      <c r="B1006" s="90">
        <v>476</v>
      </c>
      <c r="C1006" s="91">
        <v>0.15184475064503111</v>
      </c>
      <c r="D1006" s="92">
        <v>99</v>
      </c>
      <c r="G1006" s="5"/>
      <c r="H1006" s="5"/>
      <c r="L1006" s="7"/>
      <c r="M1006" s="7"/>
      <c r="O1006" s="5"/>
      <c r="P1006" s="5"/>
    </row>
    <row r="1007" spans="2:16" x14ac:dyDescent="0.25">
      <c r="B1007" s="90">
        <v>1352</v>
      </c>
      <c r="C1007" s="91">
        <v>2.2550926626913936E-2</v>
      </c>
      <c r="D1007" s="92">
        <v>100</v>
      </c>
      <c r="G1007" s="5"/>
      <c r="H1007" s="5"/>
      <c r="L1007" s="7"/>
      <c r="M1007" s="7"/>
      <c r="O1007" s="5"/>
      <c r="P1007" s="5"/>
    </row>
    <row r="1008" spans="2:16" x14ac:dyDescent="0.25">
      <c r="B1008" s="90">
        <v>107</v>
      </c>
      <c r="C1008" s="91">
        <v>8.1104121776254035E-2</v>
      </c>
      <c r="D1008" s="92">
        <v>100</v>
      </c>
      <c r="G1008" s="5"/>
      <c r="H1008" s="5"/>
      <c r="L1008" s="7"/>
      <c r="M1008" s="7"/>
      <c r="O1008" s="5"/>
      <c r="P1008" s="5"/>
    </row>
    <row r="1009" spans="2:16" x14ac:dyDescent="0.25">
      <c r="B1009" s="90">
        <v>1209</v>
      </c>
      <c r="C1009" s="91">
        <v>0.10669016538617038</v>
      </c>
      <c r="D1009" s="92">
        <v>100</v>
      </c>
      <c r="G1009" s="5"/>
      <c r="H1009" s="5"/>
      <c r="L1009" s="7"/>
      <c r="M1009" s="7"/>
      <c r="O1009" s="5"/>
      <c r="P1009" s="5"/>
    </row>
    <row r="1010" spans="2:16" x14ac:dyDescent="0.25">
      <c r="B1010" s="90">
        <v>1850</v>
      </c>
      <c r="C1010" s="91">
        <v>0.14251958741889914</v>
      </c>
      <c r="D1010" s="92">
        <v>100</v>
      </c>
      <c r="G1010" s="5"/>
      <c r="H1010" s="5"/>
      <c r="L1010" s="7"/>
      <c r="M1010" s="7"/>
      <c r="O1010" s="5"/>
      <c r="P1010" s="5"/>
    </row>
    <row r="1011" spans="2:16" x14ac:dyDescent="0.25">
      <c r="B1011" s="90">
        <v>937</v>
      </c>
      <c r="C1011" s="91">
        <v>0.15486185146788622</v>
      </c>
      <c r="D1011" s="92">
        <v>100</v>
      </c>
      <c r="G1011" s="5"/>
      <c r="H1011" s="5"/>
      <c r="L1011" s="7"/>
      <c r="M1011" s="7"/>
      <c r="O1011" s="5"/>
      <c r="P1011" s="5"/>
    </row>
    <row r="1012" spans="2:16" x14ac:dyDescent="0.25">
      <c r="B1012" s="90">
        <v>481</v>
      </c>
      <c r="C1012" s="91">
        <v>0.23423353606339481</v>
      </c>
      <c r="D1012" s="92">
        <v>100</v>
      </c>
      <c r="G1012" s="5"/>
      <c r="H1012" s="5"/>
      <c r="L1012" s="7"/>
      <c r="M1012" s="7"/>
      <c r="O1012" s="5"/>
      <c r="P1012" s="5"/>
    </row>
    <row r="1013" spans="2:16" x14ac:dyDescent="0.25">
      <c r="B1013" s="90">
        <v>480</v>
      </c>
      <c r="C1013" s="91">
        <v>0.2370094140544361</v>
      </c>
      <c r="D1013" s="92">
        <v>100</v>
      </c>
      <c r="G1013" s="5"/>
      <c r="H1013" s="5"/>
      <c r="L1013" s="7"/>
      <c r="M1013" s="7"/>
      <c r="O1013" s="5"/>
      <c r="P1013" s="5"/>
    </row>
    <row r="1014" spans="2:16" x14ac:dyDescent="0.25">
      <c r="B1014" s="90">
        <v>237</v>
      </c>
      <c r="C1014" s="91">
        <v>0.24630983176898513</v>
      </c>
      <c r="D1014" s="92">
        <v>100</v>
      </c>
      <c r="G1014" s="5"/>
      <c r="H1014" s="5"/>
      <c r="L1014" s="7"/>
      <c r="M1014" s="7"/>
      <c r="O1014" s="5"/>
      <c r="P1014" s="5"/>
    </row>
    <row r="1015" spans="2:16" x14ac:dyDescent="0.25">
      <c r="B1015" s="90">
        <v>1951</v>
      </c>
      <c r="C1015" s="91">
        <v>2.5905790572993692E-2</v>
      </c>
      <c r="D1015" s="92">
        <v>101</v>
      </c>
      <c r="G1015" s="5"/>
      <c r="H1015" s="5"/>
      <c r="L1015" s="7"/>
      <c r="M1015" s="7"/>
      <c r="O1015" s="5"/>
      <c r="P1015" s="5"/>
    </row>
    <row r="1016" spans="2:16" x14ac:dyDescent="0.25">
      <c r="B1016" s="90">
        <v>1725</v>
      </c>
      <c r="C1016" s="91">
        <v>3.083197345873101E-2</v>
      </c>
      <c r="D1016" s="92">
        <v>101</v>
      </c>
      <c r="G1016" s="5"/>
      <c r="H1016" s="5"/>
      <c r="L1016" s="7"/>
      <c r="M1016" s="7"/>
      <c r="O1016" s="5"/>
      <c r="P1016" s="5"/>
    </row>
    <row r="1017" spans="2:16" x14ac:dyDescent="0.25">
      <c r="B1017" s="90">
        <v>1756</v>
      </c>
      <c r="C1017" s="91">
        <v>3.3356338135943076E-2</v>
      </c>
      <c r="D1017" s="92">
        <v>101</v>
      </c>
      <c r="G1017" s="5"/>
      <c r="H1017" s="5"/>
      <c r="L1017" s="7"/>
      <c r="M1017" s="7"/>
      <c r="O1017" s="5"/>
      <c r="P1017" s="5"/>
    </row>
    <row r="1018" spans="2:16" x14ac:dyDescent="0.25">
      <c r="B1018" s="90">
        <v>1726</v>
      </c>
      <c r="C1018" s="91">
        <v>3.6107922011785143E-2</v>
      </c>
      <c r="D1018" s="92">
        <v>101</v>
      </c>
      <c r="G1018" s="5"/>
      <c r="H1018" s="5"/>
      <c r="L1018" s="7"/>
      <c r="M1018" s="7"/>
      <c r="O1018" s="5"/>
      <c r="P1018" s="5"/>
    </row>
    <row r="1019" spans="2:16" x14ac:dyDescent="0.25">
      <c r="B1019" s="90">
        <v>24</v>
      </c>
      <c r="C1019" s="91">
        <v>4.7787570809905477E-2</v>
      </c>
      <c r="D1019" s="92">
        <v>101</v>
      </c>
      <c r="G1019" s="5"/>
      <c r="H1019" s="5"/>
      <c r="L1019" s="7"/>
      <c r="M1019" s="7"/>
      <c r="O1019" s="5"/>
      <c r="P1019" s="5"/>
    </row>
    <row r="1020" spans="2:16" x14ac:dyDescent="0.25">
      <c r="B1020" s="90">
        <v>1870</v>
      </c>
      <c r="C1020" s="91">
        <v>4.7787570809905477E-2</v>
      </c>
      <c r="D1020" s="92">
        <v>101</v>
      </c>
      <c r="G1020" s="5"/>
      <c r="H1020" s="5"/>
      <c r="L1020" s="7"/>
      <c r="M1020" s="7"/>
      <c r="O1020" s="5"/>
      <c r="P1020" s="5"/>
    </row>
    <row r="1021" spans="2:16" x14ac:dyDescent="0.25">
      <c r="B1021" s="90">
        <v>1970</v>
      </c>
      <c r="C1021" s="91">
        <v>4.8588601562519318E-2</v>
      </c>
      <c r="D1021" s="92">
        <v>101</v>
      </c>
      <c r="G1021" s="5"/>
      <c r="H1021" s="5"/>
      <c r="L1021" s="7"/>
      <c r="M1021" s="7"/>
      <c r="O1021" s="5"/>
      <c r="P1021" s="5"/>
    </row>
    <row r="1022" spans="2:16" x14ac:dyDescent="0.25">
      <c r="B1022" s="90">
        <v>104</v>
      </c>
      <c r="C1022" s="91">
        <v>5.5204561153602172E-2</v>
      </c>
      <c r="D1022" s="92">
        <v>101</v>
      </c>
      <c r="G1022" s="5"/>
      <c r="H1022" s="5"/>
      <c r="L1022" s="7"/>
      <c r="M1022" s="7"/>
      <c r="O1022" s="5"/>
      <c r="P1022" s="5"/>
    </row>
    <row r="1023" spans="2:16" x14ac:dyDescent="0.25">
      <c r="B1023" s="90">
        <v>1678</v>
      </c>
      <c r="C1023" s="91">
        <v>7.0314430680986861E-2</v>
      </c>
      <c r="D1023" s="92">
        <v>101</v>
      </c>
      <c r="G1023" s="5"/>
      <c r="H1023" s="5"/>
      <c r="L1023" s="7"/>
      <c r="M1023" s="7"/>
      <c r="O1023" s="5"/>
      <c r="P1023" s="5"/>
    </row>
    <row r="1024" spans="2:16" x14ac:dyDescent="0.25">
      <c r="B1024" s="90">
        <v>1486</v>
      </c>
      <c r="C1024" s="91">
        <v>0.111562940831468</v>
      </c>
      <c r="D1024" s="92">
        <v>101</v>
      </c>
      <c r="G1024" s="5"/>
      <c r="H1024" s="5"/>
      <c r="L1024" s="7"/>
      <c r="M1024" s="7"/>
      <c r="O1024" s="5"/>
      <c r="P1024" s="5"/>
    </row>
    <row r="1025" spans="2:16" x14ac:dyDescent="0.25">
      <c r="B1025" s="90">
        <v>477</v>
      </c>
      <c r="C1025" s="91">
        <v>0.15731091591410362</v>
      </c>
      <c r="D1025" s="92">
        <v>101</v>
      </c>
      <c r="G1025" s="5"/>
      <c r="H1025" s="5"/>
      <c r="L1025" s="7"/>
      <c r="M1025" s="7"/>
      <c r="O1025" s="5"/>
      <c r="P1025" s="5"/>
    </row>
    <row r="1026" spans="2:16" x14ac:dyDescent="0.25">
      <c r="B1026" s="90">
        <v>175</v>
      </c>
      <c r="C1026" s="91">
        <v>0.16341911722883506</v>
      </c>
      <c r="D1026" s="92">
        <v>101</v>
      </c>
      <c r="G1026" s="5"/>
      <c r="H1026" s="5"/>
      <c r="L1026" s="7"/>
      <c r="M1026" s="7"/>
      <c r="O1026" s="5"/>
      <c r="P1026" s="5"/>
    </row>
    <row r="1027" spans="2:16" x14ac:dyDescent="0.25">
      <c r="B1027" s="90">
        <v>176</v>
      </c>
      <c r="C1027" s="91">
        <v>0.16350459358690117</v>
      </c>
      <c r="D1027" s="92">
        <v>101</v>
      </c>
      <c r="G1027" s="5"/>
      <c r="H1027" s="5"/>
      <c r="L1027" s="7"/>
      <c r="M1027" s="7"/>
      <c r="O1027" s="5"/>
      <c r="P1027" s="5"/>
    </row>
    <row r="1028" spans="2:16" x14ac:dyDescent="0.25">
      <c r="B1028" s="90">
        <v>2100</v>
      </c>
      <c r="C1028" s="91">
        <v>0.16842901700158119</v>
      </c>
      <c r="D1028" s="92">
        <v>101</v>
      </c>
      <c r="G1028" s="5"/>
      <c r="H1028" s="5"/>
      <c r="L1028" s="7"/>
      <c r="M1028" s="7"/>
      <c r="O1028" s="5"/>
      <c r="P1028" s="5"/>
    </row>
    <row r="1029" spans="2:16" x14ac:dyDescent="0.25">
      <c r="B1029" s="90">
        <v>1445</v>
      </c>
      <c r="C1029" s="91">
        <v>0.23365927368118489</v>
      </c>
      <c r="D1029" s="92">
        <v>101</v>
      </c>
      <c r="G1029" s="5"/>
      <c r="H1029" s="5"/>
      <c r="L1029" s="7"/>
      <c r="M1029" s="7"/>
      <c r="O1029" s="5"/>
      <c r="P1029" s="5"/>
    </row>
    <row r="1030" spans="2:16" x14ac:dyDescent="0.25">
      <c r="B1030" s="90">
        <v>866</v>
      </c>
      <c r="C1030" s="91">
        <v>0.26556563364629959</v>
      </c>
      <c r="D1030" s="92">
        <v>101</v>
      </c>
      <c r="G1030" s="5"/>
      <c r="H1030" s="5"/>
      <c r="L1030" s="7"/>
      <c r="M1030" s="7"/>
      <c r="O1030" s="5"/>
      <c r="P1030" s="5"/>
    </row>
    <row r="1031" spans="2:16" x14ac:dyDescent="0.25">
      <c r="B1031" s="90">
        <v>1187</v>
      </c>
      <c r="C1031" s="91">
        <v>0.19892034053038321</v>
      </c>
      <c r="D1031" s="92">
        <v>102</v>
      </c>
      <c r="G1031" s="5"/>
      <c r="H1031" s="5"/>
      <c r="L1031" s="7"/>
      <c r="M1031" s="7"/>
      <c r="O1031" s="5"/>
      <c r="P1031" s="5"/>
    </row>
    <row r="1032" spans="2:16" x14ac:dyDescent="0.25">
      <c r="B1032" s="90">
        <v>36</v>
      </c>
      <c r="C1032" s="91">
        <v>0.21512808377059855</v>
      </c>
      <c r="D1032" s="92">
        <v>102</v>
      </c>
      <c r="G1032" s="5"/>
      <c r="H1032" s="5"/>
      <c r="L1032" s="7"/>
      <c r="M1032" s="7"/>
      <c r="O1032" s="5"/>
      <c r="P1032" s="5"/>
    </row>
    <row r="1033" spans="2:16" x14ac:dyDescent="0.25">
      <c r="B1033" s="90">
        <v>1516</v>
      </c>
      <c r="C1033" s="91">
        <v>0.21512808377059855</v>
      </c>
      <c r="D1033" s="92">
        <v>102</v>
      </c>
      <c r="G1033" s="5"/>
      <c r="H1033" s="5"/>
      <c r="L1033" s="7"/>
      <c r="M1033" s="7"/>
      <c r="O1033" s="5"/>
      <c r="P1033" s="5"/>
    </row>
    <row r="1034" spans="2:16" x14ac:dyDescent="0.25">
      <c r="B1034" s="90">
        <v>1968</v>
      </c>
      <c r="C1034" s="91">
        <v>2.4771490737114821E-2</v>
      </c>
      <c r="D1034" s="92">
        <v>103</v>
      </c>
      <c r="G1034" s="5"/>
      <c r="H1034" s="5"/>
      <c r="L1034" s="7"/>
      <c r="M1034" s="7"/>
      <c r="O1034" s="5"/>
      <c r="P1034" s="5"/>
    </row>
    <row r="1035" spans="2:16" x14ac:dyDescent="0.25">
      <c r="B1035" s="90">
        <v>1712</v>
      </c>
      <c r="C1035" s="91">
        <v>4.2105914319888416E-2</v>
      </c>
      <c r="D1035" s="92">
        <v>103</v>
      </c>
      <c r="G1035" s="5"/>
      <c r="H1035" s="5"/>
      <c r="L1035" s="7"/>
      <c r="M1035" s="7"/>
      <c r="O1035" s="5"/>
      <c r="P1035" s="5"/>
    </row>
    <row r="1036" spans="2:16" x14ac:dyDescent="0.25">
      <c r="B1036" s="90">
        <v>1944</v>
      </c>
      <c r="C1036" s="91">
        <v>4.4115813857873221E-2</v>
      </c>
      <c r="D1036" s="92">
        <v>103</v>
      </c>
      <c r="G1036" s="5"/>
      <c r="H1036" s="5"/>
      <c r="L1036" s="7"/>
      <c r="M1036" s="7"/>
      <c r="O1036" s="5"/>
      <c r="P1036" s="5"/>
    </row>
    <row r="1037" spans="2:16" x14ac:dyDescent="0.25">
      <c r="B1037" s="90">
        <v>169</v>
      </c>
      <c r="C1037" s="91">
        <v>4.7982495168798933E-2</v>
      </c>
      <c r="D1037" s="92">
        <v>103</v>
      </c>
      <c r="G1037" s="5"/>
      <c r="H1037" s="5"/>
      <c r="L1037" s="7"/>
      <c r="M1037" s="7"/>
      <c r="O1037" s="5"/>
      <c r="P1037" s="5"/>
    </row>
    <row r="1038" spans="2:16" x14ac:dyDescent="0.25">
      <c r="B1038" s="90">
        <v>168</v>
      </c>
      <c r="C1038" s="91">
        <v>4.8042150535954842E-2</v>
      </c>
      <c r="D1038" s="92">
        <v>103</v>
      </c>
      <c r="G1038" s="5"/>
      <c r="H1038" s="5"/>
      <c r="L1038" s="7"/>
      <c r="M1038" s="7"/>
      <c r="O1038" s="5"/>
      <c r="P1038" s="5"/>
    </row>
    <row r="1039" spans="2:16" x14ac:dyDescent="0.25">
      <c r="B1039" s="90">
        <v>105</v>
      </c>
      <c r="C1039" s="91">
        <v>4.8880127883898616E-2</v>
      </c>
      <c r="D1039" s="92">
        <v>103</v>
      </c>
      <c r="G1039" s="5"/>
      <c r="H1039" s="5"/>
      <c r="L1039" s="7"/>
      <c r="M1039" s="7"/>
      <c r="O1039" s="5"/>
      <c r="P1039" s="5"/>
    </row>
    <row r="1040" spans="2:16" x14ac:dyDescent="0.25">
      <c r="B1040" s="90">
        <v>1964</v>
      </c>
      <c r="C1040" s="91">
        <v>5.3663591767791674E-2</v>
      </c>
      <c r="D1040" s="92">
        <v>103</v>
      </c>
      <c r="G1040" s="5"/>
      <c r="H1040" s="5"/>
      <c r="L1040" s="7"/>
      <c r="M1040" s="7"/>
      <c r="O1040" s="5"/>
      <c r="P1040" s="5"/>
    </row>
    <row r="1041" spans="2:16" x14ac:dyDescent="0.25">
      <c r="B1041" s="90">
        <v>1822</v>
      </c>
      <c r="C1041" s="91">
        <v>6.0779494848849258E-2</v>
      </c>
      <c r="D1041" s="92">
        <v>103</v>
      </c>
      <c r="G1041" s="5"/>
      <c r="H1041" s="5"/>
      <c r="L1041" s="7"/>
      <c r="M1041" s="7"/>
      <c r="O1041" s="5"/>
      <c r="P1041" s="5"/>
    </row>
    <row r="1042" spans="2:16" x14ac:dyDescent="0.25">
      <c r="B1042" s="90">
        <v>170</v>
      </c>
      <c r="C1042" s="91">
        <v>7.0410005072574999E-2</v>
      </c>
      <c r="D1042" s="92">
        <v>103</v>
      </c>
      <c r="G1042" s="5"/>
      <c r="H1042" s="5"/>
      <c r="L1042" s="7"/>
      <c r="M1042" s="7"/>
      <c r="O1042" s="5"/>
      <c r="P1042" s="5"/>
    </row>
    <row r="1043" spans="2:16" x14ac:dyDescent="0.25">
      <c r="B1043" s="90">
        <v>1790</v>
      </c>
      <c r="C1043" s="91">
        <v>7.987465642046232E-2</v>
      </c>
      <c r="D1043" s="92">
        <v>103</v>
      </c>
      <c r="G1043" s="5"/>
      <c r="H1043" s="5"/>
      <c r="L1043" s="7"/>
      <c r="M1043" s="7"/>
      <c r="O1043" s="5"/>
      <c r="P1043" s="5"/>
    </row>
    <row r="1044" spans="2:16" x14ac:dyDescent="0.25">
      <c r="B1044" s="90">
        <v>106</v>
      </c>
      <c r="C1044" s="91">
        <v>8.6905141323190604E-2</v>
      </c>
      <c r="D1044" s="92">
        <v>103</v>
      </c>
      <c r="G1044" s="5"/>
      <c r="H1044" s="5"/>
      <c r="L1044" s="7"/>
      <c r="M1044" s="7"/>
      <c r="O1044" s="5"/>
      <c r="P1044" s="5"/>
    </row>
    <row r="1045" spans="2:16" x14ac:dyDescent="0.25">
      <c r="B1045" s="90">
        <v>1943</v>
      </c>
      <c r="C1045" s="91">
        <v>9.5111493180499274E-2</v>
      </c>
      <c r="D1045" s="92">
        <v>103</v>
      </c>
      <c r="G1045" s="5"/>
      <c r="H1045" s="5"/>
      <c r="L1045" s="7"/>
      <c r="M1045" s="7"/>
      <c r="O1045" s="5"/>
      <c r="P1045" s="5"/>
    </row>
    <row r="1046" spans="2:16" x14ac:dyDescent="0.25">
      <c r="B1046" s="90">
        <v>1963</v>
      </c>
      <c r="C1046" s="91">
        <v>9.7240162819612008E-2</v>
      </c>
      <c r="D1046" s="92">
        <v>103</v>
      </c>
      <c r="G1046" s="5"/>
      <c r="H1046" s="5"/>
      <c r="L1046" s="7"/>
      <c r="M1046" s="7"/>
      <c r="O1046" s="5"/>
      <c r="P1046" s="5"/>
    </row>
    <row r="1047" spans="2:16" x14ac:dyDescent="0.25">
      <c r="B1047" s="90">
        <v>805</v>
      </c>
      <c r="C1047" s="91">
        <v>0.19130227100117614</v>
      </c>
      <c r="D1047" s="92">
        <v>103</v>
      </c>
      <c r="G1047" s="5"/>
      <c r="H1047" s="5"/>
      <c r="L1047" s="7"/>
      <c r="M1047" s="7"/>
      <c r="O1047" s="5"/>
      <c r="P1047" s="5"/>
    </row>
    <row r="1048" spans="2:16" x14ac:dyDescent="0.25">
      <c r="B1048" s="90">
        <v>752</v>
      </c>
      <c r="C1048" s="91">
        <v>0.19155111910329892</v>
      </c>
      <c r="D1048" s="92">
        <v>103</v>
      </c>
      <c r="G1048" s="5"/>
      <c r="H1048" s="5"/>
      <c r="L1048" s="7"/>
      <c r="M1048" s="7"/>
      <c r="O1048" s="5"/>
      <c r="P1048" s="5"/>
    </row>
    <row r="1049" spans="2:16" x14ac:dyDescent="0.25">
      <c r="B1049" s="90">
        <v>857</v>
      </c>
      <c r="C1049" s="91">
        <v>0.1929636514574139</v>
      </c>
      <c r="D1049" s="92">
        <v>103</v>
      </c>
      <c r="G1049" s="5"/>
      <c r="H1049" s="5"/>
      <c r="L1049" s="7"/>
      <c r="M1049" s="7"/>
      <c r="O1049" s="5"/>
      <c r="P1049" s="5"/>
    </row>
    <row r="1050" spans="2:16" x14ac:dyDescent="0.25">
      <c r="B1050" s="90">
        <v>597</v>
      </c>
      <c r="C1050" s="91">
        <v>0.28197171290894207</v>
      </c>
      <c r="D1050" s="92">
        <v>103</v>
      </c>
      <c r="G1050" s="5"/>
      <c r="H1050" s="5"/>
      <c r="L1050" s="7"/>
      <c r="M1050" s="7"/>
      <c r="O1050" s="5"/>
      <c r="P1050" s="5"/>
    </row>
    <row r="1051" spans="2:16" x14ac:dyDescent="0.25">
      <c r="B1051" s="90">
        <v>809</v>
      </c>
      <c r="C1051" s="91">
        <v>0.17625533365670709</v>
      </c>
      <c r="D1051" s="92">
        <v>104</v>
      </c>
      <c r="G1051" s="5"/>
      <c r="H1051" s="5"/>
      <c r="L1051" s="7"/>
      <c r="M1051" s="7"/>
      <c r="O1051" s="5"/>
      <c r="P1051" s="5"/>
    </row>
    <row r="1052" spans="2:16" x14ac:dyDescent="0.25">
      <c r="B1052" s="90">
        <v>595</v>
      </c>
      <c r="C1052" s="91">
        <v>0.26304187446692973</v>
      </c>
      <c r="D1052" s="92">
        <v>104</v>
      </c>
      <c r="G1052" s="5"/>
      <c r="H1052" s="5"/>
      <c r="L1052" s="7"/>
      <c r="M1052" s="7"/>
      <c r="O1052" s="5"/>
      <c r="P1052" s="5"/>
    </row>
    <row r="1053" spans="2:16" x14ac:dyDescent="0.25">
      <c r="B1053" s="90">
        <v>1928</v>
      </c>
      <c r="C1053" s="91">
        <v>2.0852378468481647E-2</v>
      </c>
      <c r="D1053" s="92">
        <v>105</v>
      </c>
      <c r="G1053" s="5"/>
      <c r="H1053" s="5"/>
      <c r="L1053" s="7"/>
      <c r="M1053" s="7"/>
      <c r="O1053" s="5"/>
      <c r="P1053" s="5"/>
    </row>
    <row r="1054" spans="2:16" x14ac:dyDescent="0.25">
      <c r="B1054" s="90">
        <v>1924</v>
      </c>
      <c r="C1054" s="91">
        <v>2.8355595172240733E-2</v>
      </c>
      <c r="D1054" s="92">
        <v>105</v>
      </c>
      <c r="G1054" s="5"/>
      <c r="H1054" s="5"/>
      <c r="L1054" s="7"/>
      <c r="M1054" s="7"/>
      <c r="O1054" s="5"/>
      <c r="P1054" s="5"/>
    </row>
    <row r="1055" spans="2:16" x14ac:dyDescent="0.25">
      <c r="B1055" s="90">
        <v>171</v>
      </c>
      <c r="C1055" s="91">
        <v>6.7298845063323398E-2</v>
      </c>
      <c r="D1055" s="92">
        <v>105</v>
      </c>
      <c r="G1055" s="5"/>
      <c r="H1055" s="5"/>
      <c r="L1055" s="7"/>
      <c r="M1055" s="7"/>
      <c r="O1055" s="5"/>
      <c r="P1055" s="5"/>
    </row>
    <row r="1056" spans="2:16" x14ac:dyDescent="0.25">
      <c r="B1056" s="90">
        <v>172</v>
      </c>
      <c r="C1056" s="91">
        <v>6.8785795361898439E-2</v>
      </c>
      <c r="D1056" s="92">
        <v>105</v>
      </c>
      <c r="G1056" s="5"/>
      <c r="H1056" s="5"/>
      <c r="L1056" s="7"/>
      <c r="M1056" s="7"/>
      <c r="O1056" s="5"/>
      <c r="P1056" s="5"/>
    </row>
    <row r="1057" spans="2:16" x14ac:dyDescent="0.25">
      <c r="B1057" s="90">
        <v>1920</v>
      </c>
      <c r="C1057" s="91">
        <v>9.7031208199870322E-2</v>
      </c>
      <c r="D1057" s="92">
        <v>105</v>
      </c>
      <c r="G1057" s="5"/>
      <c r="H1057" s="5"/>
      <c r="L1057" s="7"/>
      <c r="M1057" s="7"/>
      <c r="O1057" s="5"/>
      <c r="P1057" s="5"/>
    </row>
    <row r="1058" spans="2:16" x14ac:dyDescent="0.25">
      <c r="B1058" s="90">
        <v>174</v>
      </c>
      <c r="C1058" s="91">
        <v>0.20709136016115415</v>
      </c>
      <c r="D1058" s="92">
        <v>105</v>
      </c>
      <c r="G1058" s="5"/>
      <c r="H1058" s="5"/>
      <c r="L1058" s="7"/>
      <c r="M1058" s="7"/>
      <c r="O1058" s="5"/>
      <c r="P1058" s="5"/>
    </row>
    <row r="1059" spans="2:16" x14ac:dyDescent="0.25">
      <c r="B1059" s="90">
        <v>540</v>
      </c>
      <c r="C1059" s="91">
        <v>0.28873704352221585</v>
      </c>
      <c r="D1059" s="92">
        <v>105</v>
      </c>
      <c r="G1059" s="5"/>
      <c r="H1059" s="5"/>
      <c r="L1059" s="7"/>
      <c r="M1059" s="7"/>
      <c r="O1059" s="5"/>
      <c r="P1059" s="5"/>
    </row>
    <row r="1060" spans="2:16" x14ac:dyDescent="0.25">
      <c r="B1060" s="90">
        <v>1309</v>
      </c>
      <c r="C1060" s="91">
        <v>4.7573755195018719E-2</v>
      </c>
      <c r="D1060" s="92">
        <v>106</v>
      </c>
      <c r="G1060" s="5"/>
      <c r="H1060" s="5"/>
      <c r="L1060" s="7"/>
      <c r="M1060" s="7"/>
      <c r="O1060" s="5"/>
      <c r="P1060" s="5"/>
    </row>
    <row r="1061" spans="2:16" x14ac:dyDescent="0.25">
      <c r="B1061" s="90">
        <v>1083</v>
      </c>
      <c r="C1061" s="91">
        <v>5.104159754661064E-2</v>
      </c>
      <c r="D1061" s="92">
        <v>106</v>
      </c>
      <c r="G1061" s="5"/>
      <c r="H1061" s="5"/>
      <c r="L1061" s="7"/>
      <c r="M1061" s="7"/>
      <c r="O1061" s="5"/>
      <c r="P1061" s="5"/>
    </row>
    <row r="1062" spans="2:16" x14ac:dyDescent="0.25">
      <c r="B1062" s="90">
        <v>1129</v>
      </c>
      <c r="C1062" s="91">
        <v>5.3555088695481201E-2</v>
      </c>
      <c r="D1062" s="92">
        <v>106</v>
      </c>
      <c r="G1062" s="5"/>
      <c r="H1062" s="5"/>
      <c r="L1062" s="7"/>
      <c r="M1062" s="7"/>
      <c r="O1062" s="5"/>
      <c r="P1062" s="5"/>
    </row>
    <row r="1063" spans="2:16" x14ac:dyDescent="0.25">
      <c r="B1063" s="90">
        <v>890</v>
      </c>
      <c r="C1063" s="91">
        <v>5.5647135657866942E-2</v>
      </c>
      <c r="D1063" s="92">
        <v>106</v>
      </c>
      <c r="G1063" s="5"/>
      <c r="H1063" s="5"/>
      <c r="L1063" s="7"/>
      <c r="M1063" s="7"/>
      <c r="O1063" s="5"/>
      <c r="P1063" s="5"/>
    </row>
    <row r="1064" spans="2:16" x14ac:dyDescent="0.25">
      <c r="B1064" s="90">
        <v>1036</v>
      </c>
      <c r="C1064" s="91">
        <v>5.6646941988960697E-2</v>
      </c>
      <c r="D1064" s="92">
        <v>106</v>
      </c>
      <c r="G1064" s="5"/>
      <c r="H1064" s="5"/>
      <c r="L1064" s="7"/>
      <c r="M1064" s="7"/>
      <c r="O1064" s="5"/>
      <c r="P1064" s="5"/>
    </row>
    <row r="1065" spans="2:16" x14ac:dyDescent="0.25">
      <c r="B1065" s="90">
        <v>989</v>
      </c>
      <c r="C1065" s="91">
        <v>5.7351037203276833E-2</v>
      </c>
      <c r="D1065" s="92">
        <v>106</v>
      </c>
      <c r="G1065" s="5"/>
      <c r="H1065" s="5"/>
      <c r="L1065" s="7"/>
      <c r="M1065" s="7"/>
      <c r="O1065" s="5"/>
      <c r="P1065" s="5"/>
    </row>
    <row r="1066" spans="2:16" x14ac:dyDescent="0.25">
      <c r="B1066" s="90">
        <v>734</v>
      </c>
      <c r="C1066" s="91">
        <v>5.7424494313045971E-2</v>
      </c>
      <c r="D1066" s="92">
        <v>106</v>
      </c>
      <c r="G1066" s="5"/>
      <c r="H1066" s="5"/>
      <c r="L1066" s="7"/>
      <c r="M1066" s="7"/>
      <c r="O1066" s="5"/>
      <c r="P1066" s="5"/>
    </row>
    <row r="1067" spans="2:16" x14ac:dyDescent="0.25">
      <c r="B1067" s="90">
        <v>891</v>
      </c>
      <c r="C1067" s="91">
        <v>5.7494577627001164E-2</v>
      </c>
      <c r="D1067" s="92">
        <v>106</v>
      </c>
      <c r="G1067" s="5"/>
      <c r="H1067" s="5"/>
      <c r="L1067" s="7"/>
      <c r="M1067" s="7"/>
      <c r="O1067" s="5"/>
      <c r="P1067" s="5"/>
    </row>
    <row r="1068" spans="2:16" x14ac:dyDescent="0.25">
      <c r="B1068" s="90">
        <v>839</v>
      </c>
      <c r="C1068" s="91">
        <v>5.8069321096271165E-2</v>
      </c>
      <c r="D1068" s="92">
        <v>106</v>
      </c>
      <c r="G1068" s="5"/>
      <c r="H1068" s="5"/>
      <c r="L1068" s="7"/>
      <c r="M1068" s="7"/>
      <c r="O1068" s="5"/>
      <c r="P1068" s="5"/>
    </row>
    <row r="1069" spans="2:16" x14ac:dyDescent="0.25">
      <c r="B1069" s="90">
        <v>838</v>
      </c>
      <c r="C1069" s="91">
        <v>5.9661833227534711E-2</v>
      </c>
      <c r="D1069" s="92">
        <v>106</v>
      </c>
      <c r="G1069" s="5"/>
      <c r="H1069" s="5"/>
      <c r="L1069" s="7"/>
      <c r="M1069" s="7"/>
      <c r="O1069" s="5"/>
      <c r="P1069" s="5"/>
    </row>
    <row r="1070" spans="2:16" x14ac:dyDescent="0.25">
      <c r="B1070" s="90">
        <v>988</v>
      </c>
      <c r="C1070" s="91">
        <v>5.9799358123262869E-2</v>
      </c>
      <c r="D1070" s="92">
        <v>106</v>
      </c>
      <c r="G1070" s="5"/>
      <c r="H1070" s="5"/>
      <c r="L1070" s="7"/>
      <c r="M1070" s="7"/>
      <c r="O1070" s="5"/>
      <c r="P1070" s="5"/>
    </row>
    <row r="1071" spans="2:16" x14ac:dyDescent="0.25">
      <c r="B1071" s="90">
        <v>733</v>
      </c>
      <c r="C1071" s="91">
        <v>5.9812660624156688E-2</v>
      </c>
      <c r="D1071" s="92">
        <v>106</v>
      </c>
      <c r="G1071" s="5"/>
      <c r="H1071" s="5"/>
      <c r="L1071" s="7"/>
      <c r="M1071" s="7"/>
      <c r="O1071" s="5"/>
      <c r="P1071" s="5"/>
    </row>
    <row r="1072" spans="2:16" x14ac:dyDescent="0.25">
      <c r="B1072" s="90">
        <v>990</v>
      </c>
      <c r="C1072" s="91">
        <v>6.0272377008144362E-2</v>
      </c>
      <c r="D1072" s="92">
        <v>106</v>
      </c>
      <c r="G1072" s="5"/>
      <c r="H1072" s="5"/>
      <c r="L1072" s="7"/>
      <c r="M1072" s="7"/>
      <c r="O1072" s="5"/>
      <c r="P1072" s="5"/>
    </row>
    <row r="1073" spans="2:16" x14ac:dyDescent="0.25">
      <c r="B1073" s="90">
        <v>1037</v>
      </c>
      <c r="C1073" s="91">
        <v>6.330018591317299E-2</v>
      </c>
      <c r="D1073" s="92">
        <v>106</v>
      </c>
      <c r="G1073" s="5"/>
      <c r="H1073" s="5"/>
      <c r="L1073" s="7"/>
      <c r="M1073" s="7"/>
      <c r="O1073" s="5"/>
      <c r="P1073" s="5"/>
    </row>
    <row r="1074" spans="2:16" x14ac:dyDescent="0.25">
      <c r="B1074" s="90">
        <v>1130</v>
      </c>
      <c r="C1074" s="91">
        <v>6.4481265799414378E-2</v>
      </c>
      <c r="D1074" s="92">
        <v>106</v>
      </c>
      <c r="G1074" s="5"/>
      <c r="H1074" s="5"/>
      <c r="L1074" s="7"/>
      <c r="M1074" s="7"/>
      <c r="O1074" s="5"/>
      <c r="P1074" s="5"/>
    </row>
    <row r="1075" spans="2:16" x14ac:dyDescent="0.25">
      <c r="B1075" s="90">
        <v>889</v>
      </c>
      <c r="C1075" s="91">
        <v>6.6314116776905463E-2</v>
      </c>
      <c r="D1075" s="92">
        <v>106</v>
      </c>
      <c r="G1075" s="5"/>
      <c r="H1075" s="5"/>
      <c r="L1075" s="7"/>
      <c r="M1075" s="7"/>
      <c r="O1075" s="5"/>
      <c r="P1075" s="5"/>
    </row>
    <row r="1076" spans="2:16" x14ac:dyDescent="0.25">
      <c r="B1076" s="90">
        <v>1084</v>
      </c>
      <c r="C1076" s="91">
        <v>6.7605410134181088E-2</v>
      </c>
      <c r="D1076" s="92">
        <v>106</v>
      </c>
      <c r="G1076" s="5"/>
      <c r="H1076" s="5"/>
      <c r="L1076" s="7"/>
      <c r="M1076" s="7"/>
      <c r="O1076" s="5"/>
      <c r="P1076" s="5"/>
    </row>
    <row r="1077" spans="2:16" x14ac:dyDescent="0.25">
      <c r="B1077" s="90">
        <v>1131</v>
      </c>
      <c r="C1077" s="91">
        <v>6.8245799058027412E-2</v>
      </c>
      <c r="D1077" s="92">
        <v>106</v>
      </c>
      <c r="G1077" s="5"/>
      <c r="H1077" s="5"/>
      <c r="L1077" s="7"/>
      <c r="M1077" s="7"/>
      <c r="O1077" s="5"/>
      <c r="P1077" s="5"/>
    </row>
    <row r="1078" spans="2:16" x14ac:dyDescent="0.25">
      <c r="B1078" s="90">
        <v>1085</v>
      </c>
      <c r="C1078" s="91">
        <v>7.1128986897042612E-2</v>
      </c>
      <c r="D1078" s="92">
        <v>106</v>
      </c>
      <c r="G1078" s="5"/>
      <c r="H1078" s="5"/>
      <c r="L1078" s="7"/>
      <c r="M1078" s="7"/>
      <c r="O1078" s="5"/>
      <c r="P1078" s="5"/>
    </row>
    <row r="1079" spans="2:16" x14ac:dyDescent="0.25">
      <c r="B1079" s="90">
        <v>1255</v>
      </c>
      <c r="C1079" s="91">
        <v>8.1643874904573033E-2</v>
      </c>
      <c r="D1079" s="92">
        <v>106</v>
      </c>
      <c r="G1079" s="5"/>
      <c r="H1079" s="5"/>
      <c r="L1079" s="7"/>
      <c r="M1079" s="7"/>
      <c r="O1079" s="5"/>
      <c r="P1079" s="5"/>
    </row>
    <row r="1080" spans="2:16" x14ac:dyDescent="0.25">
      <c r="B1080" s="90">
        <v>39</v>
      </c>
      <c r="C1080" s="91">
        <v>8.7178551258507486E-2</v>
      </c>
      <c r="D1080" s="92">
        <v>107</v>
      </c>
      <c r="G1080" s="5"/>
      <c r="H1080" s="5"/>
      <c r="L1080" s="7"/>
      <c r="M1080" s="7"/>
      <c r="O1080" s="5"/>
      <c r="P1080" s="5"/>
    </row>
    <row r="1081" spans="2:16" x14ac:dyDescent="0.25">
      <c r="B1081" s="90">
        <v>1405</v>
      </c>
      <c r="C1081" s="91">
        <v>8.7178551258507486E-2</v>
      </c>
      <c r="D1081" s="92">
        <v>107</v>
      </c>
      <c r="G1081" s="5"/>
      <c r="H1081" s="5"/>
      <c r="L1081" s="7"/>
      <c r="M1081" s="7"/>
      <c r="O1081" s="5"/>
      <c r="P1081" s="5"/>
    </row>
    <row r="1082" spans="2:16" x14ac:dyDescent="0.25">
      <c r="B1082" s="90">
        <v>40</v>
      </c>
      <c r="C1082" s="91">
        <v>9.1313259277962078E-2</v>
      </c>
      <c r="D1082" s="92">
        <v>107</v>
      </c>
      <c r="G1082" s="5"/>
      <c r="H1082" s="5"/>
      <c r="L1082" s="7"/>
      <c r="M1082" s="7"/>
      <c r="O1082" s="5"/>
      <c r="P1082" s="5"/>
    </row>
    <row r="1083" spans="2:16" x14ac:dyDescent="0.25">
      <c r="B1083" s="90">
        <v>1366</v>
      </c>
      <c r="C1083" s="91">
        <v>9.1313259277962078E-2</v>
      </c>
      <c r="D1083" s="92">
        <v>107</v>
      </c>
      <c r="G1083" s="5"/>
      <c r="H1083" s="5"/>
      <c r="L1083" s="7"/>
      <c r="M1083" s="7"/>
      <c r="O1083" s="5"/>
      <c r="P1083" s="5"/>
    </row>
    <row r="1084" spans="2:16" x14ac:dyDescent="0.25">
      <c r="B1084" s="90">
        <v>42</v>
      </c>
      <c r="C1084" s="91">
        <v>0.1035090612427636</v>
      </c>
      <c r="D1084" s="92">
        <v>107</v>
      </c>
      <c r="G1084" s="5"/>
      <c r="H1084" s="5"/>
      <c r="L1084" s="7"/>
      <c r="M1084" s="7"/>
      <c r="O1084" s="5"/>
      <c r="P1084" s="5"/>
    </row>
    <row r="1085" spans="2:16" x14ac:dyDescent="0.25">
      <c r="B1085" s="90">
        <v>1285</v>
      </c>
      <c r="C1085" s="91">
        <v>0.1035090612427636</v>
      </c>
      <c r="D1085" s="92">
        <v>107</v>
      </c>
      <c r="G1085" s="5"/>
      <c r="H1085" s="5"/>
      <c r="L1085" s="7"/>
      <c r="M1085" s="7"/>
      <c r="O1085" s="5"/>
      <c r="P1085" s="5"/>
    </row>
    <row r="1086" spans="2:16" x14ac:dyDescent="0.25">
      <c r="B1086" s="90">
        <v>41</v>
      </c>
      <c r="C1086" s="91">
        <v>0.13484338416201713</v>
      </c>
      <c r="D1086" s="92">
        <v>107</v>
      </c>
      <c r="G1086" s="5"/>
      <c r="H1086" s="5"/>
      <c r="L1086" s="7"/>
      <c r="M1086" s="7"/>
      <c r="O1086" s="5"/>
      <c r="P1086" s="5"/>
    </row>
    <row r="1087" spans="2:16" x14ac:dyDescent="0.25">
      <c r="B1087" s="90">
        <v>1326</v>
      </c>
      <c r="C1087" s="91">
        <v>0.13484338416201713</v>
      </c>
      <c r="D1087" s="92">
        <v>107</v>
      </c>
      <c r="G1087" s="5"/>
      <c r="H1087" s="5"/>
      <c r="L1087" s="7"/>
      <c r="M1087" s="7"/>
      <c r="O1087" s="5"/>
      <c r="P1087" s="5"/>
    </row>
    <row r="1088" spans="2:16" x14ac:dyDescent="0.25">
      <c r="B1088" s="90">
        <v>1329</v>
      </c>
      <c r="C1088" s="91">
        <v>0.14949213516355297</v>
      </c>
      <c r="D1088" s="92">
        <v>107</v>
      </c>
      <c r="G1088" s="5"/>
      <c r="H1088" s="5"/>
      <c r="L1088" s="7"/>
      <c r="M1088" s="7"/>
      <c r="O1088" s="5"/>
      <c r="P1088" s="5"/>
    </row>
    <row r="1089" spans="2:16" x14ac:dyDescent="0.25">
      <c r="B1089" s="90">
        <v>591</v>
      </c>
      <c r="C1089" s="91">
        <v>0.17382659846806836</v>
      </c>
      <c r="D1089" s="92">
        <v>107</v>
      </c>
      <c r="G1089" s="5"/>
      <c r="H1089" s="5"/>
      <c r="L1089" s="7"/>
      <c r="M1089" s="7"/>
      <c r="O1089" s="5"/>
      <c r="P1089" s="5"/>
    </row>
    <row r="1090" spans="2:16" x14ac:dyDescent="0.25">
      <c r="B1090" s="90">
        <v>111</v>
      </c>
      <c r="C1090" s="91">
        <v>0.17913184298860862</v>
      </c>
      <c r="D1090" s="92">
        <v>107</v>
      </c>
      <c r="G1090" s="5"/>
      <c r="H1090" s="5"/>
      <c r="L1090" s="7"/>
      <c r="M1090" s="7"/>
      <c r="O1090" s="5"/>
      <c r="P1090" s="5"/>
    </row>
    <row r="1091" spans="2:16" x14ac:dyDescent="0.25">
      <c r="B1091" s="90">
        <v>112</v>
      </c>
      <c r="C1091" s="91">
        <v>0.18000794089601746</v>
      </c>
      <c r="D1091" s="92">
        <v>107</v>
      </c>
      <c r="G1091" s="5"/>
      <c r="H1091" s="5"/>
      <c r="L1091" s="7"/>
      <c r="M1091" s="7"/>
      <c r="O1091" s="5"/>
      <c r="P1091" s="5"/>
    </row>
    <row r="1092" spans="2:16" x14ac:dyDescent="0.25">
      <c r="B1092" s="90">
        <v>46</v>
      </c>
      <c r="C1092" s="91">
        <v>0.19304392044858343</v>
      </c>
      <c r="D1092" s="92">
        <v>107</v>
      </c>
      <c r="G1092" s="5"/>
      <c r="H1092" s="5"/>
      <c r="L1092" s="7"/>
      <c r="M1092" s="7"/>
      <c r="O1092" s="5"/>
      <c r="P1092" s="5"/>
    </row>
    <row r="1093" spans="2:16" x14ac:dyDescent="0.25">
      <c r="B1093" s="90">
        <v>1111</v>
      </c>
      <c r="C1093" s="91">
        <v>0.19304392044858343</v>
      </c>
      <c r="D1093" s="92">
        <v>107</v>
      </c>
      <c r="G1093" s="5"/>
      <c r="H1093" s="5"/>
      <c r="L1093" s="7"/>
      <c r="M1093" s="7"/>
      <c r="O1093" s="5"/>
      <c r="P1093" s="5"/>
    </row>
    <row r="1094" spans="2:16" x14ac:dyDescent="0.25">
      <c r="B1094" s="90">
        <v>47</v>
      </c>
      <c r="C1094" s="91">
        <v>0.19726812142680572</v>
      </c>
      <c r="D1094" s="92">
        <v>107</v>
      </c>
      <c r="G1094" s="5"/>
      <c r="H1094" s="5"/>
      <c r="L1094" s="7"/>
      <c r="M1094" s="7"/>
      <c r="O1094" s="5"/>
      <c r="P1094" s="5"/>
    </row>
    <row r="1095" spans="2:16" x14ac:dyDescent="0.25">
      <c r="B1095" s="90">
        <v>1065</v>
      </c>
      <c r="C1095" s="91">
        <v>0.19726812142680572</v>
      </c>
      <c r="D1095" s="92">
        <v>107</v>
      </c>
      <c r="G1095" s="5"/>
      <c r="H1095" s="5"/>
      <c r="L1095" s="7"/>
      <c r="M1095" s="7"/>
      <c r="O1095" s="5"/>
      <c r="P1095" s="5"/>
    </row>
    <row r="1096" spans="2:16" x14ac:dyDescent="0.25">
      <c r="B1096" s="90">
        <v>110</v>
      </c>
      <c r="C1096" s="91">
        <v>0.22048251283434417</v>
      </c>
      <c r="D1096" s="92">
        <v>107</v>
      </c>
      <c r="G1096" s="5"/>
      <c r="H1096" s="5"/>
      <c r="L1096" s="7"/>
      <c r="M1096" s="7"/>
      <c r="O1096" s="5"/>
      <c r="P1096" s="5"/>
    </row>
    <row r="1097" spans="2:16" x14ac:dyDescent="0.25">
      <c r="B1097" s="90">
        <v>45</v>
      </c>
      <c r="C1097" s="91">
        <v>0.22189504641362645</v>
      </c>
      <c r="D1097" s="92">
        <v>107</v>
      </c>
      <c r="G1097" s="5"/>
      <c r="H1097" s="5"/>
      <c r="L1097" s="7"/>
      <c r="M1097" s="7"/>
      <c r="O1097" s="5"/>
      <c r="P1097" s="5"/>
    </row>
    <row r="1098" spans="2:16" x14ac:dyDescent="0.25">
      <c r="B1098" s="90">
        <v>1156</v>
      </c>
      <c r="C1098" s="91">
        <v>0.22189504641362645</v>
      </c>
      <c r="D1098" s="92">
        <v>107</v>
      </c>
      <c r="G1098" s="5"/>
      <c r="H1098" s="5"/>
      <c r="L1098" s="7"/>
      <c r="M1098" s="7"/>
      <c r="O1098" s="5"/>
      <c r="P1098" s="5"/>
    </row>
    <row r="1099" spans="2:16" x14ac:dyDescent="0.25">
      <c r="B1099" s="90">
        <v>360</v>
      </c>
      <c r="C1099" s="91">
        <v>0.26526095976538411</v>
      </c>
      <c r="D1099" s="92">
        <v>107</v>
      </c>
      <c r="G1099" s="5"/>
      <c r="H1099" s="5"/>
      <c r="L1099" s="7"/>
      <c r="M1099" s="7"/>
      <c r="O1099" s="5"/>
      <c r="P1099" s="5"/>
    </row>
    <row r="1100" spans="2:16" x14ac:dyDescent="0.25">
      <c r="B1100" s="90">
        <v>1867</v>
      </c>
      <c r="C1100" s="91">
        <v>3.9984157212552995E-2</v>
      </c>
      <c r="D1100" s="92">
        <v>108</v>
      </c>
      <c r="G1100" s="5"/>
      <c r="H1100" s="5"/>
      <c r="L1100" s="7"/>
      <c r="M1100" s="7"/>
      <c r="O1100" s="5"/>
      <c r="P1100" s="5"/>
    </row>
    <row r="1101" spans="2:16" x14ac:dyDescent="0.25">
      <c r="B1101" s="90">
        <v>273</v>
      </c>
      <c r="C1101" s="91">
        <v>5.4438276521525664E-2</v>
      </c>
      <c r="D1101" s="92">
        <v>108</v>
      </c>
      <c r="G1101" s="5"/>
      <c r="H1101" s="5"/>
      <c r="L1101" s="7"/>
      <c r="M1101" s="7"/>
      <c r="O1101" s="5"/>
      <c r="P1101" s="5"/>
    </row>
    <row r="1102" spans="2:16" x14ac:dyDescent="0.25">
      <c r="B1102" s="90">
        <v>274</v>
      </c>
      <c r="C1102" s="91">
        <v>5.7485793699436183E-2</v>
      </c>
      <c r="D1102" s="92">
        <v>108</v>
      </c>
      <c r="G1102" s="5"/>
      <c r="H1102" s="5"/>
      <c r="L1102" s="7"/>
      <c r="M1102" s="7"/>
      <c r="O1102" s="5"/>
      <c r="P1102" s="5"/>
    </row>
    <row r="1103" spans="2:16" x14ac:dyDescent="0.25">
      <c r="B1103" s="90">
        <v>275</v>
      </c>
      <c r="C1103" s="91">
        <v>5.8337568316477406E-2</v>
      </c>
      <c r="D1103" s="92">
        <v>108</v>
      </c>
      <c r="G1103" s="5"/>
      <c r="H1103" s="5"/>
      <c r="L1103" s="7"/>
      <c r="M1103" s="7"/>
      <c r="O1103" s="5"/>
      <c r="P1103" s="5"/>
    </row>
    <row r="1104" spans="2:16" x14ac:dyDescent="0.25">
      <c r="B1104" s="90">
        <v>108</v>
      </c>
      <c r="C1104" s="91">
        <v>8.1152525308633039E-2</v>
      </c>
      <c r="D1104" s="92">
        <v>108</v>
      </c>
      <c r="G1104" s="5"/>
      <c r="H1104" s="5"/>
      <c r="L1104" s="7"/>
      <c r="M1104" s="7"/>
      <c r="O1104" s="5"/>
      <c r="P1104" s="5"/>
    </row>
    <row r="1105" spans="2:16" x14ac:dyDescent="0.25">
      <c r="B1105" s="90">
        <v>1452</v>
      </c>
      <c r="C1105" s="91">
        <v>9.2365655598747876E-2</v>
      </c>
      <c r="D1105" s="92">
        <v>108</v>
      </c>
      <c r="G1105" s="5"/>
      <c r="H1105" s="5"/>
      <c r="L1105" s="7"/>
      <c r="M1105" s="7"/>
      <c r="O1105" s="5"/>
      <c r="P1105" s="5"/>
    </row>
    <row r="1106" spans="2:16" x14ac:dyDescent="0.25">
      <c r="B1106" s="90">
        <v>1203</v>
      </c>
      <c r="C1106" s="91">
        <v>0.13524445471333268</v>
      </c>
      <c r="D1106" s="92">
        <v>108</v>
      </c>
      <c r="G1106" s="5"/>
      <c r="H1106" s="5"/>
      <c r="L1106" s="7"/>
      <c r="M1106" s="7"/>
      <c r="O1106" s="5"/>
      <c r="P1106" s="5"/>
    </row>
    <row r="1107" spans="2:16" x14ac:dyDescent="0.25">
      <c r="B1107" s="90">
        <v>1743</v>
      </c>
      <c r="C1107" s="91">
        <v>0.15270159646518366</v>
      </c>
      <c r="D1107" s="92">
        <v>108</v>
      </c>
      <c r="G1107" s="5"/>
      <c r="H1107" s="5"/>
      <c r="L1107" s="7"/>
      <c r="M1107" s="7"/>
      <c r="O1107" s="5"/>
      <c r="P1107" s="5"/>
    </row>
    <row r="1108" spans="2:16" x14ac:dyDescent="0.25">
      <c r="B1108" s="90">
        <v>1430</v>
      </c>
      <c r="C1108" s="91">
        <v>0.20323749489946996</v>
      </c>
      <c r="D1108" s="92">
        <v>108</v>
      </c>
      <c r="G1108" s="5"/>
      <c r="H1108" s="5"/>
      <c r="L1108" s="7"/>
      <c r="M1108" s="7"/>
      <c r="O1108" s="5"/>
      <c r="P1108" s="5"/>
    </row>
    <row r="1109" spans="2:16" x14ac:dyDescent="0.25">
      <c r="B1109" s="90">
        <v>706</v>
      </c>
      <c r="C1109" s="91">
        <v>0.26684025151638113</v>
      </c>
      <c r="D1109" s="92">
        <v>108</v>
      </c>
      <c r="G1109" s="5"/>
      <c r="H1109" s="5"/>
      <c r="L1109" s="7"/>
      <c r="M1109" s="7"/>
      <c r="O1109" s="5"/>
      <c r="P1109" s="5"/>
    </row>
    <row r="1110" spans="2:16" x14ac:dyDescent="0.25">
      <c r="B1110" s="90">
        <v>1107</v>
      </c>
      <c r="C1110" s="91">
        <v>4.8626258558116975E-2</v>
      </c>
      <c r="D1110" s="92">
        <v>109</v>
      </c>
      <c r="G1110" s="5"/>
      <c r="H1110" s="5"/>
      <c r="L1110" s="7"/>
      <c r="M1110" s="7"/>
      <c r="O1110" s="5"/>
      <c r="P1110" s="5"/>
    </row>
    <row r="1111" spans="2:16" x14ac:dyDescent="0.25">
      <c r="B1111" s="90">
        <v>1198</v>
      </c>
      <c r="C1111" s="91">
        <v>5.22252939168657E-2</v>
      </c>
      <c r="D1111" s="92">
        <v>109</v>
      </c>
      <c r="G1111" s="5"/>
      <c r="H1111" s="5"/>
      <c r="L1111" s="7"/>
      <c r="M1111" s="7"/>
      <c r="O1111" s="5"/>
      <c r="P1111" s="5"/>
    </row>
    <row r="1112" spans="2:16" x14ac:dyDescent="0.25">
      <c r="B1112" s="90">
        <v>43</v>
      </c>
      <c r="C1112" s="91">
        <v>9.9442153309211245E-2</v>
      </c>
      <c r="D1112" s="92">
        <v>109</v>
      </c>
      <c r="G1112" s="5"/>
      <c r="H1112" s="5"/>
      <c r="L1112" s="7"/>
      <c r="M1112" s="7"/>
      <c r="O1112" s="5"/>
      <c r="P1112" s="5"/>
    </row>
    <row r="1113" spans="2:16" x14ac:dyDescent="0.25">
      <c r="B1113" s="90">
        <v>1243</v>
      </c>
      <c r="C1113" s="91">
        <v>9.9442153309211245E-2</v>
      </c>
      <c r="D1113" s="92">
        <v>109</v>
      </c>
      <c r="G1113" s="5"/>
      <c r="H1113" s="5"/>
      <c r="L1113" s="7"/>
      <c r="M1113" s="7"/>
      <c r="O1113" s="5"/>
      <c r="P1113" s="5"/>
    </row>
    <row r="1114" spans="2:16" x14ac:dyDescent="0.25">
      <c r="B1114" s="90">
        <v>1059</v>
      </c>
      <c r="C1114" s="91">
        <v>0.16394034512367495</v>
      </c>
      <c r="D1114" s="92">
        <v>109</v>
      </c>
      <c r="G1114" s="5"/>
      <c r="H1114" s="5"/>
      <c r="L1114" s="7"/>
      <c r="M1114" s="7"/>
      <c r="O1114" s="5"/>
      <c r="P1114" s="5"/>
    </row>
    <row r="1115" spans="2:16" x14ac:dyDescent="0.25">
      <c r="B1115" s="90">
        <v>652</v>
      </c>
      <c r="C1115" s="91">
        <v>0.27079519096028115</v>
      </c>
      <c r="D1115" s="92">
        <v>109</v>
      </c>
      <c r="G1115" s="5"/>
      <c r="H1115" s="5"/>
      <c r="L1115" s="7"/>
      <c r="M1115" s="7"/>
      <c r="O1115" s="5"/>
      <c r="P1115" s="5"/>
    </row>
    <row r="1116" spans="2:16" x14ac:dyDescent="0.25">
      <c r="B1116" s="90">
        <v>1950</v>
      </c>
      <c r="C1116" s="91">
        <v>1.6542626222475931E-2</v>
      </c>
      <c r="D1116" s="92">
        <v>110</v>
      </c>
      <c r="G1116" s="5"/>
      <c r="H1116" s="5"/>
      <c r="L1116" s="7"/>
      <c r="M1116" s="7"/>
      <c r="O1116" s="5"/>
      <c r="P1116" s="5"/>
    </row>
    <row r="1117" spans="2:16" x14ac:dyDescent="0.25">
      <c r="B1117" s="90">
        <v>1226</v>
      </c>
      <c r="C1117" s="91">
        <v>4.0562081129790317E-2</v>
      </c>
      <c r="D1117" s="92">
        <v>110</v>
      </c>
      <c r="G1117" s="5"/>
      <c r="H1117" s="5"/>
      <c r="L1117" s="7"/>
      <c r="M1117" s="7"/>
      <c r="O1117" s="5"/>
      <c r="P1117" s="5"/>
    </row>
    <row r="1118" spans="2:16" x14ac:dyDescent="0.25">
      <c r="B1118" s="90">
        <v>1523</v>
      </c>
      <c r="C1118" s="91">
        <v>4.6621650250227797E-2</v>
      </c>
      <c r="D1118" s="92">
        <v>110</v>
      </c>
      <c r="G1118" s="5"/>
      <c r="H1118" s="5"/>
      <c r="L1118" s="7"/>
      <c r="M1118" s="7"/>
      <c r="O1118" s="5"/>
      <c r="P1118" s="5"/>
    </row>
    <row r="1119" spans="2:16" x14ac:dyDescent="0.25">
      <c r="B1119" s="90">
        <v>1455</v>
      </c>
      <c r="C1119" s="91">
        <v>4.9302618557811484E-2</v>
      </c>
      <c r="D1119" s="92">
        <v>110</v>
      </c>
      <c r="G1119" s="5"/>
      <c r="H1119" s="5"/>
      <c r="L1119" s="7"/>
      <c r="M1119" s="7"/>
      <c r="O1119" s="5"/>
      <c r="P1119" s="5"/>
    </row>
    <row r="1120" spans="2:16" x14ac:dyDescent="0.25">
      <c r="B1120" s="90">
        <v>22</v>
      </c>
      <c r="C1120" s="91">
        <v>4.9716093901097547E-2</v>
      </c>
      <c r="D1120" s="92">
        <v>110</v>
      </c>
      <c r="G1120" s="5"/>
      <c r="H1120" s="5"/>
      <c r="L1120" s="7"/>
      <c r="M1120" s="7"/>
      <c r="O1120" s="5"/>
      <c r="P1120" s="5"/>
    </row>
    <row r="1121" spans="2:16" x14ac:dyDescent="0.25">
      <c r="B1121" s="90">
        <v>1915</v>
      </c>
      <c r="C1121" s="91">
        <v>4.9716093901097547E-2</v>
      </c>
      <c r="D1121" s="92">
        <v>110</v>
      </c>
      <c r="G1121" s="5"/>
      <c r="H1121" s="5"/>
      <c r="L1121" s="7"/>
      <c r="M1121" s="7"/>
      <c r="O1121" s="5"/>
      <c r="P1121" s="5"/>
    </row>
    <row r="1122" spans="2:16" x14ac:dyDescent="0.25">
      <c r="B1122" s="90">
        <v>1453</v>
      </c>
      <c r="C1122" s="91">
        <v>5.0777591034430025E-2</v>
      </c>
      <c r="D1122" s="92">
        <v>110</v>
      </c>
      <c r="G1122" s="5"/>
      <c r="H1122" s="5"/>
      <c r="L1122" s="7"/>
      <c r="M1122" s="7"/>
      <c r="O1122" s="5"/>
      <c r="P1122" s="5"/>
    </row>
    <row r="1123" spans="2:16" x14ac:dyDescent="0.25">
      <c r="B1123" s="90">
        <v>1082</v>
      </c>
      <c r="C1123" s="91">
        <v>5.3947322828909128E-2</v>
      </c>
      <c r="D1123" s="92">
        <v>110</v>
      </c>
      <c r="G1123" s="5"/>
      <c r="H1123" s="5"/>
      <c r="L1123" s="7"/>
      <c r="M1123" s="7"/>
      <c r="O1123" s="5"/>
      <c r="P1123" s="5"/>
    </row>
    <row r="1124" spans="2:16" x14ac:dyDescent="0.25">
      <c r="B1124" s="90">
        <v>1128</v>
      </c>
      <c r="C1124" s="91">
        <v>5.6347546701286055E-2</v>
      </c>
      <c r="D1124" s="92">
        <v>110</v>
      </c>
      <c r="G1124" s="5"/>
      <c r="H1124" s="5"/>
      <c r="L1124" s="7"/>
      <c r="M1124" s="7"/>
      <c r="O1124" s="5"/>
      <c r="P1124" s="5"/>
    </row>
    <row r="1125" spans="2:16" x14ac:dyDescent="0.25">
      <c r="B1125" s="90">
        <v>1035</v>
      </c>
      <c r="C1125" s="91">
        <v>5.9676139752254276E-2</v>
      </c>
      <c r="D1125" s="92">
        <v>110</v>
      </c>
      <c r="G1125" s="5"/>
      <c r="H1125" s="5"/>
      <c r="L1125" s="7"/>
      <c r="M1125" s="7"/>
      <c r="O1125" s="5"/>
      <c r="P1125" s="5"/>
    </row>
    <row r="1126" spans="2:16" x14ac:dyDescent="0.25">
      <c r="B1126" s="90">
        <v>837</v>
      </c>
      <c r="C1126" s="91">
        <v>6.6481794832446872E-2</v>
      </c>
      <c r="D1126" s="92">
        <v>110</v>
      </c>
      <c r="G1126" s="5"/>
      <c r="H1126" s="5"/>
      <c r="L1126" s="7"/>
      <c r="M1126" s="7"/>
      <c r="O1126" s="5"/>
      <c r="P1126" s="5"/>
    </row>
    <row r="1127" spans="2:16" x14ac:dyDescent="0.25">
      <c r="B1127" s="90">
        <v>987</v>
      </c>
      <c r="C1127" s="91">
        <v>6.8150760445726655E-2</v>
      </c>
      <c r="D1127" s="92">
        <v>110</v>
      </c>
      <c r="G1127" s="5"/>
      <c r="H1127" s="5"/>
      <c r="L1127" s="7"/>
      <c r="M1127" s="7"/>
      <c r="O1127" s="5"/>
      <c r="P1127" s="5"/>
    </row>
    <row r="1128" spans="2:16" x14ac:dyDescent="0.25">
      <c r="B1128" s="90">
        <v>785</v>
      </c>
      <c r="C1128" s="91">
        <v>6.9070340836789756E-2</v>
      </c>
      <c r="D1128" s="92">
        <v>110</v>
      </c>
      <c r="G1128" s="5"/>
      <c r="H1128" s="5"/>
      <c r="L1128" s="7"/>
      <c r="M1128" s="7"/>
      <c r="O1128" s="5"/>
      <c r="P1128" s="5"/>
    </row>
    <row r="1129" spans="2:16" x14ac:dyDescent="0.25">
      <c r="B1129" s="90">
        <v>732</v>
      </c>
      <c r="C1129" s="91">
        <v>7.0494072948098174E-2</v>
      </c>
      <c r="D1129" s="92">
        <v>110</v>
      </c>
      <c r="G1129" s="5"/>
      <c r="H1129" s="5"/>
      <c r="L1129" s="7"/>
      <c r="M1129" s="7"/>
      <c r="O1129" s="5"/>
      <c r="P1129" s="5"/>
    </row>
    <row r="1130" spans="2:16" x14ac:dyDescent="0.25">
      <c r="B1130" s="90">
        <v>1522</v>
      </c>
      <c r="C1130" s="91">
        <v>7.1574520157443144E-2</v>
      </c>
      <c r="D1130" s="92">
        <v>110</v>
      </c>
      <c r="G1130" s="5"/>
      <c r="H1130" s="5"/>
      <c r="L1130" s="7"/>
      <c r="M1130" s="7"/>
      <c r="O1130" s="5"/>
      <c r="P1130" s="5"/>
    </row>
    <row r="1131" spans="2:16" x14ac:dyDescent="0.25">
      <c r="B1131" s="90">
        <v>888</v>
      </c>
      <c r="C1131" s="91">
        <v>7.6325427899059717E-2</v>
      </c>
      <c r="D1131" s="92">
        <v>110</v>
      </c>
      <c r="G1131" s="5"/>
      <c r="H1131" s="5"/>
      <c r="L1131" s="7"/>
      <c r="M1131" s="7"/>
      <c r="O1131" s="5"/>
      <c r="P1131" s="5"/>
    </row>
    <row r="1132" spans="2:16" x14ac:dyDescent="0.25">
      <c r="B1132" s="90">
        <v>1524</v>
      </c>
      <c r="C1132" s="91">
        <v>8.0921554021664344E-2</v>
      </c>
      <c r="D1132" s="92">
        <v>110</v>
      </c>
      <c r="G1132" s="5"/>
      <c r="H1132" s="5"/>
      <c r="L1132" s="7"/>
      <c r="M1132" s="7"/>
      <c r="O1132" s="5"/>
      <c r="P1132" s="5"/>
    </row>
    <row r="1133" spans="2:16" x14ac:dyDescent="0.25">
      <c r="B1133" s="90">
        <v>1491</v>
      </c>
      <c r="C1133" s="91">
        <v>8.1091100065635913E-2</v>
      </c>
      <c r="D1133" s="92">
        <v>110</v>
      </c>
      <c r="G1133" s="5"/>
      <c r="H1133" s="5"/>
      <c r="L1133" s="7"/>
      <c r="M1133" s="7"/>
      <c r="O1133" s="5"/>
      <c r="P1133" s="5"/>
    </row>
    <row r="1134" spans="2:16" x14ac:dyDescent="0.25">
      <c r="B1134" s="90">
        <v>1485</v>
      </c>
      <c r="C1134" s="91">
        <v>8.510118511630127E-2</v>
      </c>
      <c r="D1134" s="92">
        <v>110</v>
      </c>
      <c r="G1134" s="5"/>
      <c r="H1134" s="5"/>
      <c r="L1134" s="7"/>
      <c r="M1134" s="7"/>
      <c r="O1134" s="5"/>
      <c r="P1134" s="5"/>
    </row>
    <row r="1135" spans="2:16" x14ac:dyDescent="0.25">
      <c r="B1135" s="90">
        <v>1862</v>
      </c>
      <c r="C1135" s="91">
        <v>9.9634746394849483E-2</v>
      </c>
      <c r="D1135" s="92">
        <v>110</v>
      </c>
      <c r="G1135" s="5"/>
      <c r="H1135" s="5"/>
      <c r="L1135" s="7"/>
      <c r="M1135" s="7"/>
      <c r="O1135" s="5"/>
      <c r="P1135" s="5"/>
    </row>
    <row r="1136" spans="2:16" x14ac:dyDescent="0.25">
      <c r="B1136" s="90">
        <v>1677</v>
      </c>
      <c r="C1136" s="91">
        <v>0.11498859472551626</v>
      </c>
      <c r="D1136" s="92">
        <v>110</v>
      </c>
      <c r="G1136" s="5"/>
      <c r="H1136" s="5"/>
      <c r="L1136" s="7"/>
      <c r="M1136" s="7"/>
      <c r="O1136" s="5"/>
      <c r="P1136" s="5"/>
    </row>
    <row r="1137" spans="2:16" x14ac:dyDescent="0.25">
      <c r="B1137" s="90">
        <v>1481</v>
      </c>
      <c r="C1137" s="91">
        <v>0.12836488535478363</v>
      </c>
      <c r="D1137" s="92">
        <v>110</v>
      </c>
      <c r="G1137" s="5"/>
      <c r="H1137" s="5"/>
      <c r="L1137" s="7"/>
      <c r="M1137" s="7"/>
      <c r="O1137" s="5"/>
      <c r="P1137" s="5"/>
    </row>
    <row r="1138" spans="2:16" x14ac:dyDescent="0.25">
      <c r="B1138" s="90">
        <v>1447</v>
      </c>
      <c r="C1138" s="91">
        <v>0.14210128696406121</v>
      </c>
      <c r="D1138" s="92">
        <v>110</v>
      </c>
      <c r="G1138" s="5"/>
      <c r="H1138" s="5"/>
      <c r="L1138" s="7"/>
      <c r="M1138" s="7"/>
      <c r="O1138" s="5"/>
      <c r="P1138" s="5"/>
    </row>
    <row r="1139" spans="2:16" x14ac:dyDescent="0.25">
      <c r="B1139" s="90">
        <v>1771</v>
      </c>
      <c r="C1139" s="91">
        <v>0.14866390416080266</v>
      </c>
      <c r="D1139" s="92">
        <v>110</v>
      </c>
      <c r="G1139" s="5"/>
      <c r="H1139" s="5"/>
      <c r="L1139" s="7"/>
      <c r="M1139" s="7"/>
      <c r="O1139" s="5"/>
      <c r="P1139" s="5"/>
    </row>
    <row r="1140" spans="2:16" x14ac:dyDescent="0.25">
      <c r="B1140" s="90">
        <v>2142</v>
      </c>
      <c r="C1140" s="91">
        <v>0.16601720065808934</v>
      </c>
      <c r="D1140" s="92">
        <v>110</v>
      </c>
      <c r="G1140" s="5"/>
      <c r="H1140" s="5"/>
      <c r="L1140" s="7"/>
      <c r="M1140" s="7"/>
      <c r="O1140" s="5"/>
      <c r="P1140" s="5"/>
    </row>
    <row r="1141" spans="2:16" x14ac:dyDescent="0.25">
      <c r="B1141" s="90">
        <v>1273</v>
      </c>
      <c r="C1141" s="91">
        <v>0.18893508632353839</v>
      </c>
      <c r="D1141" s="92">
        <v>111</v>
      </c>
      <c r="G1141" s="5"/>
      <c r="H1141" s="5"/>
      <c r="L1141" s="7"/>
      <c r="M1141" s="7"/>
      <c r="O1141" s="5"/>
      <c r="P1141" s="5"/>
    </row>
    <row r="1142" spans="2:16" x14ac:dyDescent="0.25">
      <c r="B1142" s="90">
        <v>1007</v>
      </c>
      <c r="C1142" s="91">
        <v>0.21048930651280695</v>
      </c>
      <c r="D1142" s="92">
        <v>111</v>
      </c>
      <c r="G1142" s="5"/>
      <c r="H1142" s="5"/>
      <c r="L1142" s="7"/>
      <c r="M1142" s="7"/>
      <c r="O1142" s="5"/>
      <c r="P1142" s="5"/>
    </row>
    <row r="1143" spans="2:16" x14ac:dyDescent="0.25">
      <c r="B1143" s="90">
        <v>804</v>
      </c>
      <c r="C1143" s="91">
        <v>0.21093056180414815</v>
      </c>
      <c r="D1143" s="92">
        <v>111</v>
      </c>
      <c r="G1143" s="5"/>
      <c r="H1143" s="5"/>
      <c r="L1143" s="7"/>
      <c r="M1143" s="7"/>
      <c r="O1143" s="5"/>
      <c r="P1143" s="5"/>
    </row>
    <row r="1144" spans="2:16" x14ac:dyDescent="0.25">
      <c r="B1144" s="90">
        <v>751</v>
      </c>
      <c r="C1144" s="91">
        <v>0.21096286536866293</v>
      </c>
      <c r="D1144" s="92">
        <v>111</v>
      </c>
      <c r="G1144" s="5"/>
      <c r="H1144" s="5"/>
      <c r="L1144" s="7"/>
      <c r="M1144" s="7"/>
      <c r="O1144" s="5"/>
      <c r="P1144" s="5"/>
    </row>
    <row r="1145" spans="2:16" x14ac:dyDescent="0.25">
      <c r="B1145" s="90">
        <v>856</v>
      </c>
      <c r="C1145" s="91">
        <v>0.21247190747969202</v>
      </c>
      <c r="D1145" s="92">
        <v>111</v>
      </c>
      <c r="G1145" s="5"/>
      <c r="H1145" s="5"/>
      <c r="L1145" s="7"/>
      <c r="M1145" s="7"/>
      <c r="O1145" s="5"/>
      <c r="P1145" s="5"/>
    </row>
    <row r="1146" spans="2:16" x14ac:dyDescent="0.25">
      <c r="B1146" s="90">
        <v>48</v>
      </c>
      <c r="C1146" s="91">
        <v>0.22753217060888675</v>
      </c>
      <c r="D1146" s="92">
        <v>111</v>
      </c>
      <c r="G1146" s="5"/>
      <c r="H1146" s="5"/>
      <c r="L1146" s="7"/>
      <c r="M1146" s="7"/>
      <c r="O1146" s="5"/>
      <c r="P1146" s="5"/>
    </row>
    <row r="1147" spans="2:16" x14ac:dyDescent="0.25">
      <c r="B1147" s="90">
        <v>1018</v>
      </c>
      <c r="C1147" s="91">
        <v>0.22753217060888675</v>
      </c>
      <c r="D1147" s="92">
        <v>111</v>
      </c>
      <c r="G1147" s="5"/>
      <c r="H1147" s="5"/>
      <c r="L1147" s="7"/>
      <c r="M1147" s="7"/>
      <c r="O1147" s="5"/>
      <c r="P1147" s="5"/>
    </row>
    <row r="1148" spans="2:16" x14ac:dyDescent="0.25">
      <c r="B1148" s="90">
        <v>299</v>
      </c>
      <c r="C1148" s="91">
        <v>0.26638378862007062</v>
      </c>
      <c r="D1148" s="92">
        <v>111</v>
      </c>
      <c r="G1148" s="5"/>
      <c r="H1148" s="5"/>
      <c r="L1148" s="7"/>
      <c r="M1148" s="7"/>
      <c r="O1148" s="5"/>
      <c r="P1148" s="5"/>
    </row>
    <row r="1149" spans="2:16" x14ac:dyDescent="0.25">
      <c r="B1149" s="90">
        <v>1558</v>
      </c>
      <c r="C1149" s="91">
        <v>3.0040853843804394E-2</v>
      </c>
      <c r="D1149" s="92">
        <v>112</v>
      </c>
      <c r="G1149" s="5"/>
      <c r="H1149" s="5"/>
      <c r="L1149" s="7"/>
      <c r="M1149" s="7"/>
      <c r="O1149" s="5"/>
      <c r="P1149" s="5"/>
    </row>
    <row r="1150" spans="2:16" x14ac:dyDescent="0.25">
      <c r="B1150" s="90">
        <v>1557</v>
      </c>
      <c r="C1150" s="91">
        <v>4.0825358055642691E-2</v>
      </c>
      <c r="D1150" s="92">
        <v>112</v>
      </c>
      <c r="G1150" s="5"/>
      <c r="H1150" s="5"/>
      <c r="L1150" s="7"/>
      <c r="M1150" s="7"/>
      <c r="O1150" s="5"/>
      <c r="P1150" s="5"/>
    </row>
    <row r="1151" spans="2:16" x14ac:dyDescent="0.25">
      <c r="B1151" s="90">
        <v>1847</v>
      </c>
      <c r="C1151" s="91">
        <v>4.7469229329265894E-2</v>
      </c>
      <c r="D1151" s="92">
        <v>112</v>
      </c>
      <c r="G1151" s="5"/>
      <c r="H1151" s="5"/>
      <c r="L1151" s="7"/>
      <c r="M1151" s="7"/>
      <c r="O1151" s="5"/>
      <c r="P1151" s="5"/>
    </row>
    <row r="1152" spans="2:16" x14ac:dyDescent="0.25">
      <c r="B1152" s="90">
        <v>1521</v>
      </c>
      <c r="C1152" s="91">
        <v>4.8733446934641322E-2</v>
      </c>
      <c r="D1152" s="92">
        <v>112</v>
      </c>
      <c r="G1152" s="5"/>
      <c r="H1152" s="5"/>
      <c r="L1152" s="7"/>
      <c r="M1152" s="7"/>
      <c r="O1152" s="5"/>
      <c r="P1152" s="5"/>
    </row>
    <row r="1153" spans="2:16" x14ac:dyDescent="0.25">
      <c r="B1153" s="90">
        <v>1880</v>
      </c>
      <c r="C1153" s="91">
        <v>5.346327207032775E-2</v>
      </c>
      <c r="D1153" s="92">
        <v>112</v>
      </c>
      <c r="G1153" s="5"/>
      <c r="H1153" s="5"/>
      <c r="L1153" s="7"/>
      <c r="M1153" s="7"/>
      <c r="O1153" s="5"/>
      <c r="P1153" s="5"/>
    </row>
    <row r="1154" spans="2:16" x14ac:dyDescent="0.25">
      <c r="B1154" s="90">
        <v>1879</v>
      </c>
      <c r="C1154" s="91">
        <v>5.5119755169929396E-2</v>
      </c>
      <c r="D1154" s="92">
        <v>112</v>
      </c>
      <c r="G1154" s="5"/>
      <c r="H1154" s="5"/>
      <c r="L1154" s="7"/>
      <c r="M1154" s="7"/>
      <c r="O1154" s="5"/>
      <c r="P1154" s="5"/>
    </row>
    <row r="1155" spans="2:16" x14ac:dyDescent="0.25">
      <c r="B1155" s="90">
        <v>272</v>
      </c>
      <c r="C1155" s="91">
        <v>5.9818095985140318E-2</v>
      </c>
      <c r="D1155" s="92">
        <v>112</v>
      </c>
      <c r="G1155" s="5"/>
      <c r="H1155" s="5"/>
      <c r="L1155" s="7"/>
      <c r="M1155" s="7"/>
      <c r="O1155" s="5"/>
      <c r="P1155" s="5"/>
    </row>
    <row r="1156" spans="2:16" x14ac:dyDescent="0.25">
      <c r="B1156" s="90">
        <v>1732</v>
      </c>
      <c r="C1156" s="91">
        <v>7.0737343281991438E-2</v>
      </c>
      <c r="D1156" s="92">
        <v>112</v>
      </c>
      <c r="G1156" s="5"/>
      <c r="H1156" s="5"/>
      <c r="L1156" s="7"/>
      <c r="M1156" s="7"/>
      <c r="O1156" s="5"/>
      <c r="P1156" s="5"/>
    </row>
    <row r="1157" spans="2:16" x14ac:dyDescent="0.25">
      <c r="B1157" s="90">
        <v>1724</v>
      </c>
      <c r="C1157" s="91">
        <v>7.8848043832526304E-2</v>
      </c>
      <c r="D1157" s="92">
        <v>112</v>
      </c>
      <c r="G1157" s="5"/>
      <c r="H1157" s="5"/>
      <c r="L1157" s="7"/>
      <c r="M1157" s="7"/>
      <c r="O1157" s="5"/>
      <c r="P1157" s="5"/>
    </row>
    <row r="1158" spans="2:16" x14ac:dyDescent="0.25">
      <c r="B1158" s="90">
        <v>1731</v>
      </c>
      <c r="C1158" s="91">
        <v>7.9555197913135145E-2</v>
      </c>
      <c r="D1158" s="92">
        <v>112</v>
      </c>
      <c r="G1158" s="5"/>
      <c r="H1158" s="5"/>
      <c r="L1158" s="7"/>
      <c r="M1158" s="7"/>
      <c r="O1158" s="5"/>
      <c r="P1158" s="5"/>
    </row>
    <row r="1159" spans="2:16" x14ac:dyDescent="0.25">
      <c r="B1159" s="90">
        <v>1952</v>
      </c>
      <c r="C1159" s="91">
        <v>8.1997180091395783E-2</v>
      </c>
      <c r="D1159" s="92">
        <v>112</v>
      </c>
      <c r="G1159" s="5"/>
      <c r="H1159" s="5"/>
      <c r="L1159" s="7"/>
      <c r="M1159" s="7"/>
      <c r="O1159" s="5"/>
      <c r="P1159" s="5"/>
    </row>
    <row r="1160" spans="2:16" x14ac:dyDescent="0.25">
      <c r="B1160" s="90">
        <v>1490</v>
      </c>
      <c r="C1160" s="91">
        <v>8.9913306379938884E-2</v>
      </c>
      <c r="D1160" s="92">
        <v>112</v>
      </c>
      <c r="G1160" s="5"/>
      <c r="H1160" s="5"/>
      <c r="L1160" s="7"/>
      <c r="M1160" s="7"/>
      <c r="O1160" s="5"/>
      <c r="P1160" s="5"/>
    </row>
    <row r="1161" spans="2:16" x14ac:dyDescent="0.25">
      <c r="B1161" s="90">
        <v>1492</v>
      </c>
      <c r="C1161" s="91">
        <v>9.0542299858076603E-2</v>
      </c>
      <c r="D1161" s="92">
        <v>112</v>
      </c>
      <c r="G1161" s="5"/>
      <c r="H1161" s="5"/>
      <c r="L1161" s="7"/>
      <c r="M1161" s="7"/>
      <c r="O1161" s="5"/>
      <c r="P1161" s="5"/>
    </row>
    <row r="1162" spans="2:16" x14ac:dyDescent="0.25">
      <c r="B1162" s="90">
        <v>1727</v>
      </c>
      <c r="C1162" s="91">
        <v>0.10478465417609362</v>
      </c>
      <c r="D1162" s="92">
        <v>112</v>
      </c>
      <c r="G1162" s="5"/>
      <c r="H1162" s="5"/>
      <c r="L1162" s="7"/>
      <c r="M1162" s="7"/>
      <c r="O1162" s="5"/>
      <c r="P1162" s="5"/>
    </row>
    <row r="1163" spans="2:16" x14ac:dyDescent="0.25">
      <c r="B1163" s="90">
        <v>1730</v>
      </c>
      <c r="C1163" s="91">
        <v>0.10534576257381478</v>
      </c>
      <c r="D1163" s="92">
        <v>112</v>
      </c>
      <c r="G1163" s="5"/>
      <c r="H1163" s="5"/>
      <c r="L1163" s="7"/>
      <c r="M1163" s="7"/>
      <c r="O1163" s="5"/>
      <c r="P1163" s="5"/>
    </row>
    <row r="1164" spans="2:16" x14ac:dyDescent="0.25">
      <c r="B1164" s="90">
        <v>1762</v>
      </c>
      <c r="C1164" s="91">
        <v>0.11293980209371457</v>
      </c>
      <c r="D1164" s="92">
        <v>112</v>
      </c>
      <c r="G1164" s="5"/>
      <c r="H1164" s="5"/>
      <c r="L1164" s="7"/>
      <c r="M1164" s="7"/>
      <c r="O1164" s="5"/>
      <c r="P1164" s="5"/>
    </row>
    <row r="1165" spans="2:16" x14ac:dyDescent="0.25">
      <c r="B1165" s="90">
        <v>1527</v>
      </c>
      <c r="C1165" s="91">
        <v>0.11382180139404885</v>
      </c>
      <c r="D1165" s="92">
        <v>112</v>
      </c>
      <c r="G1165" s="5"/>
      <c r="H1165" s="5"/>
      <c r="L1165" s="7"/>
      <c r="M1165" s="7"/>
      <c r="O1165" s="5"/>
      <c r="P1165" s="5"/>
    </row>
    <row r="1166" spans="2:16" x14ac:dyDescent="0.25">
      <c r="B1166" s="90">
        <v>1559</v>
      </c>
      <c r="C1166" s="91">
        <v>0.11645992133578142</v>
      </c>
      <c r="D1166" s="92">
        <v>112</v>
      </c>
      <c r="G1166" s="5"/>
      <c r="H1166" s="5"/>
      <c r="L1166" s="7"/>
      <c r="M1166" s="7"/>
      <c r="O1166" s="5"/>
      <c r="P1166" s="5"/>
    </row>
    <row r="1167" spans="2:16" x14ac:dyDescent="0.25">
      <c r="B1167" s="90">
        <v>1729</v>
      </c>
      <c r="C1167" s="91">
        <v>0.12187561561024274</v>
      </c>
      <c r="D1167" s="92">
        <v>112</v>
      </c>
      <c r="G1167" s="5"/>
      <c r="H1167" s="5"/>
      <c r="L1167" s="7"/>
      <c r="M1167" s="7"/>
      <c r="O1167" s="5"/>
      <c r="P1167" s="5"/>
    </row>
    <row r="1168" spans="2:16" x14ac:dyDescent="0.25">
      <c r="B1168" s="90">
        <v>1489</v>
      </c>
      <c r="C1168" s="91">
        <v>0.12762673555843707</v>
      </c>
      <c r="D1168" s="92">
        <v>112</v>
      </c>
      <c r="G1168" s="5"/>
      <c r="H1168" s="5"/>
      <c r="L1168" s="7"/>
      <c r="M1168" s="7"/>
      <c r="O1168" s="5"/>
      <c r="P1168" s="5"/>
    </row>
    <row r="1169" spans="2:16" x14ac:dyDescent="0.25">
      <c r="B1169" s="90">
        <v>1517</v>
      </c>
      <c r="C1169" s="91">
        <v>0.15086917356842877</v>
      </c>
      <c r="D1169" s="92">
        <v>112</v>
      </c>
      <c r="G1169" s="5"/>
      <c r="H1169" s="5"/>
      <c r="L1169" s="7"/>
      <c r="M1169" s="7"/>
      <c r="O1169" s="5"/>
      <c r="P1169" s="5"/>
    </row>
    <row r="1170" spans="2:16" x14ac:dyDescent="0.25">
      <c r="B1170" s="90">
        <v>177</v>
      </c>
      <c r="C1170" s="91">
        <v>0.19615066054575325</v>
      </c>
      <c r="D1170" s="92">
        <v>112</v>
      </c>
      <c r="G1170" s="5"/>
      <c r="H1170" s="5"/>
      <c r="L1170" s="7"/>
      <c r="M1170" s="7"/>
      <c r="O1170" s="5"/>
      <c r="P1170" s="5"/>
    </row>
    <row r="1171" spans="2:16" x14ac:dyDescent="0.25">
      <c r="B1171" s="90">
        <v>113</v>
      </c>
      <c r="C1171" s="91">
        <v>0.21178997284305634</v>
      </c>
      <c r="D1171" s="92">
        <v>112</v>
      </c>
      <c r="G1171" s="5"/>
      <c r="H1171" s="5"/>
      <c r="L1171" s="7"/>
      <c r="M1171" s="7"/>
      <c r="O1171" s="5"/>
      <c r="P1171" s="5"/>
    </row>
    <row r="1172" spans="2:16" x14ac:dyDescent="0.25">
      <c r="B1172" s="90">
        <v>31</v>
      </c>
      <c r="C1172" s="91">
        <v>0.2441290487817882</v>
      </c>
      <c r="D1172" s="92">
        <v>112</v>
      </c>
      <c r="G1172" s="5"/>
      <c r="H1172" s="5"/>
      <c r="L1172" s="7"/>
      <c r="M1172" s="7"/>
      <c r="O1172" s="5"/>
      <c r="P1172" s="5"/>
    </row>
    <row r="1173" spans="2:16" x14ac:dyDescent="0.25">
      <c r="B1173" s="90">
        <v>1681</v>
      </c>
      <c r="C1173" s="91">
        <v>0.2441290487817882</v>
      </c>
      <c r="D1173" s="92">
        <v>112</v>
      </c>
      <c r="G1173" s="5"/>
      <c r="H1173" s="5"/>
      <c r="L1173" s="7"/>
      <c r="M1173" s="7"/>
      <c r="O1173" s="5"/>
      <c r="P1173" s="5"/>
    </row>
    <row r="1174" spans="2:16" x14ac:dyDescent="0.25">
      <c r="B1174" s="90">
        <v>1482</v>
      </c>
      <c r="C1174" s="91">
        <v>0.25481225735734558</v>
      </c>
      <c r="D1174" s="92">
        <v>112</v>
      </c>
      <c r="G1174" s="5"/>
      <c r="H1174" s="5"/>
      <c r="L1174" s="7"/>
      <c r="M1174" s="7"/>
      <c r="O1174" s="5"/>
      <c r="P1174" s="5"/>
    </row>
    <row r="1175" spans="2:16" x14ac:dyDescent="0.25">
      <c r="B1175" s="90">
        <v>1845</v>
      </c>
      <c r="C1175" s="91">
        <v>0.28042020952303237</v>
      </c>
      <c r="D1175" s="92">
        <v>112</v>
      </c>
      <c r="G1175" s="5"/>
      <c r="H1175" s="5"/>
      <c r="L1175" s="7"/>
      <c r="M1175" s="7"/>
      <c r="O1175" s="5"/>
      <c r="P1175" s="5"/>
    </row>
    <row r="1176" spans="2:16" x14ac:dyDescent="0.25">
      <c r="B1176" s="90">
        <v>968</v>
      </c>
      <c r="C1176" s="91">
        <v>0.31206970798755607</v>
      </c>
      <c r="D1176" s="92">
        <v>112</v>
      </c>
      <c r="G1176" s="5"/>
      <c r="H1176" s="5"/>
      <c r="L1176" s="7"/>
      <c r="M1176" s="7"/>
      <c r="O1176" s="5"/>
      <c r="P1176" s="5"/>
    </row>
    <row r="1177" spans="2:16" x14ac:dyDescent="0.25">
      <c r="B1177" s="90">
        <v>787</v>
      </c>
      <c r="C1177" s="91">
        <v>5.7581104897462598E-2</v>
      </c>
      <c r="D1177" s="92">
        <v>113</v>
      </c>
      <c r="G1177" s="5"/>
      <c r="H1177" s="5"/>
      <c r="L1177" s="7"/>
      <c r="M1177" s="7"/>
      <c r="O1177" s="5"/>
      <c r="P1177" s="5"/>
    </row>
    <row r="1178" spans="2:16" x14ac:dyDescent="0.25">
      <c r="B1178" s="90">
        <v>735</v>
      </c>
      <c r="C1178" s="91">
        <v>5.8898320727640563E-2</v>
      </c>
      <c r="D1178" s="92">
        <v>113</v>
      </c>
      <c r="G1178" s="5"/>
      <c r="H1178" s="5"/>
      <c r="L1178" s="7"/>
      <c r="M1178" s="7"/>
      <c r="O1178" s="5"/>
      <c r="P1178" s="5"/>
    </row>
    <row r="1179" spans="2:16" x14ac:dyDescent="0.25">
      <c r="B1179" s="90">
        <v>788</v>
      </c>
      <c r="C1179" s="91">
        <v>5.9125670376516726E-2</v>
      </c>
      <c r="D1179" s="92">
        <v>113</v>
      </c>
      <c r="G1179" s="5"/>
      <c r="H1179" s="5"/>
      <c r="L1179" s="7"/>
      <c r="M1179" s="7"/>
      <c r="O1179" s="5"/>
      <c r="P1179" s="5"/>
    </row>
    <row r="1180" spans="2:16" x14ac:dyDescent="0.25">
      <c r="B1180" s="90">
        <v>786</v>
      </c>
      <c r="C1180" s="91">
        <v>5.9641863423721464E-2</v>
      </c>
      <c r="D1180" s="92">
        <v>113</v>
      </c>
      <c r="G1180" s="5"/>
      <c r="H1180" s="5"/>
      <c r="L1180" s="7"/>
      <c r="M1180" s="7"/>
      <c r="O1180" s="5"/>
      <c r="P1180" s="5"/>
    </row>
    <row r="1181" spans="2:16" x14ac:dyDescent="0.25">
      <c r="B1181" s="90">
        <v>840</v>
      </c>
      <c r="C1181" s="91">
        <v>5.9780254169231828E-2</v>
      </c>
      <c r="D1181" s="92">
        <v>113</v>
      </c>
      <c r="G1181" s="5"/>
      <c r="H1181" s="5"/>
      <c r="L1181" s="7"/>
      <c r="M1181" s="7"/>
      <c r="O1181" s="5"/>
      <c r="P1181" s="5"/>
    </row>
    <row r="1182" spans="2:16" x14ac:dyDescent="0.25">
      <c r="B1182" s="90">
        <v>1080</v>
      </c>
      <c r="C1182" s="91">
        <v>6.6304662786924928E-2</v>
      </c>
      <c r="D1182" s="92">
        <v>113</v>
      </c>
      <c r="G1182" s="5"/>
      <c r="H1182" s="5"/>
      <c r="L1182" s="7"/>
      <c r="M1182" s="7"/>
      <c r="O1182" s="5"/>
      <c r="P1182" s="5"/>
    </row>
    <row r="1183" spans="2:16" x14ac:dyDescent="0.25">
      <c r="B1183" s="90">
        <v>1038</v>
      </c>
      <c r="C1183" s="91">
        <v>6.7022482795513705E-2</v>
      </c>
      <c r="D1183" s="92">
        <v>113</v>
      </c>
      <c r="G1183" s="5"/>
      <c r="H1183" s="5"/>
      <c r="L1183" s="7"/>
      <c r="M1183" s="7"/>
      <c r="O1183" s="5"/>
      <c r="P1183" s="5"/>
    </row>
    <row r="1184" spans="2:16" x14ac:dyDescent="0.25">
      <c r="B1184" s="90">
        <v>1126</v>
      </c>
      <c r="C1184" s="91">
        <v>6.8196489444319996E-2</v>
      </c>
      <c r="D1184" s="92">
        <v>113</v>
      </c>
      <c r="G1184" s="5"/>
      <c r="H1184" s="5"/>
      <c r="L1184" s="7"/>
      <c r="M1184" s="7"/>
      <c r="O1184" s="5"/>
      <c r="P1184" s="5"/>
    </row>
    <row r="1185" spans="2:16" x14ac:dyDescent="0.25">
      <c r="B1185" s="90">
        <v>834</v>
      </c>
      <c r="C1185" s="91">
        <v>8.1138132859476242E-2</v>
      </c>
      <c r="D1185" s="92">
        <v>113</v>
      </c>
      <c r="G1185" s="5"/>
      <c r="H1185" s="5"/>
      <c r="L1185" s="7"/>
      <c r="M1185" s="7"/>
      <c r="O1185" s="5"/>
      <c r="P1185" s="5"/>
    </row>
    <row r="1186" spans="2:16" x14ac:dyDescent="0.25">
      <c r="B1186" s="90">
        <v>885</v>
      </c>
      <c r="C1186" s="91">
        <v>8.7606093951939745E-2</v>
      </c>
      <c r="D1186" s="92">
        <v>113</v>
      </c>
      <c r="G1186" s="5"/>
      <c r="H1186" s="5"/>
      <c r="L1186" s="7"/>
      <c r="M1186" s="7"/>
      <c r="O1186" s="5"/>
      <c r="P1186" s="5"/>
    </row>
    <row r="1187" spans="2:16" x14ac:dyDescent="0.25">
      <c r="B1187" s="90">
        <v>1033</v>
      </c>
      <c r="C1187" s="91">
        <v>8.7698415235574201E-2</v>
      </c>
      <c r="D1187" s="92">
        <v>113</v>
      </c>
      <c r="G1187" s="5"/>
      <c r="H1187" s="5"/>
      <c r="L1187" s="7"/>
      <c r="M1187" s="7"/>
      <c r="O1187" s="5"/>
      <c r="P1187" s="5"/>
    </row>
    <row r="1188" spans="2:16" x14ac:dyDescent="0.25">
      <c r="B1188" s="90">
        <v>729</v>
      </c>
      <c r="C1188" s="91">
        <v>8.9602972088128952E-2</v>
      </c>
      <c r="D1188" s="92">
        <v>113</v>
      </c>
      <c r="G1188" s="5"/>
      <c r="H1188" s="5"/>
      <c r="L1188" s="7"/>
      <c r="M1188" s="7"/>
      <c r="O1188" s="5"/>
      <c r="P1188" s="5"/>
    </row>
    <row r="1189" spans="2:16" x14ac:dyDescent="0.25">
      <c r="B1189" s="90">
        <v>935</v>
      </c>
      <c r="C1189" s="91">
        <v>9.6576884687347486E-2</v>
      </c>
      <c r="D1189" s="92">
        <v>113</v>
      </c>
      <c r="G1189" s="5"/>
      <c r="H1189" s="5"/>
      <c r="L1189" s="7"/>
      <c r="M1189" s="7"/>
      <c r="O1189" s="5"/>
      <c r="P1189" s="5"/>
    </row>
    <row r="1190" spans="2:16" x14ac:dyDescent="0.25">
      <c r="B1190" s="90">
        <v>985</v>
      </c>
      <c r="C1190" s="91">
        <v>0.1140745803613783</v>
      </c>
      <c r="D1190" s="92">
        <v>113</v>
      </c>
      <c r="G1190" s="5"/>
      <c r="H1190" s="5"/>
      <c r="L1190" s="7"/>
      <c r="M1190" s="7"/>
      <c r="O1190" s="5"/>
      <c r="P1190" s="5"/>
    </row>
    <row r="1191" spans="2:16" x14ac:dyDescent="0.25">
      <c r="B1191" s="90">
        <v>592</v>
      </c>
      <c r="C1191" s="91">
        <v>0.17991651898304672</v>
      </c>
      <c r="D1191" s="92">
        <v>113</v>
      </c>
      <c r="G1191" s="5"/>
      <c r="H1191" s="5"/>
      <c r="L1191" s="7"/>
      <c r="M1191" s="7"/>
      <c r="O1191" s="5"/>
      <c r="P1191" s="5"/>
    </row>
    <row r="1192" spans="2:16" x14ac:dyDescent="0.25">
      <c r="B1192" s="90">
        <v>1054</v>
      </c>
      <c r="C1192" s="91">
        <v>0.21709003608083755</v>
      </c>
      <c r="D1192" s="92">
        <v>113</v>
      </c>
      <c r="G1192" s="5"/>
      <c r="H1192" s="5"/>
      <c r="L1192" s="7"/>
      <c r="M1192" s="7"/>
      <c r="O1192" s="5"/>
      <c r="P1192" s="5"/>
    </row>
    <row r="1193" spans="2:16" x14ac:dyDescent="0.25">
      <c r="B1193" s="90">
        <v>763</v>
      </c>
      <c r="C1193" s="91">
        <v>0.32431454373217072</v>
      </c>
      <c r="D1193" s="92">
        <v>113</v>
      </c>
      <c r="G1193" s="5"/>
      <c r="H1193" s="5"/>
      <c r="L1193" s="7"/>
      <c r="M1193" s="7"/>
      <c r="O1193" s="5"/>
      <c r="P1193" s="5"/>
    </row>
    <row r="1194" spans="2:16" x14ac:dyDescent="0.25">
      <c r="B1194" s="90">
        <v>709</v>
      </c>
      <c r="C1194" s="91">
        <v>0.32919966383144117</v>
      </c>
      <c r="D1194" s="92">
        <v>113</v>
      </c>
      <c r="G1194" s="5"/>
      <c r="H1194" s="5"/>
      <c r="L1194" s="7"/>
      <c r="M1194" s="7"/>
      <c r="O1194" s="5"/>
      <c r="P1194" s="5"/>
    </row>
    <row r="1195" spans="2:16" x14ac:dyDescent="0.25">
      <c r="B1195" s="90">
        <v>81</v>
      </c>
      <c r="C1195" s="91">
        <v>0.15425334834244742</v>
      </c>
      <c r="D1195" s="92">
        <v>114</v>
      </c>
      <c r="G1195" s="5"/>
      <c r="H1195" s="5"/>
      <c r="L1195" s="7"/>
      <c r="M1195" s="7"/>
      <c r="O1195" s="5"/>
      <c r="P1195" s="5"/>
    </row>
    <row r="1196" spans="2:16" x14ac:dyDescent="0.25">
      <c r="B1196" s="90">
        <v>698</v>
      </c>
      <c r="C1196" s="91">
        <v>0.19174025245733772</v>
      </c>
      <c r="D1196" s="92">
        <v>114</v>
      </c>
      <c r="G1196" s="5"/>
      <c r="H1196" s="5"/>
      <c r="L1196" s="7"/>
      <c r="M1196" s="7"/>
      <c r="O1196" s="5"/>
      <c r="P1196" s="5"/>
    </row>
    <row r="1197" spans="2:16" x14ac:dyDescent="0.25">
      <c r="B1197" s="90">
        <v>525</v>
      </c>
      <c r="C1197" s="91">
        <v>0.20692051653885368</v>
      </c>
      <c r="D1197" s="92">
        <v>114</v>
      </c>
      <c r="G1197" s="5"/>
      <c r="H1197" s="5"/>
      <c r="L1197" s="7"/>
      <c r="M1197" s="7"/>
      <c r="O1197" s="5"/>
      <c r="P1197" s="5"/>
    </row>
    <row r="1198" spans="2:16" x14ac:dyDescent="0.25">
      <c r="B1198" s="90">
        <v>526</v>
      </c>
      <c r="C1198" s="91">
        <v>0.21571315590625872</v>
      </c>
      <c r="D1198" s="92">
        <v>114</v>
      </c>
      <c r="G1198" s="5"/>
      <c r="H1198" s="5"/>
      <c r="L1198" s="7"/>
      <c r="M1198" s="7"/>
      <c r="O1198" s="5"/>
      <c r="P1198" s="5"/>
    </row>
    <row r="1199" spans="2:16" x14ac:dyDescent="0.25">
      <c r="B1199" s="90">
        <v>482</v>
      </c>
      <c r="C1199" s="91">
        <v>0.25874551699952308</v>
      </c>
      <c r="D1199" s="92">
        <v>114</v>
      </c>
      <c r="G1199" s="5"/>
      <c r="H1199" s="5"/>
      <c r="L1199" s="7"/>
      <c r="M1199" s="7"/>
      <c r="O1199" s="5"/>
      <c r="P1199" s="5"/>
    </row>
    <row r="1200" spans="2:16" x14ac:dyDescent="0.25">
      <c r="B1200" s="90">
        <v>211</v>
      </c>
      <c r="C1200" s="91">
        <v>5.2719750310295299E-2</v>
      </c>
      <c r="D1200" s="92">
        <v>115</v>
      </c>
      <c r="G1200" s="5"/>
      <c r="H1200" s="5"/>
      <c r="L1200" s="7"/>
      <c r="M1200" s="7"/>
      <c r="O1200" s="5"/>
      <c r="P1200" s="5"/>
    </row>
    <row r="1201" spans="2:16" x14ac:dyDescent="0.25">
      <c r="B1201" s="90">
        <v>334</v>
      </c>
      <c r="C1201" s="91">
        <v>5.4203048847107138E-2</v>
      </c>
      <c r="D1201" s="92">
        <v>115</v>
      </c>
      <c r="G1201" s="5"/>
      <c r="H1201" s="5"/>
      <c r="L1201" s="7"/>
      <c r="M1201" s="7"/>
      <c r="O1201" s="5"/>
      <c r="P1201" s="5"/>
    </row>
    <row r="1202" spans="2:16" x14ac:dyDescent="0.25">
      <c r="B1202" s="90">
        <v>680</v>
      </c>
      <c r="C1202" s="91">
        <v>5.6474053594470885E-2</v>
      </c>
      <c r="D1202" s="92">
        <v>115</v>
      </c>
      <c r="G1202" s="5"/>
      <c r="H1202" s="5"/>
      <c r="L1202" s="7"/>
      <c r="M1202" s="7"/>
      <c r="O1202" s="5"/>
      <c r="P1202" s="5"/>
    </row>
    <row r="1203" spans="2:16" x14ac:dyDescent="0.25">
      <c r="B1203" s="90">
        <v>681</v>
      </c>
      <c r="C1203" s="91">
        <v>5.7788315690365466E-2</v>
      </c>
      <c r="D1203" s="92">
        <v>115</v>
      </c>
      <c r="G1203" s="5"/>
      <c r="H1203" s="5"/>
      <c r="L1203" s="7"/>
      <c r="M1203" s="7"/>
      <c r="O1203" s="5"/>
      <c r="P1203" s="5"/>
    </row>
    <row r="1204" spans="2:16" x14ac:dyDescent="0.25">
      <c r="B1204" s="90">
        <v>335</v>
      </c>
      <c r="C1204" s="91">
        <v>5.8565581099396025E-2</v>
      </c>
      <c r="D1204" s="92">
        <v>115</v>
      </c>
      <c r="G1204" s="5"/>
      <c r="H1204" s="5"/>
      <c r="L1204" s="7"/>
      <c r="M1204" s="7"/>
      <c r="O1204" s="5"/>
      <c r="P1204" s="5"/>
    </row>
    <row r="1205" spans="2:16" x14ac:dyDescent="0.25">
      <c r="B1205" s="90">
        <v>336</v>
      </c>
      <c r="C1205" s="91">
        <v>5.9450367887279643E-2</v>
      </c>
      <c r="D1205" s="92">
        <v>115</v>
      </c>
      <c r="G1205" s="5"/>
      <c r="H1205" s="5"/>
      <c r="L1205" s="7"/>
      <c r="M1205" s="7"/>
      <c r="O1205" s="5"/>
      <c r="P1205" s="5"/>
    </row>
    <row r="1206" spans="2:16" x14ac:dyDescent="0.25">
      <c r="B1206" s="90">
        <v>679</v>
      </c>
      <c r="C1206" s="91">
        <v>6.2789019866079321E-2</v>
      </c>
      <c r="D1206" s="92">
        <v>115</v>
      </c>
      <c r="G1206" s="5"/>
      <c r="H1206" s="5"/>
      <c r="L1206" s="7"/>
      <c r="M1206" s="7"/>
      <c r="O1206" s="5"/>
      <c r="P1206" s="5"/>
    </row>
    <row r="1207" spans="2:16" x14ac:dyDescent="0.25">
      <c r="B1207" s="90">
        <v>782</v>
      </c>
      <c r="C1207" s="91">
        <v>8.7117218780431549E-2</v>
      </c>
      <c r="D1207" s="92">
        <v>115</v>
      </c>
      <c r="G1207" s="5"/>
      <c r="H1207" s="5"/>
      <c r="L1207" s="7"/>
      <c r="M1207" s="7"/>
      <c r="O1207" s="5"/>
      <c r="P1207" s="5"/>
    </row>
    <row r="1208" spans="2:16" x14ac:dyDescent="0.25">
      <c r="B1208" s="90">
        <v>330</v>
      </c>
      <c r="C1208" s="91">
        <v>8.9126600831024971E-2</v>
      </c>
      <c r="D1208" s="92">
        <v>115</v>
      </c>
      <c r="G1208" s="5"/>
      <c r="H1208" s="5"/>
      <c r="L1208" s="7"/>
      <c r="M1208" s="7"/>
      <c r="O1208" s="5"/>
      <c r="P1208" s="5"/>
    </row>
    <row r="1209" spans="2:16" x14ac:dyDescent="0.25">
      <c r="B1209" s="90">
        <v>269</v>
      </c>
      <c r="C1209" s="91">
        <v>9.2269131171089258E-2</v>
      </c>
      <c r="D1209" s="92">
        <v>115</v>
      </c>
      <c r="G1209" s="5"/>
      <c r="H1209" s="5"/>
      <c r="L1209" s="7"/>
      <c r="M1209" s="7"/>
      <c r="O1209" s="5"/>
      <c r="P1209" s="5"/>
    </row>
    <row r="1210" spans="2:16" x14ac:dyDescent="0.25">
      <c r="B1210" s="90">
        <v>675</v>
      </c>
      <c r="C1210" s="91">
        <v>9.4467862637964806E-2</v>
      </c>
      <c r="D1210" s="92">
        <v>115</v>
      </c>
      <c r="G1210" s="5"/>
      <c r="H1210" s="5"/>
      <c r="L1210" s="7"/>
      <c r="M1210" s="7"/>
      <c r="O1210" s="5"/>
      <c r="P1210" s="5"/>
    </row>
    <row r="1211" spans="2:16" x14ac:dyDescent="0.25">
      <c r="B1211" s="90">
        <v>329</v>
      </c>
      <c r="C1211" s="91">
        <v>0.13571704494250414</v>
      </c>
      <c r="D1211" s="92">
        <v>115</v>
      </c>
      <c r="G1211" s="5"/>
      <c r="H1211" s="5"/>
      <c r="L1211" s="7"/>
      <c r="M1211" s="7"/>
      <c r="O1211" s="5"/>
      <c r="P1211" s="5"/>
    </row>
    <row r="1212" spans="2:16" x14ac:dyDescent="0.25">
      <c r="B1212" s="90">
        <v>268</v>
      </c>
      <c r="C1212" s="91">
        <v>0.13872747312162426</v>
      </c>
      <c r="D1212" s="92">
        <v>115</v>
      </c>
      <c r="G1212" s="5"/>
      <c r="H1212" s="5"/>
      <c r="L1212" s="7"/>
      <c r="M1212" s="7"/>
      <c r="O1212" s="5"/>
      <c r="P1212" s="5"/>
    </row>
    <row r="1213" spans="2:16" x14ac:dyDescent="0.25">
      <c r="B1213" s="90">
        <v>924</v>
      </c>
      <c r="C1213" s="91">
        <v>0.19724652489019046</v>
      </c>
      <c r="D1213" s="92">
        <v>115</v>
      </c>
      <c r="G1213" s="5"/>
      <c r="H1213" s="5"/>
      <c r="L1213" s="7"/>
      <c r="M1213" s="7"/>
      <c r="O1213" s="5"/>
      <c r="P1213" s="5"/>
    </row>
    <row r="1214" spans="2:16" x14ac:dyDescent="0.25">
      <c r="B1214" s="90">
        <v>874</v>
      </c>
      <c r="C1214" s="91">
        <v>0.20946927787203928</v>
      </c>
      <c r="D1214" s="92">
        <v>115</v>
      </c>
      <c r="G1214" s="5"/>
      <c r="H1214" s="5"/>
      <c r="L1214" s="7"/>
      <c r="M1214" s="7"/>
      <c r="O1214" s="5"/>
      <c r="P1214" s="5"/>
    </row>
    <row r="1215" spans="2:16" x14ac:dyDescent="0.25">
      <c r="B1215" s="90">
        <v>973</v>
      </c>
      <c r="C1215" s="91">
        <v>0.23304425212222157</v>
      </c>
      <c r="D1215" s="92">
        <v>115</v>
      </c>
      <c r="G1215" s="5"/>
      <c r="H1215" s="5"/>
      <c r="L1215" s="7"/>
      <c r="M1215" s="7"/>
      <c r="O1215" s="5"/>
      <c r="P1215" s="5"/>
    </row>
    <row r="1216" spans="2:16" x14ac:dyDescent="0.25">
      <c r="B1216" s="90">
        <v>1160</v>
      </c>
      <c r="C1216" s="91">
        <v>0.25073684120098449</v>
      </c>
      <c r="D1216" s="92">
        <v>115</v>
      </c>
      <c r="G1216" s="5"/>
      <c r="H1216" s="5"/>
      <c r="L1216" s="7"/>
      <c r="M1216" s="7"/>
      <c r="O1216" s="5"/>
      <c r="P1216" s="5"/>
    </row>
    <row r="1217" spans="2:16" x14ac:dyDescent="0.25">
      <c r="B1217" s="90">
        <v>1021</v>
      </c>
      <c r="C1217" s="91">
        <v>0.2585543783881592</v>
      </c>
      <c r="D1217" s="92">
        <v>115</v>
      </c>
      <c r="G1217" s="5"/>
      <c r="H1217" s="5"/>
      <c r="L1217" s="7"/>
      <c r="M1217" s="7"/>
      <c r="O1217" s="5"/>
      <c r="P1217" s="5"/>
    </row>
    <row r="1218" spans="2:16" x14ac:dyDescent="0.25">
      <c r="B1218" s="90">
        <v>364</v>
      </c>
      <c r="C1218" s="91">
        <v>0.29576045386142535</v>
      </c>
      <c r="D1218" s="92">
        <v>115</v>
      </c>
      <c r="G1218" s="5"/>
      <c r="H1218" s="5"/>
      <c r="L1218" s="7"/>
      <c r="M1218" s="7"/>
      <c r="O1218" s="5"/>
      <c r="P1218" s="5"/>
    </row>
    <row r="1219" spans="2:16" x14ac:dyDescent="0.25">
      <c r="B1219" s="90">
        <v>1247</v>
      </c>
      <c r="C1219" s="91">
        <v>0.33772520248319404</v>
      </c>
      <c r="D1219" s="92">
        <v>115</v>
      </c>
      <c r="G1219" s="5"/>
      <c r="H1219" s="5"/>
      <c r="L1219" s="7"/>
      <c r="M1219" s="7"/>
      <c r="O1219" s="5"/>
      <c r="P1219" s="5"/>
    </row>
    <row r="1220" spans="2:16" x14ac:dyDescent="0.25">
      <c r="B1220" s="90">
        <v>1115</v>
      </c>
      <c r="C1220" s="91">
        <v>0.33818222569771583</v>
      </c>
      <c r="D1220" s="92">
        <v>115</v>
      </c>
      <c r="G1220" s="5"/>
      <c r="H1220" s="5"/>
      <c r="L1220" s="7"/>
      <c r="M1220" s="7"/>
      <c r="O1220" s="5"/>
      <c r="P1220" s="5"/>
    </row>
    <row r="1221" spans="2:16" x14ac:dyDescent="0.25">
      <c r="B1221" s="90">
        <v>770</v>
      </c>
      <c r="C1221" s="91">
        <v>0.35030144575303035</v>
      </c>
      <c r="D1221" s="92">
        <v>115</v>
      </c>
      <c r="G1221" s="5"/>
      <c r="H1221" s="5"/>
      <c r="L1221" s="7"/>
      <c r="M1221" s="7"/>
      <c r="O1221" s="5"/>
      <c r="P1221" s="5"/>
    </row>
    <row r="1222" spans="2:16" x14ac:dyDescent="0.25">
      <c r="B1222" s="90">
        <v>717</v>
      </c>
      <c r="C1222" s="91">
        <v>0.35520394457973381</v>
      </c>
      <c r="D1222" s="92">
        <v>115</v>
      </c>
      <c r="G1222" s="5"/>
      <c r="H1222" s="5"/>
      <c r="L1222" s="7"/>
      <c r="M1222" s="7"/>
      <c r="O1222" s="5"/>
      <c r="P1222" s="5"/>
    </row>
    <row r="1223" spans="2:16" x14ac:dyDescent="0.25">
      <c r="B1223" s="90">
        <v>625</v>
      </c>
      <c r="C1223" s="91">
        <v>5.5090248677091447E-2</v>
      </c>
      <c r="D1223" s="92">
        <v>116</v>
      </c>
      <c r="G1223" s="5"/>
      <c r="H1223" s="5"/>
      <c r="L1223" s="7"/>
      <c r="M1223" s="7"/>
      <c r="O1223" s="5"/>
      <c r="P1223" s="5"/>
    </row>
    <row r="1224" spans="2:16" x14ac:dyDescent="0.25">
      <c r="B1224" s="90">
        <v>626</v>
      </c>
      <c r="C1224" s="91">
        <v>5.644178533406885E-2</v>
      </c>
      <c r="D1224" s="92">
        <v>116</v>
      </c>
      <c r="G1224" s="5"/>
      <c r="H1224" s="5"/>
      <c r="L1224" s="7"/>
      <c r="M1224" s="7"/>
      <c r="O1224" s="5"/>
      <c r="P1224" s="5"/>
    </row>
    <row r="1225" spans="2:16" x14ac:dyDescent="0.25">
      <c r="B1225" s="90">
        <v>512</v>
      </c>
      <c r="C1225" s="91">
        <v>5.6960470095157922E-2</v>
      </c>
      <c r="D1225" s="92">
        <v>116</v>
      </c>
      <c r="G1225" s="5"/>
      <c r="H1225" s="5"/>
      <c r="L1225" s="7"/>
      <c r="M1225" s="7"/>
      <c r="O1225" s="5"/>
      <c r="P1225" s="5"/>
    </row>
    <row r="1226" spans="2:16" x14ac:dyDescent="0.25">
      <c r="B1226" s="90">
        <v>569</v>
      </c>
      <c r="C1226" s="91">
        <v>5.779781869770384E-2</v>
      </c>
      <c r="D1226" s="92">
        <v>116</v>
      </c>
      <c r="G1226" s="5"/>
      <c r="H1226" s="5"/>
      <c r="L1226" s="7"/>
      <c r="M1226" s="7"/>
      <c r="O1226" s="5"/>
      <c r="P1226" s="5"/>
    </row>
    <row r="1227" spans="2:16" x14ac:dyDescent="0.25">
      <c r="B1227" s="90">
        <v>513</v>
      </c>
      <c r="C1227" s="91">
        <v>5.8371791784847971E-2</v>
      </c>
      <c r="D1227" s="92">
        <v>116</v>
      </c>
      <c r="G1227" s="5"/>
      <c r="H1227" s="5"/>
      <c r="L1227" s="7"/>
      <c r="M1227" s="7"/>
      <c r="O1227" s="5"/>
      <c r="P1227" s="5"/>
    </row>
    <row r="1228" spans="2:16" x14ac:dyDescent="0.25">
      <c r="B1228" s="90">
        <v>570</v>
      </c>
      <c r="C1228" s="91">
        <v>5.9062703837447161E-2</v>
      </c>
      <c r="D1228" s="92">
        <v>116</v>
      </c>
      <c r="G1228" s="5"/>
      <c r="H1228" s="5"/>
      <c r="L1228" s="7"/>
      <c r="M1228" s="7"/>
      <c r="O1228" s="5"/>
      <c r="P1228" s="5"/>
    </row>
    <row r="1229" spans="2:16" x14ac:dyDescent="0.25">
      <c r="B1229" s="90">
        <v>454</v>
      </c>
      <c r="C1229" s="91">
        <v>6.0089865273408538E-2</v>
      </c>
      <c r="D1229" s="92">
        <v>116</v>
      </c>
      <c r="G1229" s="5"/>
      <c r="H1229" s="5"/>
      <c r="L1229" s="7"/>
      <c r="M1229" s="7"/>
      <c r="O1229" s="5"/>
      <c r="P1229" s="5"/>
    </row>
    <row r="1230" spans="2:16" x14ac:dyDescent="0.25">
      <c r="B1230" s="90">
        <v>394</v>
      </c>
      <c r="C1230" s="91">
        <v>6.0261019853408482E-2</v>
      </c>
      <c r="D1230" s="92">
        <v>116</v>
      </c>
      <c r="G1230" s="5"/>
      <c r="H1230" s="5"/>
      <c r="L1230" s="7"/>
      <c r="M1230" s="7"/>
      <c r="O1230" s="5"/>
      <c r="P1230" s="5"/>
    </row>
    <row r="1231" spans="2:16" x14ac:dyDescent="0.25">
      <c r="B1231" s="90">
        <v>395</v>
      </c>
      <c r="C1231" s="91">
        <v>6.0323461537415857E-2</v>
      </c>
      <c r="D1231" s="92">
        <v>116</v>
      </c>
      <c r="G1231" s="5"/>
      <c r="H1231" s="5"/>
      <c r="L1231" s="7"/>
      <c r="M1231" s="7"/>
      <c r="O1231" s="5"/>
      <c r="P1231" s="5"/>
    </row>
    <row r="1232" spans="2:16" x14ac:dyDescent="0.25">
      <c r="B1232" s="90">
        <v>455</v>
      </c>
      <c r="C1232" s="91">
        <v>6.1221321831161579E-2</v>
      </c>
      <c r="D1232" s="92">
        <v>116</v>
      </c>
      <c r="G1232" s="5"/>
      <c r="H1232" s="5"/>
      <c r="L1232" s="7"/>
      <c r="M1232" s="7"/>
      <c r="O1232" s="5"/>
      <c r="P1232" s="5"/>
    </row>
    <row r="1233" spans="2:16" x14ac:dyDescent="0.25">
      <c r="B1233" s="90">
        <v>396</v>
      </c>
      <c r="C1233" s="91">
        <v>6.1405908953757526E-2</v>
      </c>
      <c r="D1233" s="92">
        <v>116</v>
      </c>
      <c r="G1233" s="5"/>
      <c r="H1233" s="5"/>
      <c r="L1233" s="7"/>
      <c r="M1233" s="7"/>
      <c r="O1233" s="5"/>
      <c r="P1233" s="5"/>
    </row>
    <row r="1234" spans="2:16" x14ac:dyDescent="0.25">
      <c r="B1234" s="90">
        <v>453</v>
      </c>
      <c r="C1234" s="91">
        <v>6.2145132462271491E-2</v>
      </c>
      <c r="D1234" s="92">
        <v>116</v>
      </c>
      <c r="G1234" s="5"/>
      <c r="H1234" s="5"/>
      <c r="L1234" s="7"/>
      <c r="M1234" s="7"/>
      <c r="O1234" s="5"/>
      <c r="P1234" s="5"/>
    </row>
    <row r="1235" spans="2:16" x14ac:dyDescent="0.25">
      <c r="B1235" s="90">
        <v>568</v>
      </c>
      <c r="C1235" s="91">
        <v>6.4695543296494518E-2</v>
      </c>
      <c r="D1235" s="92">
        <v>116</v>
      </c>
      <c r="G1235" s="5"/>
      <c r="H1235" s="5"/>
      <c r="L1235" s="7"/>
      <c r="M1235" s="7"/>
      <c r="O1235" s="5"/>
      <c r="P1235" s="5"/>
    </row>
    <row r="1236" spans="2:16" x14ac:dyDescent="0.25">
      <c r="B1236" s="90">
        <v>624</v>
      </c>
      <c r="C1236" s="91">
        <v>6.9684165236161832E-2</v>
      </c>
      <c r="D1236" s="92">
        <v>116</v>
      </c>
      <c r="G1236" s="5"/>
      <c r="H1236" s="5"/>
      <c r="L1236" s="7"/>
      <c r="M1236" s="7"/>
      <c r="O1236" s="5"/>
      <c r="P1236" s="5"/>
    </row>
    <row r="1237" spans="2:16" x14ac:dyDescent="0.25">
      <c r="B1237" s="90">
        <v>511</v>
      </c>
      <c r="C1237" s="91">
        <v>7.0646518052868923E-2</v>
      </c>
      <c r="D1237" s="92">
        <v>116</v>
      </c>
      <c r="G1237" s="5"/>
      <c r="H1237" s="5"/>
      <c r="L1237" s="7"/>
      <c r="M1237" s="7"/>
      <c r="O1237" s="5"/>
      <c r="P1237" s="5"/>
    </row>
    <row r="1238" spans="2:16" x14ac:dyDescent="0.25">
      <c r="B1238" s="90">
        <v>390</v>
      </c>
      <c r="C1238" s="91">
        <v>9.0663574701502991E-2</v>
      </c>
      <c r="D1238" s="92">
        <v>116</v>
      </c>
      <c r="G1238" s="5"/>
      <c r="H1238" s="5"/>
      <c r="L1238" s="7"/>
      <c r="M1238" s="7"/>
      <c r="O1238" s="5"/>
      <c r="P1238" s="5"/>
    </row>
    <row r="1239" spans="2:16" x14ac:dyDescent="0.25">
      <c r="B1239" s="90">
        <v>449</v>
      </c>
      <c r="C1239" s="91">
        <v>9.2468293280500768E-2</v>
      </c>
      <c r="D1239" s="92">
        <v>116</v>
      </c>
      <c r="G1239" s="5"/>
      <c r="H1239" s="5"/>
      <c r="L1239" s="7"/>
      <c r="M1239" s="7"/>
      <c r="O1239" s="5"/>
      <c r="P1239" s="5"/>
    </row>
    <row r="1240" spans="2:16" x14ac:dyDescent="0.25">
      <c r="B1240" s="90">
        <v>564</v>
      </c>
      <c r="C1240" s="91">
        <v>9.8514377509279938E-2</v>
      </c>
      <c r="D1240" s="92">
        <v>116</v>
      </c>
      <c r="G1240" s="5"/>
      <c r="H1240" s="5"/>
      <c r="L1240" s="7"/>
      <c r="M1240" s="7"/>
      <c r="O1240" s="5"/>
      <c r="P1240" s="5"/>
    </row>
    <row r="1241" spans="2:16" x14ac:dyDescent="0.25">
      <c r="B1241" s="90">
        <v>620</v>
      </c>
      <c r="C1241" s="91">
        <v>0.10274787556163245</v>
      </c>
      <c r="D1241" s="92">
        <v>116</v>
      </c>
      <c r="G1241" s="5"/>
      <c r="H1241" s="5"/>
      <c r="L1241" s="7"/>
      <c r="M1241" s="7"/>
      <c r="O1241" s="5"/>
      <c r="P1241" s="5"/>
    </row>
    <row r="1242" spans="2:16" x14ac:dyDescent="0.25">
      <c r="B1242" s="90">
        <v>507</v>
      </c>
      <c r="C1242" s="91">
        <v>0.10620769433108657</v>
      </c>
      <c r="D1242" s="92">
        <v>116</v>
      </c>
      <c r="G1242" s="5"/>
      <c r="H1242" s="5"/>
      <c r="L1242" s="7"/>
      <c r="M1242" s="7"/>
      <c r="O1242" s="5"/>
      <c r="P1242" s="5"/>
    </row>
    <row r="1243" spans="2:16" x14ac:dyDescent="0.25">
      <c r="B1243" s="90">
        <v>1728</v>
      </c>
      <c r="C1243" s="91">
        <v>0.11591421349757425</v>
      </c>
      <c r="D1243" s="92">
        <v>116</v>
      </c>
      <c r="G1243" s="5"/>
      <c r="H1243" s="5"/>
      <c r="L1243" s="7"/>
      <c r="M1243" s="7"/>
      <c r="O1243" s="5"/>
      <c r="P1243" s="5"/>
    </row>
    <row r="1244" spans="2:16" x14ac:dyDescent="0.25">
      <c r="B1244" s="90">
        <v>531</v>
      </c>
      <c r="C1244" s="91">
        <v>0.15473769256443759</v>
      </c>
      <c r="D1244" s="92">
        <v>116</v>
      </c>
      <c r="G1244" s="5"/>
      <c r="H1244" s="5"/>
      <c r="L1244" s="7"/>
      <c r="M1244" s="7"/>
      <c r="O1244" s="5"/>
      <c r="P1244" s="5"/>
    </row>
    <row r="1245" spans="2:16" x14ac:dyDescent="0.25">
      <c r="B1245" s="90">
        <v>470</v>
      </c>
      <c r="C1245" s="91">
        <v>0.21531344904822081</v>
      </c>
      <c r="D1245" s="92">
        <v>116</v>
      </c>
      <c r="G1245" s="5"/>
      <c r="H1245" s="5"/>
      <c r="L1245" s="7"/>
      <c r="M1245" s="7"/>
      <c r="O1245" s="5"/>
      <c r="P1245" s="5"/>
    </row>
    <row r="1246" spans="2:16" x14ac:dyDescent="0.25">
      <c r="B1246" s="90">
        <v>84</v>
      </c>
      <c r="C1246" s="91">
        <v>5.2910451423994198E-2</v>
      </c>
      <c r="D1246" s="92">
        <v>117</v>
      </c>
      <c r="G1246" s="5"/>
      <c r="H1246" s="5"/>
      <c r="L1246" s="7"/>
      <c r="M1246" s="7"/>
      <c r="O1246" s="5"/>
      <c r="P1246" s="5"/>
    </row>
    <row r="1247" spans="2:16" x14ac:dyDescent="0.25">
      <c r="B1247" s="90">
        <v>1125</v>
      </c>
      <c r="C1247" s="91">
        <v>5.8352579550180694E-2</v>
      </c>
      <c r="D1247" s="92">
        <v>117</v>
      </c>
      <c r="G1247" s="5"/>
      <c r="H1247" s="5"/>
      <c r="L1247" s="7"/>
      <c r="M1247" s="7"/>
      <c r="O1247" s="5"/>
      <c r="P1247" s="5"/>
    </row>
    <row r="1248" spans="2:16" x14ac:dyDescent="0.25">
      <c r="B1248" s="90">
        <v>1079</v>
      </c>
      <c r="C1248" s="91">
        <v>5.9912756488175734E-2</v>
      </c>
      <c r="D1248" s="92">
        <v>117</v>
      </c>
      <c r="G1248" s="5"/>
      <c r="H1248" s="5"/>
      <c r="L1248" s="7"/>
      <c r="M1248" s="7"/>
      <c r="O1248" s="5"/>
      <c r="P1248" s="5"/>
    </row>
    <row r="1249" spans="2:16" x14ac:dyDescent="0.25">
      <c r="B1249" s="90">
        <v>984</v>
      </c>
      <c r="C1249" s="91">
        <v>6.9161541796674664E-2</v>
      </c>
      <c r="D1249" s="92">
        <v>117</v>
      </c>
      <c r="G1249" s="5"/>
      <c r="H1249" s="5"/>
      <c r="L1249" s="7"/>
      <c r="M1249" s="7"/>
      <c r="O1249" s="5"/>
      <c r="P1249" s="5"/>
    </row>
    <row r="1250" spans="2:16" x14ac:dyDescent="0.25">
      <c r="B1250" s="90">
        <v>212</v>
      </c>
      <c r="C1250" s="91">
        <v>6.9234780093885839E-2</v>
      </c>
      <c r="D1250" s="92">
        <v>117</v>
      </c>
      <c r="G1250" s="5"/>
      <c r="H1250" s="5"/>
      <c r="L1250" s="7"/>
      <c r="M1250" s="7"/>
      <c r="O1250" s="5"/>
      <c r="P1250" s="5"/>
    </row>
    <row r="1251" spans="2:16" x14ac:dyDescent="0.25">
      <c r="B1251" s="90">
        <v>213</v>
      </c>
      <c r="C1251" s="91">
        <v>7.0829539891520188E-2</v>
      </c>
      <c r="D1251" s="92">
        <v>117</v>
      </c>
      <c r="G1251" s="5"/>
      <c r="H1251" s="5"/>
      <c r="L1251" s="7"/>
      <c r="M1251" s="7"/>
      <c r="O1251" s="5"/>
      <c r="P1251" s="5"/>
    </row>
    <row r="1252" spans="2:16" x14ac:dyDescent="0.25">
      <c r="B1252" s="90">
        <v>1078</v>
      </c>
      <c r="C1252" s="91">
        <v>7.7745498675839575E-2</v>
      </c>
      <c r="D1252" s="92">
        <v>117</v>
      </c>
      <c r="G1252" s="5"/>
      <c r="H1252" s="5"/>
      <c r="L1252" s="7"/>
      <c r="M1252" s="7"/>
      <c r="O1252" s="5"/>
      <c r="P1252" s="5"/>
    </row>
    <row r="1253" spans="2:16" x14ac:dyDescent="0.25">
      <c r="B1253" s="90">
        <v>85</v>
      </c>
      <c r="C1253" s="91">
        <v>7.8805692844864716E-2</v>
      </c>
      <c r="D1253" s="92">
        <v>117</v>
      </c>
      <c r="G1253" s="5"/>
      <c r="H1253" s="5"/>
      <c r="L1253" s="7"/>
      <c r="M1253" s="7"/>
      <c r="O1253" s="5"/>
      <c r="P1253" s="5"/>
    </row>
    <row r="1254" spans="2:16" x14ac:dyDescent="0.25">
      <c r="B1254" s="90">
        <v>1124</v>
      </c>
      <c r="C1254" s="91">
        <v>8.2907667664047779E-2</v>
      </c>
      <c r="D1254" s="92">
        <v>117</v>
      </c>
      <c r="G1254" s="5"/>
      <c r="H1254" s="5"/>
      <c r="L1254" s="7"/>
      <c r="M1254" s="7"/>
      <c r="O1254" s="5"/>
      <c r="P1254" s="5"/>
    </row>
    <row r="1255" spans="2:16" x14ac:dyDescent="0.25">
      <c r="B1255" s="90">
        <v>207</v>
      </c>
      <c r="C1255" s="91">
        <v>8.6364797248026703E-2</v>
      </c>
      <c r="D1255" s="92">
        <v>117</v>
      </c>
      <c r="G1255" s="5"/>
      <c r="H1255" s="5"/>
      <c r="L1255" s="7"/>
      <c r="M1255" s="7"/>
      <c r="O1255" s="5"/>
      <c r="P1255" s="5"/>
    </row>
    <row r="1256" spans="2:16" x14ac:dyDescent="0.25">
      <c r="B1256" s="90">
        <v>1031</v>
      </c>
      <c r="C1256" s="91">
        <v>0.10201022869712373</v>
      </c>
      <c r="D1256" s="92">
        <v>117</v>
      </c>
      <c r="G1256" s="5"/>
      <c r="H1256" s="5"/>
      <c r="L1256" s="7"/>
      <c r="M1256" s="7"/>
      <c r="O1256" s="5"/>
      <c r="P1256" s="5"/>
    </row>
    <row r="1257" spans="2:16" x14ac:dyDescent="0.25">
      <c r="B1257" s="90">
        <v>983</v>
      </c>
      <c r="C1257" s="91">
        <v>0.12283199926263733</v>
      </c>
      <c r="D1257" s="92">
        <v>117</v>
      </c>
      <c r="G1257" s="5"/>
      <c r="H1257" s="5"/>
      <c r="L1257" s="7"/>
      <c r="M1257" s="7"/>
      <c r="O1257" s="5"/>
      <c r="P1257" s="5"/>
    </row>
    <row r="1258" spans="2:16" x14ac:dyDescent="0.25">
      <c r="B1258" s="90">
        <v>833</v>
      </c>
      <c r="C1258" s="91">
        <v>0.12952045868913298</v>
      </c>
      <c r="D1258" s="92">
        <v>117</v>
      </c>
      <c r="G1258" s="5"/>
      <c r="H1258" s="5"/>
      <c r="L1258" s="7"/>
      <c r="M1258" s="7"/>
      <c r="O1258" s="5"/>
      <c r="P1258" s="5"/>
    </row>
    <row r="1259" spans="2:16" x14ac:dyDescent="0.25">
      <c r="B1259" s="90">
        <v>781</v>
      </c>
      <c r="C1259" s="91">
        <v>0.13485406510171294</v>
      </c>
      <c r="D1259" s="92">
        <v>117</v>
      </c>
      <c r="G1259" s="5"/>
      <c r="H1259" s="5"/>
      <c r="L1259" s="7"/>
      <c r="M1259" s="7"/>
      <c r="O1259" s="5"/>
      <c r="P1259" s="5"/>
    </row>
    <row r="1260" spans="2:16" x14ac:dyDescent="0.25">
      <c r="B1260" s="90">
        <v>884</v>
      </c>
      <c r="C1260" s="91">
        <v>0.13586918641900014</v>
      </c>
      <c r="D1260" s="92">
        <v>117</v>
      </c>
      <c r="G1260" s="5"/>
      <c r="H1260" s="5"/>
      <c r="L1260" s="7"/>
      <c r="M1260" s="7"/>
      <c r="O1260" s="5"/>
      <c r="P1260" s="5"/>
    </row>
    <row r="1261" spans="2:16" x14ac:dyDescent="0.25">
      <c r="B1261" s="90">
        <v>728</v>
      </c>
      <c r="C1261" s="91">
        <v>0.13701557257791508</v>
      </c>
      <c r="D1261" s="92">
        <v>117</v>
      </c>
      <c r="G1261" s="5"/>
      <c r="H1261" s="5"/>
      <c r="L1261" s="7"/>
      <c r="M1261" s="7"/>
      <c r="O1261" s="5"/>
      <c r="P1261" s="5"/>
    </row>
    <row r="1262" spans="2:16" x14ac:dyDescent="0.25">
      <c r="B1262" s="90">
        <v>1052</v>
      </c>
      <c r="C1262" s="91">
        <v>0.23413976742610576</v>
      </c>
      <c r="D1262" s="92">
        <v>117</v>
      </c>
      <c r="G1262" s="5"/>
      <c r="H1262" s="5"/>
      <c r="L1262" s="7"/>
      <c r="M1262" s="7"/>
      <c r="O1262" s="5"/>
      <c r="P1262" s="5"/>
    </row>
    <row r="1263" spans="2:16" x14ac:dyDescent="0.25">
      <c r="B1263" s="90">
        <v>241</v>
      </c>
      <c r="C1263" s="91">
        <v>0.26769307694352429</v>
      </c>
      <c r="D1263" s="92">
        <v>117</v>
      </c>
      <c r="G1263" s="5"/>
      <c r="H1263" s="5"/>
      <c r="L1263" s="7"/>
      <c r="M1263" s="7"/>
      <c r="O1263" s="5"/>
      <c r="P1263" s="5"/>
    </row>
    <row r="1264" spans="2:16" x14ac:dyDescent="0.25">
      <c r="B1264" s="90">
        <v>303</v>
      </c>
      <c r="C1264" s="91">
        <v>0.29842832162193811</v>
      </c>
      <c r="D1264" s="92">
        <v>117</v>
      </c>
      <c r="G1264" s="5"/>
      <c r="H1264" s="5"/>
      <c r="L1264" s="7"/>
      <c r="M1264" s="7"/>
      <c r="O1264" s="5"/>
      <c r="P1264" s="5"/>
    </row>
    <row r="1265" spans="2:16" x14ac:dyDescent="0.25">
      <c r="B1265" s="90">
        <v>920</v>
      </c>
      <c r="C1265" s="91">
        <v>0.33174947879983385</v>
      </c>
      <c r="D1265" s="92">
        <v>117</v>
      </c>
      <c r="G1265" s="5"/>
      <c r="H1265" s="5"/>
      <c r="L1265" s="7"/>
      <c r="M1265" s="7"/>
      <c r="O1265" s="5"/>
      <c r="P1265" s="5"/>
    </row>
    <row r="1266" spans="2:16" x14ac:dyDescent="0.25">
      <c r="B1266" s="90">
        <v>1210</v>
      </c>
      <c r="C1266" s="91">
        <v>5.5112737047904314E-2</v>
      </c>
      <c r="D1266" s="92">
        <v>118</v>
      </c>
      <c r="G1266" s="5"/>
      <c r="H1266" s="5"/>
      <c r="L1266" s="7"/>
      <c r="M1266" s="7"/>
      <c r="O1266" s="5"/>
      <c r="P1266" s="5"/>
    </row>
    <row r="1267" spans="2:16" x14ac:dyDescent="0.25">
      <c r="B1267" s="90">
        <v>148</v>
      </c>
      <c r="C1267" s="91">
        <v>5.7244083325147077E-2</v>
      </c>
      <c r="D1267" s="92">
        <v>118</v>
      </c>
      <c r="G1267" s="5"/>
      <c r="H1267" s="5"/>
      <c r="L1267" s="7"/>
      <c r="M1267" s="7"/>
      <c r="O1267" s="5"/>
      <c r="P1267" s="5"/>
    </row>
    <row r="1268" spans="2:16" x14ac:dyDescent="0.25">
      <c r="B1268" s="90">
        <v>144</v>
      </c>
      <c r="C1268" s="91">
        <v>7.9342918192781164E-2</v>
      </c>
      <c r="D1268" s="92">
        <v>118</v>
      </c>
      <c r="G1268" s="5"/>
      <c r="H1268" s="5"/>
      <c r="L1268" s="7"/>
      <c r="M1268" s="7"/>
      <c r="O1268" s="5"/>
      <c r="P1268" s="5"/>
    </row>
    <row r="1269" spans="2:16" x14ac:dyDescent="0.25">
      <c r="B1269" s="90">
        <v>86</v>
      </c>
      <c r="C1269" s="91">
        <v>8.0531226400931466E-2</v>
      </c>
      <c r="D1269" s="92">
        <v>118</v>
      </c>
      <c r="G1269" s="5"/>
      <c r="H1269" s="5"/>
      <c r="L1269" s="7"/>
      <c r="M1269" s="7"/>
      <c r="O1269" s="5"/>
      <c r="P1269" s="5"/>
    </row>
    <row r="1270" spans="2:16" x14ac:dyDescent="0.25">
      <c r="B1270" s="90">
        <v>149</v>
      </c>
      <c r="C1270" s="91">
        <v>8.3049487833407487E-2</v>
      </c>
      <c r="D1270" s="92">
        <v>118</v>
      </c>
      <c r="G1270" s="5"/>
      <c r="H1270" s="5"/>
      <c r="L1270" s="7"/>
      <c r="M1270" s="7"/>
      <c r="O1270" s="5"/>
      <c r="P1270" s="5"/>
    </row>
    <row r="1271" spans="2:16" x14ac:dyDescent="0.25">
      <c r="B1271" s="90">
        <v>150</v>
      </c>
      <c r="C1271" s="91">
        <v>8.4710702414573791E-2</v>
      </c>
      <c r="D1271" s="92">
        <v>118</v>
      </c>
      <c r="G1271" s="5"/>
      <c r="H1271" s="5"/>
      <c r="L1271" s="7"/>
      <c r="M1271" s="7"/>
      <c r="O1271" s="5"/>
      <c r="P1271" s="5"/>
    </row>
    <row r="1272" spans="2:16" x14ac:dyDescent="0.25">
      <c r="B1272" s="90">
        <v>80</v>
      </c>
      <c r="C1272" s="91">
        <v>9.3782544689243075E-2</v>
      </c>
      <c r="D1272" s="92">
        <v>118</v>
      </c>
      <c r="G1272" s="5"/>
      <c r="H1272" s="5"/>
      <c r="L1272" s="7"/>
      <c r="M1272" s="7"/>
      <c r="O1272" s="5"/>
      <c r="P1272" s="5"/>
    </row>
    <row r="1273" spans="2:16" x14ac:dyDescent="0.25">
      <c r="B1273" s="90">
        <v>961</v>
      </c>
      <c r="C1273" s="91">
        <v>0.19626734046465755</v>
      </c>
      <c r="D1273" s="92">
        <v>118</v>
      </c>
      <c r="G1273" s="5"/>
      <c r="H1273" s="5"/>
      <c r="L1273" s="7"/>
      <c r="M1273" s="7"/>
      <c r="O1273" s="5"/>
      <c r="P1273" s="5"/>
    </row>
    <row r="1274" spans="2:16" x14ac:dyDescent="0.25">
      <c r="B1274" s="90">
        <v>697</v>
      </c>
      <c r="C1274" s="91">
        <v>0.2104385905109547</v>
      </c>
      <c r="D1274" s="92">
        <v>118</v>
      </c>
      <c r="G1274" s="5"/>
      <c r="H1274" s="5"/>
      <c r="L1274" s="7"/>
      <c r="M1274" s="7"/>
      <c r="O1274" s="5"/>
      <c r="P1274" s="5"/>
    </row>
    <row r="1275" spans="2:16" x14ac:dyDescent="0.25">
      <c r="B1275" s="90">
        <v>750</v>
      </c>
      <c r="C1275" s="91">
        <v>0.231341803905315</v>
      </c>
      <c r="D1275" s="92">
        <v>118</v>
      </c>
      <c r="G1275" s="5"/>
      <c r="H1275" s="5"/>
      <c r="L1275" s="7"/>
      <c r="M1275" s="7"/>
      <c r="O1275" s="5"/>
      <c r="P1275" s="5"/>
    </row>
    <row r="1276" spans="2:16" x14ac:dyDescent="0.25">
      <c r="B1276" s="90">
        <v>803</v>
      </c>
      <c r="C1276" s="91">
        <v>0.23155845128950803</v>
      </c>
      <c r="D1276" s="92">
        <v>118</v>
      </c>
      <c r="G1276" s="5"/>
      <c r="H1276" s="5"/>
      <c r="L1276" s="7"/>
      <c r="M1276" s="7"/>
      <c r="O1276" s="5"/>
      <c r="P1276" s="5"/>
    </row>
    <row r="1277" spans="2:16" x14ac:dyDescent="0.25">
      <c r="B1277" s="90">
        <v>855</v>
      </c>
      <c r="C1277" s="91">
        <v>0.23317097405040521</v>
      </c>
      <c r="D1277" s="92">
        <v>118</v>
      </c>
      <c r="G1277" s="5"/>
      <c r="H1277" s="5"/>
      <c r="L1277" s="7"/>
      <c r="M1277" s="7"/>
      <c r="O1277" s="5"/>
      <c r="P1277" s="5"/>
    </row>
    <row r="1278" spans="2:16" x14ac:dyDescent="0.25">
      <c r="B1278" s="90">
        <v>33</v>
      </c>
      <c r="C1278" s="91">
        <v>0.23686205821841888</v>
      </c>
      <c r="D1278" s="92">
        <v>118</v>
      </c>
      <c r="G1278" s="5"/>
      <c r="H1278" s="5"/>
      <c r="L1278" s="7"/>
      <c r="M1278" s="7"/>
      <c r="O1278" s="5"/>
      <c r="P1278" s="5"/>
    </row>
    <row r="1279" spans="2:16" x14ac:dyDescent="0.25">
      <c r="B1279" s="90">
        <v>1618</v>
      </c>
      <c r="C1279" s="91">
        <v>0.23686205821841888</v>
      </c>
      <c r="D1279" s="92">
        <v>118</v>
      </c>
      <c r="G1279" s="5"/>
      <c r="H1279" s="5"/>
      <c r="L1279" s="7"/>
      <c r="M1279" s="7"/>
      <c r="O1279" s="5"/>
      <c r="P1279" s="5"/>
    </row>
    <row r="1280" spans="2:16" x14ac:dyDescent="0.25">
      <c r="B1280" s="90">
        <v>34</v>
      </c>
      <c r="C1280" s="91">
        <v>0.24109769191220709</v>
      </c>
      <c r="D1280" s="92">
        <v>118</v>
      </c>
      <c r="G1280" s="5"/>
      <c r="H1280" s="5"/>
      <c r="L1280" s="7"/>
      <c r="M1280" s="7"/>
      <c r="O1280" s="5"/>
      <c r="P1280" s="5"/>
    </row>
    <row r="1281" spans="2:16" x14ac:dyDescent="0.25">
      <c r="B1281" s="90">
        <v>1585</v>
      </c>
      <c r="C1281" s="91">
        <v>0.24109769191220709</v>
      </c>
      <c r="D1281" s="92">
        <v>118</v>
      </c>
      <c r="G1281" s="5"/>
      <c r="H1281" s="5"/>
      <c r="L1281" s="7"/>
      <c r="M1281" s="7"/>
      <c r="O1281" s="5"/>
      <c r="P1281" s="5"/>
    </row>
    <row r="1282" spans="2:16" x14ac:dyDescent="0.25">
      <c r="B1282" s="90">
        <v>359</v>
      </c>
      <c r="C1282" s="91">
        <v>0.28421062252822382</v>
      </c>
      <c r="D1282" s="92">
        <v>118</v>
      </c>
      <c r="G1282" s="5"/>
      <c r="H1282" s="5"/>
      <c r="L1282" s="7"/>
      <c r="M1282" s="7"/>
      <c r="O1282" s="5"/>
      <c r="P1282" s="5"/>
    </row>
    <row r="1283" spans="2:16" x14ac:dyDescent="0.25">
      <c r="B1283" s="90">
        <v>424</v>
      </c>
      <c r="C1283" s="91">
        <v>0.30085579531528972</v>
      </c>
      <c r="D1283" s="92">
        <v>118</v>
      </c>
      <c r="G1283" s="5"/>
      <c r="H1283" s="5"/>
      <c r="L1283" s="7"/>
      <c r="M1283" s="7"/>
      <c r="O1283" s="5"/>
      <c r="P1283" s="5"/>
    </row>
    <row r="1284" spans="2:16" x14ac:dyDescent="0.25">
      <c r="B1284" s="90">
        <v>598</v>
      </c>
      <c r="C1284" s="91">
        <v>0.32702147739297205</v>
      </c>
      <c r="D1284" s="92">
        <v>118</v>
      </c>
      <c r="G1284" s="5"/>
      <c r="H1284" s="5"/>
      <c r="L1284" s="7"/>
      <c r="M1284" s="7"/>
      <c r="O1284" s="5"/>
      <c r="P1284" s="5"/>
    </row>
    <row r="1285" spans="2:16" x14ac:dyDescent="0.25">
      <c r="B1285" s="90">
        <v>210</v>
      </c>
      <c r="C1285" s="91">
        <v>5.7810152794682823E-2</v>
      </c>
      <c r="D1285" s="92">
        <v>119</v>
      </c>
      <c r="G1285" s="5"/>
      <c r="H1285" s="5"/>
      <c r="L1285" s="7"/>
      <c r="M1285" s="7"/>
      <c r="O1285" s="5"/>
      <c r="P1285" s="5"/>
    </row>
    <row r="1286" spans="2:16" x14ac:dyDescent="0.25">
      <c r="B1286" s="90">
        <v>333</v>
      </c>
      <c r="C1286" s="91">
        <v>5.8835089712660049E-2</v>
      </c>
      <c r="D1286" s="92">
        <v>119</v>
      </c>
      <c r="G1286" s="5"/>
      <c r="H1286" s="5"/>
      <c r="L1286" s="7"/>
      <c r="M1286" s="7"/>
      <c r="O1286" s="5"/>
      <c r="P1286" s="5"/>
    </row>
    <row r="1287" spans="2:16" x14ac:dyDescent="0.25">
      <c r="B1287" s="90">
        <v>1032</v>
      </c>
      <c r="C1287" s="91">
        <v>6.3050311327041308E-2</v>
      </c>
      <c r="D1287" s="92">
        <v>119</v>
      </c>
      <c r="G1287" s="5"/>
      <c r="H1287" s="5"/>
      <c r="L1287" s="7"/>
      <c r="M1287" s="7"/>
      <c r="O1287" s="5"/>
      <c r="P1287" s="5"/>
    </row>
    <row r="1288" spans="2:16" x14ac:dyDescent="0.25">
      <c r="B1288" s="90">
        <v>678</v>
      </c>
      <c r="C1288" s="91">
        <v>7.3527086348653681E-2</v>
      </c>
      <c r="D1288" s="92">
        <v>119</v>
      </c>
      <c r="G1288" s="5"/>
      <c r="H1288" s="5"/>
      <c r="L1288" s="7"/>
      <c r="M1288" s="7"/>
      <c r="O1288" s="5"/>
      <c r="P1288" s="5"/>
    </row>
    <row r="1289" spans="2:16" x14ac:dyDescent="0.25">
      <c r="B1289" s="90">
        <v>674</v>
      </c>
      <c r="C1289" s="91">
        <v>0.1409670246699456</v>
      </c>
      <c r="D1289" s="92">
        <v>119</v>
      </c>
      <c r="G1289" s="5"/>
      <c r="H1289" s="5"/>
      <c r="L1289" s="7"/>
      <c r="M1289" s="7"/>
      <c r="O1289" s="5"/>
      <c r="P1289" s="5"/>
    </row>
    <row r="1290" spans="2:16" x14ac:dyDescent="0.25">
      <c r="B1290" s="90">
        <v>960</v>
      </c>
      <c r="C1290" s="91">
        <v>0.16596785377896273</v>
      </c>
      <c r="D1290" s="92">
        <v>119</v>
      </c>
      <c r="G1290" s="5"/>
      <c r="H1290" s="5"/>
      <c r="L1290" s="7"/>
      <c r="M1290" s="7"/>
      <c r="O1290" s="5"/>
      <c r="P1290" s="5"/>
    </row>
    <row r="1291" spans="2:16" x14ac:dyDescent="0.25">
      <c r="B1291" s="90">
        <v>257</v>
      </c>
      <c r="C1291" s="91">
        <v>0.4031145537806563</v>
      </c>
      <c r="D1291" s="92">
        <v>119</v>
      </c>
      <c r="G1291" s="5"/>
      <c r="H1291" s="5"/>
      <c r="L1291" s="7"/>
      <c r="M1291" s="7"/>
      <c r="O1291" s="5"/>
      <c r="P1291" s="5"/>
    </row>
    <row r="1292" spans="2:16" x14ac:dyDescent="0.25">
      <c r="B1292" s="90">
        <v>393</v>
      </c>
      <c r="C1292" s="91">
        <v>6.4669951477063004E-2</v>
      </c>
      <c r="D1292" s="92">
        <v>120</v>
      </c>
      <c r="G1292" s="5"/>
      <c r="H1292" s="5"/>
      <c r="L1292" s="7"/>
      <c r="M1292" s="7"/>
      <c r="O1292" s="5"/>
      <c r="P1292" s="5"/>
    </row>
    <row r="1293" spans="2:16" x14ac:dyDescent="0.25">
      <c r="B1293" s="90">
        <v>452</v>
      </c>
      <c r="C1293" s="91">
        <v>6.6505840229061808E-2</v>
      </c>
      <c r="D1293" s="92">
        <v>120</v>
      </c>
      <c r="G1293" s="5"/>
      <c r="H1293" s="5"/>
      <c r="L1293" s="7"/>
      <c r="M1293" s="7"/>
      <c r="O1293" s="5"/>
      <c r="P1293" s="5"/>
    </row>
    <row r="1294" spans="2:16" x14ac:dyDescent="0.25">
      <c r="B1294" s="90">
        <v>567</v>
      </c>
      <c r="C1294" s="91">
        <v>7.5599933701762545E-2</v>
      </c>
      <c r="D1294" s="92">
        <v>120</v>
      </c>
      <c r="G1294" s="5"/>
      <c r="H1294" s="5"/>
      <c r="L1294" s="7"/>
      <c r="M1294" s="7"/>
      <c r="O1294" s="5"/>
      <c r="P1294" s="5"/>
    </row>
    <row r="1295" spans="2:16" x14ac:dyDescent="0.25">
      <c r="B1295" s="90">
        <v>623</v>
      </c>
      <c r="C1295" s="91">
        <v>8.0489838263518299E-2</v>
      </c>
      <c r="D1295" s="92">
        <v>120</v>
      </c>
      <c r="G1295" s="5"/>
      <c r="H1295" s="5"/>
      <c r="L1295" s="7"/>
      <c r="M1295" s="7"/>
      <c r="O1295" s="5"/>
      <c r="P1295" s="5"/>
    </row>
    <row r="1296" spans="2:16" x14ac:dyDescent="0.25">
      <c r="B1296" s="90">
        <v>510</v>
      </c>
      <c r="C1296" s="91">
        <v>8.171916928091727E-2</v>
      </c>
      <c r="D1296" s="92">
        <v>120</v>
      </c>
      <c r="G1296" s="5"/>
      <c r="H1296" s="5"/>
      <c r="L1296" s="7"/>
      <c r="M1296" s="7"/>
      <c r="O1296" s="5"/>
      <c r="P1296" s="5"/>
    </row>
    <row r="1297" spans="2:16" x14ac:dyDescent="0.25">
      <c r="B1297" s="90">
        <v>1824</v>
      </c>
      <c r="C1297" s="91">
        <v>9.7989504633162472E-2</v>
      </c>
      <c r="D1297" s="92">
        <v>120</v>
      </c>
      <c r="G1297" s="5"/>
      <c r="H1297" s="5"/>
      <c r="L1297" s="7"/>
      <c r="M1297" s="7"/>
      <c r="O1297" s="5"/>
      <c r="P1297" s="5"/>
    </row>
    <row r="1298" spans="2:16" x14ac:dyDescent="0.25">
      <c r="B1298" s="90">
        <v>1798</v>
      </c>
      <c r="C1298" s="91">
        <v>0.11746116699233289</v>
      </c>
      <c r="D1298" s="92">
        <v>120</v>
      </c>
      <c r="G1298" s="5"/>
      <c r="H1298" s="5"/>
      <c r="L1298" s="7"/>
      <c r="M1298" s="7"/>
      <c r="O1298" s="5"/>
      <c r="P1298" s="5"/>
    </row>
    <row r="1299" spans="2:16" x14ac:dyDescent="0.25">
      <c r="B1299" s="90">
        <v>389</v>
      </c>
      <c r="C1299" s="91">
        <v>0.13754980958108898</v>
      </c>
      <c r="D1299" s="92">
        <v>120</v>
      </c>
      <c r="G1299" s="5"/>
      <c r="H1299" s="5"/>
      <c r="L1299" s="7"/>
      <c r="M1299" s="7"/>
      <c r="O1299" s="5"/>
      <c r="P1299" s="5"/>
    </row>
    <row r="1300" spans="2:16" x14ac:dyDescent="0.25">
      <c r="B1300" s="90">
        <v>448</v>
      </c>
      <c r="C1300" s="91">
        <v>0.13941250760259949</v>
      </c>
      <c r="D1300" s="92">
        <v>120</v>
      </c>
      <c r="G1300" s="5"/>
      <c r="H1300" s="5"/>
      <c r="L1300" s="7"/>
      <c r="M1300" s="7"/>
      <c r="O1300" s="5"/>
      <c r="P1300" s="5"/>
    </row>
    <row r="1301" spans="2:16" x14ac:dyDescent="0.25">
      <c r="B1301" s="90">
        <v>563</v>
      </c>
      <c r="C1301" s="91">
        <v>0.14490880817800955</v>
      </c>
      <c r="D1301" s="92">
        <v>120</v>
      </c>
      <c r="G1301" s="5"/>
      <c r="H1301" s="5"/>
      <c r="L1301" s="7"/>
      <c r="M1301" s="7"/>
      <c r="O1301" s="5"/>
      <c r="P1301" s="5"/>
    </row>
    <row r="1302" spans="2:16" x14ac:dyDescent="0.25">
      <c r="B1302" s="90">
        <v>1008</v>
      </c>
      <c r="C1302" s="91">
        <v>0.17160171729822693</v>
      </c>
      <c r="D1302" s="92">
        <v>120</v>
      </c>
      <c r="G1302" s="5"/>
      <c r="H1302" s="5"/>
      <c r="L1302" s="7"/>
      <c r="M1302" s="7"/>
      <c r="O1302" s="5"/>
      <c r="P1302" s="5"/>
    </row>
    <row r="1303" spans="2:16" x14ac:dyDescent="0.25">
      <c r="B1303" s="90">
        <v>1188</v>
      </c>
      <c r="C1303" s="91">
        <v>0.20965050896697157</v>
      </c>
      <c r="D1303" s="92">
        <v>120</v>
      </c>
      <c r="G1303" s="5"/>
      <c r="H1303" s="5"/>
      <c r="L1303" s="7"/>
      <c r="M1303" s="7"/>
      <c r="O1303" s="5"/>
      <c r="P1303" s="5"/>
    </row>
    <row r="1304" spans="2:16" x14ac:dyDescent="0.25">
      <c r="B1304" s="90">
        <v>907</v>
      </c>
      <c r="C1304" s="91">
        <v>0.22372791173791762</v>
      </c>
      <c r="D1304" s="92">
        <v>120</v>
      </c>
      <c r="G1304" s="5"/>
      <c r="H1304" s="5"/>
      <c r="L1304" s="7"/>
      <c r="M1304" s="7"/>
      <c r="O1304" s="5"/>
      <c r="P1304" s="5"/>
    </row>
    <row r="1305" spans="2:16" x14ac:dyDescent="0.25">
      <c r="B1305" s="90">
        <v>696</v>
      </c>
      <c r="C1305" s="91">
        <v>0.23007985618791926</v>
      </c>
      <c r="D1305" s="92">
        <v>120</v>
      </c>
      <c r="G1305" s="5"/>
      <c r="H1305" s="5"/>
      <c r="L1305" s="7"/>
      <c r="M1305" s="7"/>
      <c r="O1305" s="5"/>
      <c r="P1305" s="5"/>
    </row>
    <row r="1306" spans="2:16" x14ac:dyDescent="0.25">
      <c r="B1306" s="90">
        <v>906</v>
      </c>
      <c r="C1306" s="91">
        <v>0.24280622869306656</v>
      </c>
      <c r="D1306" s="92">
        <v>120</v>
      </c>
      <c r="G1306" s="5"/>
      <c r="H1306" s="5"/>
      <c r="L1306" s="7"/>
      <c r="M1306" s="7"/>
      <c r="O1306" s="5"/>
      <c r="P1306" s="5"/>
    </row>
    <row r="1307" spans="2:16" x14ac:dyDescent="0.25">
      <c r="B1307" s="90">
        <v>32</v>
      </c>
      <c r="C1307" s="91">
        <v>0.24310392605049547</v>
      </c>
      <c r="D1307" s="92">
        <v>120</v>
      </c>
      <c r="G1307" s="5"/>
      <c r="H1307" s="5"/>
      <c r="L1307" s="7"/>
      <c r="M1307" s="7"/>
      <c r="O1307" s="5"/>
      <c r="P1307" s="5"/>
    </row>
    <row r="1308" spans="2:16" x14ac:dyDescent="0.25">
      <c r="B1308" s="90">
        <v>1650</v>
      </c>
      <c r="C1308" s="91">
        <v>0.24310392605049547</v>
      </c>
      <c r="D1308" s="92">
        <v>120</v>
      </c>
      <c r="G1308" s="5"/>
      <c r="H1308" s="5"/>
      <c r="L1308" s="7"/>
      <c r="M1308" s="7"/>
      <c r="O1308" s="5"/>
      <c r="P1308" s="5"/>
    </row>
    <row r="1309" spans="2:16" x14ac:dyDescent="0.25">
      <c r="B1309" s="90">
        <v>1053</v>
      </c>
      <c r="C1309" s="91">
        <v>0.24312363354924915</v>
      </c>
      <c r="D1309" s="92">
        <v>120</v>
      </c>
      <c r="G1309" s="5"/>
      <c r="H1309" s="5"/>
      <c r="L1309" s="7"/>
      <c r="M1309" s="7"/>
      <c r="O1309" s="5"/>
      <c r="P1309" s="5"/>
    </row>
    <row r="1310" spans="2:16" x14ac:dyDescent="0.25">
      <c r="B1310" s="90">
        <v>1322</v>
      </c>
      <c r="C1310" s="91">
        <v>0.24866306468366683</v>
      </c>
      <c r="D1310" s="92">
        <v>120</v>
      </c>
      <c r="G1310" s="5"/>
      <c r="H1310" s="5"/>
      <c r="L1310" s="7"/>
      <c r="M1310" s="7"/>
      <c r="O1310" s="5"/>
      <c r="P1310" s="5"/>
    </row>
    <row r="1311" spans="2:16" x14ac:dyDescent="0.25">
      <c r="B1311" s="90">
        <v>1005</v>
      </c>
      <c r="C1311" s="91">
        <v>0.25232664836851693</v>
      </c>
      <c r="D1311" s="92">
        <v>120</v>
      </c>
      <c r="G1311" s="5"/>
      <c r="H1311" s="5"/>
      <c r="L1311" s="7"/>
      <c r="M1311" s="7"/>
      <c r="O1311" s="5"/>
      <c r="P1311" s="5"/>
    </row>
    <row r="1312" spans="2:16" x14ac:dyDescent="0.25">
      <c r="B1312" s="90">
        <v>1320</v>
      </c>
      <c r="C1312" s="91">
        <v>0.25769123020465456</v>
      </c>
      <c r="D1312" s="92">
        <v>120</v>
      </c>
      <c r="G1312" s="5"/>
      <c r="H1312" s="5"/>
      <c r="L1312" s="7"/>
      <c r="M1312" s="7"/>
      <c r="O1312" s="5"/>
      <c r="P1312" s="5"/>
    </row>
    <row r="1313" spans="2:16" x14ac:dyDescent="0.25">
      <c r="B1313" s="90">
        <v>83</v>
      </c>
      <c r="C1313" s="91">
        <v>5.764152025479663E-2</v>
      </c>
      <c r="D1313" s="92">
        <v>121</v>
      </c>
      <c r="G1313" s="5"/>
      <c r="H1313" s="5"/>
      <c r="L1313" s="7"/>
      <c r="M1313" s="7"/>
      <c r="O1313" s="5"/>
      <c r="P1313" s="5"/>
    </row>
    <row r="1314" spans="2:16" x14ac:dyDescent="0.25">
      <c r="B1314" s="90">
        <v>1714</v>
      </c>
      <c r="C1314" s="91">
        <v>0.10479220895041852</v>
      </c>
      <c r="D1314" s="92">
        <v>121</v>
      </c>
      <c r="G1314" s="5"/>
      <c r="H1314" s="5"/>
      <c r="L1314" s="7"/>
      <c r="M1314" s="7"/>
      <c r="O1314" s="5"/>
      <c r="P1314" s="5"/>
    </row>
    <row r="1315" spans="2:16" x14ac:dyDescent="0.25">
      <c r="B1315" s="90">
        <v>586</v>
      </c>
      <c r="C1315" s="91">
        <v>0.21059176757543252</v>
      </c>
      <c r="D1315" s="92">
        <v>121</v>
      </c>
      <c r="G1315" s="5"/>
      <c r="H1315" s="5"/>
      <c r="L1315" s="7"/>
      <c r="M1315" s="7"/>
      <c r="O1315" s="5"/>
      <c r="P1315" s="5"/>
    </row>
    <row r="1316" spans="2:16" x14ac:dyDescent="0.25">
      <c r="B1316" s="90">
        <v>642</v>
      </c>
      <c r="C1316" s="91">
        <v>0.21820012653246346</v>
      </c>
      <c r="D1316" s="92">
        <v>121</v>
      </c>
      <c r="G1316" s="5"/>
      <c r="H1316" s="5"/>
      <c r="L1316" s="7"/>
      <c r="M1316" s="7"/>
      <c r="O1316" s="5"/>
      <c r="P1316" s="5"/>
    </row>
    <row r="1317" spans="2:16" x14ac:dyDescent="0.25">
      <c r="B1317" s="90">
        <v>147</v>
      </c>
      <c r="C1317" s="91">
        <v>5.3107948871178534E-2</v>
      </c>
      <c r="D1317" s="92">
        <v>122</v>
      </c>
      <c r="G1317" s="5"/>
      <c r="H1317" s="5"/>
      <c r="L1317" s="7"/>
      <c r="M1317" s="7"/>
      <c r="O1317" s="5"/>
      <c r="P1317" s="5"/>
    </row>
    <row r="1318" spans="2:16" x14ac:dyDescent="0.25">
      <c r="B1318" s="90">
        <v>1153</v>
      </c>
      <c r="C1318" s="91">
        <v>7.9450083981768005E-2</v>
      </c>
      <c r="D1318" s="92">
        <v>122</v>
      </c>
      <c r="G1318" s="5"/>
      <c r="H1318" s="5"/>
      <c r="L1318" s="7"/>
      <c r="M1318" s="7"/>
      <c r="O1318" s="5"/>
      <c r="P1318" s="5"/>
    </row>
    <row r="1319" spans="2:16" x14ac:dyDescent="0.25">
      <c r="B1319" s="90">
        <v>756</v>
      </c>
      <c r="C1319" s="91">
        <v>0.17600346398016409</v>
      </c>
      <c r="D1319" s="92">
        <v>122</v>
      </c>
      <c r="G1319" s="5"/>
      <c r="H1319" s="5"/>
      <c r="L1319" s="7"/>
      <c r="M1319" s="7"/>
      <c r="O1319" s="5"/>
      <c r="P1319" s="5"/>
    </row>
    <row r="1320" spans="2:16" x14ac:dyDescent="0.25">
      <c r="B1320" s="90">
        <v>861</v>
      </c>
      <c r="C1320" s="91">
        <v>0.18074047913132274</v>
      </c>
      <c r="D1320" s="92">
        <v>122</v>
      </c>
      <c r="G1320" s="5"/>
      <c r="H1320" s="5"/>
      <c r="L1320" s="7"/>
      <c r="M1320" s="7"/>
      <c r="O1320" s="5"/>
      <c r="P1320" s="5"/>
    </row>
    <row r="1321" spans="2:16" x14ac:dyDescent="0.25">
      <c r="B1321" s="90">
        <v>648</v>
      </c>
      <c r="C1321" s="91">
        <v>0.18810244352857575</v>
      </c>
      <c r="D1321" s="92">
        <v>122</v>
      </c>
      <c r="G1321" s="5"/>
      <c r="H1321" s="5"/>
      <c r="L1321" s="7"/>
      <c r="M1321" s="7"/>
      <c r="O1321" s="5"/>
      <c r="P1321" s="5"/>
    </row>
    <row r="1322" spans="2:16" x14ac:dyDescent="0.25">
      <c r="B1322" s="90">
        <v>1006</v>
      </c>
      <c r="C1322" s="91">
        <v>0.23089025723672874</v>
      </c>
      <c r="D1322" s="92">
        <v>122</v>
      </c>
      <c r="G1322" s="5"/>
      <c r="H1322" s="5"/>
      <c r="L1322" s="7"/>
      <c r="M1322" s="7"/>
      <c r="O1322" s="5"/>
      <c r="P1322" s="5"/>
    </row>
    <row r="1323" spans="2:16" x14ac:dyDescent="0.25">
      <c r="B1323" s="90">
        <v>957</v>
      </c>
      <c r="C1323" s="91">
        <v>0.23363667832373403</v>
      </c>
      <c r="D1323" s="92">
        <v>122</v>
      </c>
      <c r="G1323" s="5"/>
      <c r="H1323" s="5"/>
      <c r="L1323" s="7"/>
      <c r="M1323" s="7"/>
      <c r="O1323" s="5"/>
      <c r="P1323" s="5"/>
    </row>
    <row r="1324" spans="2:16" x14ac:dyDescent="0.25">
      <c r="B1324" s="90">
        <v>1321</v>
      </c>
      <c r="C1324" s="91">
        <v>0.24856896853885557</v>
      </c>
      <c r="D1324" s="92">
        <v>122</v>
      </c>
      <c r="G1324" s="5"/>
      <c r="H1324" s="5"/>
      <c r="L1324" s="7"/>
      <c r="M1324" s="7"/>
      <c r="O1324" s="5"/>
      <c r="P1324" s="5"/>
    </row>
    <row r="1325" spans="2:16" x14ac:dyDescent="0.25">
      <c r="B1325" s="90">
        <v>1649</v>
      </c>
      <c r="C1325" s="91">
        <v>0.2509296764138863</v>
      </c>
      <c r="D1325" s="92">
        <v>122</v>
      </c>
      <c r="G1325" s="5"/>
      <c r="H1325" s="5"/>
      <c r="L1325" s="7"/>
      <c r="M1325" s="7"/>
      <c r="O1325" s="5"/>
      <c r="P1325" s="5"/>
    </row>
    <row r="1326" spans="2:16" x14ac:dyDescent="0.25">
      <c r="B1326" s="90">
        <v>956</v>
      </c>
      <c r="C1326" s="91">
        <v>0.25114207728266602</v>
      </c>
      <c r="D1326" s="92">
        <v>122</v>
      </c>
      <c r="G1326" s="5"/>
      <c r="H1326" s="5"/>
      <c r="L1326" s="7"/>
      <c r="M1326" s="7"/>
      <c r="O1326" s="5"/>
      <c r="P1326" s="5"/>
    </row>
    <row r="1327" spans="2:16" x14ac:dyDescent="0.25">
      <c r="B1327" s="90">
        <v>1361</v>
      </c>
      <c r="C1327" s="91">
        <v>0.26538778726123857</v>
      </c>
      <c r="D1327" s="92">
        <v>122</v>
      </c>
      <c r="G1327" s="5"/>
      <c r="H1327" s="5"/>
      <c r="L1327" s="7"/>
      <c r="M1327" s="7"/>
      <c r="O1327" s="5"/>
      <c r="P1327" s="5"/>
    </row>
    <row r="1328" spans="2:16" x14ac:dyDescent="0.25">
      <c r="B1328" s="90">
        <v>1948</v>
      </c>
      <c r="C1328" s="91">
        <v>2.5738760618267853E-2</v>
      </c>
      <c r="D1328" s="92">
        <v>123</v>
      </c>
      <c r="G1328" s="5"/>
      <c r="H1328" s="5"/>
      <c r="L1328" s="7"/>
      <c r="M1328" s="7"/>
      <c r="O1328" s="5"/>
      <c r="P1328" s="5"/>
    </row>
    <row r="1329" spans="2:16" x14ac:dyDescent="0.25">
      <c r="B1329" s="90">
        <v>1866</v>
      </c>
      <c r="C1329" s="91">
        <v>3.9934413770727262E-2</v>
      </c>
      <c r="D1329" s="92">
        <v>123</v>
      </c>
      <c r="G1329" s="5"/>
      <c r="H1329" s="5"/>
      <c r="L1329" s="7"/>
      <c r="M1329" s="7"/>
      <c r="O1329" s="5"/>
      <c r="P1329" s="5"/>
    </row>
    <row r="1330" spans="2:16" x14ac:dyDescent="0.25">
      <c r="B1330" s="90">
        <v>1848</v>
      </c>
      <c r="C1330" s="91">
        <v>0.12462507184882798</v>
      </c>
      <c r="D1330" s="92">
        <v>123</v>
      </c>
      <c r="G1330" s="5"/>
      <c r="H1330" s="5"/>
      <c r="L1330" s="7"/>
      <c r="M1330" s="7"/>
      <c r="O1330" s="5"/>
      <c r="P1330" s="5"/>
    </row>
    <row r="1331" spans="2:16" x14ac:dyDescent="0.25">
      <c r="B1331" s="90">
        <v>1872</v>
      </c>
      <c r="C1331" s="91">
        <v>0.13974971088946608</v>
      </c>
      <c r="D1331" s="92">
        <v>123</v>
      </c>
      <c r="G1331" s="5"/>
      <c r="H1331" s="5"/>
      <c r="L1331" s="7"/>
      <c r="M1331" s="7"/>
      <c r="O1331" s="5"/>
      <c r="P1331" s="5"/>
    </row>
    <row r="1332" spans="2:16" x14ac:dyDescent="0.25">
      <c r="B1332" s="90">
        <v>644</v>
      </c>
      <c r="C1332" s="91">
        <v>0.15788326258143259</v>
      </c>
      <c r="D1332" s="92">
        <v>123</v>
      </c>
      <c r="G1332" s="5"/>
      <c r="H1332" s="5"/>
      <c r="L1332" s="7"/>
      <c r="M1332" s="7"/>
      <c r="O1332" s="5"/>
      <c r="P1332" s="5"/>
    </row>
    <row r="1333" spans="2:16" x14ac:dyDescent="0.25">
      <c r="B1333" s="90">
        <v>529</v>
      </c>
      <c r="C1333" s="91">
        <v>0.21944271779575042</v>
      </c>
      <c r="D1333" s="92">
        <v>123</v>
      </c>
      <c r="G1333" s="5"/>
      <c r="H1333" s="5"/>
      <c r="L1333" s="7"/>
      <c r="M1333" s="7"/>
      <c r="O1333" s="5"/>
      <c r="P1333" s="5"/>
    </row>
    <row r="1334" spans="2:16" x14ac:dyDescent="0.25">
      <c r="B1334" s="90">
        <v>173</v>
      </c>
      <c r="C1334" s="91">
        <v>0.23212968062277217</v>
      </c>
      <c r="D1334" s="92">
        <v>123</v>
      </c>
      <c r="G1334" s="5"/>
      <c r="H1334" s="5"/>
      <c r="L1334" s="7"/>
      <c r="M1334" s="7"/>
      <c r="O1334" s="5"/>
      <c r="P1334" s="5"/>
    </row>
    <row r="1335" spans="2:16" x14ac:dyDescent="0.25">
      <c r="B1335" s="90">
        <v>641</v>
      </c>
      <c r="C1335" s="91">
        <v>0.23765187249199138</v>
      </c>
      <c r="D1335" s="92">
        <v>123</v>
      </c>
      <c r="G1335" s="5"/>
      <c r="H1335" s="5"/>
      <c r="L1335" s="7"/>
      <c r="M1335" s="7"/>
      <c r="O1335" s="5"/>
      <c r="P1335" s="5"/>
    </row>
    <row r="1336" spans="2:16" x14ac:dyDescent="0.25">
      <c r="B1336" s="90">
        <v>109</v>
      </c>
      <c r="C1336" s="91">
        <v>0.24428869116876151</v>
      </c>
      <c r="D1336" s="92">
        <v>123</v>
      </c>
      <c r="G1336" s="5"/>
      <c r="H1336" s="5"/>
      <c r="L1336" s="7"/>
      <c r="M1336" s="7"/>
      <c r="O1336" s="5"/>
      <c r="P1336" s="5"/>
    </row>
    <row r="1337" spans="2:16" x14ac:dyDescent="0.25">
      <c r="B1337" s="90">
        <v>1468</v>
      </c>
      <c r="C1337" s="91">
        <v>3.5249143212266243E-2</v>
      </c>
      <c r="D1337" s="92">
        <v>124</v>
      </c>
      <c r="G1337" s="5"/>
      <c r="H1337" s="5"/>
      <c r="L1337" s="7"/>
      <c r="M1337" s="7"/>
      <c r="O1337" s="5"/>
      <c r="P1337" s="5"/>
    </row>
    <row r="1338" spans="2:16" x14ac:dyDescent="0.25">
      <c r="B1338" s="90">
        <v>1350</v>
      </c>
      <c r="C1338" s="91">
        <v>4.901071045462646E-2</v>
      </c>
      <c r="D1338" s="92">
        <v>124</v>
      </c>
      <c r="G1338" s="5"/>
      <c r="H1338" s="5"/>
      <c r="L1338" s="7"/>
      <c r="M1338" s="7"/>
      <c r="O1338" s="5"/>
      <c r="P1338" s="5"/>
    </row>
    <row r="1339" spans="2:16" x14ac:dyDescent="0.25">
      <c r="B1339" s="90">
        <v>940</v>
      </c>
      <c r="C1339" s="91">
        <v>5.1402187867785609E-2</v>
      </c>
      <c r="D1339" s="92">
        <v>124</v>
      </c>
      <c r="G1339" s="5"/>
      <c r="H1339" s="5"/>
      <c r="L1339" s="7"/>
      <c r="M1339" s="7"/>
      <c r="O1339" s="5"/>
      <c r="P1339" s="5"/>
    </row>
    <row r="1340" spans="2:16" x14ac:dyDescent="0.25">
      <c r="B1340" s="90">
        <v>941</v>
      </c>
      <c r="C1340" s="91">
        <v>5.324790776590671E-2</v>
      </c>
      <c r="D1340" s="92">
        <v>124</v>
      </c>
      <c r="G1340" s="5"/>
      <c r="H1340" s="5"/>
      <c r="L1340" s="7"/>
      <c r="M1340" s="7"/>
      <c r="O1340" s="5"/>
      <c r="P1340" s="5"/>
    </row>
    <row r="1341" spans="2:16" x14ac:dyDescent="0.25">
      <c r="B1341" s="90">
        <v>939</v>
      </c>
      <c r="C1341" s="91">
        <v>7.6162684114088886E-2</v>
      </c>
      <c r="D1341" s="92">
        <v>124</v>
      </c>
      <c r="G1341" s="5"/>
      <c r="H1341" s="5"/>
      <c r="L1341" s="7"/>
      <c r="M1341" s="7"/>
      <c r="O1341" s="5"/>
      <c r="P1341" s="5"/>
    </row>
    <row r="1342" spans="2:16" x14ac:dyDescent="0.25">
      <c r="B1342" s="90">
        <v>695</v>
      </c>
      <c r="C1342" s="91">
        <v>0.23382954421353475</v>
      </c>
      <c r="D1342" s="92">
        <v>124</v>
      </c>
      <c r="G1342" s="5"/>
      <c r="H1342" s="5"/>
      <c r="L1342" s="7"/>
      <c r="M1342" s="7"/>
      <c r="O1342" s="5"/>
      <c r="P1342" s="5"/>
    </row>
    <row r="1343" spans="2:16" x14ac:dyDescent="0.25">
      <c r="B1343" s="90">
        <v>802</v>
      </c>
      <c r="C1343" s="91">
        <v>0.23407446649118702</v>
      </c>
      <c r="D1343" s="92">
        <v>124</v>
      </c>
      <c r="G1343" s="5"/>
      <c r="H1343" s="5"/>
      <c r="L1343" s="7"/>
      <c r="M1343" s="7"/>
      <c r="O1343" s="5"/>
      <c r="P1343" s="5"/>
    </row>
    <row r="1344" spans="2:16" x14ac:dyDescent="0.25">
      <c r="B1344" s="90">
        <v>749</v>
      </c>
      <c r="C1344" s="91">
        <v>0.23426072739616943</v>
      </c>
      <c r="D1344" s="92">
        <v>124</v>
      </c>
      <c r="G1344" s="5"/>
      <c r="H1344" s="5"/>
      <c r="L1344" s="7"/>
      <c r="M1344" s="7"/>
      <c r="O1344" s="5"/>
      <c r="P1344" s="5"/>
    </row>
    <row r="1345" spans="2:16" x14ac:dyDescent="0.25">
      <c r="B1345" s="90">
        <v>854</v>
      </c>
      <c r="C1345" s="91">
        <v>0.23439335082151969</v>
      </c>
      <c r="D1345" s="92">
        <v>124</v>
      </c>
      <c r="G1345" s="5"/>
      <c r="H1345" s="5"/>
      <c r="L1345" s="7"/>
      <c r="M1345" s="7"/>
      <c r="O1345" s="5"/>
      <c r="P1345" s="5"/>
    </row>
    <row r="1346" spans="2:16" x14ac:dyDescent="0.25">
      <c r="B1346" s="90">
        <v>35</v>
      </c>
      <c r="C1346" s="91">
        <v>0.2361724879586492</v>
      </c>
      <c r="D1346" s="92">
        <v>124</v>
      </c>
      <c r="G1346" s="5"/>
      <c r="H1346" s="5"/>
      <c r="L1346" s="7"/>
      <c r="M1346" s="7"/>
      <c r="O1346" s="5"/>
      <c r="P1346" s="5"/>
    </row>
    <row r="1347" spans="2:16" x14ac:dyDescent="0.25">
      <c r="B1347" s="90">
        <v>1551</v>
      </c>
      <c r="C1347" s="91">
        <v>0.2361724879586492</v>
      </c>
      <c r="D1347" s="92">
        <v>124</v>
      </c>
      <c r="G1347" s="5"/>
      <c r="H1347" s="5"/>
      <c r="L1347" s="7"/>
      <c r="M1347" s="7"/>
      <c r="O1347" s="5"/>
      <c r="P1347" s="5"/>
    </row>
    <row r="1348" spans="2:16" x14ac:dyDescent="0.25">
      <c r="B1348" s="90">
        <v>905</v>
      </c>
      <c r="C1348" s="91">
        <v>0.24281004186725763</v>
      </c>
      <c r="D1348" s="92">
        <v>124</v>
      </c>
      <c r="G1348" s="5"/>
      <c r="H1348" s="5"/>
      <c r="L1348" s="7"/>
      <c r="M1348" s="7"/>
      <c r="O1348" s="5"/>
      <c r="P1348" s="5"/>
    </row>
    <row r="1349" spans="2:16" x14ac:dyDescent="0.25">
      <c r="B1349" s="90">
        <v>1362</v>
      </c>
      <c r="C1349" s="91">
        <v>0.26265705944503193</v>
      </c>
      <c r="D1349" s="92">
        <v>124</v>
      </c>
      <c r="G1349" s="5"/>
      <c r="H1349" s="5"/>
      <c r="L1349" s="7"/>
      <c r="M1349" s="7"/>
      <c r="O1349" s="5"/>
      <c r="P1349" s="5"/>
    </row>
    <row r="1350" spans="2:16" x14ac:dyDescent="0.25">
      <c r="B1350" s="90">
        <v>663</v>
      </c>
      <c r="C1350" s="91">
        <v>0.36373108693774292</v>
      </c>
      <c r="D1350" s="92">
        <v>124</v>
      </c>
      <c r="G1350" s="5"/>
      <c r="H1350" s="5"/>
      <c r="L1350" s="7"/>
      <c r="M1350" s="7"/>
      <c r="O1350" s="5"/>
      <c r="P1350" s="5"/>
    </row>
    <row r="1351" spans="2:16" x14ac:dyDescent="0.25">
      <c r="B1351" s="90">
        <v>585</v>
      </c>
      <c r="C1351" s="91">
        <v>0.23040986773011185</v>
      </c>
      <c r="D1351" s="92">
        <v>125</v>
      </c>
      <c r="G1351" s="5"/>
      <c r="H1351" s="5"/>
      <c r="L1351" s="7"/>
      <c r="M1351" s="7"/>
      <c r="O1351" s="5"/>
      <c r="P1351" s="5"/>
    </row>
    <row r="1352" spans="2:16" x14ac:dyDescent="0.25">
      <c r="B1352" s="90">
        <v>44</v>
      </c>
      <c r="C1352" s="91">
        <v>0.23972250125330852</v>
      </c>
      <c r="D1352" s="92">
        <v>125</v>
      </c>
      <c r="G1352" s="5"/>
      <c r="H1352" s="5"/>
      <c r="L1352" s="7"/>
      <c r="M1352" s="7"/>
      <c r="O1352" s="5"/>
      <c r="P1352" s="5"/>
    </row>
    <row r="1353" spans="2:16" x14ac:dyDescent="0.25">
      <c r="B1353" s="90">
        <v>1200</v>
      </c>
      <c r="C1353" s="91">
        <v>0.23972250125330852</v>
      </c>
      <c r="D1353" s="92">
        <v>125</v>
      </c>
      <c r="G1353" s="5"/>
      <c r="H1353" s="5"/>
      <c r="L1353" s="7"/>
      <c r="M1353" s="7"/>
      <c r="O1353" s="5"/>
      <c r="P1353" s="5"/>
    </row>
    <row r="1354" spans="2:16" x14ac:dyDescent="0.25">
      <c r="B1354" s="90">
        <v>528</v>
      </c>
      <c r="C1354" s="91">
        <v>0.23974714832150779</v>
      </c>
      <c r="D1354" s="92">
        <v>125</v>
      </c>
      <c r="G1354" s="5"/>
      <c r="H1354" s="5"/>
      <c r="L1354" s="7"/>
      <c r="M1354" s="7"/>
      <c r="O1354" s="5"/>
      <c r="P1354" s="5"/>
    </row>
    <row r="1355" spans="2:16" x14ac:dyDescent="0.25">
      <c r="B1355" s="90">
        <v>236</v>
      </c>
      <c r="C1355" s="91">
        <v>0.27277442424029497</v>
      </c>
      <c r="D1355" s="92">
        <v>125</v>
      </c>
      <c r="G1355" s="5"/>
      <c r="H1355" s="5"/>
      <c r="L1355" s="7"/>
      <c r="M1355" s="7"/>
      <c r="O1355" s="5"/>
      <c r="P1355" s="5"/>
    </row>
    <row r="1356" spans="2:16" x14ac:dyDescent="0.25">
      <c r="B1356" s="90">
        <v>483</v>
      </c>
      <c r="C1356" s="91">
        <v>0.30403157563106886</v>
      </c>
      <c r="D1356" s="92">
        <v>125</v>
      </c>
      <c r="G1356" s="5"/>
      <c r="H1356" s="5"/>
      <c r="L1356" s="7"/>
      <c r="M1356" s="7"/>
      <c r="O1356" s="5"/>
      <c r="P1356" s="5"/>
    </row>
    <row r="1357" spans="2:16" x14ac:dyDescent="0.25">
      <c r="B1357" s="90">
        <v>552</v>
      </c>
      <c r="C1357" s="91">
        <v>0.37358886775610622</v>
      </c>
      <c r="D1357" s="92">
        <v>125</v>
      </c>
      <c r="G1357" s="5"/>
      <c r="H1357" s="5"/>
      <c r="L1357" s="7"/>
      <c r="M1357" s="7"/>
      <c r="O1357" s="5"/>
      <c r="P1357" s="5"/>
    </row>
    <row r="1358" spans="2:16" x14ac:dyDescent="0.25">
      <c r="B1358" s="90">
        <v>608</v>
      </c>
      <c r="C1358" s="91">
        <v>0.37415341567222604</v>
      </c>
      <c r="D1358" s="92">
        <v>125</v>
      </c>
      <c r="G1358" s="5"/>
      <c r="H1358" s="5"/>
      <c r="L1358" s="7"/>
      <c r="M1358" s="7"/>
      <c r="O1358" s="5"/>
      <c r="P1358" s="5"/>
    </row>
    <row r="1359" spans="2:16" x14ac:dyDescent="0.25">
      <c r="B1359" s="90">
        <v>495</v>
      </c>
      <c r="C1359" s="91">
        <v>0.3854184934042667</v>
      </c>
      <c r="D1359" s="92">
        <v>125</v>
      </c>
      <c r="G1359" s="5"/>
      <c r="H1359" s="5"/>
      <c r="L1359" s="7"/>
      <c r="M1359" s="7"/>
      <c r="O1359" s="5"/>
      <c r="P1359" s="5"/>
    </row>
    <row r="1360" spans="2:16" x14ac:dyDescent="0.25">
      <c r="B1360" s="90">
        <v>1484</v>
      </c>
      <c r="C1360" s="91">
        <v>8.7435467717812854E-2</v>
      </c>
      <c r="D1360" s="92">
        <v>126</v>
      </c>
      <c r="G1360" s="5"/>
      <c r="H1360" s="5"/>
      <c r="L1360" s="7"/>
      <c r="M1360" s="7"/>
      <c r="O1360" s="5"/>
      <c r="P1360" s="5"/>
    </row>
    <row r="1361" spans="2:16" x14ac:dyDescent="0.25">
      <c r="B1361" s="90">
        <v>587</v>
      </c>
      <c r="C1361" s="91">
        <v>0.19154115000196792</v>
      </c>
      <c r="D1361" s="92">
        <v>126</v>
      </c>
      <c r="G1361" s="5"/>
      <c r="H1361" s="5"/>
      <c r="L1361" s="7"/>
      <c r="M1361" s="7"/>
      <c r="O1361" s="5"/>
      <c r="P1361" s="5"/>
    </row>
    <row r="1362" spans="2:16" x14ac:dyDescent="0.25">
      <c r="B1362" s="90">
        <v>1204</v>
      </c>
      <c r="C1362" s="91">
        <v>0.20297973741474618</v>
      </c>
      <c r="D1362" s="92">
        <v>126</v>
      </c>
      <c r="G1362" s="5"/>
      <c r="H1362" s="5"/>
      <c r="L1362" s="7"/>
      <c r="M1362" s="7"/>
      <c r="O1362" s="5"/>
      <c r="P1362" s="5"/>
    </row>
    <row r="1363" spans="2:16" x14ac:dyDescent="0.25">
      <c r="B1363" s="90">
        <v>1282</v>
      </c>
      <c r="C1363" s="91">
        <v>0.20612448355820356</v>
      </c>
      <c r="D1363" s="92">
        <v>126</v>
      </c>
      <c r="G1363" s="5"/>
      <c r="H1363" s="5"/>
      <c r="L1363" s="7"/>
      <c r="M1363" s="7"/>
      <c r="O1363" s="5"/>
      <c r="P1363" s="5"/>
    </row>
    <row r="1364" spans="2:16" x14ac:dyDescent="0.25">
      <c r="B1364" s="90">
        <v>718</v>
      </c>
      <c r="C1364" s="91">
        <v>0.21197671665551909</v>
      </c>
      <c r="D1364" s="92">
        <v>126</v>
      </c>
      <c r="G1364" s="5"/>
      <c r="H1364" s="5"/>
      <c r="L1364" s="7"/>
      <c r="M1364" s="7"/>
      <c r="O1364" s="5"/>
      <c r="P1364" s="5"/>
    </row>
    <row r="1365" spans="2:16" x14ac:dyDescent="0.25">
      <c r="B1365" s="90">
        <v>771</v>
      </c>
      <c r="C1365" s="91">
        <v>0.21481961957057139</v>
      </c>
      <c r="D1365" s="92">
        <v>126</v>
      </c>
      <c r="G1365" s="5"/>
      <c r="H1365" s="5"/>
      <c r="L1365" s="7"/>
      <c r="M1365" s="7"/>
      <c r="O1365" s="5"/>
      <c r="P1365" s="5"/>
    </row>
    <row r="1366" spans="2:16" x14ac:dyDescent="0.25">
      <c r="B1366" s="90">
        <v>823</v>
      </c>
      <c r="C1366" s="91">
        <v>0.22036973194285503</v>
      </c>
      <c r="D1366" s="92">
        <v>126</v>
      </c>
      <c r="G1366" s="5"/>
      <c r="H1366" s="5"/>
      <c r="L1366" s="7"/>
      <c r="M1366" s="7"/>
      <c r="O1366" s="5"/>
      <c r="P1366" s="5"/>
    </row>
    <row r="1367" spans="2:16" x14ac:dyDescent="0.25">
      <c r="B1367" s="90">
        <v>1323</v>
      </c>
      <c r="C1367" s="91">
        <v>0.23292110819649769</v>
      </c>
      <c r="D1367" s="92">
        <v>126</v>
      </c>
      <c r="G1367" s="5"/>
      <c r="H1367" s="5"/>
      <c r="L1367" s="7"/>
      <c r="M1367" s="7"/>
      <c r="O1367" s="5"/>
      <c r="P1367" s="5"/>
    </row>
    <row r="1368" spans="2:16" x14ac:dyDescent="0.25">
      <c r="B1368" s="90">
        <v>925</v>
      </c>
      <c r="C1368" s="91">
        <v>0.25069691643711889</v>
      </c>
      <c r="D1368" s="92">
        <v>126</v>
      </c>
      <c r="G1368" s="5"/>
      <c r="H1368" s="5"/>
      <c r="L1368" s="7"/>
      <c r="M1368" s="7"/>
      <c r="O1368" s="5"/>
      <c r="P1368" s="5"/>
    </row>
    <row r="1369" spans="2:16" x14ac:dyDescent="0.25">
      <c r="B1369" s="90">
        <v>875</v>
      </c>
      <c r="C1369" s="91">
        <v>0.26365959285339491</v>
      </c>
      <c r="D1369" s="92">
        <v>126</v>
      </c>
      <c r="G1369" s="5"/>
      <c r="H1369" s="5"/>
      <c r="L1369" s="7"/>
      <c r="M1369" s="7"/>
      <c r="O1369" s="5"/>
      <c r="P1369" s="5"/>
    </row>
    <row r="1370" spans="2:16" x14ac:dyDescent="0.25">
      <c r="B1370" s="90">
        <v>974</v>
      </c>
      <c r="C1370" s="91">
        <v>0.29854154511141884</v>
      </c>
      <c r="D1370" s="92">
        <v>126</v>
      </c>
      <c r="G1370" s="5"/>
      <c r="H1370" s="5"/>
      <c r="L1370" s="7"/>
      <c r="M1370" s="7"/>
      <c r="O1370" s="5"/>
      <c r="P1370" s="5"/>
    </row>
    <row r="1371" spans="2:16" x14ac:dyDescent="0.25">
      <c r="B1371" s="90">
        <v>1022</v>
      </c>
      <c r="C1371" s="91">
        <v>0.33256310463985406</v>
      </c>
      <c r="D1371" s="92">
        <v>126</v>
      </c>
      <c r="G1371" s="5"/>
      <c r="H1371" s="5"/>
      <c r="L1371" s="7"/>
      <c r="M1371" s="7"/>
      <c r="O1371" s="5"/>
      <c r="P1371" s="5"/>
    </row>
    <row r="1372" spans="2:16" x14ac:dyDescent="0.25">
      <c r="B1372" s="90">
        <v>1069</v>
      </c>
      <c r="C1372" s="91">
        <v>0.34298286963984248</v>
      </c>
      <c r="D1372" s="92">
        <v>126</v>
      </c>
      <c r="G1372" s="5"/>
      <c r="H1372" s="5"/>
      <c r="L1372" s="7"/>
      <c r="M1372" s="7"/>
      <c r="O1372" s="5"/>
      <c r="P1372" s="5"/>
    </row>
    <row r="1373" spans="2:16" x14ac:dyDescent="0.25">
      <c r="B1373" s="90">
        <v>318</v>
      </c>
      <c r="C1373" s="91">
        <v>0.39834744471099315</v>
      </c>
      <c r="D1373" s="92">
        <v>126</v>
      </c>
      <c r="G1373" s="5"/>
      <c r="H1373" s="5"/>
      <c r="L1373" s="7"/>
      <c r="M1373" s="7"/>
      <c r="O1373" s="5"/>
      <c r="P1373" s="5"/>
    </row>
    <row r="1374" spans="2:16" x14ac:dyDescent="0.25">
      <c r="B1374" s="90">
        <v>1466</v>
      </c>
      <c r="C1374" s="91">
        <v>4.4249417791994761E-2</v>
      </c>
      <c r="D1374" s="92">
        <v>127</v>
      </c>
      <c r="G1374" s="5"/>
      <c r="H1374" s="5"/>
      <c r="L1374" s="7"/>
      <c r="M1374" s="7"/>
      <c r="O1374" s="5"/>
      <c r="P1374" s="5"/>
    </row>
    <row r="1375" spans="2:16" x14ac:dyDescent="0.25">
      <c r="B1375" s="90">
        <v>1060</v>
      </c>
      <c r="C1375" s="91">
        <v>0.15986330018592654</v>
      </c>
      <c r="D1375" s="92">
        <v>127</v>
      </c>
      <c r="G1375" s="5"/>
      <c r="H1375" s="5"/>
      <c r="L1375" s="7"/>
      <c r="M1375" s="7"/>
      <c r="O1375" s="5"/>
      <c r="P1375" s="5"/>
    </row>
    <row r="1376" spans="2:16" x14ac:dyDescent="0.25">
      <c r="B1376" s="90">
        <v>469</v>
      </c>
      <c r="C1376" s="91">
        <v>0.2216255570974246</v>
      </c>
      <c r="D1376" s="92">
        <v>127</v>
      </c>
      <c r="G1376" s="5"/>
      <c r="H1376" s="5"/>
      <c r="L1376" s="7"/>
      <c r="M1376" s="7"/>
      <c r="O1376" s="5"/>
      <c r="P1376" s="5"/>
    </row>
    <row r="1377" spans="2:16" x14ac:dyDescent="0.25">
      <c r="B1377" s="90">
        <v>640</v>
      </c>
      <c r="C1377" s="91">
        <v>0.24134647286674438</v>
      </c>
      <c r="D1377" s="92">
        <v>127</v>
      </c>
      <c r="G1377" s="5"/>
      <c r="H1377" s="5"/>
      <c r="L1377" s="7"/>
      <c r="M1377" s="7"/>
      <c r="O1377" s="5"/>
      <c r="P1377" s="5"/>
    </row>
    <row r="1378" spans="2:16" x14ac:dyDescent="0.25">
      <c r="B1378" s="90">
        <v>437</v>
      </c>
      <c r="C1378" s="91">
        <v>0.3847750097978504</v>
      </c>
      <c r="D1378" s="92">
        <v>127</v>
      </c>
      <c r="G1378" s="5"/>
      <c r="H1378" s="5"/>
      <c r="L1378" s="7"/>
      <c r="M1378" s="7"/>
      <c r="O1378" s="5"/>
      <c r="P1378" s="5"/>
    </row>
    <row r="1379" spans="2:16" x14ac:dyDescent="0.25">
      <c r="B1379" s="90">
        <v>378</v>
      </c>
      <c r="C1379" s="91">
        <v>0.38581390132303139</v>
      </c>
      <c r="D1379" s="92">
        <v>127</v>
      </c>
      <c r="G1379" s="5"/>
      <c r="H1379" s="5"/>
      <c r="L1379" s="7"/>
      <c r="M1379" s="7"/>
      <c r="O1379" s="5"/>
      <c r="P1379" s="5"/>
    </row>
    <row r="1380" spans="2:16" x14ac:dyDescent="0.25">
      <c r="B1380" s="90">
        <v>1351</v>
      </c>
      <c r="C1380" s="91">
        <v>3.322947680794841E-2</v>
      </c>
      <c r="D1380" s="92">
        <v>128</v>
      </c>
      <c r="G1380" s="5"/>
      <c r="H1380" s="5"/>
      <c r="L1380" s="7"/>
      <c r="M1380" s="7"/>
      <c r="O1380" s="5"/>
      <c r="P1380" s="5"/>
    </row>
    <row r="1381" spans="2:16" x14ac:dyDescent="0.25">
      <c r="B1381" s="90">
        <v>1520</v>
      </c>
      <c r="C1381" s="91">
        <v>5.671527231693041E-2</v>
      </c>
      <c r="D1381" s="92">
        <v>128</v>
      </c>
      <c r="G1381" s="5"/>
      <c r="H1381" s="5"/>
      <c r="L1381" s="7"/>
      <c r="M1381" s="7"/>
      <c r="O1381" s="5"/>
      <c r="P1381" s="5"/>
    </row>
    <row r="1382" spans="2:16" x14ac:dyDescent="0.25">
      <c r="B1382" s="90">
        <v>1223</v>
      </c>
      <c r="C1382" s="91">
        <v>6.4272007558984212E-2</v>
      </c>
      <c r="D1382" s="92">
        <v>128</v>
      </c>
      <c r="G1382" s="5"/>
      <c r="H1382" s="5"/>
      <c r="L1382" s="7"/>
      <c r="M1382" s="7"/>
      <c r="O1382" s="5"/>
      <c r="P1382" s="5"/>
    </row>
    <row r="1383" spans="2:16" x14ac:dyDescent="0.25">
      <c r="B1383" s="90">
        <v>938</v>
      </c>
      <c r="C1383" s="91">
        <v>8.5974885113034527E-2</v>
      </c>
      <c r="D1383" s="92">
        <v>128</v>
      </c>
      <c r="G1383" s="5"/>
      <c r="H1383" s="5"/>
      <c r="L1383" s="7"/>
      <c r="M1383" s="7"/>
      <c r="O1383" s="5"/>
      <c r="P1383" s="5"/>
    </row>
    <row r="1384" spans="2:16" x14ac:dyDescent="0.25">
      <c r="B1384" s="90">
        <v>908</v>
      </c>
      <c r="C1384" s="91">
        <v>0.20600948135674513</v>
      </c>
      <c r="D1384" s="92">
        <v>128</v>
      </c>
      <c r="G1384" s="5"/>
      <c r="H1384" s="5"/>
      <c r="L1384" s="7"/>
      <c r="M1384" s="7"/>
      <c r="O1384" s="5"/>
      <c r="P1384" s="5"/>
    </row>
    <row r="1385" spans="2:16" x14ac:dyDescent="0.25">
      <c r="B1385" s="90">
        <v>258</v>
      </c>
      <c r="C1385" s="91">
        <v>0.21394865864349111</v>
      </c>
      <c r="D1385" s="92">
        <v>128</v>
      </c>
      <c r="G1385" s="5"/>
      <c r="H1385" s="5"/>
      <c r="L1385" s="7"/>
      <c r="M1385" s="7"/>
      <c r="O1385" s="5"/>
      <c r="P1385" s="5"/>
    </row>
    <row r="1386" spans="2:16" x14ac:dyDescent="0.25">
      <c r="B1386" s="90">
        <v>1240</v>
      </c>
      <c r="C1386" s="91">
        <v>0.23408656070245826</v>
      </c>
      <c r="D1386" s="92">
        <v>128</v>
      </c>
      <c r="G1386" s="5"/>
      <c r="H1386" s="5"/>
      <c r="L1386" s="7"/>
      <c r="M1386" s="7"/>
      <c r="O1386" s="5"/>
      <c r="P1386" s="5"/>
    </row>
    <row r="1387" spans="2:16" x14ac:dyDescent="0.25">
      <c r="B1387" s="90">
        <v>1004</v>
      </c>
      <c r="C1387" s="91">
        <v>0.24713245037014575</v>
      </c>
      <c r="D1387" s="92">
        <v>128</v>
      </c>
      <c r="G1387" s="5"/>
      <c r="H1387" s="5"/>
      <c r="L1387" s="7"/>
      <c r="M1387" s="7"/>
      <c r="O1387" s="5"/>
      <c r="P1387" s="5"/>
    </row>
    <row r="1388" spans="2:16" x14ac:dyDescent="0.25">
      <c r="B1388" s="90">
        <v>955</v>
      </c>
      <c r="C1388" s="91">
        <v>0.25073449335145048</v>
      </c>
      <c r="D1388" s="92">
        <v>128</v>
      </c>
      <c r="G1388" s="5"/>
      <c r="H1388" s="5"/>
      <c r="L1388" s="7"/>
      <c r="M1388" s="7"/>
      <c r="O1388" s="5"/>
      <c r="P1388" s="5"/>
    </row>
    <row r="1389" spans="2:16" x14ac:dyDescent="0.25">
      <c r="B1389" s="90">
        <v>259</v>
      </c>
      <c r="C1389" s="91">
        <v>0.25619612067568864</v>
      </c>
      <c r="D1389" s="92">
        <v>128</v>
      </c>
      <c r="G1389" s="5"/>
      <c r="H1389" s="5"/>
      <c r="L1389" s="7"/>
      <c r="M1389" s="7"/>
      <c r="O1389" s="5"/>
      <c r="P1389" s="5"/>
    </row>
    <row r="1390" spans="2:16" x14ac:dyDescent="0.25">
      <c r="B1390" s="90">
        <v>865</v>
      </c>
      <c r="C1390" s="91">
        <v>0.27944474642303518</v>
      </c>
      <c r="D1390" s="92">
        <v>128</v>
      </c>
      <c r="G1390" s="5"/>
      <c r="H1390" s="5"/>
      <c r="L1390" s="7"/>
      <c r="M1390" s="7"/>
      <c r="O1390" s="5"/>
      <c r="P1390" s="5"/>
    </row>
    <row r="1391" spans="2:16" x14ac:dyDescent="0.25">
      <c r="B1391" s="90">
        <v>1986</v>
      </c>
      <c r="C1391" s="91">
        <v>5.6890308087442665E-2</v>
      </c>
      <c r="D1391" s="92">
        <v>130</v>
      </c>
      <c r="G1391" s="5"/>
      <c r="H1391" s="5"/>
      <c r="L1391" s="7"/>
      <c r="M1391" s="7"/>
      <c r="O1391" s="5"/>
      <c r="P1391" s="5"/>
    </row>
    <row r="1392" spans="2:16" x14ac:dyDescent="0.25">
      <c r="B1392" s="90">
        <v>1962</v>
      </c>
      <c r="C1392" s="91">
        <v>6.0074101346069053E-2</v>
      </c>
      <c r="D1392" s="92">
        <v>130</v>
      </c>
      <c r="G1392" s="5"/>
      <c r="H1392" s="5"/>
      <c r="L1392" s="7"/>
      <c r="M1392" s="7"/>
      <c r="O1392" s="5"/>
      <c r="P1392" s="5"/>
    </row>
    <row r="1393" spans="2:16" x14ac:dyDescent="0.25">
      <c r="B1393" s="90">
        <v>1871</v>
      </c>
      <c r="C1393" s="91">
        <v>6.3237793463841396E-2</v>
      </c>
      <c r="D1393" s="92">
        <v>130</v>
      </c>
      <c r="G1393" s="5"/>
      <c r="H1393" s="5"/>
      <c r="L1393" s="7"/>
      <c r="M1393" s="7"/>
      <c r="O1393" s="5"/>
      <c r="P1393" s="5"/>
    </row>
    <row r="1394" spans="2:16" x14ac:dyDescent="0.25">
      <c r="B1394" s="90">
        <v>1942</v>
      </c>
      <c r="C1394" s="91">
        <v>6.457838133014171E-2</v>
      </c>
      <c r="D1394" s="92">
        <v>130</v>
      </c>
      <c r="G1394" s="5"/>
      <c r="H1394" s="5"/>
      <c r="L1394" s="7"/>
      <c r="M1394" s="7"/>
      <c r="O1394" s="5"/>
      <c r="P1394" s="5"/>
    </row>
    <row r="1395" spans="2:16" x14ac:dyDescent="0.25">
      <c r="B1395" s="90">
        <v>1446</v>
      </c>
      <c r="C1395" s="91">
        <v>6.8746342977852204E-2</v>
      </c>
      <c r="D1395" s="92">
        <v>130</v>
      </c>
      <c r="G1395" s="5"/>
      <c r="H1395" s="5"/>
      <c r="L1395" s="7"/>
      <c r="M1395" s="7"/>
      <c r="O1395" s="5"/>
      <c r="P1395" s="5"/>
    </row>
    <row r="1396" spans="2:16" x14ac:dyDescent="0.25">
      <c r="B1396" s="90">
        <v>1969</v>
      </c>
      <c r="C1396" s="91">
        <v>8.9019538957748501E-2</v>
      </c>
      <c r="D1396" s="92">
        <v>130</v>
      </c>
      <c r="G1396" s="5"/>
      <c r="H1396" s="5"/>
      <c r="L1396" s="7"/>
      <c r="M1396" s="7"/>
      <c r="O1396" s="5"/>
      <c r="P1396" s="5"/>
    </row>
    <row r="1397" spans="2:16" x14ac:dyDescent="0.25">
      <c r="B1397" s="90">
        <v>1901</v>
      </c>
      <c r="C1397" s="91">
        <v>8.924361930263347E-2</v>
      </c>
      <c r="D1397" s="92">
        <v>130</v>
      </c>
      <c r="G1397" s="5"/>
      <c r="H1397" s="5"/>
      <c r="L1397" s="7"/>
      <c r="M1397" s="7"/>
      <c r="O1397" s="5"/>
      <c r="P1397" s="5"/>
    </row>
    <row r="1398" spans="2:16" x14ac:dyDescent="0.25">
      <c r="B1398" s="90">
        <v>1859</v>
      </c>
      <c r="C1398" s="91">
        <v>9.2915382833345217E-2</v>
      </c>
      <c r="D1398" s="92">
        <v>130</v>
      </c>
      <c r="G1398" s="5"/>
      <c r="H1398" s="5"/>
      <c r="L1398" s="7"/>
      <c r="M1398" s="7"/>
      <c r="O1398" s="5"/>
      <c r="P1398" s="5"/>
    </row>
    <row r="1399" spans="2:16" x14ac:dyDescent="0.25">
      <c r="B1399" s="90">
        <v>1883</v>
      </c>
      <c r="C1399" s="91">
        <v>0.10674854767328945</v>
      </c>
      <c r="D1399" s="92">
        <v>130</v>
      </c>
      <c r="G1399" s="5"/>
      <c r="H1399" s="5"/>
      <c r="L1399" s="7"/>
      <c r="M1399" s="7"/>
      <c r="O1399" s="5"/>
      <c r="P1399" s="5"/>
    </row>
    <row r="1400" spans="2:16" x14ac:dyDescent="0.25">
      <c r="B1400" s="90">
        <v>1886</v>
      </c>
      <c r="C1400" s="91">
        <v>0.11125607283256778</v>
      </c>
      <c r="D1400" s="92">
        <v>130</v>
      </c>
      <c r="G1400" s="5"/>
      <c r="H1400" s="5"/>
      <c r="L1400" s="7"/>
      <c r="M1400" s="7"/>
      <c r="O1400" s="5"/>
      <c r="P1400" s="5"/>
    </row>
    <row r="1401" spans="2:16" x14ac:dyDescent="0.25">
      <c r="B1401" s="90">
        <v>1864</v>
      </c>
      <c r="C1401" s="91">
        <v>0.13902306633274064</v>
      </c>
      <c r="D1401" s="92">
        <v>130</v>
      </c>
      <c r="G1401" s="5"/>
      <c r="H1401" s="5"/>
      <c r="L1401" s="7"/>
      <c r="M1401" s="7"/>
      <c r="O1401" s="5"/>
      <c r="P1401" s="5"/>
    </row>
    <row r="1402" spans="2:16" x14ac:dyDescent="0.25">
      <c r="B1402" s="90">
        <v>1518</v>
      </c>
      <c r="C1402" s="91">
        <v>0.27337554181699331</v>
      </c>
      <c r="D1402" s="92">
        <v>130</v>
      </c>
      <c r="G1402" s="5"/>
      <c r="H1402" s="5"/>
      <c r="L1402" s="7"/>
      <c r="M1402" s="7"/>
      <c r="O1402" s="5"/>
      <c r="P1402" s="5"/>
    </row>
    <row r="1403" spans="2:16" x14ac:dyDescent="0.25">
      <c r="B1403" s="90">
        <v>1874</v>
      </c>
      <c r="C1403" s="91">
        <v>0.10737913113258024</v>
      </c>
      <c r="D1403" s="92">
        <v>131</v>
      </c>
      <c r="G1403" s="5"/>
      <c r="H1403" s="5"/>
      <c r="L1403" s="7"/>
      <c r="M1403" s="7"/>
      <c r="O1403" s="5"/>
      <c r="P1403" s="5"/>
    </row>
    <row r="1404" spans="2:16" x14ac:dyDescent="0.25">
      <c r="B1404" s="90">
        <v>1624</v>
      </c>
      <c r="C1404" s="91">
        <v>2.7060246429535528E-2</v>
      </c>
      <c r="D1404" s="92">
        <v>132</v>
      </c>
      <c r="G1404" s="5"/>
      <c r="H1404" s="5"/>
      <c r="L1404" s="7"/>
      <c r="M1404" s="7"/>
      <c r="O1404" s="5"/>
      <c r="P1404" s="5"/>
    </row>
    <row r="1405" spans="2:16" x14ac:dyDescent="0.25">
      <c r="B1405" s="90">
        <v>1590</v>
      </c>
      <c r="C1405" s="91">
        <v>3.0483370695577494E-2</v>
      </c>
      <c r="D1405" s="92">
        <v>132</v>
      </c>
      <c r="G1405" s="5"/>
      <c r="H1405" s="5"/>
      <c r="L1405" s="7"/>
      <c r="M1405" s="7"/>
      <c r="O1405" s="5"/>
      <c r="P1405" s="5"/>
    </row>
    <row r="1406" spans="2:16" x14ac:dyDescent="0.25">
      <c r="B1406" s="90">
        <v>1556</v>
      </c>
      <c r="C1406" s="91">
        <v>3.2585622484143206E-2</v>
      </c>
      <c r="D1406" s="92">
        <v>132</v>
      </c>
      <c r="G1406" s="5"/>
      <c r="H1406" s="5"/>
      <c r="L1406" s="7"/>
      <c r="M1406" s="7"/>
      <c r="O1406" s="5"/>
      <c r="P1406" s="5"/>
    </row>
    <row r="1407" spans="2:16" x14ac:dyDescent="0.25">
      <c r="B1407" s="90">
        <v>1591</v>
      </c>
      <c r="C1407" s="91">
        <v>3.3435231103821184E-2</v>
      </c>
      <c r="D1407" s="92">
        <v>132</v>
      </c>
      <c r="G1407" s="5"/>
      <c r="H1407" s="5"/>
      <c r="L1407" s="7"/>
      <c r="M1407" s="7"/>
      <c r="O1407" s="5"/>
      <c r="P1407" s="5"/>
    </row>
    <row r="1408" spans="2:16" x14ac:dyDescent="0.25">
      <c r="B1408" s="90">
        <v>1592</v>
      </c>
      <c r="C1408" s="91">
        <v>3.6456179280158874E-2</v>
      </c>
      <c r="D1408" s="92">
        <v>132</v>
      </c>
      <c r="G1408" s="5"/>
      <c r="H1408" s="5"/>
      <c r="L1408" s="7"/>
      <c r="M1408" s="7"/>
      <c r="O1408" s="5"/>
      <c r="P1408" s="5"/>
    </row>
    <row r="1409" spans="2:16" x14ac:dyDescent="0.25">
      <c r="B1409" s="90">
        <v>1625</v>
      </c>
      <c r="C1409" s="91">
        <v>3.775300353349198E-2</v>
      </c>
      <c r="D1409" s="92">
        <v>132</v>
      </c>
      <c r="G1409" s="5"/>
      <c r="H1409" s="5"/>
      <c r="L1409" s="7"/>
      <c r="M1409" s="7"/>
      <c r="O1409" s="5"/>
      <c r="P1409" s="5"/>
    </row>
    <row r="1410" spans="2:16" x14ac:dyDescent="0.25">
      <c r="B1410" s="90">
        <v>2127</v>
      </c>
      <c r="C1410" s="91">
        <v>3.787466689991914E-2</v>
      </c>
      <c r="D1410" s="92">
        <v>132</v>
      </c>
      <c r="G1410" s="5"/>
      <c r="H1410" s="5"/>
      <c r="L1410" s="7"/>
      <c r="M1410" s="7"/>
      <c r="O1410" s="5"/>
      <c r="P1410" s="5"/>
    </row>
    <row r="1411" spans="2:16" x14ac:dyDescent="0.25">
      <c r="B1411" s="90">
        <v>1657</v>
      </c>
      <c r="C1411" s="91">
        <v>5.5174778968567706E-2</v>
      </c>
      <c r="D1411" s="92">
        <v>132</v>
      </c>
      <c r="G1411" s="5"/>
      <c r="H1411" s="5"/>
      <c r="L1411" s="7"/>
      <c r="M1411" s="7"/>
      <c r="O1411" s="5"/>
      <c r="P1411" s="5"/>
    </row>
    <row r="1412" spans="2:16" x14ac:dyDescent="0.25">
      <c r="B1412" s="90">
        <v>1983</v>
      </c>
      <c r="C1412" s="91">
        <v>8.8517271748510207E-2</v>
      </c>
      <c r="D1412" s="92">
        <v>132</v>
      </c>
      <c r="G1412" s="5"/>
      <c r="H1412" s="5"/>
      <c r="L1412" s="7"/>
      <c r="M1412" s="7"/>
      <c r="O1412" s="5"/>
      <c r="P1412" s="5"/>
    </row>
    <row r="1413" spans="2:16" x14ac:dyDescent="0.25">
      <c r="B1413" s="90">
        <v>1526</v>
      </c>
      <c r="C1413" s="91">
        <v>0.1205661080971222</v>
      </c>
      <c r="D1413" s="92">
        <v>132</v>
      </c>
      <c r="G1413" s="5"/>
      <c r="H1413" s="5"/>
      <c r="L1413" s="7"/>
      <c r="M1413" s="7"/>
      <c r="O1413" s="5"/>
      <c r="P1413" s="5"/>
    </row>
    <row r="1414" spans="2:16" x14ac:dyDescent="0.25">
      <c r="B1414" s="90">
        <v>1865</v>
      </c>
      <c r="C1414" s="91">
        <v>0.12252369545451047</v>
      </c>
      <c r="D1414" s="92">
        <v>132</v>
      </c>
      <c r="G1414" s="5"/>
      <c r="H1414" s="5"/>
      <c r="L1414" s="7"/>
      <c r="M1414" s="7"/>
      <c r="O1414" s="5"/>
      <c r="P1414" s="5"/>
    </row>
    <row r="1415" spans="2:16" x14ac:dyDescent="0.25">
      <c r="B1415" s="90">
        <v>1528</v>
      </c>
      <c r="C1415" s="91">
        <v>0.12303445358768517</v>
      </c>
      <c r="D1415" s="92">
        <v>132</v>
      </c>
      <c r="G1415" s="5"/>
      <c r="H1415" s="5"/>
      <c r="L1415" s="7"/>
      <c r="M1415" s="7"/>
      <c r="O1415" s="5"/>
      <c r="P1415" s="5"/>
    </row>
    <row r="1416" spans="2:16" x14ac:dyDescent="0.25">
      <c r="B1416" s="90">
        <v>1503</v>
      </c>
      <c r="C1416" s="91">
        <v>0.12510473646416265</v>
      </c>
      <c r="D1416" s="92">
        <v>132</v>
      </c>
      <c r="G1416" s="5"/>
      <c r="H1416" s="5"/>
      <c r="L1416" s="7"/>
      <c r="M1416" s="7"/>
      <c r="O1416" s="5"/>
      <c r="P1416" s="5"/>
    </row>
    <row r="1417" spans="2:16" x14ac:dyDescent="0.25">
      <c r="B1417" s="90">
        <v>1593</v>
      </c>
      <c r="C1417" s="91">
        <v>0.13415885463777688</v>
      </c>
      <c r="D1417" s="92">
        <v>132</v>
      </c>
      <c r="G1417" s="5"/>
      <c r="H1417" s="5"/>
      <c r="L1417" s="7"/>
      <c r="M1417" s="7"/>
      <c r="O1417" s="5"/>
      <c r="P1417" s="5"/>
    </row>
    <row r="1418" spans="2:16" x14ac:dyDescent="0.25">
      <c r="B1418" s="90">
        <v>1626</v>
      </c>
      <c r="C1418" s="91">
        <v>0.13811980844275962</v>
      </c>
      <c r="D1418" s="92">
        <v>132</v>
      </c>
      <c r="G1418" s="5"/>
      <c r="H1418" s="5"/>
      <c r="L1418" s="7"/>
      <c r="M1418" s="7"/>
      <c r="O1418" s="5"/>
      <c r="P1418" s="5"/>
    </row>
    <row r="1419" spans="2:16" x14ac:dyDescent="0.25">
      <c r="B1419" s="90">
        <v>23</v>
      </c>
      <c r="C1419" s="91">
        <v>0.14920461611263514</v>
      </c>
      <c r="D1419" s="92">
        <v>132</v>
      </c>
      <c r="G1419" s="5"/>
      <c r="H1419" s="5"/>
      <c r="L1419" s="7"/>
      <c r="M1419" s="7"/>
      <c r="O1419" s="5"/>
      <c r="P1419" s="5"/>
    </row>
    <row r="1420" spans="2:16" x14ac:dyDescent="0.25">
      <c r="B1420" s="90">
        <v>1893</v>
      </c>
      <c r="C1420" s="91">
        <v>0.14920461611263514</v>
      </c>
      <c r="D1420" s="92">
        <v>132</v>
      </c>
      <c r="G1420" s="5"/>
      <c r="H1420" s="5"/>
      <c r="L1420" s="7"/>
      <c r="M1420" s="7"/>
      <c r="O1420" s="5"/>
      <c r="P1420" s="5"/>
    </row>
    <row r="1421" spans="2:16" x14ac:dyDescent="0.25">
      <c r="B1421" s="90">
        <v>1562</v>
      </c>
      <c r="C1421" s="91">
        <v>0.15030952273300935</v>
      </c>
      <c r="D1421" s="92">
        <v>132</v>
      </c>
      <c r="G1421" s="5"/>
      <c r="H1421" s="5"/>
      <c r="L1421" s="7"/>
      <c r="M1421" s="7"/>
      <c r="O1421" s="5"/>
      <c r="P1421" s="5"/>
    </row>
    <row r="1422" spans="2:16" x14ac:dyDescent="0.25">
      <c r="B1422" s="90">
        <v>1658</v>
      </c>
      <c r="C1422" s="91">
        <v>0.15158267550538607</v>
      </c>
      <c r="D1422" s="92">
        <v>132</v>
      </c>
      <c r="G1422" s="5"/>
      <c r="H1422" s="5"/>
      <c r="L1422" s="7"/>
      <c r="M1422" s="7"/>
      <c r="O1422" s="5"/>
      <c r="P1422" s="5"/>
    </row>
    <row r="1423" spans="2:16" x14ac:dyDescent="0.25">
      <c r="B1423" s="90">
        <v>1525</v>
      </c>
      <c r="C1423" s="91">
        <v>0.15559243919366805</v>
      </c>
      <c r="D1423" s="92">
        <v>132</v>
      </c>
      <c r="G1423" s="5"/>
      <c r="H1423" s="5"/>
      <c r="L1423" s="7"/>
      <c r="M1423" s="7"/>
      <c r="O1423" s="5"/>
      <c r="P1423" s="5"/>
    </row>
    <row r="1424" spans="2:16" x14ac:dyDescent="0.25">
      <c r="B1424" s="90">
        <v>1552</v>
      </c>
      <c r="C1424" s="91">
        <v>0.17656275783927566</v>
      </c>
      <c r="D1424" s="92">
        <v>132</v>
      </c>
      <c r="G1424" s="5"/>
      <c r="H1424" s="5"/>
      <c r="L1424" s="7"/>
      <c r="M1424" s="7"/>
      <c r="O1424" s="5"/>
      <c r="P1424" s="5"/>
    </row>
    <row r="1425" spans="2:16" x14ac:dyDescent="0.25">
      <c r="B1425" s="90">
        <v>1586</v>
      </c>
      <c r="C1425" s="91">
        <v>0.18631835205194902</v>
      </c>
      <c r="D1425" s="92">
        <v>132</v>
      </c>
      <c r="G1425" s="5"/>
      <c r="H1425" s="5"/>
      <c r="L1425" s="7"/>
      <c r="M1425" s="7"/>
      <c r="O1425" s="5"/>
      <c r="P1425" s="5"/>
    </row>
    <row r="1426" spans="2:16" x14ac:dyDescent="0.25">
      <c r="B1426" s="90">
        <v>1553</v>
      </c>
      <c r="C1426" s="91">
        <v>0.29584074746789013</v>
      </c>
      <c r="D1426" s="92">
        <v>132</v>
      </c>
      <c r="G1426" s="5"/>
      <c r="H1426" s="5"/>
      <c r="L1426" s="7"/>
      <c r="M1426" s="7"/>
      <c r="O1426" s="5"/>
      <c r="P1426" s="5"/>
    </row>
    <row r="1427" spans="2:16" x14ac:dyDescent="0.25">
      <c r="B1427" s="90">
        <v>719</v>
      </c>
      <c r="C1427" s="91">
        <v>0.261669253869389</v>
      </c>
      <c r="D1427" s="92">
        <v>133</v>
      </c>
      <c r="G1427" s="5"/>
      <c r="H1427" s="5"/>
      <c r="L1427" s="7"/>
      <c r="M1427" s="7"/>
      <c r="O1427" s="5"/>
      <c r="P1427" s="5"/>
    </row>
    <row r="1428" spans="2:16" x14ac:dyDescent="0.25">
      <c r="B1428" s="90">
        <v>114</v>
      </c>
      <c r="C1428" s="91">
        <v>0.26287457982032336</v>
      </c>
      <c r="D1428" s="92">
        <v>133</v>
      </c>
      <c r="G1428" s="5"/>
      <c r="H1428" s="5"/>
      <c r="L1428" s="7"/>
      <c r="M1428" s="7"/>
      <c r="O1428" s="5"/>
      <c r="P1428" s="5"/>
    </row>
    <row r="1429" spans="2:16" x14ac:dyDescent="0.25">
      <c r="B1429" s="90">
        <v>772</v>
      </c>
      <c r="C1429" s="91">
        <v>0.26541414412026554</v>
      </c>
      <c r="D1429" s="92">
        <v>133</v>
      </c>
      <c r="G1429" s="5"/>
      <c r="H1429" s="5"/>
      <c r="L1429" s="7"/>
      <c r="M1429" s="7"/>
      <c r="O1429" s="5"/>
      <c r="P1429" s="5"/>
    </row>
    <row r="1430" spans="2:16" x14ac:dyDescent="0.25">
      <c r="B1430" s="90">
        <v>49</v>
      </c>
      <c r="C1430" s="91">
        <v>0.2716976012085992</v>
      </c>
      <c r="D1430" s="92">
        <v>133</v>
      </c>
      <c r="G1430" s="5"/>
      <c r="H1430" s="5"/>
      <c r="L1430" s="7"/>
      <c r="M1430" s="7"/>
      <c r="O1430" s="5"/>
      <c r="P1430" s="5"/>
    </row>
    <row r="1431" spans="2:16" x14ac:dyDescent="0.25">
      <c r="B1431" s="90">
        <v>970</v>
      </c>
      <c r="C1431" s="91">
        <v>0.2716976012085992</v>
      </c>
      <c r="D1431" s="92">
        <v>133</v>
      </c>
      <c r="G1431" s="5"/>
      <c r="H1431" s="5"/>
      <c r="L1431" s="7"/>
      <c r="M1431" s="7"/>
      <c r="O1431" s="5"/>
      <c r="P1431" s="5"/>
    </row>
    <row r="1432" spans="2:16" x14ac:dyDescent="0.25">
      <c r="B1432" s="90">
        <v>824</v>
      </c>
      <c r="C1432" s="91">
        <v>0.27327509817626705</v>
      </c>
      <c r="D1432" s="92">
        <v>133</v>
      </c>
      <c r="G1432" s="5"/>
      <c r="H1432" s="5"/>
      <c r="L1432" s="7"/>
      <c r="M1432" s="7"/>
      <c r="O1432" s="5"/>
      <c r="P1432" s="5"/>
    </row>
    <row r="1433" spans="2:16" x14ac:dyDescent="0.25">
      <c r="B1433" s="90">
        <v>1863</v>
      </c>
      <c r="C1433" s="91">
        <v>0.12441929578093125</v>
      </c>
      <c r="D1433" s="92">
        <v>134</v>
      </c>
      <c r="G1433" s="5"/>
      <c r="H1433" s="5"/>
      <c r="L1433" s="7"/>
      <c r="M1433" s="7"/>
      <c r="O1433" s="5"/>
      <c r="P1433" s="5"/>
    </row>
    <row r="1434" spans="2:16" x14ac:dyDescent="0.25">
      <c r="B1434" s="90">
        <v>178</v>
      </c>
      <c r="C1434" s="91">
        <v>0.24842334476168892</v>
      </c>
      <c r="D1434" s="92">
        <v>134</v>
      </c>
      <c r="G1434" s="5"/>
      <c r="H1434" s="5"/>
      <c r="L1434" s="7"/>
      <c r="M1434" s="7"/>
      <c r="O1434" s="5"/>
      <c r="P1434" s="5"/>
    </row>
    <row r="1435" spans="2:16" x14ac:dyDescent="0.25">
      <c r="B1435" s="90">
        <v>934</v>
      </c>
      <c r="C1435" s="91">
        <v>0.14412618177785641</v>
      </c>
      <c r="D1435" s="92">
        <v>135</v>
      </c>
      <c r="G1435" s="5"/>
      <c r="H1435" s="5"/>
      <c r="L1435" s="7"/>
      <c r="M1435" s="7"/>
      <c r="O1435" s="5"/>
      <c r="P1435" s="5"/>
    </row>
    <row r="1436" spans="2:16" x14ac:dyDescent="0.25">
      <c r="B1436" s="90">
        <v>664</v>
      </c>
      <c r="C1436" s="91">
        <v>0.20494526567028282</v>
      </c>
      <c r="D1436" s="92">
        <v>135</v>
      </c>
      <c r="G1436" s="5"/>
      <c r="H1436" s="5"/>
      <c r="L1436" s="7"/>
      <c r="M1436" s="7"/>
      <c r="O1436" s="5"/>
      <c r="P1436" s="5"/>
    </row>
    <row r="1437" spans="2:16" x14ac:dyDescent="0.25">
      <c r="B1437" s="90">
        <v>319</v>
      </c>
      <c r="C1437" s="91">
        <v>0.21748255178064135</v>
      </c>
      <c r="D1437" s="92">
        <v>135</v>
      </c>
      <c r="G1437" s="5"/>
      <c r="H1437" s="5"/>
      <c r="L1437" s="7"/>
      <c r="M1437" s="7"/>
      <c r="O1437" s="5"/>
      <c r="P1437" s="5"/>
    </row>
    <row r="1438" spans="2:16" x14ac:dyDescent="0.25">
      <c r="B1438" s="90">
        <v>665</v>
      </c>
      <c r="C1438" s="91">
        <v>0.2525251690177539</v>
      </c>
      <c r="D1438" s="92">
        <v>135</v>
      </c>
      <c r="G1438" s="5"/>
      <c r="H1438" s="5"/>
      <c r="L1438" s="7"/>
      <c r="M1438" s="7"/>
      <c r="O1438" s="5"/>
      <c r="P1438" s="5"/>
    </row>
    <row r="1439" spans="2:16" x14ac:dyDescent="0.25">
      <c r="B1439" s="90">
        <v>320</v>
      </c>
      <c r="C1439" s="91">
        <v>0.26021456384225505</v>
      </c>
      <c r="D1439" s="92">
        <v>135</v>
      </c>
      <c r="G1439" s="5"/>
      <c r="H1439" s="5"/>
      <c r="L1439" s="7"/>
      <c r="M1439" s="7"/>
      <c r="O1439" s="5"/>
      <c r="P1439" s="5"/>
    </row>
    <row r="1440" spans="2:16" x14ac:dyDescent="0.25">
      <c r="B1440" s="90">
        <v>67</v>
      </c>
      <c r="C1440" s="91">
        <v>0.30526285078042215</v>
      </c>
      <c r="D1440" s="92">
        <v>135</v>
      </c>
      <c r="G1440" s="5"/>
      <c r="H1440" s="5"/>
      <c r="L1440" s="7"/>
      <c r="M1440" s="7"/>
      <c r="O1440" s="5"/>
      <c r="P1440" s="5"/>
    </row>
    <row r="1441" spans="2:16" x14ac:dyDescent="0.25">
      <c r="B1441" s="90">
        <v>654</v>
      </c>
      <c r="C1441" s="91">
        <v>0.33925850631169885</v>
      </c>
      <c r="D1441" s="92">
        <v>135</v>
      </c>
      <c r="G1441" s="5"/>
      <c r="H1441" s="5"/>
      <c r="L1441" s="7"/>
      <c r="M1441" s="7"/>
      <c r="O1441" s="5"/>
      <c r="P1441" s="5"/>
    </row>
    <row r="1442" spans="2:16" x14ac:dyDescent="0.25">
      <c r="B1442" s="90">
        <v>1992</v>
      </c>
      <c r="C1442" s="91">
        <v>0.16039207346856732</v>
      </c>
      <c r="D1442" s="92">
        <v>136</v>
      </c>
      <c r="G1442" s="5"/>
      <c r="H1442" s="5"/>
      <c r="L1442" s="7"/>
      <c r="M1442" s="7"/>
      <c r="O1442" s="5"/>
      <c r="P1442" s="5"/>
    </row>
    <row r="1443" spans="2:16" x14ac:dyDescent="0.25">
      <c r="B1443" s="90">
        <v>609</v>
      </c>
      <c r="C1443" s="91">
        <v>0.1971535941996847</v>
      </c>
      <c r="D1443" s="92">
        <v>136</v>
      </c>
      <c r="G1443" s="5"/>
      <c r="H1443" s="5"/>
      <c r="L1443" s="7"/>
      <c r="M1443" s="7"/>
      <c r="O1443" s="5"/>
      <c r="P1443" s="5"/>
    </row>
    <row r="1444" spans="2:16" x14ac:dyDescent="0.25">
      <c r="B1444" s="90">
        <v>496</v>
      </c>
      <c r="C1444" s="91">
        <v>0.19737125705515557</v>
      </c>
      <c r="D1444" s="92">
        <v>136</v>
      </c>
      <c r="G1444" s="5"/>
      <c r="H1444" s="5"/>
      <c r="L1444" s="7"/>
      <c r="M1444" s="7"/>
      <c r="O1444" s="5"/>
      <c r="P1444" s="5"/>
    </row>
    <row r="1445" spans="2:16" x14ac:dyDescent="0.25">
      <c r="B1445" s="90">
        <v>643</v>
      </c>
      <c r="C1445" s="91">
        <v>0.19956596188188835</v>
      </c>
      <c r="D1445" s="92">
        <v>136</v>
      </c>
      <c r="G1445" s="5"/>
      <c r="H1445" s="5"/>
      <c r="L1445" s="7"/>
      <c r="M1445" s="7"/>
      <c r="O1445" s="5"/>
      <c r="P1445" s="5"/>
    </row>
    <row r="1446" spans="2:16" x14ac:dyDescent="0.25">
      <c r="B1446" s="90">
        <v>553</v>
      </c>
      <c r="C1446" s="91">
        <v>0.20167189267436569</v>
      </c>
      <c r="D1446" s="92">
        <v>136</v>
      </c>
      <c r="G1446" s="5"/>
      <c r="H1446" s="5"/>
      <c r="L1446" s="7"/>
      <c r="M1446" s="7"/>
      <c r="O1446" s="5"/>
      <c r="P1446" s="5"/>
    </row>
    <row r="1447" spans="2:16" x14ac:dyDescent="0.25">
      <c r="B1447" s="90">
        <v>438</v>
      </c>
      <c r="C1447" s="91">
        <v>0.21258348149310669</v>
      </c>
      <c r="D1447" s="92">
        <v>136</v>
      </c>
      <c r="G1447" s="5"/>
      <c r="H1447" s="5"/>
      <c r="L1447" s="7"/>
      <c r="M1447" s="7"/>
      <c r="O1447" s="5"/>
      <c r="P1447" s="5"/>
    </row>
    <row r="1448" spans="2:16" x14ac:dyDescent="0.25">
      <c r="B1448" s="90">
        <v>379</v>
      </c>
      <c r="C1448" s="91">
        <v>0.21467534482504691</v>
      </c>
      <c r="D1448" s="92">
        <v>136</v>
      </c>
      <c r="G1448" s="5"/>
      <c r="H1448" s="5"/>
      <c r="L1448" s="7"/>
      <c r="M1448" s="7"/>
      <c r="O1448" s="5"/>
      <c r="P1448" s="5"/>
    </row>
    <row r="1449" spans="2:16" x14ac:dyDescent="0.25">
      <c r="B1449" s="90">
        <v>584</v>
      </c>
      <c r="C1449" s="91">
        <v>0.23476917472354586</v>
      </c>
      <c r="D1449" s="92">
        <v>136</v>
      </c>
      <c r="G1449" s="5"/>
      <c r="H1449" s="5"/>
      <c r="L1449" s="7"/>
      <c r="M1449" s="7"/>
      <c r="O1449" s="5"/>
      <c r="P1449" s="5"/>
    </row>
    <row r="1450" spans="2:16" x14ac:dyDescent="0.25">
      <c r="B1450" s="90">
        <v>610</v>
      </c>
      <c r="C1450" s="91">
        <v>0.24410053754154837</v>
      </c>
      <c r="D1450" s="92">
        <v>136</v>
      </c>
      <c r="G1450" s="5"/>
      <c r="H1450" s="5"/>
      <c r="L1450" s="7"/>
      <c r="M1450" s="7"/>
      <c r="O1450" s="5"/>
      <c r="P1450" s="5"/>
    </row>
    <row r="1451" spans="2:16" x14ac:dyDescent="0.25">
      <c r="B1451" s="90">
        <v>497</v>
      </c>
      <c r="C1451" s="91">
        <v>0.24425416469957262</v>
      </c>
      <c r="D1451" s="92">
        <v>136</v>
      </c>
      <c r="G1451" s="5"/>
      <c r="H1451" s="5"/>
      <c r="L1451" s="7"/>
      <c r="M1451" s="7"/>
      <c r="O1451" s="5"/>
      <c r="P1451" s="5"/>
    </row>
    <row r="1452" spans="2:16" x14ac:dyDescent="0.25">
      <c r="B1452" s="90">
        <v>554</v>
      </c>
      <c r="C1452" s="91">
        <v>0.24826210061943255</v>
      </c>
      <c r="D1452" s="92">
        <v>136</v>
      </c>
      <c r="G1452" s="5"/>
      <c r="H1452" s="5"/>
      <c r="L1452" s="7"/>
      <c r="M1452" s="7"/>
      <c r="O1452" s="5"/>
      <c r="P1452" s="5"/>
    </row>
    <row r="1453" spans="2:16" x14ac:dyDescent="0.25">
      <c r="B1453" s="90">
        <v>439</v>
      </c>
      <c r="C1453" s="91">
        <v>0.25798977386828348</v>
      </c>
      <c r="D1453" s="92">
        <v>136</v>
      </c>
      <c r="G1453" s="5"/>
      <c r="H1453" s="5"/>
      <c r="L1453" s="7"/>
      <c r="M1453" s="7"/>
      <c r="O1453" s="5"/>
      <c r="P1453" s="5"/>
    </row>
    <row r="1454" spans="2:16" x14ac:dyDescent="0.25">
      <c r="B1454" s="90">
        <v>380</v>
      </c>
      <c r="C1454" s="91">
        <v>0.25968284017878007</v>
      </c>
      <c r="D1454" s="92">
        <v>136</v>
      </c>
      <c r="G1454" s="5"/>
      <c r="H1454" s="5"/>
      <c r="L1454" s="7"/>
      <c r="M1454" s="7"/>
      <c r="O1454" s="5"/>
      <c r="P1454" s="5"/>
    </row>
    <row r="1455" spans="2:16" x14ac:dyDescent="0.25">
      <c r="B1455" s="90">
        <v>958</v>
      </c>
      <c r="C1455" s="91">
        <v>0.21772766150948997</v>
      </c>
      <c r="D1455" s="92">
        <v>137</v>
      </c>
      <c r="G1455" s="5"/>
      <c r="H1455" s="5"/>
      <c r="L1455" s="7"/>
      <c r="M1455" s="7"/>
      <c r="O1455" s="5"/>
      <c r="P1455" s="5"/>
    </row>
    <row r="1456" spans="2:16" x14ac:dyDescent="0.25">
      <c r="B1456" s="90">
        <v>1189</v>
      </c>
      <c r="C1456" s="91">
        <v>0.21916166856109087</v>
      </c>
      <c r="D1456" s="92">
        <v>137</v>
      </c>
      <c r="G1456" s="5"/>
      <c r="H1456" s="5"/>
      <c r="L1456" s="7"/>
      <c r="M1456" s="7"/>
      <c r="O1456" s="5"/>
      <c r="P1456" s="5"/>
    </row>
    <row r="1457" spans="2:16" x14ac:dyDescent="0.25">
      <c r="B1457" s="90">
        <v>1193</v>
      </c>
      <c r="C1457" s="91">
        <v>0.23482133863641819</v>
      </c>
      <c r="D1457" s="92">
        <v>137</v>
      </c>
      <c r="G1457" s="5"/>
      <c r="H1457" s="5"/>
      <c r="L1457" s="7"/>
      <c r="M1457" s="7"/>
      <c r="O1457" s="5"/>
      <c r="P1457" s="5"/>
    </row>
    <row r="1458" spans="2:16" x14ac:dyDescent="0.25">
      <c r="B1458" s="90">
        <v>196</v>
      </c>
      <c r="C1458" s="91">
        <v>0.24891908610488445</v>
      </c>
      <c r="D1458" s="92">
        <v>137</v>
      </c>
      <c r="G1458" s="5"/>
      <c r="H1458" s="5"/>
      <c r="L1458" s="7"/>
      <c r="M1458" s="7"/>
      <c r="O1458" s="5"/>
      <c r="P1458" s="5"/>
    </row>
    <row r="1459" spans="2:16" x14ac:dyDescent="0.25">
      <c r="B1459" s="90">
        <v>242</v>
      </c>
      <c r="C1459" s="91">
        <v>0.33452649680186064</v>
      </c>
      <c r="D1459" s="92">
        <v>137</v>
      </c>
      <c r="G1459" s="5"/>
      <c r="H1459" s="5"/>
      <c r="L1459" s="7"/>
      <c r="M1459" s="7"/>
      <c r="O1459" s="5"/>
      <c r="P1459" s="5"/>
    </row>
    <row r="1460" spans="2:16" x14ac:dyDescent="0.25">
      <c r="B1460" s="90">
        <v>365</v>
      </c>
      <c r="C1460" s="91">
        <v>0.35474173862077729</v>
      </c>
      <c r="D1460" s="92">
        <v>137</v>
      </c>
      <c r="G1460" s="5"/>
      <c r="H1460" s="5"/>
      <c r="L1460" s="7"/>
      <c r="M1460" s="7"/>
      <c r="O1460" s="5"/>
      <c r="P1460" s="5"/>
    </row>
    <row r="1461" spans="2:16" x14ac:dyDescent="0.25">
      <c r="B1461" s="90">
        <v>817</v>
      </c>
      <c r="C1461" s="91">
        <v>0.38710782407318289</v>
      </c>
      <c r="D1461" s="92">
        <v>137</v>
      </c>
      <c r="G1461" s="5"/>
      <c r="H1461" s="5"/>
      <c r="L1461" s="7"/>
      <c r="M1461" s="7"/>
      <c r="O1461" s="5"/>
      <c r="P1461" s="5"/>
    </row>
    <row r="1462" spans="2:16" x14ac:dyDescent="0.25">
      <c r="B1462" s="90">
        <v>1849</v>
      </c>
      <c r="C1462" s="91">
        <v>4.3716308064117415E-2</v>
      </c>
      <c r="D1462" s="92">
        <v>138</v>
      </c>
      <c r="G1462" s="5"/>
      <c r="H1462" s="5"/>
      <c r="L1462" s="7"/>
      <c r="M1462" s="7"/>
      <c r="O1462" s="5"/>
      <c r="P1462" s="5"/>
    </row>
    <row r="1463" spans="2:16" x14ac:dyDescent="0.25">
      <c r="B1463" s="90">
        <v>1919</v>
      </c>
      <c r="C1463" s="91">
        <v>6.9111347195340622E-2</v>
      </c>
      <c r="D1463" s="92">
        <v>138</v>
      </c>
      <c r="G1463" s="5"/>
      <c r="H1463" s="5"/>
      <c r="L1463" s="7"/>
      <c r="M1463" s="7"/>
      <c r="O1463" s="5"/>
      <c r="P1463" s="5"/>
    </row>
    <row r="1464" spans="2:16" x14ac:dyDescent="0.25">
      <c r="B1464" s="90">
        <v>619</v>
      </c>
      <c r="C1464" s="91">
        <v>0.14918157250919883</v>
      </c>
      <c r="D1464" s="92">
        <v>138</v>
      </c>
      <c r="G1464" s="5"/>
      <c r="H1464" s="5"/>
      <c r="L1464" s="7"/>
      <c r="M1464" s="7"/>
      <c r="O1464" s="5"/>
      <c r="P1464" s="5"/>
    </row>
    <row r="1465" spans="2:16" x14ac:dyDescent="0.25">
      <c r="B1465" s="90">
        <v>506</v>
      </c>
      <c r="C1465" s="91">
        <v>0.15325828373833894</v>
      </c>
      <c r="D1465" s="92">
        <v>138</v>
      </c>
      <c r="G1465" s="5"/>
      <c r="H1465" s="5"/>
      <c r="L1465" s="7"/>
      <c r="M1465" s="7"/>
      <c r="O1465" s="5"/>
      <c r="P1465" s="5"/>
    </row>
    <row r="1466" spans="2:16" x14ac:dyDescent="0.25">
      <c r="B1466" s="90">
        <v>527</v>
      </c>
      <c r="C1466" s="91">
        <v>0.24385170261274991</v>
      </c>
      <c r="D1466" s="92">
        <v>138</v>
      </c>
      <c r="G1466" s="5"/>
      <c r="H1466" s="5"/>
      <c r="L1466" s="7"/>
      <c r="M1466" s="7"/>
      <c r="O1466" s="5"/>
      <c r="P1466" s="5"/>
    </row>
    <row r="1467" spans="2:16" x14ac:dyDescent="0.25">
      <c r="B1467" s="90">
        <v>1584</v>
      </c>
      <c r="C1467" s="91">
        <v>0.25018266376264608</v>
      </c>
      <c r="D1467" s="92">
        <v>138</v>
      </c>
      <c r="G1467" s="5"/>
      <c r="H1467" s="5"/>
      <c r="L1467" s="7"/>
      <c r="M1467" s="7"/>
      <c r="O1467" s="5"/>
      <c r="P1467" s="5"/>
    </row>
    <row r="1468" spans="2:16" x14ac:dyDescent="0.25">
      <c r="B1468" s="90">
        <v>1191</v>
      </c>
      <c r="C1468" s="91">
        <v>0.26171343643094647</v>
      </c>
      <c r="D1468" s="92">
        <v>138</v>
      </c>
      <c r="G1468" s="5"/>
      <c r="H1468" s="5"/>
      <c r="L1468" s="7"/>
      <c r="M1468" s="7"/>
      <c r="O1468" s="5"/>
      <c r="P1468" s="5"/>
    </row>
    <row r="1469" spans="2:16" x14ac:dyDescent="0.25">
      <c r="B1469" s="90">
        <v>69</v>
      </c>
      <c r="C1469" s="91">
        <v>0.26547055677415576</v>
      </c>
      <c r="D1469" s="92">
        <v>138</v>
      </c>
      <c r="G1469" s="5"/>
      <c r="H1469" s="5"/>
      <c r="L1469" s="7"/>
      <c r="M1469" s="7"/>
      <c r="O1469" s="5"/>
      <c r="P1469" s="5"/>
    </row>
    <row r="1470" spans="2:16" x14ac:dyDescent="0.25">
      <c r="B1470" s="90">
        <v>539</v>
      </c>
      <c r="C1470" s="91">
        <v>0.26621356854543166</v>
      </c>
      <c r="D1470" s="92">
        <v>138</v>
      </c>
      <c r="G1470" s="5"/>
      <c r="H1470" s="5"/>
      <c r="L1470" s="7"/>
      <c r="M1470" s="7"/>
      <c r="O1470" s="5"/>
      <c r="P1470" s="5"/>
    </row>
    <row r="1471" spans="2:16" x14ac:dyDescent="0.25">
      <c r="B1471" s="90">
        <v>133</v>
      </c>
      <c r="C1471" s="91">
        <v>0.2792005563767983</v>
      </c>
      <c r="D1471" s="92">
        <v>138</v>
      </c>
      <c r="G1471" s="5"/>
      <c r="H1471" s="5"/>
      <c r="L1471" s="7"/>
      <c r="M1471" s="7"/>
      <c r="O1471" s="5"/>
      <c r="P1471" s="5"/>
    </row>
    <row r="1472" spans="2:16" x14ac:dyDescent="0.25">
      <c r="B1472" s="90">
        <v>70</v>
      </c>
      <c r="C1472" s="91">
        <v>0.31653650570978309</v>
      </c>
      <c r="D1472" s="92">
        <v>138</v>
      </c>
      <c r="G1472" s="5"/>
      <c r="H1472" s="5"/>
      <c r="L1472" s="7"/>
      <c r="M1472" s="7"/>
      <c r="O1472" s="5"/>
      <c r="P1472" s="5"/>
    </row>
    <row r="1473" spans="2:16" x14ac:dyDescent="0.25">
      <c r="B1473" s="90">
        <v>134</v>
      </c>
      <c r="C1473" s="91">
        <v>0.33110526285624786</v>
      </c>
      <c r="D1473" s="92">
        <v>138</v>
      </c>
      <c r="G1473" s="5"/>
      <c r="H1473" s="5"/>
      <c r="L1473" s="7"/>
      <c r="M1473" s="7"/>
      <c r="O1473" s="5"/>
      <c r="P1473" s="5"/>
    </row>
    <row r="1474" spans="2:16" x14ac:dyDescent="0.25">
      <c r="B1474" s="90">
        <v>206</v>
      </c>
      <c r="C1474" s="91">
        <v>0.13937717183544263</v>
      </c>
      <c r="D1474" s="92">
        <v>139</v>
      </c>
      <c r="G1474" s="5"/>
      <c r="H1474" s="5"/>
      <c r="L1474" s="7"/>
      <c r="M1474" s="7"/>
      <c r="O1474" s="5"/>
      <c r="P1474" s="5"/>
    </row>
    <row r="1475" spans="2:16" x14ac:dyDescent="0.25">
      <c r="B1475" s="90">
        <v>1275</v>
      </c>
      <c r="C1475" s="91">
        <v>0.19304514461433575</v>
      </c>
      <c r="D1475" s="92">
        <v>139</v>
      </c>
      <c r="G1475" s="5"/>
      <c r="H1475" s="5"/>
      <c r="L1475" s="7"/>
      <c r="M1475" s="7"/>
      <c r="O1475" s="5"/>
      <c r="P1475" s="5"/>
    </row>
    <row r="1476" spans="2:16" x14ac:dyDescent="0.25">
      <c r="B1476" s="90">
        <v>1276</v>
      </c>
      <c r="C1476" s="91">
        <v>0.2031459591302166</v>
      </c>
      <c r="D1476" s="92">
        <v>139</v>
      </c>
      <c r="G1476" s="5"/>
      <c r="H1476" s="5"/>
      <c r="L1476" s="7"/>
      <c r="M1476" s="7"/>
      <c r="O1476" s="5"/>
      <c r="P1476" s="5"/>
    </row>
    <row r="1477" spans="2:16" x14ac:dyDescent="0.25">
      <c r="B1477" s="90">
        <v>304</v>
      </c>
      <c r="C1477" s="91">
        <v>0.35741153414294724</v>
      </c>
      <c r="D1477" s="92">
        <v>139</v>
      </c>
      <c r="G1477" s="5"/>
      <c r="H1477" s="5"/>
      <c r="L1477" s="7"/>
      <c r="M1477" s="7"/>
      <c r="O1477" s="5"/>
      <c r="P1477" s="5"/>
    </row>
    <row r="1478" spans="2:16" x14ac:dyDescent="0.25">
      <c r="B1478" s="90">
        <v>143</v>
      </c>
      <c r="C1478" s="91">
        <v>0.13672058844320667</v>
      </c>
      <c r="D1478" s="92">
        <v>140</v>
      </c>
      <c r="G1478" s="5"/>
      <c r="H1478" s="5"/>
      <c r="L1478" s="7"/>
      <c r="M1478" s="7"/>
      <c r="O1478" s="5"/>
      <c r="P1478" s="5"/>
    </row>
    <row r="1479" spans="2:16" x14ac:dyDescent="0.25">
      <c r="B1479" s="90">
        <v>79</v>
      </c>
      <c r="C1479" s="91">
        <v>0.15115172303309421</v>
      </c>
      <c r="D1479" s="92">
        <v>140</v>
      </c>
      <c r="G1479" s="5"/>
      <c r="H1479" s="5"/>
      <c r="L1479" s="7"/>
      <c r="M1479" s="7"/>
      <c r="O1479" s="5"/>
      <c r="P1479" s="5"/>
    </row>
    <row r="1480" spans="2:16" x14ac:dyDescent="0.25">
      <c r="B1480" s="90">
        <v>535</v>
      </c>
      <c r="C1480" s="91">
        <v>0.18345026696146249</v>
      </c>
      <c r="D1480" s="92">
        <v>140</v>
      </c>
      <c r="G1480" s="5"/>
      <c r="H1480" s="5"/>
      <c r="L1480" s="7"/>
      <c r="M1480" s="7"/>
      <c r="O1480" s="5"/>
      <c r="P1480" s="5"/>
    </row>
    <row r="1481" spans="2:16" x14ac:dyDescent="0.25">
      <c r="B1481" s="90">
        <v>530</v>
      </c>
      <c r="C1481" s="91">
        <v>0.199667153226608</v>
      </c>
      <c r="D1481" s="92">
        <v>140</v>
      </c>
      <c r="G1481" s="5"/>
      <c r="H1481" s="5"/>
      <c r="L1481" s="7"/>
      <c r="M1481" s="7"/>
      <c r="O1481" s="5"/>
      <c r="P1481" s="5"/>
    </row>
    <row r="1482" spans="2:16" x14ac:dyDescent="0.25">
      <c r="B1482" s="90">
        <v>1194</v>
      </c>
      <c r="C1482" s="91">
        <v>0.20235822956864691</v>
      </c>
      <c r="D1482" s="92">
        <v>140</v>
      </c>
      <c r="G1482" s="5"/>
      <c r="H1482" s="5"/>
      <c r="L1482" s="7"/>
      <c r="M1482" s="7"/>
      <c r="O1482" s="5"/>
      <c r="P1482" s="5"/>
    </row>
    <row r="1483" spans="2:16" x14ac:dyDescent="0.25">
      <c r="B1483" s="90">
        <v>1192</v>
      </c>
      <c r="C1483" s="91">
        <v>0.24788712609675612</v>
      </c>
      <c r="D1483" s="92">
        <v>140</v>
      </c>
      <c r="G1483" s="5"/>
      <c r="H1483" s="5"/>
      <c r="L1483" s="7"/>
      <c r="M1483" s="7"/>
      <c r="O1483" s="5"/>
      <c r="P1483" s="5"/>
    </row>
    <row r="1484" spans="2:16" x14ac:dyDescent="0.25">
      <c r="B1484" s="90">
        <v>425</v>
      </c>
      <c r="C1484" s="91">
        <v>0.35845749376663294</v>
      </c>
      <c r="D1484" s="92">
        <v>140</v>
      </c>
      <c r="G1484" s="5"/>
      <c r="H1484" s="5"/>
      <c r="L1484" s="7"/>
      <c r="M1484" s="7"/>
      <c r="O1484" s="5"/>
      <c r="P1484" s="5"/>
    </row>
    <row r="1485" spans="2:16" x14ac:dyDescent="0.25">
      <c r="B1485" s="90">
        <v>2004</v>
      </c>
      <c r="C1485" s="91">
        <v>6.8106203075727456E-2</v>
      </c>
      <c r="D1485" s="92">
        <v>141</v>
      </c>
      <c r="G1485" s="5"/>
      <c r="H1485" s="5"/>
      <c r="L1485" s="7"/>
      <c r="M1485" s="7"/>
      <c r="O1485" s="5"/>
      <c r="P1485" s="5"/>
    </row>
    <row r="1486" spans="2:16" x14ac:dyDescent="0.25">
      <c r="B1486" s="90">
        <v>197</v>
      </c>
      <c r="C1486" s="91">
        <v>0.29822756353359359</v>
      </c>
      <c r="D1486" s="92">
        <v>143</v>
      </c>
      <c r="G1486" s="5"/>
      <c r="H1486" s="5"/>
      <c r="L1486" s="7"/>
      <c r="M1486" s="7"/>
      <c r="O1486" s="5"/>
      <c r="P1486" s="5"/>
    </row>
    <row r="1487" spans="2:16" x14ac:dyDescent="0.25">
      <c r="B1487" s="90">
        <v>1381</v>
      </c>
      <c r="C1487" s="91">
        <v>7.9887277615474206E-2</v>
      </c>
      <c r="D1487" s="92">
        <v>144</v>
      </c>
      <c r="G1487" s="5"/>
      <c r="H1487" s="5"/>
      <c r="L1487" s="7"/>
      <c r="M1487" s="7"/>
      <c r="O1487" s="5"/>
      <c r="P1487" s="5"/>
    </row>
    <row r="1488" spans="2:16" x14ac:dyDescent="0.25">
      <c r="B1488" s="90">
        <v>1386</v>
      </c>
      <c r="C1488" s="91">
        <v>9.0899156405399362E-2</v>
      </c>
      <c r="D1488" s="92">
        <v>144</v>
      </c>
      <c r="G1488" s="5"/>
      <c r="H1488" s="5"/>
      <c r="L1488" s="7"/>
      <c r="M1488" s="7"/>
      <c r="O1488" s="5"/>
      <c r="P1488" s="5"/>
    </row>
    <row r="1489" spans="2:16" x14ac:dyDescent="0.25">
      <c r="B1489" s="90">
        <v>1387</v>
      </c>
      <c r="C1489" s="91">
        <v>9.3535101504868989E-2</v>
      </c>
      <c r="D1489" s="92">
        <v>144</v>
      </c>
      <c r="G1489" s="5"/>
      <c r="H1489" s="5"/>
      <c r="L1489" s="7"/>
      <c r="M1489" s="7"/>
      <c r="O1489" s="5"/>
      <c r="P1489" s="5"/>
    </row>
    <row r="1490" spans="2:16" x14ac:dyDescent="0.25">
      <c r="B1490" s="90">
        <v>1467</v>
      </c>
      <c r="C1490" s="91">
        <v>5.479282341748215E-2</v>
      </c>
      <c r="D1490" s="92">
        <v>145</v>
      </c>
      <c r="G1490" s="5"/>
      <c r="H1490" s="5"/>
      <c r="L1490" s="7"/>
      <c r="M1490" s="7"/>
      <c r="O1490" s="5"/>
      <c r="P1490" s="5"/>
    </row>
    <row r="1491" spans="2:16" x14ac:dyDescent="0.25">
      <c r="B1491" s="90">
        <v>1887</v>
      </c>
      <c r="C1491" s="91">
        <v>0.15177420253282758</v>
      </c>
      <c r="D1491" s="92">
        <v>145</v>
      </c>
      <c r="G1491" s="5"/>
      <c r="H1491" s="5"/>
      <c r="L1491" s="7"/>
      <c r="M1491" s="7"/>
      <c r="O1491" s="5"/>
      <c r="P1491" s="5"/>
    </row>
    <row r="1492" spans="2:16" x14ac:dyDescent="0.25">
      <c r="B1492" s="90">
        <v>1225</v>
      </c>
      <c r="C1492" s="91">
        <v>4.8525426079219836E-2</v>
      </c>
      <c r="D1492" s="92">
        <v>146</v>
      </c>
      <c r="G1492" s="5"/>
      <c r="H1492" s="5"/>
      <c r="L1492" s="7"/>
      <c r="M1492" s="7"/>
      <c r="O1492" s="5"/>
      <c r="P1492" s="5"/>
    </row>
    <row r="1493" spans="2:16" x14ac:dyDescent="0.25">
      <c r="B1493" s="90">
        <v>1224</v>
      </c>
      <c r="C1493" s="91">
        <v>6.9897626043655348E-2</v>
      </c>
      <c r="D1493" s="92">
        <v>146</v>
      </c>
      <c r="G1493" s="5"/>
      <c r="H1493" s="5"/>
      <c r="L1493" s="7"/>
      <c r="M1493" s="7"/>
      <c r="O1493" s="5"/>
      <c r="P1493" s="5"/>
    </row>
    <row r="1494" spans="2:16" x14ac:dyDescent="0.25">
      <c r="B1494" s="90">
        <v>912</v>
      </c>
      <c r="C1494" s="91">
        <v>0.195690977406627</v>
      </c>
      <c r="D1494" s="92">
        <v>147</v>
      </c>
      <c r="G1494" s="5"/>
      <c r="H1494" s="5"/>
      <c r="L1494" s="7"/>
      <c r="M1494" s="7"/>
      <c r="O1494" s="5"/>
      <c r="P1494" s="5"/>
    </row>
    <row r="1495" spans="2:16" x14ac:dyDescent="0.25">
      <c r="B1495" s="90">
        <v>651</v>
      </c>
      <c r="C1495" s="91">
        <v>0.27445486822456422</v>
      </c>
      <c r="D1495" s="92">
        <v>147</v>
      </c>
      <c r="G1495" s="5"/>
      <c r="H1495" s="5"/>
      <c r="L1495" s="7"/>
      <c r="M1495" s="7"/>
      <c r="O1495" s="5"/>
      <c r="P1495" s="5"/>
    </row>
    <row r="1496" spans="2:16" x14ac:dyDescent="0.25">
      <c r="B1496" s="90">
        <v>298</v>
      </c>
      <c r="C1496" s="91">
        <v>0.28515297730419231</v>
      </c>
      <c r="D1496" s="92">
        <v>147</v>
      </c>
      <c r="G1496" s="5"/>
      <c r="H1496" s="5"/>
      <c r="L1496" s="7"/>
      <c r="M1496" s="7"/>
      <c r="O1496" s="5"/>
      <c r="P1496" s="5"/>
    </row>
    <row r="1497" spans="2:16" x14ac:dyDescent="0.25">
      <c r="B1497" s="90">
        <v>1900</v>
      </c>
      <c r="C1497" s="91">
        <v>2.8237096825902031E-2</v>
      </c>
      <c r="D1497" s="92">
        <v>148</v>
      </c>
      <c r="G1497" s="5"/>
      <c r="H1497" s="5"/>
      <c r="L1497" s="7"/>
      <c r="M1497" s="7"/>
      <c r="O1497" s="5"/>
      <c r="P1497" s="5"/>
    </row>
    <row r="1498" spans="2:16" x14ac:dyDescent="0.25">
      <c r="B1498" s="90">
        <v>1555</v>
      </c>
      <c r="C1498" s="91">
        <v>4.0424439278785584E-2</v>
      </c>
      <c r="D1498" s="92">
        <v>148</v>
      </c>
      <c r="G1498" s="5"/>
      <c r="H1498" s="5"/>
      <c r="L1498" s="7"/>
      <c r="M1498" s="7"/>
      <c r="O1498" s="5"/>
      <c r="P1498" s="5"/>
    </row>
    <row r="1499" spans="2:16" x14ac:dyDescent="0.25">
      <c r="B1499" s="90">
        <v>1966</v>
      </c>
      <c r="C1499" s="91">
        <v>6.8823267358925633E-2</v>
      </c>
      <c r="D1499" s="92">
        <v>148</v>
      </c>
      <c r="G1499" s="5"/>
      <c r="H1499" s="5"/>
      <c r="L1499" s="7"/>
      <c r="M1499" s="7"/>
      <c r="O1499" s="5"/>
      <c r="P1499" s="5"/>
    </row>
    <row r="1500" spans="2:16" x14ac:dyDescent="0.25">
      <c r="B1500" s="90">
        <v>1946</v>
      </c>
      <c r="C1500" s="91">
        <v>7.5834240154268984E-2</v>
      </c>
      <c r="D1500" s="92">
        <v>148</v>
      </c>
      <c r="G1500" s="5"/>
      <c r="H1500" s="5"/>
      <c r="L1500" s="7"/>
      <c r="M1500" s="7"/>
      <c r="O1500" s="5"/>
      <c r="P1500" s="5"/>
    </row>
    <row r="1501" spans="2:16" x14ac:dyDescent="0.25">
      <c r="B1501" s="90">
        <v>1420</v>
      </c>
      <c r="C1501" s="91">
        <v>8.3370089372971967E-2</v>
      </c>
      <c r="D1501" s="92">
        <v>148</v>
      </c>
      <c r="G1501" s="5"/>
      <c r="H1501" s="5"/>
      <c r="L1501" s="7"/>
      <c r="M1501" s="7"/>
      <c r="O1501" s="5"/>
      <c r="P1501" s="5"/>
    </row>
    <row r="1502" spans="2:16" x14ac:dyDescent="0.25">
      <c r="B1502" s="90">
        <v>1380</v>
      </c>
      <c r="C1502" s="91">
        <v>9.0298662201182323E-2</v>
      </c>
      <c r="D1502" s="92">
        <v>148</v>
      </c>
      <c r="G1502" s="5"/>
      <c r="H1502" s="5"/>
      <c r="L1502" s="7"/>
      <c r="M1502" s="7"/>
      <c r="O1502" s="5"/>
      <c r="P1502" s="5"/>
    </row>
    <row r="1503" spans="2:16" x14ac:dyDescent="0.25">
      <c r="B1503" s="90">
        <v>1904</v>
      </c>
      <c r="C1503" s="91">
        <v>9.8864627233876234E-2</v>
      </c>
      <c r="D1503" s="92">
        <v>148</v>
      </c>
      <c r="G1503" s="5"/>
      <c r="H1503" s="5"/>
      <c r="L1503" s="7"/>
      <c r="M1503" s="7"/>
      <c r="O1503" s="5"/>
      <c r="P1503" s="5"/>
    </row>
    <row r="1504" spans="2:16" x14ac:dyDescent="0.25">
      <c r="B1504" s="90">
        <v>1945</v>
      </c>
      <c r="C1504" s="91">
        <v>0.11348746142727206</v>
      </c>
      <c r="D1504" s="92">
        <v>148</v>
      </c>
      <c r="G1504" s="5"/>
      <c r="H1504" s="5"/>
      <c r="L1504" s="7"/>
      <c r="M1504" s="7"/>
      <c r="O1504" s="5"/>
      <c r="P1504" s="5"/>
    </row>
    <row r="1505" spans="2:16" x14ac:dyDescent="0.25">
      <c r="B1505" s="90">
        <v>2053</v>
      </c>
      <c r="C1505" s="91">
        <v>0.13540082821869137</v>
      </c>
      <c r="D1505" s="92">
        <v>148</v>
      </c>
      <c r="G1505" s="5"/>
      <c r="H1505" s="5"/>
      <c r="L1505" s="7"/>
      <c r="M1505" s="7"/>
      <c r="O1505" s="5"/>
      <c r="P1505" s="5"/>
    </row>
    <row r="1506" spans="2:16" x14ac:dyDescent="0.25">
      <c r="B1506" s="90">
        <v>1905</v>
      </c>
      <c r="C1506" s="91">
        <v>0.14607409564777818</v>
      </c>
      <c r="D1506" s="92">
        <v>148</v>
      </c>
      <c r="G1506" s="5"/>
      <c r="H1506" s="5"/>
      <c r="L1506" s="7"/>
      <c r="M1506" s="7"/>
      <c r="O1506" s="5"/>
      <c r="P1506" s="5"/>
    </row>
    <row r="1507" spans="2:16" x14ac:dyDescent="0.25">
      <c r="B1507" s="90">
        <v>1917</v>
      </c>
      <c r="C1507" s="91">
        <v>0.15294907909204369</v>
      </c>
      <c r="D1507" s="92">
        <v>148</v>
      </c>
      <c r="G1507" s="5"/>
      <c r="H1507" s="5"/>
      <c r="L1507" s="7"/>
      <c r="M1507" s="7"/>
      <c r="O1507" s="5"/>
      <c r="P1507" s="5"/>
    </row>
    <row r="1508" spans="2:16" x14ac:dyDescent="0.25">
      <c r="B1508" s="90">
        <v>1889</v>
      </c>
      <c r="C1508" s="91">
        <v>0.17883907101141427</v>
      </c>
      <c r="D1508" s="92">
        <v>148</v>
      </c>
      <c r="G1508" s="5"/>
      <c r="H1508" s="5"/>
      <c r="L1508" s="7"/>
      <c r="M1508" s="7"/>
      <c r="O1508" s="5"/>
      <c r="P1508" s="5"/>
    </row>
    <row r="1509" spans="2:16" x14ac:dyDescent="0.25">
      <c r="B1509" s="90">
        <v>1888</v>
      </c>
      <c r="C1509" s="91">
        <v>0.18010721503161475</v>
      </c>
      <c r="D1509" s="92">
        <v>148</v>
      </c>
      <c r="G1509" s="5"/>
      <c r="H1509" s="5"/>
      <c r="L1509" s="7"/>
      <c r="M1509" s="7"/>
      <c r="O1509" s="5"/>
      <c r="P1509" s="5"/>
    </row>
    <row r="1510" spans="2:16" x14ac:dyDescent="0.25">
      <c r="B1510" s="90">
        <v>1954</v>
      </c>
      <c r="C1510" s="91">
        <v>0.20448947983348709</v>
      </c>
      <c r="D1510" s="92">
        <v>148</v>
      </c>
      <c r="G1510" s="5"/>
      <c r="H1510" s="5"/>
      <c r="L1510" s="7"/>
      <c r="M1510" s="7"/>
      <c r="O1510" s="5"/>
      <c r="P1510" s="5"/>
    </row>
    <row r="1511" spans="2:16" x14ac:dyDescent="0.25">
      <c r="B1511" s="90">
        <v>420</v>
      </c>
      <c r="C1511" s="91">
        <v>0.27841735963029435</v>
      </c>
      <c r="D1511" s="92">
        <v>148</v>
      </c>
      <c r="G1511" s="5"/>
      <c r="H1511" s="5"/>
      <c r="L1511" s="7"/>
      <c r="M1511" s="7"/>
      <c r="O1511" s="5"/>
      <c r="P1511" s="5"/>
    </row>
    <row r="1512" spans="2:16" x14ac:dyDescent="0.25">
      <c r="B1512" s="90">
        <v>1505</v>
      </c>
      <c r="C1512" s="91">
        <v>9.4588888651213843E-2</v>
      </c>
      <c r="D1512" s="92">
        <v>149</v>
      </c>
      <c r="G1512" s="5"/>
      <c r="H1512" s="5"/>
      <c r="L1512" s="7"/>
      <c r="M1512" s="7"/>
      <c r="O1512" s="5"/>
      <c r="P1512" s="5"/>
    </row>
    <row r="1513" spans="2:16" x14ac:dyDescent="0.25">
      <c r="B1513" s="90">
        <v>1941</v>
      </c>
      <c r="C1513" s="91">
        <v>1.3855792796898081E-2</v>
      </c>
      <c r="D1513" s="92">
        <v>150</v>
      </c>
      <c r="G1513" s="5"/>
      <c r="H1513" s="5"/>
      <c r="L1513" s="7"/>
      <c r="M1513" s="7"/>
      <c r="O1513" s="5"/>
      <c r="P1513" s="5"/>
    </row>
    <row r="1514" spans="2:16" x14ac:dyDescent="0.25">
      <c r="B1514" s="90">
        <v>1961</v>
      </c>
      <c r="C1514" s="91">
        <v>2.4094851693753805E-2</v>
      </c>
      <c r="D1514" s="92">
        <v>150</v>
      </c>
      <c r="G1514" s="5"/>
      <c r="H1514" s="5"/>
      <c r="L1514" s="7"/>
      <c r="M1514" s="7"/>
      <c r="O1514" s="5"/>
      <c r="P1514" s="5"/>
    </row>
    <row r="1515" spans="2:16" x14ac:dyDescent="0.25">
      <c r="B1515" s="90">
        <v>1656</v>
      </c>
      <c r="C1515" s="91">
        <v>3.0955967626652314E-2</v>
      </c>
      <c r="D1515" s="92">
        <v>150</v>
      </c>
      <c r="G1515" s="5"/>
      <c r="H1515" s="5"/>
      <c r="L1515" s="7"/>
      <c r="M1515" s="7"/>
      <c r="O1515" s="5"/>
      <c r="P1515" s="5"/>
    </row>
    <row r="1516" spans="2:16" x14ac:dyDescent="0.25">
      <c r="B1516" s="90">
        <v>1623</v>
      </c>
      <c r="C1516" s="91">
        <v>3.2066279959663158E-2</v>
      </c>
      <c r="D1516" s="92">
        <v>150</v>
      </c>
      <c r="G1516" s="5"/>
      <c r="H1516" s="5"/>
      <c r="L1516" s="7"/>
      <c r="M1516" s="7"/>
      <c r="O1516" s="5"/>
      <c r="P1516" s="5"/>
    </row>
    <row r="1517" spans="2:16" x14ac:dyDescent="0.25">
      <c r="B1517" s="90">
        <v>1899</v>
      </c>
      <c r="C1517" s="91">
        <v>3.3436251812244522E-2</v>
      </c>
      <c r="D1517" s="92">
        <v>150</v>
      </c>
      <c r="G1517" s="5"/>
      <c r="H1517" s="5"/>
      <c r="L1517" s="7"/>
      <c r="M1517" s="7"/>
      <c r="O1517" s="5"/>
      <c r="P1517" s="5"/>
    </row>
    <row r="1518" spans="2:16" x14ac:dyDescent="0.25">
      <c r="B1518" s="90">
        <v>1687</v>
      </c>
      <c r="C1518" s="91">
        <v>3.4585875896060547E-2</v>
      </c>
      <c r="D1518" s="92">
        <v>150</v>
      </c>
      <c r="G1518" s="5"/>
      <c r="H1518" s="5"/>
      <c r="L1518" s="7"/>
      <c r="M1518" s="7"/>
      <c r="O1518" s="5"/>
      <c r="P1518" s="5"/>
    </row>
    <row r="1519" spans="2:16" x14ac:dyDescent="0.25">
      <c r="B1519" s="90">
        <v>1483</v>
      </c>
      <c r="C1519" s="91">
        <v>4.8842447091500651E-2</v>
      </c>
      <c r="D1519" s="92">
        <v>150</v>
      </c>
      <c r="G1519" s="5"/>
      <c r="H1519" s="5"/>
      <c r="L1519" s="7"/>
      <c r="M1519" s="7"/>
      <c r="O1519" s="5"/>
      <c r="P1519" s="5"/>
    </row>
    <row r="1520" spans="2:16" x14ac:dyDescent="0.25">
      <c r="B1520" s="90">
        <v>1982</v>
      </c>
      <c r="C1520" s="91">
        <v>5.0786936104520675E-2</v>
      </c>
      <c r="D1520" s="92">
        <v>150</v>
      </c>
      <c r="G1520" s="5"/>
      <c r="H1520" s="5"/>
      <c r="L1520" s="7"/>
      <c r="M1520" s="7"/>
      <c r="O1520" s="5"/>
      <c r="P1520" s="5"/>
    </row>
    <row r="1521" spans="2:16" x14ac:dyDescent="0.25">
      <c r="B1521" s="90">
        <v>2138</v>
      </c>
      <c r="C1521" s="91">
        <v>5.7940044833538318E-2</v>
      </c>
      <c r="D1521" s="92">
        <v>150</v>
      </c>
      <c r="G1521" s="5"/>
      <c r="H1521" s="5"/>
      <c r="L1521" s="7"/>
      <c r="M1521" s="7"/>
      <c r="O1521" s="5"/>
      <c r="P1521" s="5"/>
    </row>
    <row r="1522" spans="2:16" x14ac:dyDescent="0.25">
      <c r="B1522" s="90">
        <v>1688</v>
      </c>
      <c r="C1522" s="91">
        <v>6.3190906002824843E-2</v>
      </c>
      <c r="D1522" s="92">
        <v>150</v>
      </c>
      <c r="G1522" s="5"/>
      <c r="H1522" s="5"/>
      <c r="L1522" s="7"/>
      <c r="M1522" s="7"/>
      <c r="O1522" s="5"/>
      <c r="P1522" s="5"/>
    </row>
    <row r="1523" spans="2:16" x14ac:dyDescent="0.25">
      <c r="B1523" s="90">
        <v>2098</v>
      </c>
      <c r="C1523" s="91">
        <v>6.3444323603750852E-2</v>
      </c>
      <c r="D1523" s="92">
        <v>150</v>
      </c>
      <c r="G1523" s="5"/>
      <c r="H1523" s="5"/>
      <c r="L1523" s="7"/>
      <c r="M1523" s="7"/>
      <c r="O1523" s="5"/>
      <c r="P1523" s="5"/>
    </row>
    <row r="1524" spans="2:16" x14ac:dyDescent="0.25">
      <c r="B1524" s="90">
        <v>2075</v>
      </c>
      <c r="C1524" s="91">
        <v>7.0393040228847958E-2</v>
      </c>
      <c r="D1524" s="92">
        <v>150</v>
      </c>
      <c r="G1524" s="5"/>
      <c r="H1524" s="5"/>
      <c r="L1524" s="7"/>
      <c r="M1524" s="7"/>
      <c r="O1524" s="5"/>
      <c r="P1524" s="5"/>
    </row>
    <row r="1525" spans="2:16" x14ac:dyDescent="0.25">
      <c r="B1525" s="90">
        <v>1898</v>
      </c>
      <c r="C1525" s="91">
        <v>7.4202607028540979E-2</v>
      </c>
      <c r="D1525" s="92">
        <v>150</v>
      </c>
      <c r="G1525" s="5"/>
      <c r="H1525" s="5"/>
      <c r="L1525" s="7"/>
      <c r="M1525" s="7"/>
      <c r="O1525" s="5"/>
      <c r="P1525" s="5"/>
    </row>
    <row r="1526" spans="2:16" x14ac:dyDescent="0.25">
      <c r="B1526" s="90">
        <v>2000</v>
      </c>
      <c r="C1526" s="91">
        <v>8.1586583290393033E-2</v>
      </c>
      <c r="D1526" s="92">
        <v>150</v>
      </c>
      <c r="G1526" s="5"/>
      <c r="H1526" s="5"/>
      <c r="L1526" s="7"/>
      <c r="M1526" s="7"/>
      <c r="O1526" s="5"/>
      <c r="P1526" s="5"/>
    </row>
    <row r="1527" spans="2:16" x14ac:dyDescent="0.25">
      <c r="B1527" s="90">
        <v>2079</v>
      </c>
      <c r="C1527" s="91">
        <v>8.7839720610295768E-2</v>
      </c>
      <c r="D1527" s="92">
        <v>150</v>
      </c>
      <c r="G1527" s="5"/>
      <c r="H1527" s="5"/>
      <c r="L1527" s="7"/>
      <c r="M1527" s="7"/>
      <c r="O1527" s="5"/>
      <c r="P1527" s="5"/>
    </row>
    <row r="1528" spans="2:16" x14ac:dyDescent="0.25">
      <c r="B1528" s="90">
        <v>1916</v>
      </c>
      <c r="C1528" s="91">
        <v>0.10085859919299223</v>
      </c>
      <c r="D1528" s="92">
        <v>150</v>
      </c>
      <c r="G1528" s="5"/>
      <c r="H1528" s="5"/>
      <c r="L1528" s="7"/>
      <c r="M1528" s="7"/>
      <c r="O1528" s="5"/>
      <c r="P1528" s="5"/>
    </row>
    <row r="1529" spans="2:16" x14ac:dyDescent="0.25">
      <c r="B1529" s="90">
        <v>2001</v>
      </c>
      <c r="C1529" s="91">
        <v>0.10812897683051703</v>
      </c>
      <c r="D1529" s="92">
        <v>150</v>
      </c>
      <c r="G1529" s="5"/>
      <c r="H1529" s="5"/>
      <c r="L1529" s="7"/>
      <c r="M1529" s="7"/>
      <c r="O1529" s="5"/>
      <c r="P1529" s="5"/>
    </row>
    <row r="1530" spans="2:16" x14ac:dyDescent="0.25">
      <c r="B1530" s="90">
        <v>1965</v>
      </c>
      <c r="C1530" s="91">
        <v>0.11062821786851518</v>
      </c>
      <c r="D1530" s="92">
        <v>150</v>
      </c>
      <c r="G1530" s="5"/>
      <c r="H1530" s="5"/>
      <c r="L1530" s="7"/>
      <c r="M1530" s="7"/>
      <c r="O1530" s="5"/>
      <c r="P1530" s="5"/>
    </row>
    <row r="1531" spans="2:16" x14ac:dyDescent="0.25">
      <c r="B1531" s="90">
        <v>1949</v>
      </c>
      <c r="C1531" s="91">
        <v>0.13277331731155673</v>
      </c>
      <c r="D1531" s="92">
        <v>150</v>
      </c>
      <c r="G1531" s="5"/>
      <c r="H1531" s="5"/>
      <c r="L1531" s="7"/>
      <c r="M1531" s="7"/>
      <c r="O1531" s="5"/>
      <c r="P1531" s="5"/>
    </row>
    <row r="1532" spans="2:16" x14ac:dyDescent="0.25">
      <c r="B1532" s="90">
        <v>1561</v>
      </c>
      <c r="C1532" s="91">
        <v>0.15519269247999967</v>
      </c>
      <c r="D1532" s="92">
        <v>150</v>
      </c>
      <c r="G1532" s="5"/>
      <c r="H1532" s="5"/>
      <c r="L1532" s="7"/>
      <c r="M1532" s="7"/>
      <c r="O1532" s="5"/>
      <c r="P1532" s="5"/>
    </row>
    <row r="1533" spans="2:16" x14ac:dyDescent="0.25">
      <c r="B1533" s="90">
        <v>1990</v>
      </c>
      <c r="C1533" s="91">
        <v>0.15630294420606117</v>
      </c>
      <c r="D1533" s="92">
        <v>150</v>
      </c>
      <c r="G1533" s="5"/>
      <c r="H1533" s="5"/>
      <c r="L1533" s="7"/>
      <c r="M1533" s="7"/>
      <c r="O1533" s="5"/>
      <c r="P1533" s="5"/>
    </row>
    <row r="1534" spans="2:16" x14ac:dyDescent="0.25">
      <c r="B1534" s="90">
        <v>1908</v>
      </c>
      <c r="C1534" s="91">
        <v>0.15679960401079462</v>
      </c>
      <c r="D1534" s="92">
        <v>150</v>
      </c>
      <c r="G1534" s="5"/>
      <c r="H1534" s="5"/>
      <c r="L1534" s="7"/>
      <c r="M1534" s="7"/>
      <c r="O1534" s="5"/>
      <c r="P1534" s="5"/>
    </row>
    <row r="1535" spans="2:16" x14ac:dyDescent="0.25">
      <c r="B1535" s="90">
        <v>1689</v>
      </c>
      <c r="C1535" s="91">
        <v>0.15798968420048443</v>
      </c>
      <c r="D1535" s="92">
        <v>150</v>
      </c>
      <c r="G1535" s="5"/>
      <c r="H1535" s="5"/>
      <c r="L1535" s="7"/>
      <c r="M1535" s="7"/>
      <c r="O1535" s="5"/>
      <c r="P1535" s="5"/>
    </row>
    <row r="1536" spans="2:16" x14ac:dyDescent="0.25">
      <c r="B1536" s="90">
        <v>1987</v>
      </c>
      <c r="C1536" s="91">
        <v>0.15927583725207395</v>
      </c>
      <c r="D1536" s="92">
        <v>150</v>
      </c>
      <c r="G1536" s="5"/>
      <c r="H1536" s="5"/>
      <c r="L1536" s="7"/>
      <c r="M1536" s="7"/>
      <c r="O1536" s="5"/>
      <c r="P1536" s="5"/>
    </row>
    <row r="1537" spans="2:16" x14ac:dyDescent="0.25">
      <c r="B1537" s="90">
        <v>1903</v>
      </c>
      <c r="C1537" s="91">
        <v>0.16582870112494408</v>
      </c>
      <c r="D1537" s="92">
        <v>150</v>
      </c>
      <c r="G1537" s="5"/>
      <c r="H1537" s="5"/>
      <c r="L1537" s="7"/>
      <c r="M1537" s="7"/>
      <c r="O1537" s="5"/>
      <c r="P1537" s="5"/>
    </row>
    <row r="1538" spans="2:16" x14ac:dyDescent="0.25">
      <c r="B1538" s="90">
        <v>1596</v>
      </c>
      <c r="C1538" s="91">
        <v>0.16644575957690755</v>
      </c>
      <c r="D1538" s="92">
        <v>150</v>
      </c>
      <c r="G1538" s="5"/>
      <c r="H1538" s="5"/>
      <c r="L1538" s="7"/>
      <c r="M1538" s="7"/>
      <c r="O1538" s="5"/>
      <c r="P1538" s="5"/>
    </row>
    <row r="1539" spans="2:16" x14ac:dyDescent="0.25">
      <c r="B1539" s="90">
        <v>1629</v>
      </c>
      <c r="C1539" s="91">
        <v>0.16900382387207258</v>
      </c>
      <c r="D1539" s="92">
        <v>150</v>
      </c>
      <c r="G1539" s="5"/>
      <c r="H1539" s="5"/>
      <c r="L1539" s="7"/>
      <c r="M1539" s="7"/>
      <c r="O1539" s="5"/>
      <c r="P1539" s="5"/>
    </row>
    <row r="1540" spans="2:16" x14ac:dyDescent="0.25">
      <c r="B1540" s="90">
        <v>1907</v>
      </c>
      <c r="C1540" s="91">
        <v>0.17100223437450612</v>
      </c>
      <c r="D1540" s="92">
        <v>150</v>
      </c>
      <c r="G1540" s="5"/>
      <c r="H1540" s="5"/>
      <c r="L1540" s="7"/>
      <c r="M1540" s="7"/>
      <c r="O1540" s="5"/>
      <c r="P1540" s="5"/>
    </row>
    <row r="1541" spans="2:16" x14ac:dyDescent="0.25">
      <c r="B1541" s="90">
        <v>1619</v>
      </c>
      <c r="C1541" s="91">
        <v>0.1860890647051735</v>
      </c>
      <c r="D1541" s="92">
        <v>150</v>
      </c>
      <c r="G1541" s="5"/>
      <c r="H1541" s="5"/>
      <c r="L1541" s="7"/>
      <c r="M1541" s="7"/>
      <c r="O1541" s="5"/>
      <c r="P1541" s="5"/>
    </row>
    <row r="1542" spans="2:16" x14ac:dyDescent="0.25">
      <c r="B1542" s="90">
        <v>1230</v>
      </c>
      <c r="C1542" s="91">
        <v>0.24408071930577835</v>
      </c>
      <c r="D1542" s="92">
        <v>150</v>
      </c>
      <c r="G1542" s="5"/>
      <c r="H1542" s="5"/>
      <c r="L1542" s="7"/>
      <c r="M1542" s="7"/>
      <c r="O1542" s="5"/>
      <c r="P1542" s="5"/>
    </row>
    <row r="1543" spans="2:16" x14ac:dyDescent="0.25">
      <c r="B1543" s="90">
        <v>479</v>
      </c>
      <c r="C1543" s="91">
        <v>0.2836116754855742</v>
      </c>
      <c r="D1543" s="92">
        <v>150</v>
      </c>
      <c r="G1543" s="5"/>
      <c r="H1543" s="5"/>
      <c r="L1543" s="7"/>
      <c r="M1543" s="7"/>
      <c r="O1543" s="5"/>
      <c r="P1543" s="5"/>
    </row>
    <row r="1544" spans="2:16" x14ac:dyDescent="0.25">
      <c r="B1544" s="90">
        <v>1620</v>
      </c>
      <c r="C1544" s="91">
        <v>0.29759481078927663</v>
      </c>
      <c r="D1544" s="92">
        <v>150</v>
      </c>
      <c r="G1544" s="5"/>
      <c r="H1544" s="5"/>
      <c r="L1544" s="7"/>
      <c r="M1544" s="7"/>
      <c r="O1544" s="5"/>
      <c r="P1544" s="5"/>
    </row>
    <row r="1545" spans="2:16" x14ac:dyDescent="0.25">
      <c r="B1545" s="90">
        <v>1587</v>
      </c>
      <c r="C1545" s="91">
        <v>0.30095318622272882</v>
      </c>
      <c r="D1545" s="92">
        <v>150</v>
      </c>
      <c r="G1545" s="5"/>
      <c r="H1545" s="5"/>
      <c r="L1545" s="7"/>
      <c r="M1545" s="7"/>
      <c r="O1545" s="5"/>
      <c r="P1545" s="5"/>
    </row>
    <row r="1546" spans="2:16" x14ac:dyDescent="0.25">
      <c r="B1546" s="90">
        <v>1300</v>
      </c>
      <c r="C1546" s="91">
        <v>8.7386560526778956E-2</v>
      </c>
      <c r="D1546" s="92">
        <v>151</v>
      </c>
      <c r="G1546" s="5"/>
      <c r="H1546" s="5"/>
      <c r="L1546" s="7"/>
      <c r="M1546" s="7"/>
      <c r="O1546" s="5"/>
      <c r="P1546" s="5"/>
    </row>
    <row r="1547" spans="2:16" x14ac:dyDescent="0.25">
      <c r="B1547" s="90">
        <v>1258</v>
      </c>
      <c r="C1547" s="91">
        <v>9.5187429696946713E-2</v>
      </c>
      <c r="D1547" s="92">
        <v>151</v>
      </c>
      <c r="G1547" s="5"/>
      <c r="H1547" s="5"/>
      <c r="L1547" s="7"/>
      <c r="M1547" s="7"/>
      <c r="O1547" s="5"/>
      <c r="P1547" s="5"/>
    </row>
    <row r="1548" spans="2:16" x14ac:dyDescent="0.25">
      <c r="B1548" s="90">
        <v>1953</v>
      </c>
      <c r="C1548" s="91">
        <v>0.14582910252399994</v>
      </c>
      <c r="D1548" s="92">
        <v>152</v>
      </c>
      <c r="G1548" s="5"/>
      <c r="H1548" s="5"/>
      <c r="L1548" s="7"/>
      <c r="M1548" s="7"/>
      <c r="O1548" s="5"/>
      <c r="P1548" s="5"/>
    </row>
    <row r="1549" spans="2:16" x14ac:dyDescent="0.25">
      <c r="B1549" s="90">
        <v>115</v>
      </c>
      <c r="C1549" s="91">
        <v>0.32854895844123821</v>
      </c>
      <c r="D1549" s="92">
        <v>153</v>
      </c>
      <c r="G1549" s="5"/>
      <c r="H1549" s="5"/>
      <c r="L1549" s="7"/>
      <c r="M1549" s="7"/>
      <c r="O1549" s="5"/>
      <c r="P1549" s="5"/>
    </row>
    <row r="1550" spans="2:16" x14ac:dyDescent="0.25">
      <c r="B1550" s="90">
        <v>764</v>
      </c>
      <c r="C1550" s="91">
        <v>0.38919600459595283</v>
      </c>
      <c r="D1550" s="92">
        <v>153</v>
      </c>
      <c r="G1550" s="5"/>
      <c r="H1550" s="5"/>
      <c r="L1550" s="7"/>
      <c r="M1550" s="7"/>
      <c r="O1550" s="5"/>
      <c r="P1550" s="5"/>
    </row>
    <row r="1551" spans="2:16" x14ac:dyDescent="0.25">
      <c r="B1551" s="90">
        <v>21</v>
      </c>
      <c r="C1551" s="91">
        <v>0.10272030877744609</v>
      </c>
      <c r="D1551" s="92">
        <v>154</v>
      </c>
      <c r="G1551" s="5"/>
      <c r="H1551" s="5"/>
      <c r="L1551" s="7"/>
      <c r="M1551" s="7"/>
      <c r="O1551" s="5"/>
      <c r="P1551" s="5"/>
    </row>
    <row r="1552" spans="2:16" x14ac:dyDescent="0.25">
      <c r="B1552" s="90">
        <v>1936</v>
      </c>
      <c r="C1552" s="91">
        <v>0.10272030877744609</v>
      </c>
      <c r="D1552" s="92">
        <v>154</v>
      </c>
      <c r="G1552" s="5"/>
      <c r="H1552" s="5"/>
      <c r="L1552" s="7"/>
      <c r="M1552" s="7"/>
      <c r="O1552" s="5"/>
      <c r="P1552" s="5"/>
    </row>
    <row r="1553" spans="2:16" x14ac:dyDescent="0.25">
      <c r="B1553" s="90">
        <v>909</v>
      </c>
      <c r="C1553" s="91">
        <v>0.1698613155327332</v>
      </c>
      <c r="D1553" s="92">
        <v>154</v>
      </c>
      <c r="G1553" s="5"/>
      <c r="H1553" s="5"/>
      <c r="L1553" s="7"/>
      <c r="M1553" s="7"/>
      <c r="O1553" s="5"/>
      <c r="P1553" s="5"/>
    </row>
    <row r="1554" spans="2:16" x14ac:dyDescent="0.25">
      <c r="B1554" s="90">
        <v>1299</v>
      </c>
      <c r="C1554" s="91">
        <v>7.7662855681112419E-2</v>
      </c>
      <c r="D1554" s="92">
        <v>155</v>
      </c>
      <c r="G1554" s="5"/>
      <c r="H1554" s="5"/>
      <c r="L1554" s="7"/>
      <c r="M1554" s="7"/>
      <c r="O1554" s="5"/>
      <c r="P1554" s="5"/>
    </row>
    <row r="1555" spans="2:16" x14ac:dyDescent="0.25">
      <c r="B1555" s="90">
        <v>1257</v>
      </c>
      <c r="C1555" s="91">
        <v>7.8466383024392461E-2</v>
      </c>
      <c r="D1555" s="92">
        <v>155</v>
      </c>
      <c r="G1555" s="5"/>
      <c r="H1555" s="5"/>
      <c r="L1555" s="7"/>
      <c r="M1555" s="7"/>
      <c r="O1555" s="5"/>
      <c r="P1555" s="5"/>
    </row>
    <row r="1556" spans="2:16" x14ac:dyDescent="0.25">
      <c r="B1556" s="90">
        <v>1419</v>
      </c>
      <c r="C1556" s="91">
        <v>9.1292028642920076E-2</v>
      </c>
      <c r="D1556" s="92">
        <v>155</v>
      </c>
      <c r="G1556" s="5"/>
      <c r="H1556" s="5"/>
      <c r="L1556" s="7"/>
      <c r="M1556" s="7"/>
      <c r="O1556" s="5"/>
      <c r="P1556" s="5"/>
    </row>
    <row r="1557" spans="2:16" x14ac:dyDescent="0.25">
      <c r="B1557" s="90">
        <v>1231</v>
      </c>
      <c r="C1557" s="91">
        <v>0.23858081142763077</v>
      </c>
      <c r="D1557" s="92">
        <v>155</v>
      </c>
      <c r="G1557" s="5"/>
      <c r="H1557" s="5"/>
      <c r="L1557" s="7"/>
      <c r="M1557" s="7"/>
      <c r="O1557" s="5"/>
      <c r="P1557" s="5"/>
    </row>
    <row r="1558" spans="2:16" x14ac:dyDescent="0.25">
      <c r="B1558" s="90">
        <v>50</v>
      </c>
      <c r="C1558" s="91">
        <v>0.33083035931750482</v>
      </c>
      <c r="D1558" s="92">
        <v>155</v>
      </c>
      <c r="G1558" s="5"/>
      <c r="H1558" s="5"/>
      <c r="L1558" s="7"/>
      <c r="M1558" s="7"/>
      <c r="O1558" s="5"/>
      <c r="P1558" s="5"/>
    </row>
    <row r="1559" spans="2:16" x14ac:dyDescent="0.25">
      <c r="B1559" s="90">
        <v>921</v>
      </c>
      <c r="C1559" s="91">
        <v>0.33083035931750482</v>
      </c>
      <c r="D1559" s="92">
        <v>155</v>
      </c>
      <c r="G1559" s="5"/>
      <c r="H1559" s="5"/>
      <c r="L1559" s="7"/>
      <c r="M1559" s="7"/>
      <c r="O1559" s="5"/>
      <c r="P1559" s="5"/>
    </row>
    <row r="1560" spans="2:16" x14ac:dyDescent="0.25">
      <c r="B1560" s="90">
        <v>710</v>
      </c>
      <c r="C1560" s="91">
        <v>0.38943000435913255</v>
      </c>
      <c r="D1560" s="92">
        <v>155</v>
      </c>
      <c r="G1560" s="5"/>
      <c r="H1560" s="5"/>
      <c r="L1560" s="7"/>
      <c r="M1560" s="7"/>
      <c r="O1560" s="5"/>
      <c r="P1560" s="5"/>
    </row>
    <row r="1561" spans="2:16" x14ac:dyDescent="0.25">
      <c r="B1561" s="90">
        <v>1873</v>
      </c>
      <c r="C1561" s="91">
        <v>2.9524948772223114E-2</v>
      </c>
      <c r="D1561" s="92">
        <v>156</v>
      </c>
      <c r="G1561" s="5"/>
      <c r="H1561" s="5"/>
      <c r="L1561" s="7"/>
      <c r="M1561" s="7"/>
      <c r="O1561" s="5"/>
      <c r="P1561" s="5"/>
    </row>
    <row r="1562" spans="2:16" x14ac:dyDescent="0.25">
      <c r="B1562" s="90">
        <v>20</v>
      </c>
      <c r="C1562" s="91">
        <v>0.12080178462344182</v>
      </c>
      <c r="D1562" s="92">
        <v>156</v>
      </c>
      <c r="G1562" s="5"/>
      <c r="H1562" s="5"/>
      <c r="L1562" s="7"/>
      <c r="M1562" s="7"/>
      <c r="O1562" s="5"/>
      <c r="P1562" s="5"/>
    </row>
    <row r="1563" spans="2:16" x14ac:dyDescent="0.25">
      <c r="B1563" s="90">
        <v>1956</v>
      </c>
      <c r="C1563" s="91">
        <v>0.12080178462344182</v>
      </c>
      <c r="D1563" s="92">
        <v>156</v>
      </c>
      <c r="G1563" s="5"/>
      <c r="H1563" s="5"/>
      <c r="L1563" s="7"/>
      <c r="M1563" s="7"/>
      <c r="O1563" s="5"/>
      <c r="P1563" s="5"/>
    </row>
    <row r="1564" spans="2:16" x14ac:dyDescent="0.25">
      <c r="B1564" s="90">
        <v>1582</v>
      </c>
      <c r="C1564" s="91">
        <v>0.27173970036691497</v>
      </c>
      <c r="D1564" s="92">
        <v>156</v>
      </c>
      <c r="G1564" s="5"/>
      <c r="H1564" s="5"/>
      <c r="L1564" s="7"/>
      <c r="M1564" s="7"/>
      <c r="O1564" s="5"/>
      <c r="P1564" s="5"/>
    </row>
    <row r="1565" spans="2:16" x14ac:dyDescent="0.25">
      <c r="B1565" s="90">
        <v>869</v>
      </c>
      <c r="C1565" s="91">
        <v>0.3991997094810551</v>
      </c>
      <c r="D1565" s="92">
        <v>156</v>
      </c>
      <c r="G1565" s="5"/>
      <c r="H1565" s="5"/>
      <c r="L1565" s="7"/>
      <c r="M1565" s="7"/>
      <c r="O1565" s="5"/>
      <c r="P1565" s="5"/>
    </row>
    <row r="1566" spans="2:16" x14ac:dyDescent="0.25">
      <c r="B1566" s="90">
        <v>913</v>
      </c>
      <c r="C1566" s="91">
        <v>0.20357489171503373</v>
      </c>
      <c r="D1566" s="92">
        <v>157</v>
      </c>
      <c r="G1566" s="5"/>
      <c r="H1566" s="5"/>
      <c r="L1566" s="7"/>
      <c r="M1566" s="7"/>
      <c r="O1566" s="5"/>
      <c r="P1566" s="5"/>
    </row>
    <row r="1567" spans="2:16" x14ac:dyDescent="0.25">
      <c r="B1567" s="90">
        <v>819</v>
      </c>
      <c r="C1567" s="91">
        <v>0.3423456139498311</v>
      </c>
      <c r="D1567" s="92">
        <v>157</v>
      </c>
      <c r="G1567" s="5"/>
      <c r="H1567" s="5"/>
      <c r="L1567" s="7"/>
      <c r="M1567" s="7"/>
      <c r="O1567" s="5"/>
      <c r="P1567" s="5"/>
    </row>
    <row r="1568" spans="2:16" x14ac:dyDescent="0.25">
      <c r="B1568" s="90">
        <v>1622</v>
      </c>
      <c r="C1568" s="91">
        <v>3.2428886323060846E-2</v>
      </c>
      <c r="D1568" s="92">
        <v>158</v>
      </c>
      <c r="G1568" s="5"/>
      <c r="H1568" s="5"/>
      <c r="L1568" s="7"/>
      <c r="M1568" s="7"/>
      <c r="O1568" s="5"/>
      <c r="P1568" s="5"/>
    </row>
    <row r="1569" spans="2:16" x14ac:dyDescent="0.25">
      <c r="B1569" s="90">
        <v>1940</v>
      </c>
      <c r="C1569" s="91">
        <v>3.4879533186615852E-2</v>
      </c>
      <c r="D1569" s="92">
        <v>158</v>
      </c>
      <c r="G1569" s="5"/>
      <c r="H1569" s="5"/>
      <c r="L1569" s="7"/>
      <c r="M1569" s="7"/>
      <c r="O1569" s="5"/>
      <c r="P1569" s="5"/>
    </row>
    <row r="1570" spans="2:16" x14ac:dyDescent="0.25">
      <c r="B1570" s="90">
        <v>1918</v>
      </c>
      <c r="C1570" s="91">
        <v>7.2874993007942868E-2</v>
      </c>
      <c r="D1570" s="92">
        <v>158</v>
      </c>
      <c r="G1570" s="5"/>
      <c r="H1570" s="5"/>
      <c r="L1570" s="7"/>
      <c r="M1570" s="7"/>
      <c r="O1570" s="5"/>
      <c r="P1570" s="5"/>
    </row>
    <row r="1571" spans="2:16" x14ac:dyDescent="0.25">
      <c r="B1571" s="90">
        <v>484</v>
      </c>
      <c r="C1571" s="91">
        <v>0.36224898150737772</v>
      </c>
      <c r="D1571" s="92">
        <v>158</v>
      </c>
      <c r="G1571" s="5"/>
      <c r="H1571" s="5"/>
      <c r="L1571" s="7"/>
      <c r="M1571" s="7"/>
      <c r="O1571" s="5"/>
      <c r="P1571" s="5"/>
    </row>
    <row r="1572" spans="2:16" x14ac:dyDescent="0.25">
      <c r="B1572" s="90">
        <v>647</v>
      </c>
      <c r="C1572" s="91">
        <v>0.18228865224181667</v>
      </c>
      <c r="D1572" s="92">
        <v>159</v>
      </c>
      <c r="G1572" s="5"/>
      <c r="H1572" s="5"/>
      <c r="L1572" s="7"/>
      <c r="M1572" s="7"/>
      <c r="O1572" s="5"/>
      <c r="P1572" s="5"/>
    </row>
    <row r="1573" spans="2:16" x14ac:dyDescent="0.25">
      <c r="B1573" s="90">
        <v>243</v>
      </c>
      <c r="C1573" s="91">
        <v>0.33478894787255842</v>
      </c>
      <c r="D1573" s="92">
        <v>159</v>
      </c>
      <c r="G1573" s="5"/>
      <c r="H1573" s="5"/>
      <c r="L1573" s="7"/>
      <c r="M1573" s="7"/>
      <c r="O1573" s="5"/>
      <c r="P1573" s="5"/>
    </row>
    <row r="1574" spans="2:16" x14ac:dyDescent="0.25">
      <c r="B1574" s="90">
        <v>366</v>
      </c>
      <c r="C1574" s="91">
        <v>0.35513706696223113</v>
      </c>
      <c r="D1574" s="92">
        <v>159</v>
      </c>
      <c r="G1574" s="5"/>
      <c r="H1574" s="5"/>
      <c r="L1574" s="7"/>
      <c r="M1574" s="7"/>
      <c r="O1574" s="5"/>
      <c r="P1574" s="5"/>
    </row>
    <row r="1575" spans="2:16" x14ac:dyDescent="0.25">
      <c r="B1575" s="90">
        <v>367</v>
      </c>
      <c r="C1575" s="91">
        <v>0.35808710935515498</v>
      </c>
      <c r="D1575" s="92">
        <v>159</v>
      </c>
      <c r="G1575" s="5"/>
      <c r="H1575" s="5"/>
      <c r="L1575" s="7"/>
      <c r="M1575" s="7"/>
      <c r="O1575" s="5"/>
      <c r="P1575" s="5"/>
    </row>
    <row r="1576" spans="2:16" x14ac:dyDescent="0.25">
      <c r="B1576" s="90">
        <v>1171</v>
      </c>
      <c r="C1576" s="91">
        <v>0.13375079288803171</v>
      </c>
      <c r="D1576" s="92">
        <v>160</v>
      </c>
      <c r="G1576" s="5"/>
      <c r="H1576" s="5"/>
      <c r="L1576" s="7"/>
      <c r="M1576" s="7"/>
      <c r="O1576" s="5"/>
      <c r="P1576" s="5"/>
    </row>
    <row r="1577" spans="2:16" x14ac:dyDescent="0.25">
      <c r="B1577" s="90">
        <v>538</v>
      </c>
      <c r="C1577" s="91">
        <v>0.26999358925340611</v>
      </c>
      <c r="D1577" s="92">
        <v>160</v>
      </c>
      <c r="G1577" s="5"/>
      <c r="H1577" s="5"/>
      <c r="L1577" s="7"/>
      <c r="M1577" s="7"/>
      <c r="O1577" s="5"/>
      <c r="P1577" s="5"/>
    </row>
    <row r="1578" spans="2:16" x14ac:dyDescent="0.25">
      <c r="B1578" s="90">
        <v>1190</v>
      </c>
      <c r="C1578" s="91">
        <v>0.25539395759680217</v>
      </c>
      <c r="D1578" s="92">
        <v>161</v>
      </c>
      <c r="G1578" s="5"/>
      <c r="H1578" s="5"/>
      <c r="L1578" s="7"/>
      <c r="M1578" s="7"/>
      <c r="O1578" s="5"/>
      <c r="P1578" s="5"/>
    </row>
    <row r="1579" spans="2:16" x14ac:dyDescent="0.25">
      <c r="B1579" s="90">
        <v>1363</v>
      </c>
      <c r="C1579" s="91">
        <v>0.27000672546279525</v>
      </c>
      <c r="D1579" s="92">
        <v>161</v>
      </c>
      <c r="G1579" s="5"/>
      <c r="H1579" s="5"/>
      <c r="L1579" s="7"/>
      <c r="M1579" s="7"/>
      <c r="O1579" s="5"/>
      <c r="P1579" s="5"/>
    </row>
    <row r="1580" spans="2:16" x14ac:dyDescent="0.25">
      <c r="B1580" s="90">
        <v>305</v>
      </c>
      <c r="C1580" s="91">
        <v>0.3578214005009609</v>
      </c>
      <c r="D1580" s="92">
        <v>161</v>
      </c>
      <c r="G1580" s="5"/>
      <c r="H1580" s="5"/>
      <c r="L1580" s="7"/>
      <c r="M1580" s="7"/>
      <c r="O1580" s="5"/>
      <c r="P1580" s="5"/>
    </row>
    <row r="1581" spans="2:16" x14ac:dyDescent="0.25">
      <c r="B1581" s="90">
        <v>306</v>
      </c>
      <c r="C1581" s="91">
        <v>0.36206925610976393</v>
      </c>
      <c r="D1581" s="92">
        <v>161</v>
      </c>
      <c r="G1581" s="5"/>
      <c r="H1581" s="5"/>
      <c r="L1581" s="7"/>
      <c r="M1581" s="7"/>
      <c r="O1581" s="5"/>
      <c r="P1581" s="5"/>
    </row>
    <row r="1582" spans="2:16" x14ac:dyDescent="0.25">
      <c r="B1582" s="90">
        <v>427</v>
      </c>
      <c r="C1582" s="91">
        <v>0.35614490968347878</v>
      </c>
      <c r="D1582" s="92">
        <v>162</v>
      </c>
      <c r="G1582" s="5"/>
      <c r="H1582" s="5"/>
      <c r="L1582" s="7"/>
      <c r="M1582" s="7"/>
      <c r="O1582" s="5"/>
      <c r="P1582" s="5"/>
    </row>
    <row r="1583" spans="2:16" x14ac:dyDescent="0.25">
      <c r="B1583" s="90">
        <v>426</v>
      </c>
      <c r="C1583" s="91">
        <v>0.35843818393448867</v>
      </c>
      <c r="D1583" s="92">
        <v>162</v>
      </c>
      <c r="G1583" s="5"/>
      <c r="H1583" s="5"/>
      <c r="L1583" s="7"/>
      <c r="M1583" s="7"/>
      <c r="O1583" s="5"/>
      <c r="P1583" s="5"/>
    </row>
    <row r="1584" spans="2:16" x14ac:dyDescent="0.25">
      <c r="B1584" s="90">
        <v>1170</v>
      </c>
      <c r="C1584" s="91">
        <v>9.4558788996710663E-2</v>
      </c>
      <c r="D1584" s="92">
        <v>164</v>
      </c>
      <c r="G1584" s="5"/>
      <c r="H1584" s="5"/>
      <c r="L1584" s="7"/>
      <c r="M1584" s="7"/>
      <c r="O1584" s="5"/>
      <c r="P1584" s="5"/>
    </row>
    <row r="1585" spans="2:16" x14ac:dyDescent="0.25">
      <c r="B1585" s="90">
        <v>1506</v>
      </c>
      <c r="C1585" s="91">
        <v>7.5652978000815052E-2</v>
      </c>
      <c r="D1585" s="92">
        <v>165</v>
      </c>
      <c r="G1585" s="5"/>
      <c r="H1585" s="5"/>
      <c r="L1585" s="7"/>
      <c r="M1585" s="7"/>
      <c r="O1585" s="5"/>
      <c r="P1585" s="5"/>
    </row>
    <row r="1586" spans="2:16" x14ac:dyDescent="0.25">
      <c r="B1586" s="90">
        <v>1360</v>
      </c>
      <c r="C1586" s="91">
        <v>0.25346197206997789</v>
      </c>
      <c r="D1586" s="92">
        <v>165</v>
      </c>
      <c r="G1586" s="5"/>
      <c r="H1586" s="5"/>
      <c r="L1586" s="7"/>
      <c r="M1586" s="7"/>
      <c r="O1586" s="5"/>
      <c r="P1586" s="5"/>
    </row>
    <row r="1587" spans="2:16" x14ac:dyDescent="0.25">
      <c r="B1587" s="90">
        <v>179</v>
      </c>
      <c r="C1587" s="91">
        <v>0.31424465875211272</v>
      </c>
      <c r="D1587" s="92">
        <v>165</v>
      </c>
      <c r="G1587" s="5"/>
      <c r="H1587" s="5"/>
      <c r="L1587" s="7"/>
      <c r="M1587" s="7"/>
      <c r="O1587" s="5"/>
      <c r="P1587" s="5"/>
    </row>
    <row r="1588" spans="2:16" x14ac:dyDescent="0.25">
      <c r="B1588" s="90">
        <v>1589</v>
      </c>
      <c r="C1588" s="91">
        <v>3.319784710088336E-2</v>
      </c>
      <c r="D1588" s="92">
        <v>166</v>
      </c>
      <c r="G1588" s="5"/>
      <c r="H1588" s="5"/>
      <c r="L1588" s="7"/>
      <c r="M1588" s="7"/>
      <c r="O1588" s="5"/>
      <c r="P1588" s="5"/>
    </row>
    <row r="1589" spans="2:16" x14ac:dyDescent="0.25">
      <c r="B1589" s="90">
        <v>963</v>
      </c>
      <c r="C1589" s="91">
        <v>0.21744114418721838</v>
      </c>
      <c r="D1589" s="92">
        <v>166</v>
      </c>
      <c r="G1589" s="5"/>
      <c r="H1589" s="5"/>
      <c r="L1589" s="7"/>
      <c r="M1589" s="7"/>
      <c r="O1589" s="5"/>
      <c r="P1589" s="5"/>
    </row>
    <row r="1590" spans="2:16" x14ac:dyDescent="0.25">
      <c r="B1590" s="90">
        <v>1972</v>
      </c>
      <c r="C1590" s="91">
        <v>5.3747563608257054E-2</v>
      </c>
      <c r="D1590" s="92">
        <v>167</v>
      </c>
      <c r="G1590" s="5"/>
      <c r="H1590" s="5"/>
      <c r="L1590" s="7"/>
      <c r="M1590" s="7"/>
      <c r="O1590" s="5"/>
      <c r="P1590" s="5"/>
    </row>
    <row r="1591" spans="2:16" x14ac:dyDescent="0.25">
      <c r="B1591" s="90">
        <v>1212</v>
      </c>
      <c r="C1591" s="91">
        <v>5.7217994881476053E-2</v>
      </c>
      <c r="D1591" s="92">
        <v>167</v>
      </c>
      <c r="G1591" s="5"/>
      <c r="H1591" s="5"/>
      <c r="L1591" s="7"/>
      <c r="M1591" s="7"/>
      <c r="O1591" s="5"/>
      <c r="P1591" s="5"/>
    </row>
    <row r="1592" spans="2:16" x14ac:dyDescent="0.25">
      <c r="B1592" s="90">
        <v>1655</v>
      </c>
      <c r="C1592" s="91">
        <v>4.3208276798082146E-2</v>
      </c>
      <c r="D1592" s="92">
        <v>168</v>
      </c>
      <c r="G1592" s="5"/>
      <c r="H1592" s="5"/>
      <c r="L1592" s="7"/>
      <c r="M1592" s="7"/>
      <c r="O1592" s="5"/>
      <c r="P1592" s="5"/>
    </row>
    <row r="1593" spans="2:16" x14ac:dyDescent="0.25">
      <c r="B1593" s="90">
        <v>2133</v>
      </c>
      <c r="C1593" s="91">
        <v>5.2030835680492493E-2</v>
      </c>
      <c r="D1593" s="92">
        <v>168</v>
      </c>
      <c r="G1593" s="5"/>
      <c r="H1593" s="5"/>
      <c r="L1593" s="7"/>
      <c r="M1593" s="7"/>
      <c r="O1593" s="5"/>
      <c r="P1593" s="5"/>
    </row>
    <row r="1594" spans="2:16" x14ac:dyDescent="0.25">
      <c r="B1594" s="90">
        <v>1686</v>
      </c>
      <c r="C1594" s="91">
        <v>5.2300682877227E-2</v>
      </c>
      <c r="D1594" s="92">
        <v>168</v>
      </c>
      <c r="G1594" s="5"/>
      <c r="H1594" s="5"/>
      <c r="L1594" s="7"/>
      <c r="M1594" s="7"/>
      <c r="O1594" s="5"/>
      <c r="P1594" s="5"/>
    </row>
    <row r="1595" spans="2:16" x14ac:dyDescent="0.25">
      <c r="B1595" s="90">
        <v>7</v>
      </c>
      <c r="C1595" s="91">
        <v>7.1601967823020751E-2</v>
      </c>
      <c r="D1595" s="92">
        <v>168</v>
      </c>
      <c r="G1595" s="5"/>
      <c r="H1595" s="5"/>
      <c r="L1595" s="7"/>
      <c r="M1595" s="7"/>
      <c r="O1595" s="5"/>
      <c r="P1595" s="5"/>
    </row>
    <row r="1596" spans="2:16" x14ac:dyDescent="0.25">
      <c r="B1596" s="90">
        <v>2125</v>
      </c>
      <c r="C1596" s="91">
        <v>7.1601967823020751E-2</v>
      </c>
      <c r="D1596" s="92">
        <v>168</v>
      </c>
      <c r="G1596" s="5"/>
      <c r="H1596" s="5"/>
      <c r="L1596" s="7"/>
      <c r="M1596" s="7"/>
      <c r="O1596" s="5"/>
      <c r="P1596" s="5"/>
    </row>
    <row r="1597" spans="2:16" x14ac:dyDescent="0.25">
      <c r="B1597" s="90">
        <v>2126</v>
      </c>
      <c r="C1597" s="91">
        <v>9.1774132085158611E-2</v>
      </c>
      <c r="D1597" s="92">
        <v>168</v>
      </c>
      <c r="G1597" s="5"/>
      <c r="H1597" s="5"/>
      <c r="L1597" s="7"/>
      <c r="M1597" s="7"/>
      <c r="O1597" s="5"/>
      <c r="P1597" s="5"/>
    </row>
    <row r="1598" spans="2:16" x14ac:dyDescent="0.25">
      <c r="B1598" s="90">
        <v>1981</v>
      </c>
      <c r="C1598" s="91">
        <v>9.2778966147797681E-2</v>
      </c>
      <c r="D1598" s="92">
        <v>168</v>
      </c>
      <c r="G1598" s="5"/>
      <c r="H1598" s="5"/>
      <c r="L1598" s="7"/>
      <c r="M1598" s="7"/>
      <c r="O1598" s="5"/>
      <c r="P1598" s="5"/>
    </row>
    <row r="1599" spans="2:16" x14ac:dyDescent="0.25">
      <c r="B1599" s="90">
        <v>2137</v>
      </c>
      <c r="C1599" s="91">
        <v>0.10249894925273506</v>
      </c>
      <c r="D1599" s="92">
        <v>168</v>
      </c>
      <c r="G1599" s="5"/>
      <c r="H1599" s="5"/>
      <c r="L1599" s="7"/>
      <c r="M1599" s="7"/>
      <c r="O1599" s="5"/>
      <c r="P1599" s="5"/>
    </row>
    <row r="1600" spans="2:16" x14ac:dyDescent="0.25">
      <c r="B1600" s="90">
        <v>6</v>
      </c>
      <c r="C1600" s="91">
        <v>0.10543529329095735</v>
      </c>
      <c r="D1600" s="92">
        <v>168</v>
      </c>
      <c r="G1600" s="5"/>
      <c r="H1600" s="5"/>
      <c r="L1600" s="7"/>
      <c r="M1600" s="7"/>
      <c r="O1600" s="5"/>
      <c r="P1600" s="5"/>
    </row>
    <row r="1601" spans="2:16" x14ac:dyDescent="0.25">
      <c r="B1601" s="90">
        <v>2131</v>
      </c>
      <c r="C1601" s="91">
        <v>0.10543529329095735</v>
      </c>
      <c r="D1601" s="92">
        <v>168</v>
      </c>
      <c r="G1601" s="5"/>
      <c r="H1601" s="5"/>
      <c r="L1601" s="7"/>
      <c r="M1601" s="7"/>
      <c r="O1601" s="5"/>
      <c r="P1601" s="5"/>
    </row>
    <row r="1602" spans="2:16" x14ac:dyDescent="0.25">
      <c r="B1602" s="90">
        <v>2132</v>
      </c>
      <c r="C1602" s="91">
        <v>0.11644230640752296</v>
      </c>
      <c r="D1602" s="92">
        <v>168</v>
      </c>
      <c r="G1602" s="5"/>
      <c r="H1602" s="5"/>
      <c r="L1602" s="7"/>
      <c r="M1602" s="7"/>
      <c r="O1602" s="5"/>
      <c r="P1602" s="5"/>
    </row>
    <row r="1603" spans="2:16" x14ac:dyDescent="0.25">
      <c r="B1603" s="90">
        <v>2074</v>
      </c>
      <c r="C1603" s="91">
        <v>0.13717985698846358</v>
      </c>
      <c r="D1603" s="92">
        <v>168</v>
      </c>
      <c r="G1603" s="5"/>
      <c r="H1603" s="5"/>
      <c r="L1603" s="7"/>
      <c r="M1603" s="7"/>
      <c r="O1603" s="5"/>
      <c r="P1603" s="5"/>
    </row>
    <row r="1604" spans="2:16" x14ac:dyDescent="0.25">
      <c r="B1604" s="90">
        <v>1563</v>
      </c>
      <c r="C1604" s="91">
        <v>0.15972212272439035</v>
      </c>
      <c r="D1604" s="92">
        <v>168</v>
      </c>
      <c r="G1604" s="5"/>
      <c r="H1604" s="5"/>
      <c r="L1604" s="7"/>
      <c r="M1604" s="7"/>
      <c r="O1604" s="5"/>
      <c r="P1604" s="5"/>
    </row>
    <row r="1605" spans="2:16" x14ac:dyDescent="0.25">
      <c r="B1605" s="90">
        <v>1937</v>
      </c>
      <c r="C1605" s="91">
        <v>0.16653679082589545</v>
      </c>
      <c r="D1605" s="92">
        <v>168</v>
      </c>
      <c r="G1605" s="5"/>
      <c r="H1605" s="5"/>
      <c r="L1605" s="7"/>
      <c r="M1605" s="7"/>
      <c r="O1605" s="5"/>
      <c r="P1605" s="5"/>
    </row>
    <row r="1606" spans="2:16" x14ac:dyDescent="0.25">
      <c r="B1606" s="90">
        <v>1989</v>
      </c>
      <c r="C1606" s="91">
        <v>0.16768254655144121</v>
      </c>
      <c r="D1606" s="92">
        <v>168</v>
      </c>
      <c r="G1606" s="5"/>
      <c r="H1606" s="5"/>
      <c r="L1606" s="7"/>
      <c r="M1606" s="7"/>
      <c r="O1606" s="5"/>
      <c r="P1606" s="5"/>
    </row>
    <row r="1607" spans="2:16" x14ac:dyDescent="0.25">
      <c r="B1607" s="90">
        <v>1595</v>
      </c>
      <c r="C1607" s="91">
        <v>0.17047896813647423</v>
      </c>
      <c r="D1607" s="92">
        <v>168</v>
      </c>
      <c r="G1607" s="5"/>
      <c r="H1607" s="5"/>
      <c r="L1607" s="7"/>
      <c r="M1607" s="7"/>
      <c r="O1607" s="5"/>
      <c r="P1607" s="5"/>
    </row>
    <row r="1608" spans="2:16" x14ac:dyDescent="0.25">
      <c r="B1608" s="90">
        <v>1628</v>
      </c>
      <c r="C1608" s="91">
        <v>0.17344724607404105</v>
      </c>
      <c r="D1608" s="92">
        <v>168</v>
      </c>
      <c r="G1608" s="5"/>
      <c r="H1608" s="5"/>
      <c r="L1608" s="7"/>
      <c r="M1608" s="7"/>
      <c r="O1608" s="5"/>
      <c r="P1608" s="5"/>
    </row>
    <row r="1609" spans="2:16" x14ac:dyDescent="0.25">
      <c r="B1609" s="90">
        <v>1597</v>
      </c>
      <c r="C1609" s="91">
        <v>0.17607915794041795</v>
      </c>
      <c r="D1609" s="92">
        <v>168</v>
      </c>
      <c r="G1609" s="5"/>
      <c r="H1609" s="5"/>
      <c r="L1609" s="7"/>
      <c r="M1609" s="7"/>
      <c r="O1609" s="5"/>
      <c r="P1609" s="5"/>
    </row>
    <row r="1610" spans="2:16" x14ac:dyDescent="0.25">
      <c r="B1610" s="90">
        <v>534</v>
      </c>
      <c r="C1610" s="91">
        <v>0.17906730487790645</v>
      </c>
      <c r="D1610" s="92">
        <v>168</v>
      </c>
      <c r="G1610" s="5"/>
      <c r="H1610" s="5"/>
      <c r="L1610" s="7"/>
      <c r="M1610" s="7"/>
      <c r="O1610" s="5"/>
      <c r="P1610" s="5"/>
    </row>
    <row r="1611" spans="2:16" x14ac:dyDescent="0.25">
      <c r="B1611" s="90">
        <v>1630</v>
      </c>
      <c r="C1611" s="91">
        <v>0.17960857361297466</v>
      </c>
      <c r="D1611" s="92">
        <v>168</v>
      </c>
      <c r="G1611" s="5"/>
      <c r="H1611" s="5"/>
      <c r="L1611" s="7"/>
      <c r="M1611" s="7"/>
      <c r="O1611" s="5"/>
      <c r="P1611" s="5"/>
    </row>
    <row r="1612" spans="2:16" x14ac:dyDescent="0.25">
      <c r="B1612" s="90">
        <v>1661</v>
      </c>
      <c r="C1612" s="91">
        <v>0.18093975853857547</v>
      </c>
      <c r="D1612" s="92">
        <v>168</v>
      </c>
      <c r="G1612" s="5"/>
      <c r="H1612" s="5"/>
      <c r="L1612" s="7"/>
      <c r="M1612" s="7"/>
      <c r="O1612" s="5"/>
      <c r="P1612" s="5"/>
    </row>
    <row r="1613" spans="2:16" x14ac:dyDescent="0.25">
      <c r="B1613" s="90">
        <v>2052</v>
      </c>
      <c r="C1613" s="91">
        <v>0.18251074751948504</v>
      </c>
      <c r="D1613" s="92">
        <v>168</v>
      </c>
      <c r="G1613" s="5"/>
      <c r="H1613" s="5"/>
      <c r="L1613" s="7"/>
      <c r="M1613" s="7"/>
      <c r="O1613" s="5"/>
      <c r="P1613" s="5"/>
    </row>
    <row r="1614" spans="2:16" x14ac:dyDescent="0.25">
      <c r="B1614" s="90">
        <v>1660</v>
      </c>
      <c r="C1614" s="91">
        <v>0.18379880175137597</v>
      </c>
      <c r="D1614" s="92">
        <v>168</v>
      </c>
      <c r="G1614" s="5"/>
      <c r="H1614" s="5"/>
      <c r="L1614" s="7"/>
      <c r="M1614" s="7"/>
      <c r="O1614" s="5"/>
      <c r="P1614" s="5"/>
    </row>
    <row r="1615" spans="2:16" x14ac:dyDescent="0.25">
      <c r="B1615" s="90">
        <v>1957</v>
      </c>
      <c r="C1615" s="91">
        <v>0.18420150952268177</v>
      </c>
      <c r="D1615" s="92">
        <v>168</v>
      </c>
      <c r="G1615" s="5"/>
      <c r="H1615" s="5"/>
      <c r="L1615" s="7"/>
      <c r="M1615" s="7"/>
      <c r="O1615" s="5"/>
      <c r="P1615" s="5"/>
    </row>
    <row r="1616" spans="2:16" x14ac:dyDescent="0.25">
      <c r="B1616" s="90">
        <v>1560</v>
      </c>
      <c r="C1616" s="91">
        <v>0.18747273073542114</v>
      </c>
      <c r="D1616" s="92">
        <v>168</v>
      </c>
      <c r="G1616" s="5"/>
      <c r="H1616" s="5"/>
      <c r="L1616" s="7"/>
      <c r="M1616" s="7"/>
      <c r="O1616" s="5"/>
      <c r="P1616" s="5"/>
    </row>
    <row r="1617" spans="2:16" x14ac:dyDescent="0.25">
      <c r="B1617" s="90">
        <v>1692</v>
      </c>
      <c r="C1617" s="91">
        <v>0.18780048213673739</v>
      </c>
      <c r="D1617" s="92">
        <v>168</v>
      </c>
      <c r="G1617" s="5"/>
      <c r="H1617" s="5"/>
      <c r="L1617" s="7"/>
      <c r="M1617" s="7"/>
      <c r="O1617" s="5"/>
      <c r="P1617" s="5"/>
    </row>
    <row r="1618" spans="2:16" x14ac:dyDescent="0.25">
      <c r="B1618" s="90">
        <v>1894</v>
      </c>
      <c r="C1618" s="91">
        <v>0.18857623685674019</v>
      </c>
      <c r="D1618" s="92">
        <v>168</v>
      </c>
      <c r="G1618" s="5"/>
      <c r="H1618" s="5"/>
      <c r="L1618" s="7"/>
      <c r="M1618" s="7"/>
      <c r="O1618" s="5"/>
      <c r="P1618" s="5"/>
    </row>
    <row r="1619" spans="2:16" x14ac:dyDescent="0.25">
      <c r="B1619" s="90">
        <v>1662</v>
      </c>
      <c r="C1619" s="91">
        <v>0.19035532613126271</v>
      </c>
      <c r="D1619" s="92">
        <v>168</v>
      </c>
      <c r="G1619" s="5"/>
      <c r="H1619" s="5"/>
      <c r="L1619" s="7"/>
      <c r="M1619" s="7"/>
      <c r="O1619" s="5"/>
      <c r="P1619" s="5"/>
    </row>
    <row r="1620" spans="2:16" x14ac:dyDescent="0.25">
      <c r="B1620" s="90">
        <v>1691</v>
      </c>
      <c r="C1620" s="91">
        <v>0.19164966399802064</v>
      </c>
      <c r="D1620" s="92">
        <v>168</v>
      </c>
      <c r="G1620" s="5"/>
      <c r="H1620" s="5"/>
      <c r="L1620" s="7"/>
      <c r="M1620" s="7"/>
      <c r="O1620" s="5"/>
      <c r="P1620" s="5"/>
    </row>
    <row r="1621" spans="2:16" x14ac:dyDescent="0.25">
      <c r="B1621" s="90">
        <v>1902</v>
      </c>
      <c r="C1621" s="91">
        <v>0.19247161997408779</v>
      </c>
      <c r="D1621" s="92">
        <v>168</v>
      </c>
      <c r="G1621" s="5"/>
      <c r="H1621" s="5"/>
      <c r="L1621" s="7"/>
      <c r="M1621" s="7"/>
      <c r="O1621" s="5"/>
      <c r="P1621" s="5"/>
    </row>
    <row r="1622" spans="2:16" x14ac:dyDescent="0.25">
      <c r="B1622" s="90">
        <v>1651</v>
      </c>
      <c r="C1622" s="91">
        <v>0.19406434611893486</v>
      </c>
      <c r="D1622" s="92">
        <v>168</v>
      </c>
      <c r="G1622" s="5"/>
      <c r="H1622" s="5"/>
      <c r="L1622" s="7"/>
      <c r="M1622" s="7"/>
      <c r="O1622" s="5"/>
      <c r="P1622" s="5"/>
    </row>
    <row r="1623" spans="2:16" x14ac:dyDescent="0.25">
      <c r="B1623" s="90">
        <v>1991</v>
      </c>
      <c r="C1623" s="91">
        <v>0.19620293335722816</v>
      </c>
      <c r="D1623" s="92">
        <v>168</v>
      </c>
      <c r="G1623" s="5"/>
      <c r="H1623" s="5"/>
      <c r="L1623" s="7"/>
      <c r="M1623" s="7"/>
      <c r="O1623" s="5"/>
      <c r="P1623" s="5"/>
    </row>
    <row r="1624" spans="2:16" x14ac:dyDescent="0.25">
      <c r="B1624" s="90">
        <v>1693</v>
      </c>
      <c r="C1624" s="91">
        <v>0.19867704272597619</v>
      </c>
      <c r="D1624" s="92">
        <v>168</v>
      </c>
      <c r="G1624" s="5"/>
      <c r="H1624" s="5"/>
      <c r="L1624" s="7"/>
      <c r="M1624" s="7"/>
      <c r="O1624" s="5"/>
      <c r="P1624" s="5"/>
    </row>
    <row r="1625" spans="2:16" x14ac:dyDescent="0.25">
      <c r="B1625" s="90">
        <v>1682</v>
      </c>
      <c r="C1625" s="91">
        <v>0.19870806124068963</v>
      </c>
      <c r="D1625" s="92">
        <v>168</v>
      </c>
      <c r="G1625" s="5"/>
      <c r="H1625" s="5"/>
      <c r="L1625" s="7"/>
      <c r="M1625" s="7"/>
      <c r="O1625" s="5"/>
      <c r="P1625" s="5"/>
    </row>
    <row r="1626" spans="2:16" x14ac:dyDescent="0.25">
      <c r="B1626" s="90">
        <v>1594</v>
      </c>
      <c r="C1626" s="91">
        <v>0.20060145939414764</v>
      </c>
      <c r="D1626" s="92">
        <v>168</v>
      </c>
      <c r="G1626" s="5"/>
      <c r="H1626" s="5"/>
      <c r="L1626" s="7"/>
      <c r="M1626" s="7"/>
      <c r="O1626" s="5"/>
      <c r="P1626" s="5"/>
    </row>
    <row r="1627" spans="2:16" x14ac:dyDescent="0.25">
      <c r="B1627" s="90">
        <v>2008</v>
      </c>
      <c r="C1627" s="91">
        <v>0.20090843832898242</v>
      </c>
      <c r="D1627" s="92">
        <v>168</v>
      </c>
      <c r="G1627" s="5"/>
      <c r="H1627" s="5"/>
      <c r="L1627" s="7"/>
      <c r="M1627" s="7"/>
      <c r="O1627" s="5"/>
      <c r="P1627" s="5"/>
    </row>
    <row r="1628" spans="2:16" x14ac:dyDescent="0.25">
      <c r="B1628" s="90">
        <v>1627</v>
      </c>
      <c r="C1628" s="91">
        <v>0.20229389470645887</v>
      </c>
      <c r="D1628" s="92">
        <v>168</v>
      </c>
      <c r="G1628" s="5"/>
      <c r="H1628" s="5"/>
      <c r="L1628" s="7"/>
      <c r="M1628" s="7"/>
      <c r="O1628" s="5"/>
      <c r="P1628" s="5"/>
    </row>
    <row r="1629" spans="2:16" x14ac:dyDescent="0.25">
      <c r="B1629" s="90">
        <v>1659</v>
      </c>
      <c r="C1629" s="91">
        <v>0.21153042719740456</v>
      </c>
      <c r="D1629" s="92">
        <v>168</v>
      </c>
      <c r="G1629" s="5"/>
      <c r="H1629" s="5"/>
      <c r="L1629" s="7"/>
      <c r="M1629" s="7"/>
      <c r="O1629" s="5"/>
      <c r="P1629" s="5"/>
    </row>
    <row r="1630" spans="2:16" x14ac:dyDescent="0.25">
      <c r="B1630" s="90">
        <v>1690</v>
      </c>
      <c r="C1630" s="91">
        <v>0.21866382583997834</v>
      </c>
      <c r="D1630" s="92">
        <v>168</v>
      </c>
      <c r="G1630" s="5"/>
      <c r="H1630" s="5"/>
      <c r="L1630" s="7"/>
      <c r="M1630" s="7"/>
      <c r="O1630" s="5"/>
      <c r="P1630" s="5"/>
    </row>
    <row r="1631" spans="2:16" x14ac:dyDescent="0.25">
      <c r="B1631" s="90">
        <v>2007</v>
      </c>
      <c r="C1631" s="91">
        <v>0.22683768558866657</v>
      </c>
      <c r="D1631" s="92">
        <v>168</v>
      </c>
      <c r="G1631" s="5"/>
      <c r="H1631" s="5"/>
      <c r="L1631" s="7"/>
      <c r="M1631" s="7"/>
      <c r="O1631" s="5"/>
      <c r="P1631" s="5"/>
    </row>
    <row r="1632" spans="2:16" x14ac:dyDescent="0.25">
      <c r="B1632" s="90">
        <v>1938</v>
      </c>
      <c r="C1632" s="91">
        <v>0.23161691019246688</v>
      </c>
      <c r="D1632" s="92">
        <v>168</v>
      </c>
      <c r="G1632" s="5"/>
      <c r="H1632" s="5"/>
      <c r="L1632" s="7"/>
      <c r="M1632" s="7"/>
      <c r="O1632" s="5"/>
      <c r="P1632" s="5"/>
    </row>
    <row r="1633" spans="2:16" x14ac:dyDescent="0.25">
      <c r="B1633" s="90">
        <v>1958</v>
      </c>
      <c r="C1633" s="91">
        <v>0.24138385394804529</v>
      </c>
      <c r="D1633" s="92">
        <v>168</v>
      </c>
      <c r="G1633" s="5"/>
      <c r="H1633" s="5"/>
      <c r="L1633" s="7"/>
      <c r="M1633" s="7"/>
      <c r="O1633" s="5"/>
      <c r="P1633" s="5"/>
    </row>
    <row r="1634" spans="2:16" x14ac:dyDescent="0.25">
      <c r="B1634" s="90">
        <v>1767</v>
      </c>
      <c r="C1634" s="91">
        <v>0.24329049232296796</v>
      </c>
      <c r="D1634" s="92">
        <v>168</v>
      </c>
      <c r="G1634" s="5"/>
      <c r="H1634" s="5"/>
      <c r="L1634" s="7"/>
      <c r="M1634" s="7"/>
      <c r="O1634" s="5"/>
      <c r="P1634" s="5"/>
    </row>
    <row r="1635" spans="2:16" x14ac:dyDescent="0.25">
      <c r="B1635" s="90">
        <v>1909</v>
      </c>
      <c r="C1635" s="91">
        <v>0.24931032618149718</v>
      </c>
      <c r="D1635" s="92">
        <v>168</v>
      </c>
      <c r="G1635" s="5"/>
      <c r="H1635" s="5"/>
      <c r="L1635" s="7"/>
      <c r="M1635" s="7"/>
      <c r="O1635" s="5"/>
      <c r="P1635" s="5"/>
    </row>
    <row r="1636" spans="2:16" x14ac:dyDescent="0.25">
      <c r="B1636" s="90">
        <v>2009</v>
      </c>
      <c r="C1636" s="91">
        <v>0.25247539184400236</v>
      </c>
      <c r="D1636" s="92">
        <v>168</v>
      </c>
      <c r="G1636" s="5"/>
      <c r="H1636" s="5"/>
      <c r="L1636" s="7"/>
      <c r="M1636" s="7"/>
      <c r="O1636" s="5"/>
      <c r="P1636" s="5"/>
    </row>
    <row r="1637" spans="2:16" x14ac:dyDescent="0.25">
      <c r="B1637" s="90">
        <v>1529</v>
      </c>
      <c r="C1637" s="91">
        <v>0.25784836800191047</v>
      </c>
      <c r="D1637" s="92">
        <v>168</v>
      </c>
      <c r="G1637" s="5"/>
      <c r="H1637" s="5"/>
      <c r="L1637" s="7"/>
      <c r="M1637" s="7"/>
      <c r="O1637" s="5"/>
      <c r="P1637" s="5"/>
    </row>
    <row r="1638" spans="2:16" x14ac:dyDescent="0.25">
      <c r="B1638" s="90">
        <v>1695</v>
      </c>
      <c r="C1638" s="91">
        <v>0.27252533238226162</v>
      </c>
      <c r="D1638" s="92">
        <v>168</v>
      </c>
      <c r="G1638" s="5"/>
      <c r="H1638" s="5"/>
      <c r="L1638" s="7"/>
      <c r="M1638" s="7"/>
      <c r="O1638" s="5"/>
      <c r="P1638" s="5"/>
    </row>
    <row r="1639" spans="2:16" x14ac:dyDescent="0.25">
      <c r="B1639" s="90">
        <v>1564</v>
      </c>
      <c r="C1639" s="91">
        <v>0.29139077689836868</v>
      </c>
      <c r="D1639" s="92">
        <v>168</v>
      </c>
      <c r="G1639" s="5"/>
      <c r="H1639" s="5"/>
      <c r="L1639" s="7"/>
      <c r="M1639" s="7"/>
      <c r="O1639" s="5"/>
      <c r="P1639" s="5"/>
    </row>
    <row r="1640" spans="2:16" x14ac:dyDescent="0.25">
      <c r="B1640" s="90">
        <v>1696</v>
      </c>
      <c r="C1640" s="91">
        <v>0.2976717543018883</v>
      </c>
      <c r="D1640" s="92">
        <v>168</v>
      </c>
      <c r="G1640" s="5"/>
      <c r="H1640" s="5"/>
      <c r="L1640" s="7"/>
      <c r="M1640" s="7"/>
      <c r="O1640" s="5"/>
      <c r="P1640" s="5"/>
    </row>
    <row r="1641" spans="2:16" x14ac:dyDescent="0.25">
      <c r="B1641" s="90">
        <v>1652</v>
      </c>
      <c r="C1641" s="91">
        <v>0.30261871076598179</v>
      </c>
      <c r="D1641" s="92">
        <v>168</v>
      </c>
      <c r="G1641" s="5"/>
      <c r="H1641" s="5"/>
      <c r="L1641" s="7"/>
      <c r="M1641" s="7"/>
      <c r="O1641" s="5"/>
      <c r="P1641" s="5"/>
    </row>
    <row r="1642" spans="2:16" x14ac:dyDescent="0.25">
      <c r="B1642" s="90">
        <v>1683</v>
      </c>
      <c r="C1642" s="91">
        <v>0.30675064616141712</v>
      </c>
      <c r="D1642" s="92">
        <v>168</v>
      </c>
      <c r="G1642" s="5"/>
      <c r="H1642" s="5"/>
      <c r="L1642" s="7"/>
      <c r="M1642" s="7"/>
      <c r="O1642" s="5"/>
      <c r="P1642" s="5"/>
    </row>
    <row r="1643" spans="2:16" x14ac:dyDescent="0.25">
      <c r="B1643" s="90">
        <v>1425</v>
      </c>
      <c r="C1643" s="91">
        <v>9.1651157299935671E-2</v>
      </c>
      <c r="D1643" s="92">
        <v>169</v>
      </c>
      <c r="G1643" s="5"/>
      <c r="H1643" s="5"/>
      <c r="L1643" s="7"/>
      <c r="M1643" s="7"/>
      <c r="O1643" s="5"/>
      <c r="P1643" s="5"/>
    </row>
    <row r="1644" spans="2:16" x14ac:dyDescent="0.25">
      <c r="B1644" s="90">
        <v>1426</v>
      </c>
      <c r="C1644" s="91">
        <v>9.3413022257260114E-2</v>
      </c>
      <c r="D1644" s="92">
        <v>169</v>
      </c>
      <c r="G1644" s="5"/>
      <c r="H1644" s="5"/>
      <c r="L1644" s="7"/>
      <c r="M1644" s="7"/>
      <c r="O1644" s="5"/>
      <c r="P1644" s="5"/>
    </row>
    <row r="1645" spans="2:16" x14ac:dyDescent="0.25">
      <c r="B1645" s="90">
        <v>1504</v>
      </c>
      <c r="C1645" s="91">
        <v>0.13830117340393977</v>
      </c>
      <c r="D1645" s="92">
        <v>169</v>
      </c>
      <c r="G1645" s="5"/>
      <c r="H1645" s="5"/>
      <c r="L1645" s="7"/>
      <c r="M1645" s="7"/>
      <c r="O1645" s="5"/>
      <c r="P1645" s="5"/>
    </row>
    <row r="1646" spans="2:16" x14ac:dyDescent="0.25">
      <c r="B1646" s="90">
        <v>1519</v>
      </c>
      <c r="C1646" s="91">
        <v>3.5006751059246222E-2</v>
      </c>
      <c r="D1646" s="92">
        <v>170</v>
      </c>
      <c r="G1646" s="5"/>
      <c r="H1646" s="5"/>
      <c r="L1646" s="7"/>
      <c r="M1646" s="7"/>
      <c r="O1646" s="5"/>
      <c r="P1646" s="5"/>
    </row>
    <row r="1647" spans="2:16" x14ac:dyDescent="0.25">
      <c r="B1647" s="90">
        <v>1648</v>
      </c>
      <c r="C1647" s="91">
        <v>0.33176775299946115</v>
      </c>
      <c r="D1647" s="92">
        <v>170</v>
      </c>
      <c r="G1647" s="5"/>
      <c r="H1647" s="5"/>
      <c r="L1647" s="7"/>
      <c r="M1647" s="7"/>
      <c r="O1647" s="5"/>
      <c r="P1647" s="5"/>
    </row>
    <row r="1648" spans="2:16" x14ac:dyDescent="0.25">
      <c r="B1648" s="90">
        <v>485</v>
      </c>
      <c r="C1648" s="91">
        <v>0.36213529247971921</v>
      </c>
      <c r="D1648" s="92">
        <v>170</v>
      </c>
      <c r="G1648" s="5"/>
      <c r="H1648" s="5"/>
      <c r="L1648" s="7"/>
      <c r="M1648" s="7"/>
      <c r="O1648" s="5"/>
      <c r="P1648" s="5"/>
    </row>
    <row r="1649" spans="2:16" x14ac:dyDescent="0.25">
      <c r="B1649" s="90">
        <v>1319</v>
      </c>
      <c r="C1649" s="91">
        <v>0.23437583324263289</v>
      </c>
      <c r="D1649" s="92">
        <v>172</v>
      </c>
      <c r="G1649" s="5"/>
      <c r="H1649" s="5"/>
      <c r="L1649" s="7"/>
      <c r="M1649" s="7"/>
      <c r="O1649" s="5"/>
      <c r="P1649" s="5"/>
    </row>
    <row r="1650" spans="2:16" x14ac:dyDescent="0.25">
      <c r="B1650" s="90">
        <v>917</v>
      </c>
      <c r="C1650" s="91">
        <v>0.29022730950156628</v>
      </c>
      <c r="D1650" s="92">
        <v>173</v>
      </c>
      <c r="G1650" s="5"/>
      <c r="H1650" s="5"/>
      <c r="L1650" s="7"/>
      <c r="M1650" s="7"/>
      <c r="O1650" s="5"/>
      <c r="P1650" s="5"/>
    </row>
    <row r="1651" spans="2:16" x14ac:dyDescent="0.25">
      <c r="B1651" s="90">
        <v>1178</v>
      </c>
      <c r="C1651" s="91">
        <v>0.10232150415157848</v>
      </c>
      <c r="D1651" s="92">
        <v>174</v>
      </c>
      <c r="G1651" s="5"/>
      <c r="H1651" s="5"/>
      <c r="L1651" s="7"/>
      <c r="M1651" s="7"/>
      <c r="O1651" s="5"/>
      <c r="P1651" s="5"/>
    </row>
    <row r="1652" spans="2:16" x14ac:dyDescent="0.25">
      <c r="B1652" s="90">
        <v>1172</v>
      </c>
      <c r="C1652" s="91">
        <v>0.1632493066900329</v>
      </c>
      <c r="D1652" s="92">
        <v>174</v>
      </c>
      <c r="G1652" s="5"/>
      <c r="H1652" s="5"/>
      <c r="L1652" s="7"/>
      <c r="M1652" s="7"/>
      <c r="O1652" s="5"/>
      <c r="P1652" s="5"/>
    </row>
    <row r="1653" spans="2:16" x14ac:dyDescent="0.25">
      <c r="B1653" s="90">
        <v>959</v>
      </c>
      <c r="C1653" s="91">
        <v>0.18335948910891775</v>
      </c>
      <c r="D1653" s="92">
        <v>174</v>
      </c>
      <c r="G1653" s="5"/>
      <c r="H1653" s="5"/>
      <c r="L1653" s="7"/>
      <c r="M1653" s="7"/>
      <c r="O1653" s="5"/>
      <c r="P1653" s="5"/>
    </row>
    <row r="1654" spans="2:16" x14ac:dyDescent="0.25">
      <c r="B1654" s="90">
        <v>1012</v>
      </c>
      <c r="C1654" s="91">
        <v>0.20698278165133011</v>
      </c>
      <c r="D1654" s="92">
        <v>174</v>
      </c>
      <c r="G1654" s="5"/>
      <c r="H1654" s="5"/>
      <c r="L1654" s="7"/>
      <c r="M1654" s="7"/>
      <c r="O1654" s="5"/>
      <c r="P1654" s="5"/>
    </row>
    <row r="1655" spans="2:16" x14ac:dyDescent="0.25">
      <c r="B1655" s="90">
        <v>1011</v>
      </c>
      <c r="C1655" s="91">
        <v>0.20150778408916259</v>
      </c>
      <c r="D1655" s="92">
        <v>175</v>
      </c>
      <c r="G1655" s="5"/>
      <c r="H1655" s="5"/>
      <c r="L1655" s="7"/>
      <c r="M1655" s="7"/>
      <c r="O1655" s="5"/>
      <c r="P1655" s="5"/>
    </row>
    <row r="1656" spans="2:16" x14ac:dyDescent="0.25">
      <c r="B1656" s="90">
        <v>116</v>
      </c>
      <c r="C1656" s="91">
        <v>0.32867432307564504</v>
      </c>
      <c r="D1656" s="92">
        <v>175</v>
      </c>
      <c r="G1656" s="5"/>
      <c r="H1656" s="5"/>
      <c r="L1656" s="7"/>
      <c r="M1656" s="7"/>
      <c r="O1656" s="5"/>
      <c r="P1656" s="5"/>
    </row>
    <row r="1657" spans="2:16" x14ac:dyDescent="0.25">
      <c r="B1657" s="90">
        <v>541</v>
      </c>
      <c r="C1657" s="91">
        <v>0.33587874898275494</v>
      </c>
      <c r="D1657" s="92">
        <v>175</v>
      </c>
      <c r="G1657" s="5"/>
      <c r="H1657" s="5"/>
      <c r="L1657" s="7"/>
      <c r="M1657" s="7"/>
      <c r="O1657" s="5"/>
      <c r="P1657" s="5"/>
    </row>
    <row r="1658" spans="2:16" x14ac:dyDescent="0.25">
      <c r="B1658" s="90">
        <v>368</v>
      </c>
      <c r="C1658" s="91">
        <v>0.38778790466217783</v>
      </c>
      <c r="D1658" s="92">
        <v>175</v>
      </c>
      <c r="G1658" s="5"/>
      <c r="H1658" s="5"/>
      <c r="L1658" s="7"/>
      <c r="M1658" s="7"/>
      <c r="O1658" s="5"/>
      <c r="P1658" s="5"/>
    </row>
    <row r="1659" spans="2:16" x14ac:dyDescent="0.25">
      <c r="B1659" s="90">
        <v>369</v>
      </c>
      <c r="C1659" s="91">
        <v>0.38986898833038308</v>
      </c>
      <c r="D1659" s="92">
        <v>175</v>
      </c>
      <c r="G1659" s="5"/>
      <c r="H1659" s="5"/>
      <c r="L1659" s="7"/>
      <c r="M1659" s="7"/>
      <c r="O1659" s="5"/>
      <c r="P1659" s="5"/>
    </row>
    <row r="1660" spans="2:16" x14ac:dyDescent="0.25">
      <c r="B1660" s="90">
        <v>1654</v>
      </c>
      <c r="C1660" s="91">
        <v>4.0052703087232855E-2</v>
      </c>
      <c r="D1660" s="92">
        <v>176</v>
      </c>
      <c r="G1660" s="5"/>
      <c r="H1660" s="5"/>
      <c r="L1660" s="7"/>
      <c r="M1660" s="7"/>
      <c r="O1660" s="5"/>
      <c r="P1660" s="5"/>
    </row>
    <row r="1661" spans="2:16" x14ac:dyDescent="0.25">
      <c r="B1661" s="90">
        <v>1685</v>
      </c>
      <c r="C1661" s="91">
        <v>4.9409036369417403E-2</v>
      </c>
      <c r="D1661" s="92">
        <v>176</v>
      </c>
      <c r="G1661" s="5"/>
      <c r="H1661" s="5"/>
      <c r="L1661" s="7"/>
      <c r="M1661" s="7"/>
      <c r="O1661" s="5"/>
      <c r="P1661" s="5"/>
    </row>
    <row r="1662" spans="2:16" x14ac:dyDescent="0.25">
      <c r="B1662" s="90">
        <v>1960</v>
      </c>
      <c r="C1662" s="91">
        <v>4.9743353713299077E-2</v>
      </c>
      <c r="D1662" s="92">
        <v>176</v>
      </c>
      <c r="G1662" s="5"/>
      <c r="H1662" s="5"/>
      <c r="L1662" s="7"/>
      <c r="M1662" s="7"/>
      <c r="O1662" s="5"/>
      <c r="P1662" s="5"/>
    </row>
    <row r="1663" spans="2:16" x14ac:dyDescent="0.25">
      <c r="B1663" s="90">
        <v>1897</v>
      </c>
      <c r="C1663" s="91">
        <v>8.7554609576591558E-2</v>
      </c>
      <c r="D1663" s="92">
        <v>176</v>
      </c>
      <c r="G1663" s="5"/>
      <c r="H1663" s="5"/>
      <c r="L1663" s="7"/>
      <c r="M1663" s="7"/>
      <c r="O1663" s="5"/>
      <c r="P1663" s="5"/>
    </row>
    <row r="1664" spans="2:16" x14ac:dyDescent="0.25">
      <c r="B1664" s="90">
        <v>1239</v>
      </c>
      <c r="C1664" s="91">
        <v>0.22938426120969857</v>
      </c>
      <c r="D1664" s="92">
        <v>176</v>
      </c>
      <c r="G1664" s="5"/>
      <c r="H1664" s="5"/>
      <c r="L1664" s="7"/>
      <c r="M1664" s="7"/>
      <c r="O1664" s="5"/>
      <c r="P1664" s="5"/>
    </row>
    <row r="1665" spans="2:16" x14ac:dyDescent="0.25">
      <c r="B1665" s="90">
        <v>428</v>
      </c>
      <c r="C1665" s="91">
        <v>0.38269997427699631</v>
      </c>
      <c r="D1665" s="92">
        <v>176</v>
      </c>
      <c r="G1665" s="5"/>
      <c r="H1665" s="5"/>
      <c r="L1665" s="7"/>
      <c r="M1665" s="7"/>
      <c r="O1665" s="5"/>
      <c r="P1665" s="5"/>
    </row>
    <row r="1666" spans="2:16" x14ac:dyDescent="0.25">
      <c r="B1666" s="90">
        <v>429</v>
      </c>
      <c r="C1666" s="91">
        <v>0.38426669601529762</v>
      </c>
      <c r="D1666" s="92">
        <v>176</v>
      </c>
      <c r="G1666" s="5"/>
      <c r="H1666" s="5"/>
      <c r="L1666" s="7"/>
      <c r="M1666" s="7"/>
      <c r="O1666" s="5"/>
      <c r="P1666" s="5"/>
    </row>
    <row r="1667" spans="2:16" x14ac:dyDescent="0.25">
      <c r="B1667" s="90">
        <v>51</v>
      </c>
      <c r="C1667" s="91">
        <v>0.32981366992813999</v>
      </c>
      <c r="D1667" s="92">
        <v>177</v>
      </c>
      <c r="G1667" s="5"/>
      <c r="H1667" s="5"/>
      <c r="L1667" s="7"/>
      <c r="M1667" s="7"/>
      <c r="O1667" s="5"/>
      <c r="P1667" s="5"/>
    </row>
    <row r="1668" spans="2:16" x14ac:dyDescent="0.25">
      <c r="B1668" s="90">
        <v>871</v>
      </c>
      <c r="C1668" s="91">
        <v>0.32981366992813999</v>
      </c>
      <c r="D1668" s="92">
        <v>177</v>
      </c>
      <c r="G1668" s="5"/>
      <c r="H1668" s="5"/>
      <c r="L1668" s="7"/>
      <c r="M1668" s="7"/>
      <c r="O1668" s="5"/>
      <c r="P1668" s="5"/>
    </row>
    <row r="1669" spans="2:16" x14ac:dyDescent="0.25">
      <c r="B1669" s="90">
        <v>52</v>
      </c>
      <c r="C1669" s="91">
        <v>0.34452065037518453</v>
      </c>
      <c r="D1669" s="92">
        <v>177</v>
      </c>
      <c r="G1669" s="5"/>
      <c r="H1669" s="5"/>
      <c r="L1669" s="7"/>
      <c r="M1669" s="7"/>
      <c r="O1669" s="5"/>
      <c r="P1669" s="5"/>
    </row>
    <row r="1670" spans="2:16" x14ac:dyDescent="0.25">
      <c r="B1670" s="90">
        <v>820</v>
      </c>
      <c r="C1670" s="91">
        <v>0.34452065037518453</v>
      </c>
      <c r="D1670" s="92">
        <v>177</v>
      </c>
      <c r="G1670" s="5"/>
      <c r="H1670" s="5"/>
      <c r="L1670" s="7"/>
      <c r="M1670" s="7"/>
      <c r="O1670" s="5"/>
      <c r="P1670" s="5"/>
    </row>
    <row r="1671" spans="2:16" x14ac:dyDescent="0.25">
      <c r="B1671" s="90">
        <v>307</v>
      </c>
      <c r="C1671" s="91">
        <v>0.39163368420933986</v>
      </c>
      <c r="D1671" s="92">
        <v>177</v>
      </c>
      <c r="G1671" s="5"/>
      <c r="H1671" s="5"/>
      <c r="L1671" s="7"/>
      <c r="M1671" s="7"/>
      <c r="O1671" s="5"/>
      <c r="P1671" s="5"/>
    </row>
    <row r="1672" spans="2:16" x14ac:dyDescent="0.25">
      <c r="B1672" s="90">
        <v>308</v>
      </c>
      <c r="C1672" s="91">
        <v>0.39449234983127657</v>
      </c>
      <c r="D1672" s="92">
        <v>177</v>
      </c>
      <c r="G1672" s="5"/>
      <c r="H1672" s="5"/>
      <c r="L1672" s="7"/>
      <c r="M1672" s="7"/>
      <c r="O1672" s="5"/>
      <c r="P1672" s="5"/>
    </row>
    <row r="1673" spans="2:16" x14ac:dyDescent="0.25">
      <c r="B1673" s="90">
        <v>1177</v>
      </c>
      <c r="C1673" s="91">
        <v>4.7552239269803898E-2</v>
      </c>
      <c r="D1673" s="92">
        <v>178</v>
      </c>
      <c r="G1673" s="5"/>
      <c r="H1673" s="5"/>
      <c r="L1673" s="7"/>
      <c r="M1673" s="7"/>
      <c r="O1673" s="5"/>
      <c r="P1673" s="5"/>
    </row>
    <row r="1674" spans="2:16" x14ac:dyDescent="0.25">
      <c r="B1674" s="90">
        <v>1385</v>
      </c>
      <c r="C1674" s="91">
        <v>7.2898318065558687E-2</v>
      </c>
      <c r="D1674" s="92">
        <v>178</v>
      </c>
      <c r="G1674" s="5"/>
      <c r="H1674" s="5"/>
      <c r="L1674" s="7"/>
      <c r="M1674" s="7"/>
      <c r="O1674" s="5"/>
      <c r="P1674" s="5"/>
    </row>
    <row r="1675" spans="2:16" x14ac:dyDescent="0.25">
      <c r="B1675" s="90">
        <v>962</v>
      </c>
      <c r="C1675" s="91">
        <v>0.20926212734039085</v>
      </c>
      <c r="D1675" s="92">
        <v>178</v>
      </c>
      <c r="G1675" s="5"/>
      <c r="H1675" s="5"/>
      <c r="L1675" s="7"/>
      <c r="M1675" s="7"/>
      <c r="O1675" s="5"/>
      <c r="P1675" s="5"/>
    </row>
    <row r="1676" spans="2:16" x14ac:dyDescent="0.25">
      <c r="B1676" s="90">
        <v>1237</v>
      </c>
      <c r="C1676" s="91">
        <v>0.28138965525099335</v>
      </c>
      <c r="D1676" s="92">
        <v>178</v>
      </c>
      <c r="G1676" s="5"/>
      <c r="H1676" s="5"/>
      <c r="L1676" s="7"/>
      <c r="M1676" s="7"/>
      <c r="O1676" s="5"/>
      <c r="P1676" s="5"/>
    </row>
    <row r="1677" spans="2:16" x14ac:dyDescent="0.25">
      <c r="B1677" s="90">
        <v>1279</v>
      </c>
      <c r="C1677" s="91">
        <v>0.2986856989550204</v>
      </c>
      <c r="D1677" s="92">
        <v>178</v>
      </c>
      <c r="G1677" s="5"/>
      <c r="H1677" s="5"/>
      <c r="L1677" s="7"/>
      <c r="M1677" s="7"/>
      <c r="O1677" s="5"/>
      <c r="P1677" s="5"/>
    </row>
    <row r="1678" spans="2:16" x14ac:dyDescent="0.25">
      <c r="B1678" s="90">
        <v>1278</v>
      </c>
      <c r="C1678" s="91">
        <v>0.31149734739567336</v>
      </c>
      <c r="D1678" s="92">
        <v>178</v>
      </c>
      <c r="G1678" s="5"/>
      <c r="H1678" s="5"/>
      <c r="L1678" s="7"/>
      <c r="M1678" s="7"/>
      <c r="O1678" s="5"/>
      <c r="P1678" s="5"/>
    </row>
    <row r="1679" spans="2:16" x14ac:dyDescent="0.25">
      <c r="B1679" s="90">
        <v>766</v>
      </c>
      <c r="C1679" s="91">
        <v>0.36250173101769378</v>
      </c>
      <c r="D1679" s="92">
        <v>178</v>
      </c>
      <c r="G1679" s="5"/>
      <c r="H1679" s="5"/>
      <c r="L1679" s="7"/>
      <c r="M1679" s="7"/>
      <c r="O1679" s="5"/>
      <c r="P1679" s="5"/>
    </row>
    <row r="1680" spans="2:16" x14ac:dyDescent="0.25">
      <c r="B1680" s="90">
        <v>712</v>
      </c>
      <c r="C1680" s="91">
        <v>0.3712610662938044</v>
      </c>
      <c r="D1680" s="92">
        <v>178</v>
      </c>
      <c r="G1680" s="5"/>
      <c r="H1680" s="5"/>
      <c r="L1680" s="7"/>
      <c r="M1680" s="7"/>
      <c r="O1680" s="5"/>
      <c r="P1680" s="5"/>
    </row>
    <row r="1681" spans="2:16" x14ac:dyDescent="0.25">
      <c r="B1681" s="90">
        <v>870</v>
      </c>
      <c r="C1681" s="91">
        <v>0.41494478633890597</v>
      </c>
      <c r="D1681" s="92">
        <v>178</v>
      </c>
      <c r="G1681" s="5"/>
      <c r="H1681" s="5"/>
      <c r="L1681" s="7"/>
      <c r="M1681" s="7"/>
      <c r="O1681" s="5"/>
      <c r="P1681" s="5"/>
    </row>
    <row r="1682" spans="2:16" x14ac:dyDescent="0.25">
      <c r="B1682" s="90">
        <v>2025</v>
      </c>
      <c r="C1682" s="91">
        <v>0.29420829916583491</v>
      </c>
      <c r="D1682" s="92">
        <v>179</v>
      </c>
      <c r="G1682" s="5"/>
      <c r="H1682" s="5"/>
      <c r="L1682" s="7"/>
      <c r="M1682" s="7"/>
      <c r="O1682" s="5"/>
      <c r="P1682" s="5"/>
    </row>
    <row r="1683" spans="2:16" x14ac:dyDescent="0.25">
      <c r="B1683" s="90">
        <v>117</v>
      </c>
      <c r="C1683" s="91">
        <v>0.34220719573034009</v>
      </c>
      <c r="D1683" s="92">
        <v>179</v>
      </c>
      <c r="G1683" s="5"/>
      <c r="H1683" s="5"/>
      <c r="L1683" s="7"/>
      <c r="M1683" s="7"/>
      <c r="O1683" s="5"/>
      <c r="P1683" s="5"/>
    </row>
    <row r="1684" spans="2:16" x14ac:dyDescent="0.25">
      <c r="B1684" s="90">
        <v>818</v>
      </c>
      <c r="C1684" s="91">
        <v>0.38985502922482973</v>
      </c>
      <c r="D1684" s="92">
        <v>179</v>
      </c>
      <c r="G1684" s="5"/>
      <c r="H1684" s="5"/>
      <c r="L1684" s="7"/>
      <c r="M1684" s="7"/>
      <c r="O1684" s="5"/>
      <c r="P1684" s="5"/>
    </row>
    <row r="1685" spans="2:16" x14ac:dyDescent="0.25">
      <c r="B1685" s="90">
        <v>1306</v>
      </c>
      <c r="C1685" s="91">
        <v>7.4737403683897141E-2</v>
      </c>
      <c r="D1685" s="92">
        <v>180</v>
      </c>
      <c r="G1685" s="5"/>
      <c r="H1685" s="5"/>
      <c r="L1685" s="7"/>
      <c r="M1685" s="7"/>
      <c r="O1685" s="5"/>
      <c r="P1685" s="5"/>
    </row>
    <row r="1686" spans="2:16" x14ac:dyDescent="0.25">
      <c r="B1686" s="90">
        <v>1341</v>
      </c>
      <c r="C1686" s="91">
        <v>0.12703170599215974</v>
      </c>
      <c r="D1686" s="92">
        <v>180</v>
      </c>
      <c r="G1686" s="5"/>
      <c r="H1686" s="5"/>
      <c r="L1686" s="7"/>
      <c r="M1686" s="7"/>
      <c r="O1686" s="5"/>
      <c r="P1686" s="5"/>
    </row>
    <row r="1687" spans="2:16" x14ac:dyDescent="0.25">
      <c r="B1687" s="90">
        <v>486</v>
      </c>
      <c r="C1687" s="91">
        <v>0.35734902268555024</v>
      </c>
      <c r="D1687" s="92">
        <v>180</v>
      </c>
      <c r="G1687" s="5"/>
      <c r="H1687" s="5"/>
      <c r="L1687" s="7"/>
      <c r="M1687" s="7"/>
      <c r="O1687" s="5"/>
      <c r="P1687" s="5"/>
    </row>
    <row r="1688" spans="2:16" x14ac:dyDescent="0.25">
      <c r="B1688" s="90">
        <v>711</v>
      </c>
      <c r="C1688" s="91">
        <v>0.38999495236822446</v>
      </c>
      <c r="D1688" s="92">
        <v>180</v>
      </c>
      <c r="G1688" s="5"/>
      <c r="H1688" s="5"/>
      <c r="L1688" s="7"/>
      <c r="M1688" s="7"/>
      <c r="O1688" s="5"/>
      <c r="P1688" s="5"/>
    </row>
    <row r="1689" spans="2:16" x14ac:dyDescent="0.25">
      <c r="B1689" s="90">
        <v>1263</v>
      </c>
      <c r="C1689" s="91">
        <v>7.0936539738893245E-2</v>
      </c>
      <c r="D1689" s="92">
        <v>182</v>
      </c>
      <c r="G1689" s="5"/>
      <c r="H1689" s="5"/>
      <c r="L1689" s="7"/>
      <c r="M1689" s="7"/>
      <c r="O1689" s="5"/>
      <c r="P1689" s="5"/>
    </row>
    <row r="1690" spans="2:16" x14ac:dyDescent="0.25">
      <c r="B1690" s="90">
        <v>1305</v>
      </c>
      <c r="C1690" s="91">
        <v>7.2220685491414804E-2</v>
      </c>
      <c r="D1690" s="92">
        <v>182</v>
      </c>
      <c r="G1690" s="5"/>
      <c r="H1690" s="5"/>
      <c r="L1690" s="7"/>
      <c r="M1690" s="7"/>
      <c r="O1690" s="5"/>
      <c r="P1690" s="5"/>
    </row>
    <row r="1691" spans="2:16" x14ac:dyDescent="0.25">
      <c r="B1691" s="90">
        <v>1382</v>
      </c>
      <c r="C1691" s="91">
        <v>0.12261271331381018</v>
      </c>
      <c r="D1691" s="92">
        <v>182</v>
      </c>
      <c r="G1691" s="5"/>
      <c r="H1691" s="5"/>
      <c r="L1691" s="7"/>
      <c r="M1691" s="7"/>
      <c r="O1691" s="5"/>
      <c r="P1691" s="5"/>
    </row>
    <row r="1692" spans="2:16" x14ac:dyDescent="0.25">
      <c r="B1692" s="90">
        <v>1388</v>
      </c>
      <c r="C1692" s="91">
        <v>8.5754649203253153E-2</v>
      </c>
      <c r="D1692" s="92">
        <v>183</v>
      </c>
      <c r="G1692" s="5"/>
      <c r="H1692" s="5"/>
      <c r="L1692" s="7"/>
      <c r="M1692" s="7"/>
      <c r="O1692" s="5"/>
      <c r="P1692" s="5"/>
    </row>
    <row r="1693" spans="2:16" x14ac:dyDescent="0.25">
      <c r="B1693" s="90">
        <v>1588</v>
      </c>
      <c r="C1693" s="91">
        <v>6.396241192850205E-2</v>
      </c>
      <c r="D1693" s="92">
        <v>184</v>
      </c>
      <c r="G1693" s="5"/>
      <c r="H1693" s="5"/>
      <c r="L1693" s="7"/>
      <c r="M1693" s="7"/>
      <c r="O1693" s="5"/>
      <c r="P1693" s="5"/>
    </row>
    <row r="1694" spans="2:16" x14ac:dyDescent="0.25">
      <c r="B1694" s="90">
        <v>1621</v>
      </c>
      <c r="C1694" s="91">
        <v>7.2149624184403849E-2</v>
      </c>
      <c r="D1694" s="92">
        <v>184</v>
      </c>
      <c r="G1694" s="5"/>
      <c r="H1694" s="5"/>
      <c r="L1694" s="7"/>
      <c r="M1694" s="7"/>
      <c r="O1694" s="5"/>
      <c r="P1694" s="5"/>
    </row>
    <row r="1695" spans="2:16" x14ac:dyDescent="0.25">
      <c r="B1695" s="90">
        <v>1653</v>
      </c>
      <c r="C1695" s="91">
        <v>8.5365339826899311E-2</v>
      </c>
      <c r="D1695" s="92">
        <v>184</v>
      </c>
      <c r="G1695" s="5"/>
      <c r="H1695" s="5"/>
      <c r="L1695" s="7"/>
      <c r="M1695" s="7"/>
      <c r="O1695" s="5"/>
      <c r="P1695" s="5"/>
    </row>
    <row r="1696" spans="2:16" x14ac:dyDescent="0.25">
      <c r="B1696" s="90">
        <v>1684</v>
      </c>
      <c r="C1696" s="91">
        <v>9.5153083365512203E-2</v>
      </c>
      <c r="D1696" s="92">
        <v>184</v>
      </c>
      <c r="G1696" s="5"/>
      <c r="H1696" s="5"/>
      <c r="L1696" s="7"/>
      <c r="M1696" s="7"/>
      <c r="O1696" s="5"/>
      <c r="P1696" s="5"/>
    </row>
    <row r="1697" spans="2:16" x14ac:dyDescent="0.25">
      <c r="B1697" s="90">
        <v>2005</v>
      </c>
      <c r="C1697" s="91">
        <v>0.22305564094624819</v>
      </c>
      <c r="D1697" s="92">
        <v>184</v>
      </c>
      <c r="G1697" s="5"/>
      <c r="H1697" s="5"/>
      <c r="L1697" s="7"/>
      <c r="M1697" s="7"/>
      <c r="O1697" s="5"/>
      <c r="P1697" s="5"/>
    </row>
    <row r="1698" spans="2:16" x14ac:dyDescent="0.25">
      <c r="B1698" s="90">
        <v>488</v>
      </c>
      <c r="C1698" s="91">
        <v>0.38489881927930802</v>
      </c>
      <c r="D1698" s="92">
        <v>184</v>
      </c>
      <c r="G1698" s="5"/>
      <c r="H1698" s="5"/>
      <c r="L1698" s="7"/>
      <c r="M1698" s="7"/>
      <c r="O1698" s="5"/>
      <c r="P1698" s="5"/>
    </row>
    <row r="1699" spans="2:16" x14ac:dyDescent="0.25">
      <c r="B1699" s="90">
        <v>1999</v>
      </c>
      <c r="C1699" s="91">
        <v>0.14474313786076687</v>
      </c>
      <c r="D1699" s="92">
        <v>185</v>
      </c>
      <c r="G1699" s="5"/>
      <c r="H1699" s="5"/>
      <c r="L1699" s="7"/>
      <c r="M1699" s="7"/>
      <c r="O1699" s="5"/>
      <c r="P1699" s="5"/>
    </row>
    <row r="1700" spans="2:16" x14ac:dyDescent="0.25">
      <c r="B1700" s="90">
        <v>2120</v>
      </c>
      <c r="C1700" s="91">
        <v>0.17309691717907383</v>
      </c>
      <c r="D1700" s="92">
        <v>185</v>
      </c>
      <c r="G1700" s="5"/>
      <c r="H1700" s="5"/>
      <c r="L1700" s="7"/>
      <c r="M1700" s="7"/>
      <c r="O1700" s="5"/>
      <c r="P1700" s="5"/>
    </row>
    <row r="1701" spans="2:16" x14ac:dyDescent="0.25">
      <c r="B1701" s="90">
        <v>8</v>
      </c>
      <c r="C1701" s="91">
        <v>0.19019830635022539</v>
      </c>
      <c r="D1701" s="92">
        <v>185</v>
      </c>
      <c r="G1701" s="5"/>
      <c r="H1701" s="5"/>
      <c r="L1701" s="7"/>
      <c r="M1701" s="7"/>
      <c r="O1701" s="5"/>
      <c r="P1701" s="5"/>
    </row>
    <row r="1702" spans="2:16" x14ac:dyDescent="0.25">
      <c r="B1702" s="90">
        <v>2118</v>
      </c>
      <c r="C1702" s="91">
        <v>0.19019830635022539</v>
      </c>
      <c r="D1702" s="92">
        <v>185</v>
      </c>
      <c r="G1702" s="5"/>
      <c r="H1702" s="5"/>
      <c r="L1702" s="7"/>
      <c r="M1702" s="7"/>
      <c r="O1702" s="5"/>
      <c r="P1702" s="5"/>
    </row>
    <row r="1703" spans="2:16" x14ac:dyDescent="0.25">
      <c r="B1703" s="90">
        <v>2119</v>
      </c>
      <c r="C1703" s="91">
        <v>0.20327672092944782</v>
      </c>
      <c r="D1703" s="92">
        <v>185</v>
      </c>
      <c r="G1703" s="5"/>
      <c r="H1703" s="5"/>
      <c r="L1703" s="7"/>
      <c r="M1703" s="7"/>
      <c r="O1703" s="5"/>
      <c r="P1703" s="5"/>
    </row>
    <row r="1704" spans="2:16" x14ac:dyDescent="0.25">
      <c r="B1704" s="90">
        <v>1539</v>
      </c>
      <c r="C1704" s="91">
        <v>0.20644707989969024</v>
      </c>
      <c r="D1704" s="92">
        <v>185</v>
      </c>
      <c r="G1704" s="5"/>
      <c r="H1704" s="5"/>
      <c r="L1704" s="7"/>
      <c r="M1704" s="7"/>
      <c r="O1704" s="5"/>
      <c r="P1704" s="5"/>
    </row>
    <row r="1705" spans="2:16" x14ac:dyDescent="0.25">
      <c r="B1705" s="90">
        <v>13</v>
      </c>
      <c r="C1705" s="91">
        <v>0.24811142673193998</v>
      </c>
      <c r="D1705" s="92">
        <v>185</v>
      </c>
      <c r="G1705" s="5"/>
      <c r="H1705" s="5"/>
      <c r="L1705" s="7"/>
      <c r="M1705" s="7"/>
      <c r="O1705" s="5"/>
      <c r="P1705" s="5"/>
    </row>
    <row r="1706" spans="2:16" x14ac:dyDescent="0.25">
      <c r="B1706" s="90">
        <v>2068</v>
      </c>
      <c r="C1706" s="91">
        <v>0.24811142673193998</v>
      </c>
      <c r="D1706" s="92">
        <v>185</v>
      </c>
      <c r="G1706" s="5"/>
      <c r="H1706" s="5"/>
      <c r="L1706" s="7"/>
      <c r="M1706" s="7"/>
      <c r="O1706" s="5"/>
      <c r="P1706" s="5"/>
    </row>
    <row r="1707" spans="2:16" x14ac:dyDescent="0.25">
      <c r="B1707" s="90">
        <v>1906</v>
      </c>
      <c r="C1707" s="91">
        <v>0.24907090793829678</v>
      </c>
      <c r="D1707" s="92">
        <v>185</v>
      </c>
      <c r="G1707" s="5"/>
      <c r="H1707" s="5"/>
      <c r="L1707" s="7"/>
      <c r="M1707" s="7"/>
      <c r="O1707" s="5"/>
      <c r="P1707" s="5"/>
    </row>
    <row r="1708" spans="2:16" x14ac:dyDescent="0.25">
      <c r="B1708" s="90">
        <v>1895</v>
      </c>
      <c r="C1708" s="91">
        <v>0.27176874679906482</v>
      </c>
      <c r="D1708" s="92">
        <v>185</v>
      </c>
      <c r="G1708" s="5"/>
      <c r="H1708" s="5"/>
      <c r="L1708" s="7"/>
      <c r="M1708" s="7"/>
      <c r="O1708" s="5"/>
      <c r="P1708" s="5"/>
    </row>
    <row r="1709" spans="2:16" x14ac:dyDescent="0.25">
      <c r="B1709" s="90">
        <v>1664</v>
      </c>
      <c r="C1709" s="91">
        <v>0.2629413172287538</v>
      </c>
      <c r="D1709" s="92">
        <v>186</v>
      </c>
      <c r="G1709" s="5"/>
      <c r="H1709" s="5"/>
      <c r="L1709" s="7"/>
      <c r="M1709" s="7"/>
      <c r="O1709" s="5"/>
      <c r="P1709" s="5"/>
    </row>
    <row r="1710" spans="2:16" x14ac:dyDescent="0.25">
      <c r="B1710" s="90">
        <v>916</v>
      </c>
      <c r="C1710" s="91">
        <v>0.30071476035217337</v>
      </c>
      <c r="D1710" s="92">
        <v>186</v>
      </c>
      <c r="G1710" s="5"/>
      <c r="H1710" s="5"/>
      <c r="L1710" s="7"/>
      <c r="M1710" s="7"/>
      <c r="O1710" s="5"/>
      <c r="P1710" s="5"/>
    </row>
    <row r="1711" spans="2:16" x14ac:dyDescent="0.25">
      <c r="B1711" s="90">
        <v>967</v>
      </c>
      <c r="C1711" s="91">
        <v>0.31358917246503892</v>
      </c>
      <c r="D1711" s="92">
        <v>186</v>
      </c>
      <c r="G1711" s="5"/>
      <c r="H1711" s="5"/>
      <c r="L1711" s="7"/>
      <c r="M1711" s="7"/>
      <c r="O1711" s="5"/>
      <c r="P1711" s="5"/>
    </row>
    <row r="1712" spans="2:16" x14ac:dyDescent="0.25">
      <c r="B1712" s="90">
        <v>966</v>
      </c>
      <c r="C1712" s="91">
        <v>0.31803622262574671</v>
      </c>
      <c r="D1712" s="92">
        <v>186</v>
      </c>
      <c r="G1712" s="5"/>
      <c r="H1712" s="5"/>
      <c r="L1712" s="7"/>
      <c r="M1712" s="7"/>
      <c r="O1712" s="5"/>
      <c r="P1712" s="5"/>
    </row>
    <row r="1713" spans="2:16" x14ac:dyDescent="0.25">
      <c r="B1713" s="90">
        <v>1016</v>
      </c>
      <c r="C1713" s="91">
        <v>0.34253028550442721</v>
      </c>
      <c r="D1713" s="92">
        <v>186</v>
      </c>
      <c r="G1713" s="5"/>
      <c r="H1713" s="5"/>
      <c r="L1713" s="7"/>
      <c r="M1713" s="7"/>
      <c r="O1713" s="5"/>
      <c r="P1713" s="5"/>
    </row>
    <row r="1714" spans="2:16" x14ac:dyDescent="0.25">
      <c r="B1714" s="90">
        <v>1015</v>
      </c>
      <c r="C1714" s="91">
        <v>0.3455022157231834</v>
      </c>
      <c r="D1714" s="92">
        <v>186</v>
      </c>
      <c r="G1714" s="5"/>
      <c r="H1714" s="5"/>
      <c r="L1714" s="7"/>
      <c r="M1714" s="7"/>
      <c r="O1714" s="5"/>
      <c r="P1714" s="5"/>
    </row>
    <row r="1715" spans="2:16" x14ac:dyDescent="0.25">
      <c r="B1715" s="90">
        <v>1014</v>
      </c>
      <c r="C1715" s="91">
        <v>0.36777203370825517</v>
      </c>
      <c r="D1715" s="92">
        <v>186</v>
      </c>
      <c r="G1715" s="5"/>
      <c r="H1715" s="5"/>
      <c r="L1715" s="7"/>
      <c r="M1715" s="7"/>
      <c r="O1715" s="5"/>
      <c r="P1715" s="5"/>
    </row>
    <row r="1716" spans="2:16" x14ac:dyDescent="0.25">
      <c r="B1716" s="90">
        <v>1062</v>
      </c>
      <c r="C1716" s="91">
        <v>0.38532254929047105</v>
      </c>
      <c r="D1716" s="92">
        <v>186</v>
      </c>
      <c r="G1716" s="5"/>
      <c r="H1716" s="5"/>
      <c r="L1716" s="7"/>
      <c r="M1716" s="7"/>
      <c r="O1716" s="5"/>
      <c r="P1716" s="5"/>
    </row>
    <row r="1717" spans="2:16" x14ac:dyDescent="0.25">
      <c r="B1717" s="90">
        <v>1064</v>
      </c>
      <c r="C1717" s="91">
        <v>0.40832929358666703</v>
      </c>
      <c r="D1717" s="92">
        <v>186</v>
      </c>
      <c r="G1717" s="5"/>
      <c r="H1717" s="5"/>
      <c r="L1717" s="7"/>
      <c r="M1717" s="7"/>
      <c r="O1717" s="5"/>
      <c r="P1717" s="5"/>
    </row>
    <row r="1718" spans="2:16" x14ac:dyDescent="0.25">
      <c r="B1718" s="90">
        <v>1708</v>
      </c>
      <c r="C1718" s="91">
        <v>0.1641840329386749</v>
      </c>
      <c r="D1718" s="92">
        <v>187</v>
      </c>
      <c r="G1718" s="5"/>
      <c r="H1718" s="5"/>
      <c r="L1718" s="7"/>
      <c r="M1718" s="7"/>
      <c r="O1718" s="5"/>
      <c r="P1718" s="5"/>
    </row>
    <row r="1719" spans="2:16" x14ac:dyDescent="0.25">
      <c r="B1719" s="90">
        <v>180</v>
      </c>
      <c r="C1719" s="91">
        <v>0.31498292868728406</v>
      </c>
      <c r="D1719" s="92">
        <v>187</v>
      </c>
      <c r="G1719" s="5"/>
      <c r="H1719" s="5"/>
      <c r="L1719" s="7"/>
      <c r="M1719" s="7"/>
      <c r="O1719" s="5"/>
      <c r="P1719" s="5"/>
    </row>
    <row r="1720" spans="2:16" x14ac:dyDescent="0.25">
      <c r="B1720" s="90">
        <v>1554</v>
      </c>
      <c r="C1720" s="91">
        <v>4.3410853019251294E-2</v>
      </c>
      <c r="D1720" s="92">
        <v>188</v>
      </c>
      <c r="G1720" s="5"/>
      <c r="H1720" s="5"/>
      <c r="L1720" s="7"/>
      <c r="M1720" s="7"/>
      <c r="O1720" s="5"/>
      <c r="P1720" s="5"/>
    </row>
    <row r="1721" spans="2:16" x14ac:dyDescent="0.25">
      <c r="B1721" s="90">
        <v>1733</v>
      </c>
      <c r="C1721" s="91">
        <v>0.21196668907090666</v>
      </c>
      <c r="D1721" s="92">
        <v>188</v>
      </c>
      <c r="G1721" s="5"/>
      <c r="H1721" s="5"/>
      <c r="L1721" s="7"/>
      <c r="M1721" s="7"/>
      <c r="O1721" s="5"/>
      <c r="P1721" s="5"/>
    </row>
    <row r="1722" spans="2:16" x14ac:dyDescent="0.25">
      <c r="B1722" s="90">
        <v>1238</v>
      </c>
      <c r="C1722" s="91">
        <v>0.26336112412901946</v>
      </c>
      <c r="D1722" s="92">
        <v>188</v>
      </c>
      <c r="G1722" s="5"/>
      <c r="H1722" s="5"/>
      <c r="L1722" s="7"/>
      <c r="M1722" s="7"/>
      <c r="O1722" s="5"/>
      <c r="P1722" s="5"/>
    </row>
    <row r="1723" spans="2:16" x14ac:dyDescent="0.25">
      <c r="B1723" s="90">
        <v>1665</v>
      </c>
      <c r="C1723" s="91">
        <v>0.28778358514485536</v>
      </c>
      <c r="D1723" s="92">
        <v>188</v>
      </c>
      <c r="G1723" s="5"/>
      <c r="H1723" s="5"/>
      <c r="L1723" s="7"/>
      <c r="M1723" s="7"/>
      <c r="O1723" s="5"/>
      <c r="P1723" s="5"/>
    </row>
    <row r="1724" spans="2:16" x14ac:dyDescent="0.25">
      <c r="B1724" s="90">
        <v>765</v>
      </c>
      <c r="C1724" s="91">
        <v>0.39081211969189</v>
      </c>
      <c r="D1724" s="92">
        <v>188</v>
      </c>
      <c r="G1724" s="5"/>
      <c r="H1724" s="5"/>
      <c r="L1724" s="7"/>
      <c r="M1724" s="7"/>
      <c r="O1724" s="5"/>
      <c r="P1724" s="5"/>
    </row>
    <row r="1725" spans="2:16" x14ac:dyDescent="0.25">
      <c r="B1725" s="90">
        <v>195</v>
      </c>
      <c r="C1725" s="91">
        <v>0.42975904435482004</v>
      </c>
      <c r="D1725" s="92">
        <v>188</v>
      </c>
      <c r="G1725" s="5"/>
      <c r="H1725" s="5"/>
      <c r="L1725" s="7"/>
      <c r="M1725" s="7"/>
      <c r="O1725" s="5"/>
      <c r="P1725" s="5"/>
    </row>
    <row r="1726" spans="2:16" x14ac:dyDescent="0.25">
      <c r="B1726" s="90">
        <v>1404</v>
      </c>
      <c r="C1726" s="91">
        <v>0.28942503580531709</v>
      </c>
      <c r="D1726" s="92">
        <v>189</v>
      </c>
      <c r="G1726" s="5"/>
      <c r="H1726" s="5"/>
      <c r="L1726" s="7"/>
      <c r="M1726" s="7"/>
      <c r="O1726" s="5"/>
      <c r="P1726" s="5"/>
    </row>
    <row r="1727" spans="2:16" x14ac:dyDescent="0.25">
      <c r="B1727" s="90">
        <v>181</v>
      </c>
      <c r="C1727" s="91">
        <v>0.32889606355708134</v>
      </c>
      <c r="D1727" s="92">
        <v>189</v>
      </c>
      <c r="G1727" s="5"/>
      <c r="H1727" s="5"/>
      <c r="L1727" s="7"/>
      <c r="M1727" s="7"/>
      <c r="O1727" s="5"/>
      <c r="P1727" s="5"/>
    </row>
    <row r="1728" spans="2:16" x14ac:dyDescent="0.25">
      <c r="B1728" s="90">
        <v>1017</v>
      </c>
      <c r="C1728" s="91">
        <v>0.34047657863445024</v>
      </c>
      <c r="D1728" s="92">
        <v>190</v>
      </c>
      <c r="G1728" s="5"/>
      <c r="H1728" s="5"/>
      <c r="L1728" s="7"/>
      <c r="M1728" s="7"/>
      <c r="O1728" s="5"/>
      <c r="P1728" s="5"/>
    </row>
    <row r="1729" spans="2:16" x14ac:dyDescent="0.25">
      <c r="B1729" s="90">
        <v>244</v>
      </c>
      <c r="C1729" s="91">
        <v>0.33822386730833942</v>
      </c>
      <c r="D1729" s="92">
        <v>192</v>
      </c>
      <c r="G1729" s="5"/>
      <c r="H1729" s="5"/>
      <c r="L1729" s="7"/>
      <c r="M1729" s="7"/>
      <c r="O1729" s="5"/>
      <c r="P1729" s="5"/>
    </row>
    <row r="1730" spans="2:16" x14ac:dyDescent="0.25">
      <c r="B1730" s="90">
        <v>431</v>
      </c>
      <c r="C1730" s="91">
        <v>0.40431277950096844</v>
      </c>
      <c r="D1730" s="92">
        <v>192</v>
      </c>
      <c r="G1730" s="5"/>
      <c r="H1730" s="5"/>
      <c r="L1730" s="7"/>
      <c r="M1730" s="7"/>
      <c r="O1730" s="5"/>
      <c r="P1730" s="5"/>
    </row>
    <row r="1731" spans="2:16" x14ac:dyDescent="0.25">
      <c r="B1731" s="90">
        <v>1232</v>
      </c>
      <c r="C1731" s="91">
        <v>0.24793217101174991</v>
      </c>
      <c r="D1731" s="92">
        <v>193</v>
      </c>
      <c r="G1731" s="5"/>
      <c r="H1731" s="5"/>
      <c r="L1731" s="7"/>
      <c r="M1731" s="7"/>
      <c r="O1731" s="5"/>
      <c r="P1731" s="5"/>
    </row>
    <row r="1732" spans="2:16" x14ac:dyDescent="0.25">
      <c r="B1732" s="90">
        <v>1233</v>
      </c>
      <c r="C1732" s="91">
        <v>0.25827741051032505</v>
      </c>
      <c r="D1732" s="92">
        <v>193</v>
      </c>
      <c r="G1732" s="5"/>
      <c r="H1732" s="5"/>
      <c r="L1732" s="7"/>
      <c r="M1732" s="7"/>
      <c r="O1732" s="5"/>
      <c r="P1732" s="5"/>
    </row>
    <row r="1733" spans="2:16" x14ac:dyDescent="0.25">
      <c r="B1733" s="90">
        <v>419</v>
      </c>
      <c r="C1733" s="91">
        <v>0.29749141240287347</v>
      </c>
      <c r="D1733" s="92">
        <v>193</v>
      </c>
      <c r="G1733" s="5"/>
      <c r="H1733" s="5"/>
      <c r="L1733" s="7"/>
      <c r="M1733" s="7"/>
      <c r="O1733" s="5"/>
      <c r="P1733" s="5"/>
    </row>
    <row r="1734" spans="2:16" x14ac:dyDescent="0.25">
      <c r="B1734" s="90">
        <v>53</v>
      </c>
      <c r="C1734" s="91">
        <v>0.36623506455023747</v>
      </c>
      <c r="D1734" s="92">
        <v>193</v>
      </c>
      <c r="G1734" s="5"/>
      <c r="H1734" s="5"/>
      <c r="L1734" s="7"/>
      <c r="M1734" s="7"/>
      <c r="O1734" s="5"/>
      <c r="P1734" s="5"/>
    </row>
    <row r="1735" spans="2:16" x14ac:dyDescent="0.25">
      <c r="B1735" s="90">
        <v>768</v>
      </c>
      <c r="C1735" s="91">
        <v>0.36623506455023747</v>
      </c>
      <c r="D1735" s="92">
        <v>193</v>
      </c>
      <c r="G1735" s="5"/>
      <c r="H1735" s="5"/>
      <c r="L1735" s="7"/>
      <c r="M1735" s="7"/>
      <c r="O1735" s="5"/>
      <c r="P1735" s="5"/>
    </row>
    <row r="1736" spans="2:16" x14ac:dyDescent="0.25">
      <c r="B1736" s="90">
        <v>118</v>
      </c>
      <c r="C1736" s="91">
        <v>0.36807602577826437</v>
      </c>
      <c r="D1736" s="92">
        <v>193</v>
      </c>
      <c r="G1736" s="5"/>
      <c r="H1736" s="5"/>
      <c r="L1736" s="7"/>
      <c r="M1736" s="7"/>
      <c r="O1736" s="5"/>
      <c r="P1736" s="5"/>
    </row>
    <row r="1737" spans="2:16" x14ac:dyDescent="0.25">
      <c r="B1737" s="90">
        <v>54</v>
      </c>
      <c r="C1737" s="91">
        <v>0.37332098899282173</v>
      </c>
      <c r="D1737" s="92">
        <v>193</v>
      </c>
      <c r="G1737" s="5"/>
      <c r="H1737" s="5"/>
      <c r="L1737" s="7"/>
      <c r="M1737" s="7"/>
      <c r="O1737" s="5"/>
      <c r="P1737" s="5"/>
    </row>
    <row r="1738" spans="2:16" x14ac:dyDescent="0.25">
      <c r="B1738" s="90">
        <v>715</v>
      </c>
      <c r="C1738" s="91">
        <v>0.37332098899282173</v>
      </c>
      <c r="D1738" s="92">
        <v>193</v>
      </c>
      <c r="G1738" s="5"/>
      <c r="H1738" s="5"/>
      <c r="L1738" s="7"/>
      <c r="M1738" s="7"/>
      <c r="O1738" s="5"/>
      <c r="P1738" s="5"/>
    </row>
    <row r="1739" spans="2:16" x14ac:dyDescent="0.25">
      <c r="B1739" s="90">
        <v>119</v>
      </c>
      <c r="C1739" s="91">
        <v>0.37400107411819139</v>
      </c>
      <c r="D1739" s="92">
        <v>193</v>
      </c>
      <c r="G1739" s="5"/>
      <c r="H1739" s="5"/>
      <c r="L1739" s="7"/>
      <c r="M1739" s="7"/>
      <c r="O1739" s="5"/>
      <c r="P1739" s="5"/>
    </row>
    <row r="1740" spans="2:16" x14ac:dyDescent="0.25">
      <c r="B1740" s="90">
        <v>430</v>
      </c>
      <c r="C1740" s="91">
        <v>0.39455128172478471</v>
      </c>
      <c r="D1740" s="92">
        <v>193</v>
      </c>
      <c r="G1740" s="5"/>
      <c r="H1740" s="5"/>
      <c r="L1740" s="7"/>
      <c r="M1740" s="7"/>
      <c r="O1740" s="5"/>
      <c r="P1740" s="5"/>
    </row>
    <row r="1741" spans="2:16" x14ac:dyDescent="0.25">
      <c r="B1741" s="90">
        <v>371</v>
      </c>
      <c r="C1741" s="91">
        <v>0.41758184293481471</v>
      </c>
      <c r="D1741" s="92">
        <v>193</v>
      </c>
      <c r="G1741" s="5"/>
      <c r="H1741" s="5"/>
      <c r="L1741" s="7"/>
      <c r="M1741" s="7"/>
      <c r="O1741" s="5"/>
      <c r="P1741" s="5"/>
    </row>
    <row r="1742" spans="2:16" x14ac:dyDescent="0.25">
      <c r="B1742" s="90">
        <v>1583</v>
      </c>
      <c r="C1742" s="91">
        <v>0.3142599030461396</v>
      </c>
      <c r="D1742" s="92">
        <v>194</v>
      </c>
      <c r="G1742" s="5"/>
      <c r="H1742" s="5"/>
      <c r="L1742" s="7"/>
      <c r="M1742" s="7"/>
      <c r="O1742" s="5"/>
      <c r="P1742" s="5"/>
    </row>
    <row r="1743" spans="2:16" x14ac:dyDescent="0.25">
      <c r="B1743" s="90">
        <v>1236</v>
      </c>
      <c r="C1743" s="91">
        <v>0.28652978613850877</v>
      </c>
      <c r="D1743" s="92">
        <v>195</v>
      </c>
      <c r="G1743" s="5"/>
      <c r="H1743" s="5"/>
      <c r="L1743" s="7"/>
      <c r="M1743" s="7"/>
      <c r="O1743" s="5"/>
      <c r="P1743" s="5"/>
    </row>
    <row r="1744" spans="2:16" x14ac:dyDescent="0.25">
      <c r="B1744" s="90">
        <v>1235</v>
      </c>
      <c r="C1744" s="91">
        <v>0.2952433942567555</v>
      </c>
      <c r="D1744" s="92">
        <v>195</v>
      </c>
      <c r="G1744" s="5"/>
      <c r="H1744" s="5"/>
      <c r="L1744" s="7"/>
      <c r="M1744" s="7"/>
      <c r="O1744" s="5"/>
      <c r="P1744" s="5"/>
    </row>
    <row r="1745" spans="2:16" x14ac:dyDescent="0.25">
      <c r="B1745" s="90">
        <v>310</v>
      </c>
      <c r="C1745" s="91">
        <v>0.42257106431119373</v>
      </c>
      <c r="D1745" s="92">
        <v>195</v>
      </c>
      <c r="G1745" s="5"/>
      <c r="H1745" s="5"/>
      <c r="L1745" s="7"/>
      <c r="M1745" s="7"/>
      <c r="O1745" s="5"/>
      <c r="P1745" s="5"/>
    </row>
    <row r="1746" spans="2:16" x14ac:dyDescent="0.25">
      <c r="B1746" s="90">
        <v>1176</v>
      </c>
      <c r="C1746" s="91">
        <v>5.9317408231040814E-2</v>
      </c>
      <c r="D1746" s="92">
        <v>196</v>
      </c>
      <c r="G1746" s="5"/>
      <c r="H1746" s="5"/>
      <c r="L1746" s="7"/>
      <c r="M1746" s="7"/>
      <c r="O1746" s="5"/>
      <c r="P1746" s="5"/>
    </row>
    <row r="1747" spans="2:16" x14ac:dyDescent="0.25">
      <c r="B1747" s="90">
        <v>1384</v>
      </c>
      <c r="C1747" s="91">
        <v>7.7324248984282029E-2</v>
      </c>
      <c r="D1747" s="92">
        <v>196</v>
      </c>
      <c r="G1747" s="5"/>
      <c r="H1747" s="5"/>
      <c r="L1747" s="7"/>
      <c r="M1747" s="7"/>
      <c r="O1747" s="5"/>
      <c r="P1747" s="5"/>
    </row>
    <row r="1748" spans="2:16" x14ac:dyDescent="0.25">
      <c r="B1748" s="90">
        <v>1280</v>
      </c>
      <c r="C1748" s="91">
        <v>0.29473415495807331</v>
      </c>
      <c r="D1748" s="92">
        <v>196</v>
      </c>
      <c r="G1748" s="5"/>
      <c r="H1748" s="5"/>
      <c r="L1748" s="7"/>
      <c r="M1748" s="7"/>
      <c r="O1748" s="5"/>
      <c r="P1748" s="5"/>
    </row>
    <row r="1749" spans="2:16" x14ac:dyDescent="0.25">
      <c r="B1749" s="90">
        <v>245</v>
      </c>
      <c r="C1749" s="91">
        <v>0.36952503769999978</v>
      </c>
      <c r="D1749" s="92">
        <v>196</v>
      </c>
      <c r="G1749" s="5"/>
      <c r="H1749" s="5"/>
      <c r="L1749" s="7"/>
      <c r="M1749" s="7"/>
      <c r="O1749" s="5"/>
      <c r="P1749" s="5"/>
    </row>
    <row r="1750" spans="2:16" x14ac:dyDescent="0.25">
      <c r="B1750" s="90">
        <v>487</v>
      </c>
      <c r="C1750" s="91">
        <v>0.38441972681990311</v>
      </c>
      <c r="D1750" s="92">
        <v>196</v>
      </c>
      <c r="G1750" s="5"/>
      <c r="H1750" s="5"/>
      <c r="L1750" s="7"/>
      <c r="M1750" s="7"/>
      <c r="O1750" s="5"/>
      <c r="P1750" s="5"/>
    </row>
    <row r="1751" spans="2:16" x14ac:dyDescent="0.25">
      <c r="B1751" s="90">
        <v>714</v>
      </c>
      <c r="C1751" s="91">
        <v>0.40863993786290653</v>
      </c>
      <c r="D1751" s="92">
        <v>196</v>
      </c>
      <c r="G1751" s="5"/>
      <c r="H1751" s="5"/>
      <c r="L1751" s="7"/>
      <c r="M1751" s="7"/>
      <c r="O1751" s="5"/>
      <c r="P1751" s="5"/>
    </row>
    <row r="1752" spans="2:16" x14ac:dyDescent="0.25">
      <c r="B1752" s="90">
        <v>246</v>
      </c>
      <c r="C1752" s="91">
        <v>0.37126834274719889</v>
      </c>
      <c r="D1752" s="92">
        <v>197</v>
      </c>
      <c r="G1752" s="5"/>
      <c r="H1752" s="5"/>
      <c r="L1752" s="7"/>
      <c r="M1752" s="7"/>
      <c r="O1752" s="5"/>
      <c r="P1752" s="5"/>
    </row>
    <row r="1753" spans="2:16" x14ac:dyDescent="0.25">
      <c r="B1753" s="90">
        <v>599</v>
      </c>
      <c r="C1753" s="91">
        <v>0.38700906738094587</v>
      </c>
      <c r="D1753" s="92">
        <v>197</v>
      </c>
      <c r="G1753" s="5"/>
      <c r="H1753" s="5"/>
      <c r="L1753" s="7"/>
      <c r="M1753" s="7"/>
      <c r="O1753" s="5"/>
      <c r="P1753" s="5"/>
    </row>
    <row r="1754" spans="2:16" x14ac:dyDescent="0.25">
      <c r="B1754" s="90">
        <v>603</v>
      </c>
      <c r="C1754" s="91">
        <v>0.40433737541961934</v>
      </c>
      <c r="D1754" s="92">
        <v>197</v>
      </c>
      <c r="G1754" s="5"/>
      <c r="H1754" s="5"/>
      <c r="L1754" s="7"/>
      <c r="M1754" s="7"/>
      <c r="O1754" s="5"/>
      <c r="P1754" s="5"/>
    </row>
    <row r="1755" spans="2:16" x14ac:dyDescent="0.25">
      <c r="B1755" s="90">
        <v>601</v>
      </c>
      <c r="C1755" s="91">
        <v>0.37217945029505428</v>
      </c>
      <c r="D1755" s="92">
        <v>199</v>
      </c>
      <c r="G1755" s="5"/>
      <c r="H1755" s="5"/>
      <c r="L1755" s="7"/>
      <c r="M1755" s="7"/>
      <c r="O1755" s="5"/>
      <c r="P1755" s="5"/>
    </row>
    <row r="1756" spans="2:16" x14ac:dyDescent="0.25">
      <c r="B1756" s="90">
        <v>655</v>
      </c>
      <c r="C1756" s="91">
        <v>0.40236780636626124</v>
      </c>
      <c r="D1756" s="92">
        <v>199</v>
      </c>
      <c r="G1756" s="5"/>
      <c r="H1756" s="5"/>
      <c r="L1756" s="7"/>
      <c r="M1756" s="7"/>
      <c r="O1756" s="5"/>
      <c r="P1756" s="5"/>
    </row>
    <row r="1757" spans="2:16" x14ac:dyDescent="0.25">
      <c r="B1757" s="90">
        <v>1264</v>
      </c>
      <c r="C1757" s="91">
        <v>7.3471275179249673E-2</v>
      </c>
      <c r="D1757" s="92">
        <v>200</v>
      </c>
      <c r="G1757" s="5"/>
      <c r="H1757" s="5"/>
      <c r="L1757" s="7"/>
      <c r="M1757" s="7"/>
      <c r="O1757" s="5"/>
      <c r="P1757" s="5"/>
    </row>
    <row r="1758" spans="2:16" x14ac:dyDescent="0.25">
      <c r="B1758" s="90">
        <v>1383</v>
      </c>
      <c r="C1758" s="91">
        <v>8.5006159845405715E-2</v>
      </c>
      <c r="D1758" s="92">
        <v>200</v>
      </c>
      <c r="G1758" s="5"/>
      <c r="H1758" s="5"/>
      <c r="L1758" s="7"/>
      <c r="M1758" s="7"/>
      <c r="O1758" s="5"/>
      <c r="P1758" s="5"/>
    </row>
    <row r="1759" spans="2:16" x14ac:dyDescent="0.25">
      <c r="B1759" s="90">
        <v>1980</v>
      </c>
      <c r="C1759" s="91">
        <v>0.1722700652027952</v>
      </c>
      <c r="D1759" s="92">
        <v>202</v>
      </c>
      <c r="G1759" s="5"/>
      <c r="H1759" s="5"/>
      <c r="L1759" s="7"/>
      <c r="M1759" s="7"/>
      <c r="O1759" s="5"/>
      <c r="P1759" s="5"/>
    </row>
    <row r="1760" spans="2:16" x14ac:dyDescent="0.25">
      <c r="B1760" s="90">
        <v>2097</v>
      </c>
      <c r="C1760" s="91">
        <v>0.20433900550429418</v>
      </c>
      <c r="D1760" s="92">
        <v>202</v>
      </c>
      <c r="G1760" s="5"/>
      <c r="H1760" s="5"/>
      <c r="L1760" s="7"/>
      <c r="M1760" s="7"/>
      <c r="O1760" s="5"/>
      <c r="P1760" s="5"/>
    </row>
    <row r="1761" spans="2:16" x14ac:dyDescent="0.25">
      <c r="B1761" s="90">
        <v>1998</v>
      </c>
      <c r="C1761" s="91">
        <v>0.24330084511796224</v>
      </c>
      <c r="D1761" s="92">
        <v>202</v>
      </c>
      <c r="G1761" s="5"/>
      <c r="H1761" s="5"/>
      <c r="L1761" s="7"/>
      <c r="M1761" s="7"/>
      <c r="O1761" s="5"/>
      <c r="P1761" s="5"/>
    </row>
    <row r="1762" spans="2:16" x14ac:dyDescent="0.25">
      <c r="B1762" s="90">
        <v>1985</v>
      </c>
      <c r="C1762" s="91">
        <v>0.24380310451261877</v>
      </c>
      <c r="D1762" s="92">
        <v>202</v>
      </c>
      <c r="G1762" s="5"/>
      <c r="H1762" s="5"/>
      <c r="L1762" s="7"/>
      <c r="M1762" s="7"/>
      <c r="O1762" s="5"/>
      <c r="P1762" s="5"/>
    </row>
    <row r="1763" spans="2:16" x14ac:dyDescent="0.25">
      <c r="B1763" s="90">
        <v>2130</v>
      </c>
      <c r="C1763" s="91">
        <v>0.25266060135973822</v>
      </c>
      <c r="D1763" s="92">
        <v>202</v>
      </c>
      <c r="G1763" s="5"/>
      <c r="H1763" s="5"/>
      <c r="L1763" s="7"/>
      <c r="M1763" s="7"/>
      <c r="O1763" s="5"/>
      <c r="P1763" s="5"/>
    </row>
    <row r="1764" spans="2:16" x14ac:dyDescent="0.25">
      <c r="B1764" s="90">
        <v>1976</v>
      </c>
      <c r="C1764" s="91">
        <v>0.26455644535610423</v>
      </c>
      <c r="D1764" s="92">
        <v>202</v>
      </c>
      <c r="G1764" s="5"/>
      <c r="H1764" s="5"/>
      <c r="L1764" s="7"/>
      <c r="M1764" s="7"/>
      <c r="O1764" s="5"/>
      <c r="P1764" s="5"/>
    </row>
    <row r="1765" spans="2:16" x14ac:dyDescent="0.25">
      <c r="B1765" s="90">
        <v>1984</v>
      </c>
      <c r="C1765" s="91">
        <v>0.27447140862037822</v>
      </c>
      <c r="D1765" s="92">
        <v>202</v>
      </c>
      <c r="G1765" s="5"/>
      <c r="H1765" s="5"/>
      <c r="L1765" s="7"/>
      <c r="M1765" s="7"/>
      <c r="O1765" s="5"/>
      <c r="P1765" s="5"/>
    </row>
    <row r="1766" spans="2:16" x14ac:dyDescent="0.25">
      <c r="B1766" s="90">
        <v>2049</v>
      </c>
      <c r="C1766" s="91">
        <v>0.27517032339917469</v>
      </c>
      <c r="D1766" s="92">
        <v>202</v>
      </c>
      <c r="G1766" s="5"/>
      <c r="H1766" s="5"/>
      <c r="L1766" s="7"/>
      <c r="M1766" s="7"/>
      <c r="O1766" s="5"/>
      <c r="P1766" s="5"/>
    </row>
    <row r="1767" spans="2:16" x14ac:dyDescent="0.25">
      <c r="B1767" s="90">
        <v>2054</v>
      </c>
      <c r="C1767" s="91">
        <v>0.27530226336638575</v>
      </c>
      <c r="D1767" s="92">
        <v>202</v>
      </c>
      <c r="G1767" s="5"/>
      <c r="H1767" s="5"/>
      <c r="L1767" s="7"/>
      <c r="M1767" s="7"/>
      <c r="O1767" s="5"/>
      <c r="P1767" s="5"/>
    </row>
    <row r="1768" spans="2:16" x14ac:dyDescent="0.25">
      <c r="B1768" s="90">
        <v>1988</v>
      </c>
      <c r="C1768" s="91">
        <v>0.28283894514961738</v>
      </c>
      <c r="D1768" s="92">
        <v>202</v>
      </c>
      <c r="G1768" s="5"/>
      <c r="H1768" s="5"/>
      <c r="L1768" s="7"/>
      <c r="M1768" s="7"/>
      <c r="O1768" s="5"/>
      <c r="P1768" s="5"/>
    </row>
    <row r="1769" spans="2:16" x14ac:dyDescent="0.25">
      <c r="B1769" s="90">
        <v>1955</v>
      </c>
      <c r="C1769" s="91">
        <v>0.28677534216667921</v>
      </c>
      <c r="D1769" s="92">
        <v>202</v>
      </c>
      <c r="G1769" s="5"/>
      <c r="H1769" s="5"/>
      <c r="L1769" s="7"/>
      <c r="M1769" s="7"/>
      <c r="O1769" s="5"/>
      <c r="P1769" s="5"/>
    </row>
    <row r="1770" spans="2:16" x14ac:dyDescent="0.25">
      <c r="B1770" s="90">
        <v>1631</v>
      </c>
      <c r="C1770" s="91">
        <v>0.2996021023917117</v>
      </c>
      <c r="D1770" s="92">
        <v>202</v>
      </c>
      <c r="G1770" s="5"/>
      <c r="H1770" s="5"/>
      <c r="L1770" s="7"/>
      <c r="M1770" s="7"/>
      <c r="O1770" s="5"/>
      <c r="P1770" s="5"/>
    </row>
    <row r="1771" spans="2:16" x14ac:dyDescent="0.25">
      <c r="B1771" s="90">
        <v>1598</v>
      </c>
      <c r="C1771" s="91">
        <v>0.30067137573591984</v>
      </c>
      <c r="D1771" s="92">
        <v>202</v>
      </c>
      <c r="G1771" s="5"/>
      <c r="H1771" s="5"/>
      <c r="L1771" s="7"/>
      <c r="M1771" s="7"/>
      <c r="O1771" s="5"/>
      <c r="P1771" s="5"/>
    </row>
    <row r="1772" spans="2:16" x14ac:dyDescent="0.25">
      <c r="B1772" s="90">
        <v>1663</v>
      </c>
      <c r="C1772" s="91">
        <v>0.30349648995660705</v>
      </c>
      <c r="D1772" s="92">
        <v>202</v>
      </c>
      <c r="G1772" s="5"/>
      <c r="H1772" s="5"/>
      <c r="L1772" s="7"/>
      <c r="M1772" s="7"/>
      <c r="O1772" s="5"/>
      <c r="P1772" s="5"/>
    </row>
    <row r="1773" spans="2:16" x14ac:dyDescent="0.25">
      <c r="B1773" s="90">
        <v>1581</v>
      </c>
      <c r="C1773" s="91">
        <v>0.33966113557693511</v>
      </c>
      <c r="D1773" s="92">
        <v>202</v>
      </c>
      <c r="G1773" s="5"/>
      <c r="H1773" s="5"/>
      <c r="L1773" s="7"/>
      <c r="M1773" s="7"/>
      <c r="O1773" s="5"/>
      <c r="P1773" s="5"/>
    </row>
    <row r="1774" spans="2:16" x14ac:dyDescent="0.25">
      <c r="B1774" s="90">
        <v>1977</v>
      </c>
      <c r="C1774" s="91">
        <v>0.34665849939724336</v>
      </c>
      <c r="D1774" s="92">
        <v>202</v>
      </c>
      <c r="G1774" s="5"/>
      <c r="H1774" s="5"/>
      <c r="L1774" s="7"/>
      <c r="M1774" s="7"/>
      <c r="O1774" s="5"/>
      <c r="P1774" s="5"/>
    </row>
    <row r="1775" spans="2:16" x14ac:dyDescent="0.25">
      <c r="B1775" s="90">
        <v>489</v>
      </c>
      <c r="C1775" s="91">
        <v>0.39439521070548755</v>
      </c>
      <c r="D1775" s="92">
        <v>202</v>
      </c>
      <c r="G1775" s="5"/>
      <c r="H1775" s="5"/>
      <c r="L1775" s="7"/>
      <c r="M1775" s="7"/>
      <c r="O1775" s="5"/>
      <c r="P1775" s="5"/>
    </row>
    <row r="1776" spans="2:16" x14ac:dyDescent="0.25">
      <c r="B1776" s="90">
        <v>490</v>
      </c>
      <c r="C1776" s="91">
        <v>0.4025871924797747</v>
      </c>
      <c r="D1776" s="92">
        <v>202</v>
      </c>
      <c r="G1776" s="5"/>
      <c r="H1776" s="5"/>
      <c r="L1776" s="7"/>
      <c r="M1776" s="7"/>
      <c r="O1776" s="5"/>
      <c r="P1776" s="5"/>
    </row>
    <row r="1777" spans="2:16" x14ac:dyDescent="0.25">
      <c r="B1777" s="90">
        <v>1221</v>
      </c>
      <c r="C1777" s="91">
        <v>6.6866021461638336E-2</v>
      </c>
      <c r="D1777" s="92">
        <v>203</v>
      </c>
      <c r="G1777" s="5"/>
      <c r="H1777" s="5"/>
      <c r="L1777" s="7"/>
      <c r="M1777" s="7"/>
      <c r="O1777" s="5"/>
      <c r="P1777" s="5"/>
    </row>
    <row r="1778" spans="2:16" x14ac:dyDescent="0.25">
      <c r="B1778" s="90">
        <v>1340</v>
      </c>
      <c r="C1778" s="91">
        <v>9.7383940262593338E-2</v>
      </c>
      <c r="D1778" s="92">
        <v>204</v>
      </c>
      <c r="G1778" s="5"/>
      <c r="H1778" s="5"/>
      <c r="L1778" s="7"/>
      <c r="M1778" s="7"/>
      <c r="O1778" s="5"/>
      <c r="P1778" s="5"/>
    </row>
    <row r="1779" spans="2:16" x14ac:dyDescent="0.25">
      <c r="B1779" s="90">
        <v>1540</v>
      </c>
      <c r="C1779" s="91">
        <v>0.22360269058199056</v>
      </c>
      <c r="D1779" s="92">
        <v>204</v>
      </c>
      <c r="G1779" s="5"/>
      <c r="H1779" s="5"/>
      <c r="L1779" s="7"/>
      <c r="M1779" s="7"/>
      <c r="O1779" s="5"/>
      <c r="P1779" s="5"/>
    </row>
    <row r="1780" spans="2:16" x14ac:dyDescent="0.25">
      <c r="B1780" s="90">
        <v>2021</v>
      </c>
      <c r="C1780" s="91">
        <v>0.29483514816562595</v>
      </c>
      <c r="D1780" s="92">
        <v>204</v>
      </c>
      <c r="G1780" s="5"/>
      <c r="H1780" s="5"/>
      <c r="L1780" s="7"/>
      <c r="M1780" s="7"/>
      <c r="O1780" s="5"/>
      <c r="P1780" s="5"/>
    </row>
    <row r="1781" spans="2:16" x14ac:dyDescent="0.25">
      <c r="B1781" s="90">
        <v>759</v>
      </c>
      <c r="C1781" s="91">
        <v>0.31752634912498923</v>
      </c>
      <c r="D1781" s="92">
        <v>204</v>
      </c>
      <c r="G1781" s="5"/>
      <c r="H1781" s="5"/>
      <c r="L1781" s="7"/>
      <c r="M1781" s="7"/>
      <c r="O1781" s="5"/>
      <c r="P1781" s="5"/>
    </row>
    <row r="1782" spans="2:16" x14ac:dyDescent="0.25">
      <c r="B1782" s="90">
        <v>812</v>
      </c>
      <c r="C1782" s="91">
        <v>0.32021728460558074</v>
      </c>
      <c r="D1782" s="92">
        <v>204</v>
      </c>
      <c r="G1782" s="5"/>
      <c r="H1782" s="5"/>
      <c r="L1782" s="7"/>
      <c r="M1782" s="7"/>
      <c r="O1782" s="5"/>
      <c r="P1782" s="5"/>
    </row>
    <row r="1783" spans="2:16" x14ac:dyDescent="0.25">
      <c r="B1783" s="90">
        <v>915</v>
      </c>
      <c r="C1783" s="91">
        <v>0.34180890253113516</v>
      </c>
      <c r="D1783" s="92">
        <v>204</v>
      </c>
      <c r="G1783" s="5"/>
      <c r="H1783" s="5"/>
      <c r="L1783" s="7"/>
      <c r="M1783" s="7"/>
      <c r="O1783" s="5"/>
      <c r="P1783" s="5"/>
    </row>
    <row r="1784" spans="2:16" x14ac:dyDescent="0.25">
      <c r="B1784" s="90">
        <v>2018</v>
      </c>
      <c r="C1784" s="91">
        <v>0.34426490854900071</v>
      </c>
      <c r="D1784" s="92">
        <v>204</v>
      </c>
      <c r="G1784" s="5"/>
      <c r="H1784" s="5"/>
      <c r="L1784" s="7"/>
      <c r="M1784" s="7"/>
      <c r="O1784" s="5"/>
      <c r="P1784" s="5"/>
    </row>
    <row r="1785" spans="2:16" x14ac:dyDescent="0.25">
      <c r="B1785" s="90">
        <v>965</v>
      </c>
      <c r="C1785" s="91">
        <v>0.35008081167616389</v>
      </c>
      <c r="D1785" s="92">
        <v>204</v>
      </c>
      <c r="G1785" s="5"/>
      <c r="H1785" s="5"/>
      <c r="L1785" s="7"/>
      <c r="M1785" s="7"/>
      <c r="O1785" s="5"/>
      <c r="P1785" s="5"/>
    </row>
    <row r="1786" spans="2:16" x14ac:dyDescent="0.25">
      <c r="B1786" s="90">
        <v>1911</v>
      </c>
      <c r="C1786" s="91">
        <v>0.35262709629284372</v>
      </c>
      <c r="D1786" s="92">
        <v>204</v>
      </c>
      <c r="G1786" s="5"/>
      <c r="H1786" s="5"/>
      <c r="L1786" s="7"/>
      <c r="M1786" s="7"/>
      <c r="O1786" s="5"/>
      <c r="P1786" s="5"/>
    </row>
    <row r="1787" spans="2:16" x14ac:dyDescent="0.25">
      <c r="B1787" s="90">
        <v>914</v>
      </c>
      <c r="C1787" s="91">
        <v>0.35294700817140234</v>
      </c>
      <c r="D1787" s="92">
        <v>204</v>
      </c>
      <c r="G1787" s="5"/>
      <c r="H1787" s="5"/>
      <c r="L1787" s="7"/>
      <c r="M1787" s="7"/>
      <c r="O1787" s="5"/>
      <c r="P1787" s="5"/>
    </row>
    <row r="1788" spans="2:16" x14ac:dyDescent="0.25">
      <c r="B1788" s="90">
        <v>964</v>
      </c>
      <c r="C1788" s="91">
        <v>0.35952784363174684</v>
      </c>
      <c r="D1788" s="92">
        <v>204</v>
      </c>
      <c r="G1788" s="5"/>
      <c r="H1788" s="5"/>
      <c r="L1788" s="7"/>
      <c r="M1788" s="7"/>
      <c r="O1788" s="5"/>
      <c r="P1788" s="5"/>
    </row>
    <row r="1789" spans="2:16" x14ac:dyDescent="0.25">
      <c r="B1789" s="90">
        <v>1013</v>
      </c>
      <c r="C1789" s="91">
        <v>0.37519292252944436</v>
      </c>
      <c r="D1789" s="92">
        <v>204</v>
      </c>
      <c r="G1789" s="5"/>
      <c r="H1789" s="5"/>
      <c r="L1789" s="7"/>
      <c r="M1789" s="7"/>
      <c r="O1789" s="5"/>
      <c r="P1789" s="5"/>
    </row>
    <row r="1790" spans="2:16" x14ac:dyDescent="0.25">
      <c r="B1790" s="90">
        <v>1995</v>
      </c>
      <c r="C1790" s="91">
        <v>0.39305257309343389</v>
      </c>
      <c r="D1790" s="92">
        <v>204</v>
      </c>
      <c r="G1790" s="5"/>
      <c r="H1790" s="5"/>
      <c r="L1790" s="7"/>
      <c r="M1790" s="7"/>
      <c r="O1790" s="5"/>
      <c r="P1790" s="5"/>
    </row>
    <row r="1791" spans="2:16" x14ac:dyDescent="0.25">
      <c r="B1791" s="90">
        <v>1063</v>
      </c>
      <c r="C1791" s="91">
        <v>0.40642852247486383</v>
      </c>
      <c r="D1791" s="92">
        <v>204</v>
      </c>
      <c r="G1791" s="5"/>
      <c r="H1791" s="5"/>
      <c r="L1791" s="7"/>
      <c r="M1791" s="7"/>
      <c r="O1791" s="5"/>
      <c r="P1791" s="5"/>
    </row>
    <row r="1792" spans="2:16" x14ac:dyDescent="0.25">
      <c r="B1792" s="90">
        <v>1222</v>
      </c>
      <c r="C1792" s="91">
        <v>0.14903233141059813</v>
      </c>
      <c r="D1792" s="92">
        <v>205</v>
      </c>
      <c r="G1792" s="5"/>
      <c r="H1792" s="5"/>
      <c r="L1792" s="7"/>
      <c r="M1792" s="7"/>
      <c r="O1792" s="5"/>
      <c r="P1792" s="5"/>
    </row>
    <row r="1793" spans="2:16" x14ac:dyDescent="0.25">
      <c r="B1793" s="90">
        <v>1541</v>
      </c>
      <c r="C1793" s="91">
        <v>0.18357092157002397</v>
      </c>
      <c r="D1793" s="92">
        <v>205</v>
      </c>
      <c r="G1793" s="5"/>
      <c r="H1793" s="5"/>
      <c r="L1793" s="7"/>
      <c r="M1793" s="7"/>
      <c r="O1793" s="5"/>
      <c r="P1793" s="5"/>
    </row>
    <row r="1794" spans="2:16" x14ac:dyDescent="0.25">
      <c r="B1794" s="90">
        <v>1216</v>
      </c>
      <c r="C1794" s="91">
        <v>0.20782813755645069</v>
      </c>
      <c r="D1794" s="92">
        <v>205</v>
      </c>
      <c r="G1794" s="5"/>
      <c r="H1794" s="5"/>
      <c r="L1794" s="7"/>
      <c r="M1794" s="7"/>
      <c r="O1794" s="5"/>
      <c r="P1794" s="5"/>
    </row>
    <row r="1795" spans="2:16" x14ac:dyDescent="0.25">
      <c r="B1795" s="90">
        <v>1734</v>
      </c>
      <c r="C1795" s="91">
        <v>0.27483767079632226</v>
      </c>
      <c r="D1795" s="92">
        <v>205</v>
      </c>
      <c r="G1795" s="5"/>
      <c r="H1795" s="5"/>
      <c r="L1795" s="7"/>
      <c r="M1795" s="7"/>
      <c r="O1795" s="5"/>
      <c r="P1795" s="5"/>
    </row>
    <row r="1796" spans="2:16" x14ac:dyDescent="0.25">
      <c r="B1796" s="90">
        <v>182</v>
      </c>
      <c r="C1796" s="91">
        <v>0.35559247580819986</v>
      </c>
      <c r="D1796" s="92">
        <v>205</v>
      </c>
      <c r="G1796" s="5"/>
      <c r="H1796" s="5"/>
      <c r="L1796" s="7"/>
      <c r="M1796" s="7"/>
      <c r="O1796" s="5"/>
      <c r="P1796" s="5"/>
    </row>
    <row r="1797" spans="2:16" x14ac:dyDescent="0.25">
      <c r="B1797" s="90">
        <v>183</v>
      </c>
      <c r="C1797" s="91">
        <v>0.36110607026436603</v>
      </c>
      <c r="D1797" s="92">
        <v>205</v>
      </c>
      <c r="G1797" s="5"/>
      <c r="H1797" s="5"/>
      <c r="L1797" s="7"/>
      <c r="M1797" s="7"/>
      <c r="O1797" s="5"/>
      <c r="P1797" s="5"/>
    </row>
    <row r="1798" spans="2:16" x14ac:dyDescent="0.25">
      <c r="B1798" s="90">
        <v>1061</v>
      </c>
      <c r="C1798" s="91">
        <v>0.38646252388012614</v>
      </c>
      <c r="D1798" s="92">
        <v>205</v>
      </c>
      <c r="G1798" s="5"/>
      <c r="H1798" s="5"/>
      <c r="L1798" s="7"/>
      <c r="M1798" s="7"/>
      <c r="O1798" s="5"/>
      <c r="P1798" s="5"/>
    </row>
    <row r="1799" spans="2:16" x14ac:dyDescent="0.25">
      <c r="B1799" s="90">
        <v>1241</v>
      </c>
      <c r="C1799" s="91">
        <v>0.27752725986155524</v>
      </c>
      <c r="D1799" s="92">
        <v>206</v>
      </c>
      <c r="G1799" s="5"/>
      <c r="H1799" s="5"/>
      <c r="L1799" s="7"/>
      <c r="M1799" s="7"/>
      <c r="O1799" s="5"/>
      <c r="P1799" s="5"/>
    </row>
    <row r="1800" spans="2:16" x14ac:dyDescent="0.25">
      <c r="B1800" s="90">
        <v>2003</v>
      </c>
      <c r="C1800" s="91">
        <v>0.3354102525995436</v>
      </c>
      <c r="D1800" s="92">
        <v>206</v>
      </c>
      <c r="G1800" s="5"/>
      <c r="H1800" s="5"/>
      <c r="L1800" s="7"/>
      <c r="M1800" s="7"/>
      <c r="O1800" s="5"/>
      <c r="P1800" s="5"/>
    </row>
    <row r="1801" spans="2:16" x14ac:dyDescent="0.25">
      <c r="B1801" s="90">
        <v>1912</v>
      </c>
      <c r="C1801" s="91">
        <v>0.36796580816654412</v>
      </c>
      <c r="D1801" s="92">
        <v>206</v>
      </c>
      <c r="G1801" s="5"/>
      <c r="H1801" s="5"/>
      <c r="L1801" s="7"/>
      <c r="M1801" s="7"/>
      <c r="O1801" s="5"/>
      <c r="P1801" s="5"/>
    </row>
    <row r="1802" spans="2:16" x14ac:dyDescent="0.25">
      <c r="B1802" s="90">
        <v>1175</v>
      </c>
      <c r="C1802" s="91">
        <v>6.7360243351502036E-2</v>
      </c>
      <c r="D1802" s="92">
        <v>207</v>
      </c>
      <c r="G1802" s="5"/>
      <c r="H1802" s="5"/>
      <c r="L1802" s="7"/>
      <c r="M1802" s="7"/>
      <c r="O1802" s="5"/>
      <c r="P1802" s="5"/>
    </row>
    <row r="1803" spans="2:16" x14ac:dyDescent="0.25">
      <c r="B1803" s="90">
        <v>1174</v>
      </c>
      <c r="C1803" s="91">
        <v>0.10132742147703488</v>
      </c>
      <c r="D1803" s="92">
        <v>207</v>
      </c>
      <c r="G1803" s="5"/>
      <c r="H1803" s="5"/>
      <c r="L1803" s="7"/>
      <c r="M1803" s="7"/>
      <c r="O1803" s="5"/>
      <c r="P1803" s="5"/>
    </row>
    <row r="1804" spans="2:16" x14ac:dyDescent="0.25">
      <c r="B1804" s="90">
        <v>1379</v>
      </c>
      <c r="C1804" s="91">
        <v>0.11304562777345017</v>
      </c>
      <c r="D1804" s="92">
        <v>207</v>
      </c>
      <c r="G1804" s="5"/>
      <c r="H1804" s="5"/>
      <c r="L1804" s="7"/>
      <c r="M1804" s="7"/>
      <c r="O1804" s="5"/>
      <c r="P1804" s="5"/>
    </row>
    <row r="1805" spans="2:16" x14ac:dyDescent="0.25">
      <c r="B1805" s="90">
        <v>19</v>
      </c>
      <c r="C1805" s="91">
        <v>0.18733728321530818</v>
      </c>
      <c r="D1805" s="92">
        <v>208</v>
      </c>
      <c r="G1805" s="5"/>
      <c r="H1805" s="5"/>
      <c r="L1805" s="7"/>
      <c r="M1805" s="7"/>
      <c r="O1805" s="5"/>
      <c r="P1805" s="5"/>
    </row>
    <row r="1806" spans="2:16" x14ac:dyDescent="0.25">
      <c r="B1806" s="90">
        <v>1975</v>
      </c>
      <c r="C1806" s="91">
        <v>0.18733728321530818</v>
      </c>
      <c r="D1806" s="92">
        <v>208</v>
      </c>
      <c r="G1806" s="5"/>
      <c r="H1806" s="5"/>
      <c r="L1806" s="7"/>
      <c r="M1806" s="7"/>
      <c r="O1806" s="5"/>
      <c r="P1806" s="5"/>
    </row>
    <row r="1807" spans="2:16" x14ac:dyDescent="0.25">
      <c r="B1807" s="90">
        <v>1910</v>
      </c>
      <c r="C1807" s="91">
        <v>0.32370816420638948</v>
      </c>
      <c r="D1807" s="92">
        <v>208</v>
      </c>
      <c r="G1807" s="5"/>
      <c r="H1807" s="5"/>
      <c r="L1807" s="7"/>
      <c r="M1807" s="7"/>
      <c r="O1807" s="5"/>
      <c r="P1807" s="5"/>
    </row>
    <row r="1808" spans="2:16" x14ac:dyDescent="0.25">
      <c r="B1808" s="90">
        <v>315</v>
      </c>
      <c r="C1808" s="91">
        <v>0.48750958051068261</v>
      </c>
      <c r="D1808" s="92">
        <v>209</v>
      </c>
      <c r="G1808" s="5"/>
      <c r="H1808" s="5"/>
      <c r="L1808" s="7"/>
      <c r="M1808" s="7"/>
      <c r="O1808" s="5"/>
      <c r="P1808" s="5"/>
    </row>
    <row r="1809" spans="2:16" x14ac:dyDescent="0.25">
      <c r="B1809" s="90">
        <v>5</v>
      </c>
      <c r="C1809" s="91">
        <v>8.1235915032901618E-2</v>
      </c>
      <c r="D1809" s="92">
        <v>210</v>
      </c>
      <c r="G1809" s="5"/>
      <c r="H1809" s="5"/>
      <c r="L1809" s="7"/>
      <c r="M1809" s="7"/>
      <c r="O1809" s="5"/>
      <c r="P1809" s="5"/>
    </row>
    <row r="1810" spans="2:16" x14ac:dyDescent="0.25">
      <c r="B1810" s="90">
        <v>2136</v>
      </c>
      <c r="C1810" s="91">
        <v>8.1235915032901618E-2</v>
      </c>
      <c r="D1810" s="92">
        <v>210</v>
      </c>
      <c r="G1810" s="5"/>
      <c r="H1810" s="5"/>
      <c r="L1810" s="7"/>
      <c r="M1810" s="7"/>
      <c r="O1810" s="5"/>
      <c r="P1810" s="5"/>
    </row>
    <row r="1811" spans="2:16" x14ac:dyDescent="0.25">
      <c r="B1811" s="90">
        <v>1939</v>
      </c>
      <c r="C1811" s="91">
        <v>0.17887631089759704</v>
      </c>
      <c r="D1811" s="92">
        <v>210</v>
      </c>
      <c r="G1811" s="5"/>
      <c r="H1811" s="5"/>
      <c r="L1811" s="7"/>
      <c r="M1811" s="7"/>
      <c r="O1811" s="5"/>
      <c r="P1811" s="5"/>
    </row>
    <row r="1812" spans="2:16" x14ac:dyDescent="0.25">
      <c r="B1812" s="90">
        <v>1896</v>
      </c>
      <c r="C1812" s="91">
        <v>0.18200276988336606</v>
      </c>
      <c r="D1812" s="92">
        <v>210</v>
      </c>
      <c r="G1812" s="5"/>
      <c r="H1812" s="5"/>
      <c r="L1812" s="7"/>
      <c r="M1812" s="7"/>
      <c r="O1812" s="5"/>
      <c r="P1812" s="5"/>
    </row>
    <row r="1813" spans="2:16" x14ac:dyDescent="0.25">
      <c r="B1813" s="90">
        <v>2135</v>
      </c>
      <c r="C1813" s="91">
        <v>0.20000949405040414</v>
      </c>
      <c r="D1813" s="92">
        <v>210</v>
      </c>
      <c r="G1813" s="5"/>
      <c r="H1813" s="5"/>
      <c r="L1813" s="7"/>
      <c r="M1813" s="7"/>
      <c r="O1813" s="5"/>
      <c r="P1813" s="5"/>
    </row>
    <row r="1814" spans="2:16" x14ac:dyDescent="0.25">
      <c r="B1814" s="90">
        <v>1959</v>
      </c>
      <c r="C1814" s="91">
        <v>0.20074014273585439</v>
      </c>
      <c r="D1814" s="92">
        <v>210</v>
      </c>
      <c r="G1814" s="5"/>
      <c r="H1814" s="5"/>
      <c r="L1814" s="7"/>
      <c r="M1814" s="7"/>
      <c r="O1814" s="5"/>
      <c r="P1814" s="5"/>
    </row>
    <row r="1815" spans="2:16" x14ac:dyDescent="0.25">
      <c r="B1815" s="90">
        <v>1979</v>
      </c>
      <c r="C1815" s="91">
        <v>0.20164155714207765</v>
      </c>
      <c r="D1815" s="92">
        <v>210</v>
      </c>
      <c r="G1815" s="5"/>
      <c r="H1815" s="5"/>
      <c r="L1815" s="7"/>
      <c r="M1815" s="7"/>
      <c r="O1815" s="5"/>
      <c r="P1815" s="5"/>
    </row>
    <row r="1816" spans="2:16" x14ac:dyDescent="0.25">
      <c r="B1816" s="90">
        <v>2129</v>
      </c>
      <c r="C1816" s="91">
        <v>0.2367920012772915</v>
      </c>
      <c r="D1816" s="92">
        <v>210</v>
      </c>
      <c r="G1816" s="5"/>
      <c r="H1816" s="5"/>
      <c r="L1816" s="7"/>
      <c r="M1816" s="7"/>
      <c r="O1816" s="5"/>
      <c r="P1816" s="5"/>
    </row>
    <row r="1817" spans="2:16" x14ac:dyDescent="0.25">
      <c r="B1817" s="90">
        <v>1173</v>
      </c>
      <c r="C1817" s="91">
        <v>0.10942638851821596</v>
      </c>
      <c r="D1817" s="92">
        <v>211</v>
      </c>
      <c r="G1817" s="5"/>
      <c r="H1817" s="5"/>
      <c r="L1817" s="7"/>
      <c r="M1817" s="7"/>
      <c r="O1817" s="5"/>
      <c r="P1817" s="5"/>
    </row>
    <row r="1818" spans="2:16" x14ac:dyDescent="0.25">
      <c r="B1818" s="90">
        <v>1256</v>
      </c>
      <c r="C1818" s="91">
        <v>0.15397996986714491</v>
      </c>
      <c r="D1818" s="92">
        <v>211</v>
      </c>
      <c r="G1818" s="5"/>
      <c r="H1818" s="5"/>
      <c r="L1818" s="7"/>
      <c r="M1818" s="7"/>
      <c r="O1818" s="5"/>
      <c r="P1818" s="5"/>
    </row>
    <row r="1819" spans="2:16" x14ac:dyDescent="0.25">
      <c r="B1819" s="90">
        <v>55</v>
      </c>
      <c r="C1819" s="91">
        <v>0.38609066892007571</v>
      </c>
      <c r="D1819" s="92">
        <v>211</v>
      </c>
      <c r="G1819" s="5"/>
      <c r="H1819" s="5"/>
      <c r="L1819" s="7"/>
      <c r="M1819" s="7"/>
      <c r="O1819" s="5"/>
      <c r="P1819" s="5"/>
    </row>
    <row r="1820" spans="2:16" x14ac:dyDescent="0.25">
      <c r="B1820" s="90">
        <v>661</v>
      </c>
      <c r="C1820" s="91">
        <v>0.38609066892007571</v>
      </c>
      <c r="D1820" s="92">
        <v>211</v>
      </c>
      <c r="G1820" s="5"/>
      <c r="H1820" s="5"/>
      <c r="L1820" s="7"/>
      <c r="M1820" s="7"/>
      <c r="O1820" s="5"/>
      <c r="P1820" s="5"/>
    </row>
    <row r="1821" spans="2:16" x14ac:dyDescent="0.25">
      <c r="B1821" s="90">
        <v>121</v>
      </c>
      <c r="C1821" s="91">
        <v>0.40016164068963478</v>
      </c>
      <c r="D1821" s="92">
        <v>211</v>
      </c>
      <c r="G1821" s="5"/>
      <c r="H1821" s="5"/>
      <c r="L1821" s="7"/>
      <c r="M1821" s="7"/>
      <c r="O1821" s="5"/>
      <c r="P1821" s="5"/>
    </row>
    <row r="1822" spans="2:16" x14ac:dyDescent="0.25">
      <c r="B1822" s="90">
        <v>370</v>
      </c>
      <c r="C1822" s="91">
        <v>0.40394124648949403</v>
      </c>
      <c r="D1822" s="92">
        <v>211</v>
      </c>
      <c r="G1822" s="5"/>
      <c r="H1822" s="5"/>
      <c r="L1822" s="7"/>
      <c r="M1822" s="7"/>
      <c r="O1822" s="5"/>
      <c r="P1822" s="5"/>
    </row>
    <row r="1823" spans="2:16" x14ac:dyDescent="0.25">
      <c r="B1823" s="90">
        <v>56</v>
      </c>
      <c r="C1823" s="91">
        <v>0.39817420616706611</v>
      </c>
      <c r="D1823" s="92">
        <v>212</v>
      </c>
      <c r="G1823" s="5"/>
      <c r="H1823" s="5"/>
      <c r="L1823" s="7"/>
      <c r="M1823" s="7"/>
      <c r="O1823" s="5"/>
      <c r="P1823" s="5"/>
    </row>
    <row r="1824" spans="2:16" x14ac:dyDescent="0.25">
      <c r="B1824" s="90">
        <v>606</v>
      </c>
      <c r="C1824" s="91">
        <v>0.39817420616706611</v>
      </c>
      <c r="D1824" s="92">
        <v>212</v>
      </c>
      <c r="G1824" s="5"/>
      <c r="H1824" s="5"/>
      <c r="L1824" s="7"/>
      <c r="M1824" s="7"/>
      <c r="O1824" s="5"/>
      <c r="P1824" s="5"/>
    </row>
    <row r="1825" spans="2:16" x14ac:dyDescent="0.25">
      <c r="B1825" s="90">
        <v>605</v>
      </c>
      <c r="C1825" s="91">
        <v>0.40109438416646881</v>
      </c>
      <c r="D1825" s="92">
        <v>212</v>
      </c>
      <c r="G1825" s="5"/>
      <c r="H1825" s="5"/>
      <c r="L1825" s="7"/>
      <c r="M1825" s="7"/>
      <c r="O1825" s="5"/>
      <c r="P1825" s="5"/>
    </row>
    <row r="1826" spans="2:16" x14ac:dyDescent="0.25">
      <c r="B1826" s="90">
        <v>767</v>
      </c>
      <c r="C1826" s="91">
        <v>0.40561090940353461</v>
      </c>
      <c r="D1826" s="92">
        <v>212</v>
      </c>
      <c r="G1826" s="5"/>
      <c r="H1826" s="5"/>
      <c r="L1826" s="7"/>
      <c r="M1826" s="7"/>
      <c r="O1826" s="5"/>
      <c r="P1826" s="5"/>
    </row>
    <row r="1827" spans="2:16" x14ac:dyDescent="0.25">
      <c r="B1827" s="90">
        <v>432</v>
      </c>
      <c r="C1827" s="91">
        <v>0.41615117003713065</v>
      </c>
      <c r="D1827" s="92">
        <v>212</v>
      </c>
      <c r="G1827" s="5"/>
      <c r="H1827" s="5"/>
      <c r="L1827" s="7"/>
      <c r="M1827" s="7"/>
      <c r="O1827" s="5"/>
      <c r="P1827" s="5"/>
    </row>
    <row r="1828" spans="2:16" x14ac:dyDescent="0.25">
      <c r="B1828" s="90">
        <v>120</v>
      </c>
      <c r="C1828" s="91">
        <v>0.38758182350428294</v>
      </c>
      <c r="D1828" s="92">
        <v>213</v>
      </c>
      <c r="G1828" s="5"/>
      <c r="H1828" s="5"/>
      <c r="L1828" s="7"/>
      <c r="M1828" s="7"/>
      <c r="O1828" s="5"/>
      <c r="P1828" s="5"/>
    </row>
    <row r="1829" spans="2:16" x14ac:dyDescent="0.25">
      <c r="B1829" s="90">
        <v>309</v>
      </c>
      <c r="C1829" s="91">
        <v>0.40878847777505001</v>
      </c>
      <c r="D1829" s="92">
        <v>213</v>
      </c>
      <c r="G1829" s="5"/>
      <c r="H1829" s="5"/>
      <c r="L1829" s="7"/>
      <c r="M1829" s="7"/>
      <c r="O1829" s="5"/>
      <c r="P1829" s="5"/>
    </row>
    <row r="1830" spans="2:16" x14ac:dyDescent="0.25">
      <c r="B1830" s="90">
        <v>1301</v>
      </c>
      <c r="C1830" s="91">
        <v>0.16637857738735806</v>
      </c>
      <c r="D1830" s="92">
        <v>214</v>
      </c>
      <c r="G1830" s="5"/>
      <c r="H1830" s="5"/>
      <c r="L1830" s="7"/>
      <c r="M1830" s="7"/>
      <c r="O1830" s="5"/>
      <c r="P1830" s="5"/>
    </row>
    <row r="1831" spans="2:16" x14ac:dyDescent="0.25">
      <c r="B1831" s="90">
        <v>1259</v>
      </c>
      <c r="C1831" s="91">
        <v>0.17579677394602755</v>
      </c>
      <c r="D1831" s="92">
        <v>214</v>
      </c>
      <c r="G1831" s="5"/>
      <c r="H1831" s="5"/>
      <c r="L1831" s="7"/>
      <c r="M1831" s="7"/>
      <c r="O1831" s="5"/>
      <c r="P1831" s="5"/>
    </row>
    <row r="1832" spans="2:16" x14ac:dyDescent="0.25">
      <c r="B1832" s="90">
        <v>18</v>
      </c>
      <c r="C1832" s="91">
        <v>0.2046064149003104</v>
      </c>
      <c r="D1832" s="92">
        <v>214</v>
      </c>
      <c r="G1832" s="5"/>
      <c r="H1832" s="5"/>
      <c r="L1832" s="7"/>
      <c r="M1832" s="7"/>
      <c r="O1832" s="5"/>
      <c r="P1832" s="5"/>
    </row>
    <row r="1833" spans="2:16" x14ac:dyDescent="0.25">
      <c r="B1833" s="90">
        <v>1993</v>
      </c>
      <c r="C1833" s="91">
        <v>0.2046064149003104</v>
      </c>
      <c r="D1833" s="92">
        <v>214</v>
      </c>
      <c r="G1833" s="5"/>
      <c r="H1833" s="5"/>
      <c r="L1833" s="7"/>
      <c r="M1833" s="7"/>
      <c r="O1833" s="5"/>
      <c r="P1833" s="5"/>
    </row>
    <row r="1834" spans="2:16" x14ac:dyDescent="0.25">
      <c r="B1834" s="90">
        <v>1497</v>
      </c>
      <c r="C1834" s="91">
        <v>0.2504295317754891</v>
      </c>
      <c r="D1834" s="92">
        <v>214</v>
      </c>
      <c r="G1834" s="5"/>
      <c r="H1834" s="5"/>
      <c r="L1834" s="7"/>
      <c r="M1834" s="7"/>
      <c r="O1834" s="5"/>
      <c r="P1834" s="5"/>
    </row>
    <row r="1835" spans="2:16" x14ac:dyDescent="0.25">
      <c r="B1835" s="90">
        <v>1277</v>
      </c>
      <c r="C1835" s="91">
        <v>0.28222743243818538</v>
      </c>
      <c r="D1835" s="92">
        <v>214</v>
      </c>
      <c r="G1835" s="5"/>
      <c r="H1835" s="5"/>
      <c r="L1835" s="7"/>
      <c r="M1835" s="7"/>
      <c r="O1835" s="5"/>
      <c r="P1835" s="5"/>
    </row>
    <row r="1836" spans="2:16" x14ac:dyDescent="0.25">
      <c r="B1836" s="90">
        <v>248</v>
      </c>
      <c r="C1836" s="91">
        <v>0.39865822766069381</v>
      </c>
      <c r="D1836" s="92">
        <v>214</v>
      </c>
      <c r="G1836" s="5"/>
      <c r="H1836" s="5"/>
      <c r="L1836" s="7"/>
      <c r="M1836" s="7"/>
      <c r="O1836" s="5"/>
      <c r="P1836" s="5"/>
    </row>
    <row r="1837" spans="2:16" x14ac:dyDescent="0.25">
      <c r="B1837" s="90">
        <v>864</v>
      </c>
      <c r="C1837" s="91">
        <v>0.33155177232360034</v>
      </c>
      <c r="D1837" s="92">
        <v>215</v>
      </c>
      <c r="G1837" s="5"/>
      <c r="H1837" s="5"/>
      <c r="L1837" s="7"/>
      <c r="M1837" s="7"/>
      <c r="O1837" s="5"/>
      <c r="P1837" s="5"/>
    </row>
    <row r="1838" spans="2:16" x14ac:dyDescent="0.25">
      <c r="B1838" s="90">
        <v>1169</v>
      </c>
      <c r="C1838" s="91">
        <v>0.14934145420851519</v>
      </c>
      <c r="D1838" s="92">
        <v>218</v>
      </c>
      <c r="G1838" s="5"/>
      <c r="H1838" s="5"/>
      <c r="L1838" s="7"/>
      <c r="M1838" s="7"/>
      <c r="O1838" s="5"/>
      <c r="P1838" s="5"/>
    </row>
    <row r="1839" spans="2:16" x14ac:dyDescent="0.25">
      <c r="B1839" s="90">
        <v>2048</v>
      </c>
      <c r="C1839" s="91">
        <v>0.25839236647362918</v>
      </c>
      <c r="D1839" s="92">
        <v>219</v>
      </c>
      <c r="G1839" s="5"/>
      <c r="H1839" s="5"/>
      <c r="L1839" s="7"/>
      <c r="M1839" s="7"/>
      <c r="O1839" s="5"/>
      <c r="P1839" s="5"/>
    </row>
    <row r="1840" spans="2:16" x14ac:dyDescent="0.25">
      <c r="B1840" s="90">
        <v>2047</v>
      </c>
      <c r="C1840" s="91">
        <v>0.28828274096581707</v>
      </c>
      <c r="D1840" s="92">
        <v>219</v>
      </c>
      <c r="G1840" s="5"/>
      <c r="H1840" s="5"/>
      <c r="L1840" s="7"/>
      <c r="M1840" s="7"/>
      <c r="O1840" s="5"/>
      <c r="P1840" s="5"/>
    </row>
    <row r="1841" spans="2:16" x14ac:dyDescent="0.25">
      <c r="B1841" s="90">
        <v>1234</v>
      </c>
      <c r="C1841" s="91">
        <v>0.29007895775198078</v>
      </c>
      <c r="D1841" s="92">
        <v>219</v>
      </c>
      <c r="G1841" s="5"/>
      <c r="H1841" s="5"/>
      <c r="L1841" s="7"/>
      <c r="M1841" s="7"/>
      <c r="O1841" s="5"/>
      <c r="P1841" s="5"/>
    </row>
    <row r="1842" spans="2:16" x14ac:dyDescent="0.25">
      <c r="B1842" s="90">
        <v>1994</v>
      </c>
      <c r="C1842" s="91">
        <v>0.29653590750364889</v>
      </c>
      <c r="D1842" s="92">
        <v>219</v>
      </c>
      <c r="G1842" s="5"/>
      <c r="H1842" s="5"/>
      <c r="L1842" s="7"/>
      <c r="M1842" s="7"/>
      <c r="O1842" s="5"/>
      <c r="P1842" s="5"/>
    </row>
    <row r="1843" spans="2:16" x14ac:dyDescent="0.25">
      <c r="B1843" s="90">
        <v>15</v>
      </c>
      <c r="C1843" s="91">
        <v>0.30744406451270756</v>
      </c>
      <c r="D1843" s="92">
        <v>219</v>
      </c>
      <c r="G1843" s="5"/>
      <c r="H1843" s="5"/>
      <c r="L1843" s="7"/>
      <c r="M1843" s="7"/>
      <c r="O1843" s="5"/>
      <c r="P1843" s="5"/>
    </row>
    <row r="1844" spans="2:16" x14ac:dyDescent="0.25">
      <c r="B1844" s="90">
        <v>2041</v>
      </c>
      <c r="C1844" s="91">
        <v>0.30744406451270756</v>
      </c>
      <c r="D1844" s="92">
        <v>219</v>
      </c>
      <c r="G1844" s="5"/>
      <c r="H1844" s="5"/>
      <c r="L1844" s="7"/>
      <c r="M1844" s="7"/>
      <c r="O1844" s="5"/>
      <c r="P1844" s="5"/>
    </row>
    <row r="1845" spans="2:16" x14ac:dyDescent="0.25">
      <c r="B1845" s="90">
        <v>2069</v>
      </c>
      <c r="C1845" s="91">
        <v>0.30887460194594807</v>
      </c>
      <c r="D1845" s="92">
        <v>219</v>
      </c>
      <c r="G1845" s="5"/>
      <c r="H1845" s="5"/>
      <c r="L1845" s="7"/>
      <c r="M1845" s="7"/>
      <c r="O1845" s="5"/>
      <c r="P1845" s="5"/>
    </row>
    <row r="1846" spans="2:16" x14ac:dyDescent="0.25">
      <c r="B1846" s="90">
        <v>1694</v>
      </c>
      <c r="C1846" s="91">
        <v>0.31280263689360288</v>
      </c>
      <c r="D1846" s="92">
        <v>219</v>
      </c>
      <c r="G1846" s="5"/>
      <c r="H1846" s="5"/>
      <c r="L1846" s="7"/>
      <c r="M1846" s="7"/>
      <c r="O1846" s="5"/>
      <c r="P1846" s="5"/>
    </row>
    <row r="1847" spans="2:16" x14ac:dyDescent="0.25">
      <c r="B1847" s="90">
        <v>11</v>
      </c>
      <c r="C1847" s="91">
        <v>0.32158911379089483</v>
      </c>
      <c r="D1847" s="92">
        <v>219</v>
      </c>
      <c r="G1847" s="5"/>
      <c r="H1847" s="5"/>
      <c r="L1847" s="7"/>
      <c r="M1847" s="7"/>
      <c r="O1847" s="5"/>
      <c r="P1847" s="5"/>
    </row>
    <row r="1848" spans="2:16" x14ac:dyDescent="0.25">
      <c r="B1848" s="90">
        <v>2091</v>
      </c>
      <c r="C1848" s="91">
        <v>0.32158911379089483</v>
      </c>
      <c r="D1848" s="92">
        <v>219</v>
      </c>
      <c r="G1848" s="5"/>
      <c r="H1848" s="5"/>
      <c r="L1848" s="7"/>
      <c r="M1848" s="7"/>
      <c r="O1848" s="5"/>
      <c r="P1848" s="5"/>
    </row>
    <row r="1849" spans="2:16" x14ac:dyDescent="0.25">
      <c r="B1849" s="90">
        <v>2070</v>
      </c>
      <c r="C1849" s="91">
        <v>0.33351812342465736</v>
      </c>
      <c r="D1849" s="92">
        <v>219</v>
      </c>
      <c r="G1849" s="5"/>
      <c r="H1849" s="5"/>
      <c r="L1849" s="7"/>
      <c r="M1849" s="7"/>
      <c r="O1849" s="5"/>
      <c r="P1849" s="5"/>
    </row>
    <row r="1850" spans="2:16" x14ac:dyDescent="0.25">
      <c r="B1850" s="90">
        <v>17</v>
      </c>
      <c r="C1850" s="91">
        <v>0.33836320837741363</v>
      </c>
      <c r="D1850" s="92">
        <v>219</v>
      </c>
      <c r="G1850" s="5"/>
      <c r="H1850" s="5"/>
      <c r="L1850" s="7"/>
      <c r="M1850" s="7"/>
      <c r="O1850" s="5"/>
      <c r="P1850" s="5"/>
    </row>
    <row r="1851" spans="2:16" x14ac:dyDescent="0.25">
      <c r="B1851" s="90">
        <v>2010</v>
      </c>
      <c r="C1851" s="91">
        <v>0.33836320837741363</v>
      </c>
      <c r="D1851" s="92">
        <v>219</v>
      </c>
      <c r="G1851" s="5"/>
      <c r="H1851" s="5"/>
      <c r="L1851" s="7"/>
      <c r="M1851" s="7"/>
      <c r="O1851" s="5"/>
      <c r="P1851" s="5"/>
    </row>
    <row r="1852" spans="2:16" x14ac:dyDescent="0.25">
      <c r="B1852" s="90">
        <v>2042</v>
      </c>
      <c r="C1852" s="91">
        <v>0.35155207325701876</v>
      </c>
      <c r="D1852" s="92">
        <v>219</v>
      </c>
      <c r="G1852" s="5"/>
      <c r="H1852" s="5"/>
      <c r="L1852" s="7"/>
      <c r="M1852" s="7"/>
      <c r="O1852" s="5"/>
      <c r="P1852" s="5"/>
    </row>
    <row r="1853" spans="2:16" x14ac:dyDescent="0.25">
      <c r="B1853" s="90">
        <v>14</v>
      </c>
      <c r="C1853" s="91">
        <v>0.35269245823264572</v>
      </c>
      <c r="D1853" s="92">
        <v>219</v>
      </c>
      <c r="G1853" s="5"/>
      <c r="H1853" s="5"/>
      <c r="L1853" s="7"/>
      <c r="M1853" s="7"/>
      <c r="O1853" s="5"/>
      <c r="P1853" s="5"/>
    </row>
    <row r="1854" spans="2:16" x14ac:dyDescent="0.25">
      <c r="B1854" s="90">
        <v>2055</v>
      </c>
      <c r="C1854" s="91">
        <v>0.35269245823264572</v>
      </c>
      <c r="D1854" s="92">
        <v>219</v>
      </c>
      <c r="G1854" s="5"/>
      <c r="H1854" s="5"/>
      <c r="L1854" s="7"/>
      <c r="M1854" s="7"/>
      <c r="O1854" s="5"/>
      <c r="P1854" s="5"/>
    </row>
    <row r="1855" spans="2:16" x14ac:dyDescent="0.25">
      <c r="B1855" s="90">
        <v>16</v>
      </c>
      <c r="C1855" s="91">
        <v>0.36320360358267501</v>
      </c>
      <c r="D1855" s="92">
        <v>219</v>
      </c>
      <c r="G1855" s="5"/>
      <c r="H1855" s="5"/>
      <c r="L1855" s="7"/>
      <c r="M1855" s="7"/>
      <c r="O1855" s="5"/>
      <c r="P1855" s="5"/>
    </row>
    <row r="1856" spans="2:16" x14ac:dyDescent="0.25">
      <c r="B1856" s="90">
        <v>2026</v>
      </c>
      <c r="C1856" s="91">
        <v>0.36320360358267501</v>
      </c>
      <c r="D1856" s="92">
        <v>219</v>
      </c>
      <c r="G1856" s="5"/>
      <c r="H1856" s="5"/>
      <c r="L1856" s="7"/>
      <c r="M1856" s="7"/>
      <c r="O1856" s="5"/>
      <c r="P1856" s="5"/>
    </row>
    <row r="1857" spans="2:16" x14ac:dyDescent="0.25">
      <c r="B1857" s="90">
        <v>657</v>
      </c>
      <c r="C1857" s="91">
        <v>0.38558410470079219</v>
      </c>
      <c r="D1857" s="92">
        <v>219</v>
      </c>
      <c r="G1857" s="5"/>
      <c r="H1857" s="5"/>
      <c r="L1857" s="7"/>
      <c r="M1857" s="7"/>
      <c r="O1857" s="5"/>
      <c r="P1857" s="5"/>
    </row>
    <row r="1858" spans="2:16" x14ac:dyDescent="0.25">
      <c r="B1858" s="90">
        <v>600</v>
      </c>
      <c r="C1858" s="91">
        <v>0.38690084764939325</v>
      </c>
      <c r="D1858" s="92">
        <v>219</v>
      </c>
      <c r="G1858" s="5"/>
      <c r="H1858" s="5"/>
      <c r="L1858" s="7"/>
      <c r="M1858" s="7"/>
      <c r="O1858" s="5"/>
      <c r="P1858" s="5"/>
    </row>
    <row r="1859" spans="2:16" x14ac:dyDescent="0.25">
      <c r="B1859" s="90">
        <v>542</v>
      </c>
      <c r="C1859" s="91">
        <v>0.40167885785552948</v>
      </c>
      <c r="D1859" s="92">
        <v>219</v>
      </c>
      <c r="G1859" s="5"/>
      <c r="H1859" s="5"/>
      <c r="L1859" s="7"/>
      <c r="M1859" s="7"/>
      <c r="O1859" s="5"/>
      <c r="P1859" s="5"/>
    </row>
    <row r="1860" spans="2:16" x14ac:dyDescent="0.25">
      <c r="B1860" s="90">
        <v>434</v>
      </c>
      <c r="C1860" s="91">
        <v>0.44066932992876939</v>
      </c>
      <c r="D1860" s="92">
        <v>219</v>
      </c>
      <c r="G1860" s="5"/>
      <c r="H1860" s="5"/>
      <c r="L1860" s="7"/>
      <c r="M1860" s="7"/>
      <c r="O1860" s="5"/>
      <c r="P1860" s="5"/>
    </row>
    <row r="1861" spans="2:16" x14ac:dyDescent="0.25">
      <c r="B1861" s="90">
        <v>1418</v>
      </c>
      <c r="C1861" s="91">
        <v>0.14530836108943357</v>
      </c>
      <c r="D1861" s="92">
        <v>220</v>
      </c>
      <c r="G1861" s="5"/>
      <c r="H1861" s="5"/>
      <c r="L1861" s="7"/>
      <c r="M1861" s="7"/>
      <c r="O1861" s="5"/>
      <c r="P1861" s="5"/>
    </row>
    <row r="1862" spans="2:16" x14ac:dyDescent="0.25">
      <c r="B1862" s="90">
        <v>1298</v>
      </c>
      <c r="C1862" s="91">
        <v>0.14702719500634442</v>
      </c>
      <c r="D1862" s="92">
        <v>220</v>
      </c>
      <c r="G1862" s="5"/>
      <c r="H1862" s="5"/>
      <c r="L1862" s="7"/>
      <c r="M1862" s="7"/>
      <c r="O1862" s="5"/>
      <c r="P1862" s="5"/>
    </row>
    <row r="1863" spans="2:16" x14ac:dyDescent="0.25">
      <c r="B1863" s="90">
        <v>1215</v>
      </c>
      <c r="C1863" s="91">
        <v>0.17642511516178216</v>
      </c>
      <c r="D1863" s="92">
        <v>220</v>
      </c>
      <c r="G1863" s="5"/>
      <c r="H1863" s="5"/>
      <c r="L1863" s="7"/>
      <c r="M1863" s="7"/>
      <c r="O1863" s="5"/>
      <c r="P1863" s="5"/>
    </row>
    <row r="1864" spans="2:16" x14ac:dyDescent="0.25">
      <c r="B1864" s="90">
        <v>1307</v>
      </c>
      <c r="C1864" s="91">
        <v>0.1330732310452839</v>
      </c>
      <c r="D1864" s="92">
        <v>221</v>
      </c>
      <c r="G1864" s="5"/>
      <c r="H1864" s="5"/>
      <c r="L1864" s="7"/>
      <c r="M1864" s="7"/>
      <c r="O1864" s="5"/>
      <c r="P1864" s="5"/>
    </row>
    <row r="1865" spans="2:16" x14ac:dyDescent="0.25">
      <c r="B1865" s="90">
        <v>2073</v>
      </c>
      <c r="C1865" s="91">
        <v>0.31505562635149142</v>
      </c>
      <c r="D1865" s="92">
        <v>221</v>
      </c>
      <c r="G1865" s="5"/>
      <c r="H1865" s="5"/>
      <c r="L1865" s="7"/>
      <c r="M1865" s="7"/>
      <c r="O1865" s="5"/>
      <c r="P1865" s="5"/>
    </row>
    <row r="1866" spans="2:16" x14ac:dyDescent="0.25">
      <c r="B1866" s="90">
        <v>2093</v>
      </c>
      <c r="C1866" s="91">
        <v>0.34927887368178445</v>
      </c>
      <c r="D1866" s="92">
        <v>221</v>
      </c>
      <c r="G1866" s="5"/>
      <c r="H1866" s="5"/>
      <c r="L1866" s="7"/>
      <c r="M1866" s="7"/>
      <c r="O1866" s="5"/>
      <c r="P1866" s="5"/>
    </row>
    <row r="1867" spans="2:16" x14ac:dyDescent="0.25">
      <c r="B1867" s="90">
        <v>2002</v>
      </c>
      <c r="C1867" s="91">
        <v>0.36015104811514864</v>
      </c>
      <c r="D1867" s="92">
        <v>221</v>
      </c>
      <c r="G1867" s="5"/>
      <c r="H1867" s="5"/>
      <c r="L1867" s="7"/>
      <c r="M1867" s="7"/>
      <c r="O1867" s="5"/>
      <c r="P1867" s="5"/>
    </row>
    <row r="1868" spans="2:16" x14ac:dyDescent="0.25">
      <c r="B1868" s="90">
        <v>656</v>
      </c>
      <c r="C1868" s="91">
        <v>0.40241886044074249</v>
      </c>
      <c r="D1868" s="92">
        <v>221</v>
      </c>
      <c r="G1868" s="5"/>
      <c r="H1868" s="5"/>
      <c r="L1868" s="7"/>
      <c r="M1868" s="7"/>
      <c r="O1868" s="5"/>
      <c r="P1868" s="5"/>
    </row>
    <row r="1869" spans="2:16" x14ac:dyDescent="0.25">
      <c r="B1869" s="90">
        <v>2043</v>
      </c>
      <c r="C1869" s="91">
        <v>0.41377250648115482</v>
      </c>
      <c r="D1869" s="92">
        <v>221</v>
      </c>
      <c r="G1869" s="5"/>
      <c r="H1869" s="5"/>
      <c r="L1869" s="7"/>
      <c r="M1869" s="7"/>
      <c r="O1869" s="5"/>
      <c r="P1869" s="5"/>
    </row>
    <row r="1870" spans="2:16" x14ac:dyDescent="0.25">
      <c r="B1870" s="90">
        <v>491</v>
      </c>
      <c r="C1870" s="91">
        <v>0.41755078644994359</v>
      </c>
      <c r="D1870" s="92">
        <v>221</v>
      </c>
      <c r="G1870" s="5"/>
      <c r="H1870" s="5"/>
      <c r="L1870" s="7"/>
      <c r="M1870" s="7"/>
      <c r="O1870" s="5"/>
      <c r="P1870" s="5"/>
    </row>
    <row r="1871" spans="2:16" x14ac:dyDescent="0.25">
      <c r="B1871" s="90">
        <v>478</v>
      </c>
      <c r="C1871" s="91">
        <v>0.30269810692755106</v>
      </c>
      <c r="D1871" s="92">
        <v>222</v>
      </c>
      <c r="G1871" s="5"/>
      <c r="H1871" s="5"/>
      <c r="L1871" s="7"/>
      <c r="M1871" s="7"/>
      <c r="O1871" s="5"/>
      <c r="P1871" s="5"/>
    </row>
    <row r="1872" spans="2:16" x14ac:dyDescent="0.25">
      <c r="B1872" s="90">
        <v>705</v>
      </c>
      <c r="C1872" s="91">
        <v>0.31239650045546963</v>
      </c>
      <c r="D1872" s="92">
        <v>222</v>
      </c>
      <c r="G1872" s="5"/>
      <c r="H1872" s="5"/>
      <c r="L1872" s="7"/>
      <c r="M1872" s="7"/>
      <c r="O1872" s="5"/>
      <c r="P1872" s="5"/>
    </row>
    <row r="1873" spans="2:16" x14ac:dyDescent="0.25">
      <c r="B1873" s="90">
        <v>704</v>
      </c>
      <c r="C1873" s="91">
        <v>0.32834926337105275</v>
      </c>
      <c r="D1873" s="92">
        <v>222</v>
      </c>
      <c r="G1873" s="5"/>
      <c r="H1873" s="5"/>
      <c r="L1873" s="7"/>
      <c r="M1873" s="7"/>
      <c r="O1873" s="5"/>
      <c r="P1873" s="5"/>
    </row>
    <row r="1874" spans="2:16" x14ac:dyDescent="0.25">
      <c r="B1874" s="90">
        <v>758</v>
      </c>
      <c r="C1874" s="91">
        <v>0.333837383504342</v>
      </c>
      <c r="D1874" s="92">
        <v>222</v>
      </c>
      <c r="G1874" s="5"/>
      <c r="H1874" s="5"/>
      <c r="L1874" s="7"/>
      <c r="M1874" s="7"/>
      <c r="O1874" s="5"/>
      <c r="P1874" s="5"/>
    </row>
    <row r="1875" spans="2:16" x14ac:dyDescent="0.25">
      <c r="B1875" s="90">
        <v>811</v>
      </c>
      <c r="C1875" s="91">
        <v>0.33643611355069569</v>
      </c>
      <c r="D1875" s="92">
        <v>222</v>
      </c>
      <c r="G1875" s="5"/>
      <c r="H1875" s="5"/>
      <c r="L1875" s="7"/>
      <c r="M1875" s="7"/>
      <c r="O1875" s="5"/>
      <c r="P1875" s="5"/>
    </row>
    <row r="1876" spans="2:16" x14ac:dyDescent="0.25">
      <c r="B1876" s="90">
        <v>863</v>
      </c>
      <c r="C1876" s="91">
        <v>0.34585102895007913</v>
      </c>
      <c r="D1876" s="92">
        <v>222</v>
      </c>
      <c r="G1876" s="5"/>
      <c r="H1876" s="5"/>
      <c r="L1876" s="7"/>
      <c r="M1876" s="7"/>
      <c r="O1876" s="5"/>
      <c r="P1876" s="5"/>
    </row>
    <row r="1877" spans="2:16" x14ac:dyDescent="0.25">
      <c r="B1877" s="90">
        <v>1265</v>
      </c>
      <c r="C1877" s="91">
        <v>0.13772111220479177</v>
      </c>
      <c r="D1877" s="92">
        <v>223</v>
      </c>
      <c r="G1877" s="5"/>
      <c r="H1877" s="5"/>
      <c r="L1877" s="7"/>
      <c r="M1877" s="7"/>
      <c r="O1877" s="5"/>
      <c r="P1877" s="5"/>
    </row>
    <row r="1878" spans="2:16" x14ac:dyDescent="0.25">
      <c r="B1878" s="90">
        <v>1427</v>
      </c>
      <c r="C1878" s="91">
        <v>0.14715455673889533</v>
      </c>
      <c r="D1878" s="92">
        <v>223</v>
      </c>
      <c r="G1878" s="5"/>
      <c r="H1878" s="5"/>
      <c r="L1878" s="7"/>
      <c r="M1878" s="7"/>
      <c r="O1878" s="5"/>
      <c r="P1878" s="5"/>
    </row>
    <row r="1879" spans="2:16" x14ac:dyDescent="0.25">
      <c r="B1879" s="90">
        <v>1458</v>
      </c>
      <c r="C1879" s="91">
        <v>0.15113832023990481</v>
      </c>
      <c r="D1879" s="92">
        <v>223</v>
      </c>
      <c r="G1879" s="5"/>
      <c r="H1879" s="5"/>
      <c r="L1879" s="7"/>
      <c r="M1879" s="7"/>
      <c r="O1879" s="5"/>
      <c r="P1879" s="5"/>
    </row>
    <row r="1880" spans="2:16" x14ac:dyDescent="0.25">
      <c r="B1880" s="90">
        <v>1542</v>
      </c>
      <c r="C1880" s="91">
        <v>0.16621590604253134</v>
      </c>
      <c r="D1880" s="92">
        <v>223</v>
      </c>
      <c r="G1880" s="5"/>
      <c r="H1880" s="5"/>
      <c r="L1880" s="7"/>
      <c r="M1880" s="7"/>
      <c r="O1880" s="5"/>
      <c r="P1880" s="5"/>
    </row>
    <row r="1881" spans="2:16" x14ac:dyDescent="0.25">
      <c r="B1881" s="90">
        <v>1342</v>
      </c>
      <c r="C1881" s="91">
        <v>0.20408157185164122</v>
      </c>
      <c r="D1881" s="92">
        <v>223</v>
      </c>
      <c r="G1881" s="5"/>
      <c r="H1881" s="5"/>
      <c r="L1881" s="7"/>
      <c r="M1881" s="7"/>
      <c r="O1881" s="5"/>
      <c r="P1881" s="5"/>
    </row>
    <row r="1882" spans="2:16" x14ac:dyDescent="0.25">
      <c r="B1882" s="90">
        <v>1281</v>
      </c>
      <c r="C1882" s="91">
        <v>0.27526200635217091</v>
      </c>
      <c r="D1882" s="92">
        <v>223</v>
      </c>
      <c r="G1882" s="5"/>
      <c r="H1882" s="5"/>
      <c r="L1882" s="7"/>
      <c r="M1882" s="7"/>
      <c r="O1882" s="5"/>
      <c r="P1882" s="5"/>
    </row>
    <row r="1883" spans="2:16" x14ac:dyDescent="0.25">
      <c r="B1883" s="90">
        <v>2017</v>
      </c>
      <c r="C1883" s="91">
        <v>0.31876942142606879</v>
      </c>
      <c r="D1883" s="92">
        <v>223</v>
      </c>
      <c r="G1883" s="5"/>
      <c r="H1883" s="5"/>
      <c r="L1883" s="7"/>
      <c r="M1883" s="7"/>
      <c r="O1883" s="5"/>
      <c r="P1883" s="5"/>
    </row>
    <row r="1884" spans="2:16" x14ac:dyDescent="0.25">
      <c r="B1884" s="90">
        <v>2092</v>
      </c>
      <c r="C1884" s="91">
        <v>0.33935236399468349</v>
      </c>
      <c r="D1884" s="92">
        <v>223</v>
      </c>
      <c r="G1884" s="5"/>
      <c r="H1884" s="5"/>
      <c r="L1884" s="7"/>
      <c r="M1884" s="7"/>
      <c r="O1884" s="5"/>
      <c r="P1884" s="5"/>
    </row>
    <row r="1885" spans="2:16" x14ac:dyDescent="0.25">
      <c r="B1885" s="90">
        <v>2016</v>
      </c>
      <c r="C1885" s="91">
        <v>0.34146945942651774</v>
      </c>
      <c r="D1885" s="92">
        <v>223</v>
      </c>
      <c r="G1885" s="5"/>
      <c r="H1885" s="5"/>
      <c r="L1885" s="7"/>
      <c r="M1885" s="7"/>
      <c r="O1885" s="5"/>
      <c r="P1885" s="5"/>
    </row>
    <row r="1886" spans="2:16" x14ac:dyDescent="0.25">
      <c r="B1886" s="90">
        <v>184</v>
      </c>
      <c r="C1886" s="91">
        <v>0.3747172762888169</v>
      </c>
      <c r="D1886" s="92">
        <v>223</v>
      </c>
      <c r="G1886" s="5"/>
      <c r="H1886" s="5"/>
      <c r="L1886" s="7"/>
      <c r="M1886" s="7"/>
      <c r="O1886" s="5"/>
      <c r="P1886" s="5"/>
    </row>
    <row r="1887" spans="2:16" x14ac:dyDescent="0.25">
      <c r="B1887" s="90">
        <v>2011</v>
      </c>
      <c r="C1887" s="91">
        <v>0.38156425666196314</v>
      </c>
      <c r="D1887" s="92">
        <v>223</v>
      </c>
      <c r="G1887" s="5"/>
      <c r="H1887" s="5"/>
      <c r="L1887" s="7"/>
      <c r="M1887" s="7"/>
      <c r="O1887" s="5"/>
      <c r="P1887" s="5"/>
    </row>
    <row r="1888" spans="2:16" x14ac:dyDescent="0.25">
      <c r="B1888" s="90">
        <v>2037</v>
      </c>
      <c r="C1888" s="91">
        <v>0.38581841493587876</v>
      </c>
      <c r="D1888" s="92">
        <v>223</v>
      </c>
      <c r="G1888" s="5"/>
      <c r="H1888" s="5"/>
      <c r="L1888" s="7"/>
      <c r="M1888" s="7"/>
      <c r="O1888" s="5"/>
      <c r="P1888" s="5"/>
    </row>
    <row r="1889" spans="2:16" x14ac:dyDescent="0.25">
      <c r="B1889" s="90">
        <v>185</v>
      </c>
      <c r="C1889" s="91">
        <v>0.38762267800067596</v>
      </c>
      <c r="D1889" s="92">
        <v>223</v>
      </c>
      <c r="G1889" s="5"/>
      <c r="H1889" s="5"/>
      <c r="L1889" s="7"/>
      <c r="M1889" s="7"/>
      <c r="O1889" s="5"/>
      <c r="P1889" s="5"/>
    </row>
    <row r="1890" spans="2:16" x14ac:dyDescent="0.25">
      <c r="B1890" s="90">
        <v>12</v>
      </c>
      <c r="C1890" s="91">
        <v>0.38905180257254846</v>
      </c>
      <c r="D1890" s="92">
        <v>223</v>
      </c>
      <c r="G1890" s="5"/>
      <c r="H1890" s="5"/>
      <c r="L1890" s="7"/>
      <c r="M1890" s="7"/>
      <c r="O1890" s="5"/>
      <c r="P1890" s="5"/>
    </row>
    <row r="1891" spans="2:16" x14ac:dyDescent="0.25">
      <c r="B1891" s="90">
        <v>2080</v>
      </c>
      <c r="C1891" s="91">
        <v>0.38905180257254846</v>
      </c>
      <c r="D1891" s="92">
        <v>223</v>
      </c>
      <c r="G1891" s="5"/>
      <c r="H1891" s="5"/>
      <c r="L1891" s="7"/>
      <c r="M1891" s="7"/>
      <c r="O1891" s="5"/>
      <c r="P1891" s="5"/>
    </row>
    <row r="1892" spans="2:16" x14ac:dyDescent="0.25">
      <c r="B1892" s="90">
        <v>2051</v>
      </c>
      <c r="C1892" s="91">
        <v>0.39707556674727518</v>
      </c>
      <c r="D1892" s="92">
        <v>223</v>
      </c>
      <c r="G1892" s="5"/>
      <c r="H1892" s="5"/>
      <c r="L1892" s="7"/>
      <c r="M1892" s="7"/>
      <c r="O1892" s="5"/>
      <c r="P1892" s="5"/>
    </row>
    <row r="1893" spans="2:16" x14ac:dyDescent="0.25">
      <c r="B1893" s="90">
        <v>2006</v>
      </c>
      <c r="C1893" s="91">
        <v>0.40978581765656208</v>
      </c>
      <c r="D1893" s="92">
        <v>223</v>
      </c>
      <c r="G1893" s="5"/>
      <c r="H1893" s="5"/>
      <c r="L1893" s="7"/>
      <c r="M1893" s="7"/>
      <c r="O1893" s="5"/>
      <c r="P1893" s="5"/>
    </row>
    <row r="1894" spans="2:16" x14ac:dyDescent="0.25">
      <c r="B1894" s="90">
        <v>10</v>
      </c>
      <c r="C1894" s="91">
        <v>0.41366788735221338</v>
      </c>
      <c r="D1894" s="92">
        <v>223</v>
      </c>
      <c r="G1894" s="5"/>
      <c r="H1894" s="5"/>
      <c r="L1894" s="7"/>
      <c r="M1894" s="7"/>
      <c r="O1894" s="5"/>
      <c r="P1894" s="5"/>
    </row>
    <row r="1895" spans="2:16" x14ac:dyDescent="0.25">
      <c r="B1895" s="90">
        <v>2101</v>
      </c>
      <c r="C1895" s="91">
        <v>0.41366788735221338</v>
      </c>
      <c r="D1895" s="92">
        <v>223</v>
      </c>
      <c r="G1895" s="5"/>
      <c r="H1895" s="5"/>
      <c r="L1895" s="7"/>
      <c r="M1895" s="7"/>
      <c r="O1895" s="5"/>
      <c r="P1895" s="5"/>
    </row>
    <row r="1896" spans="2:16" x14ac:dyDescent="0.25">
      <c r="B1896" s="90">
        <v>9</v>
      </c>
      <c r="C1896" s="91">
        <v>0.41659334695301042</v>
      </c>
      <c r="D1896" s="92">
        <v>223</v>
      </c>
      <c r="G1896" s="5"/>
      <c r="H1896" s="5"/>
      <c r="L1896" s="7"/>
      <c r="M1896" s="7"/>
      <c r="O1896" s="5"/>
      <c r="P1896" s="5"/>
    </row>
    <row r="1897" spans="2:16" x14ac:dyDescent="0.25">
      <c r="B1897" s="90">
        <v>2110</v>
      </c>
      <c r="C1897" s="91">
        <v>0.41659334695301042</v>
      </c>
      <c r="D1897" s="92">
        <v>223</v>
      </c>
      <c r="G1897" s="5"/>
      <c r="H1897" s="5"/>
      <c r="L1897" s="7"/>
      <c r="M1897" s="7"/>
      <c r="O1897" s="5"/>
      <c r="P1897" s="5"/>
    </row>
    <row r="1898" spans="2:16" x14ac:dyDescent="0.25">
      <c r="B1898" s="90">
        <v>253</v>
      </c>
      <c r="C1898" s="91">
        <v>0.44380360044468647</v>
      </c>
      <c r="D1898" s="92">
        <v>223</v>
      </c>
      <c r="G1898" s="5"/>
      <c r="H1898" s="5"/>
      <c r="L1898" s="7"/>
      <c r="M1898" s="7"/>
      <c r="O1898" s="5"/>
      <c r="P1898" s="5"/>
    </row>
    <row r="1899" spans="2:16" x14ac:dyDescent="0.25">
      <c r="B1899" s="90">
        <v>254</v>
      </c>
      <c r="C1899" s="91">
        <v>0.44951939016911413</v>
      </c>
      <c r="D1899" s="92">
        <v>223</v>
      </c>
      <c r="G1899" s="5"/>
      <c r="H1899" s="5"/>
      <c r="L1899" s="7"/>
      <c r="M1899" s="7"/>
      <c r="O1899" s="5"/>
      <c r="P1899" s="5"/>
    </row>
    <row r="1900" spans="2:16" x14ac:dyDescent="0.25">
      <c r="B1900" s="90">
        <v>1214</v>
      </c>
      <c r="C1900" s="91">
        <v>0.13822686280094887</v>
      </c>
      <c r="D1900" s="92">
        <v>224</v>
      </c>
      <c r="G1900" s="5"/>
      <c r="H1900" s="5"/>
      <c r="L1900" s="7"/>
      <c r="M1900" s="7"/>
      <c r="O1900" s="5"/>
      <c r="P1900" s="5"/>
    </row>
    <row r="1901" spans="2:16" x14ac:dyDescent="0.25">
      <c r="B1901" s="90">
        <v>1284</v>
      </c>
      <c r="C1901" s="91">
        <v>0.28623672180231485</v>
      </c>
      <c r="D1901" s="92">
        <v>224</v>
      </c>
      <c r="G1901" s="5"/>
      <c r="H1901" s="5"/>
      <c r="L1901" s="7"/>
      <c r="M1901" s="7"/>
      <c r="O1901" s="5"/>
      <c r="P1901" s="5"/>
    </row>
    <row r="1902" spans="2:16" x14ac:dyDescent="0.25">
      <c r="B1902" s="90">
        <v>61</v>
      </c>
      <c r="C1902" s="91">
        <v>0.44686715164369428</v>
      </c>
      <c r="D1902" s="92">
        <v>224</v>
      </c>
      <c r="G1902" s="5"/>
      <c r="H1902" s="5"/>
      <c r="L1902" s="7"/>
      <c r="M1902" s="7"/>
      <c r="O1902" s="5"/>
      <c r="P1902" s="5"/>
    </row>
    <row r="1903" spans="2:16" x14ac:dyDescent="0.25">
      <c r="B1903" s="90">
        <v>316</v>
      </c>
      <c r="C1903" s="91">
        <v>0.44686715164369428</v>
      </c>
      <c r="D1903" s="92">
        <v>224</v>
      </c>
      <c r="G1903" s="5"/>
      <c r="H1903" s="5"/>
      <c r="L1903" s="7"/>
      <c r="M1903" s="7"/>
      <c r="O1903" s="5"/>
      <c r="P1903" s="5"/>
    </row>
    <row r="1904" spans="2:16" x14ac:dyDescent="0.25">
      <c r="B1904" s="90">
        <v>1219</v>
      </c>
      <c r="C1904" s="91">
        <v>0.10859279458759907</v>
      </c>
      <c r="D1904" s="92">
        <v>225</v>
      </c>
      <c r="G1904" s="5"/>
      <c r="H1904" s="5"/>
      <c r="L1904" s="7"/>
      <c r="M1904" s="7"/>
      <c r="O1904" s="5"/>
      <c r="P1904" s="5"/>
    </row>
    <row r="1905" spans="2:16" x14ac:dyDescent="0.25">
      <c r="B1905" s="90">
        <v>594</v>
      </c>
      <c r="C1905" s="91">
        <v>0.30864826775004994</v>
      </c>
      <c r="D1905" s="92">
        <v>225</v>
      </c>
      <c r="G1905" s="5"/>
      <c r="H1905" s="5"/>
      <c r="L1905" s="7"/>
      <c r="M1905" s="7"/>
      <c r="O1905" s="5"/>
      <c r="P1905" s="5"/>
    </row>
    <row r="1906" spans="2:16" x14ac:dyDescent="0.25">
      <c r="B1906" s="90">
        <v>1574</v>
      </c>
      <c r="C1906" s="91">
        <v>0.31151201239536119</v>
      </c>
      <c r="D1906" s="92">
        <v>225</v>
      </c>
      <c r="G1906" s="5"/>
      <c r="H1906" s="5"/>
      <c r="L1906" s="7"/>
      <c r="M1906" s="7"/>
      <c r="O1906" s="5"/>
      <c r="P1906" s="5"/>
    </row>
    <row r="1907" spans="2:16" x14ac:dyDescent="0.25">
      <c r="B1907" s="90">
        <v>537</v>
      </c>
      <c r="C1907" s="91">
        <v>0.31699719886028921</v>
      </c>
      <c r="D1907" s="92">
        <v>225</v>
      </c>
      <c r="G1907" s="5"/>
      <c r="H1907" s="5"/>
      <c r="L1907" s="7"/>
      <c r="M1907" s="7"/>
      <c r="O1907" s="5"/>
      <c r="P1907" s="5"/>
    </row>
    <row r="1908" spans="2:16" x14ac:dyDescent="0.25">
      <c r="B1908" s="90">
        <v>650</v>
      </c>
      <c r="C1908" s="91">
        <v>0.31915286739994364</v>
      </c>
      <c r="D1908" s="92">
        <v>225</v>
      </c>
      <c r="G1908" s="5"/>
      <c r="H1908" s="5"/>
      <c r="L1908" s="7"/>
      <c r="M1908" s="7"/>
      <c r="O1908" s="5"/>
      <c r="P1908" s="5"/>
    </row>
    <row r="1909" spans="2:16" x14ac:dyDescent="0.25">
      <c r="B1909" s="90">
        <v>1575</v>
      </c>
      <c r="C1909" s="91">
        <v>0.33610737420220138</v>
      </c>
      <c r="D1909" s="92">
        <v>225</v>
      </c>
      <c r="G1909" s="5"/>
      <c r="H1909" s="5"/>
      <c r="L1909" s="7"/>
      <c r="M1909" s="7"/>
      <c r="O1909" s="5"/>
      <c r="P1909" s="5"/>
    </row>
    <row r="1910" spans="2:16" x14ac:dyDescent="0.25">
      <c r="B1910" s="90">
        <v>2046</v>
      </c>
      <c r="C1910" s="91">
        <v>0.3520209511035971</v>
      </c>
      <c r="D1910" s="92">
        <v>225</v>
      </c>
      <c r="G1910" s="5"/>
      <c r="H1910" s="5"/>
      <c r="L1910" s="7"/>
      <c r="M1910" s="7"/>
      <c r="O1910" s="5"/>
      <c r="P1910" s="5"/>
    </row>
    <row r="1911" spans="2:16" x14ac:dyDescent="0.25">
      <c r="B1911" s="90">
        <v>2033</v>
      </c>
      <c r="C1911" s="91">
        <v>0.38710157640155363</v>
      </c>
      <c r="D1911" s="92">
        <v>225</v>
      </c>
      <c r="G1911" s="5"/>
      <c r="H1911" s="5"/>
      <c r="L1911" s="7"/>
      <c r="M1911" s="7"/>
      <c r="O1911" s="5"/>
      <c r="P1911" s="5"/>
    </row>
    <row r="1912" spans="2:16" x14ac:dyDescent="0.25">
      <c r="B1912" s="90">
        <v>2056</v>
      </c>
      <c r="C1912" s="91">
        <v>0.3889863149856323</v>
      </c>
      <c r="D1912" s="92">
        <v>225</v>
      </c>
      <c r="G1912" s="5"/>
      <c r="H1912" s="5"/>
      <c r="L1912" s="7"/>
      <c r="M1912" s="7"/>
      <c r="O1912" s="5"/>
      <c r="P1912" s="5"/>
    </row>
    <row r="1913" spans="2:16" x14ac:dyDescent="0.25">
      <c r="B1913" s="90">
        <v>2061</v>
      </c>
      <c r="C1913" s="91">
        <v>0.39325572067316272</v>
      </c>
      <c r="D1913" s="92">
        <v>225</v>
      </c>
      <c r="G1913" s="5"/>
      <c r="H1913" s="5"/>
      <c r="L1913" s="7"/>
      <c r="M1913" s="7"/>
      <c r="O1913" s="5"/>
      <c r="P1913" s="5"/>
    </row>
    <row r="1914" spans="2:16" x14ac:dyDescent="0.25">
      <c r="B1914" s="90">
        <v>2027</v>
      </c>
      <c r="C1914" s="91">
        <v>0.40640637724954465</v>
      </c>
      <c r="D1914" s="92">
        <v>225</v>
      </c>
      <c r="G1914" s="5"/>
      <c r="H1914" s="5"/>
      <c r="L1914" s="7"/>
      <c r="M1914" s="7"/>
      <c r="O1914" s="5"/>
      <c r="P1914" s="5"/>
    </row>
    <row r="1915" spans="2:16" x14ac:dyDescent="0.25">
      <c r="B1915" s="90">
        <v>2050</v>
      </c>
      <c r="C1915" s="91">
        <v>0.40805834068865954</v>
      </c>
      <c r="D1915" s="92">
        <v>225</v>
      </c>
      <c r="G1915" s="5"/>
      <c r="H1915" s="5"/>
      <c r="L1915" s="7"/>
      <c r="M1915" s="7"/>
      <c r="O1915" s="5"/>
      <c r="P1915" s="5"/>
    </row>
    <row r="1916" spans="2:16" x14ac:dyDescent="0.25">
      <c r="B1916" s="90">
        <v>1615</v>
      </c>
      <c r="C1916" s="91">
        <v>0.40965570845504884</v>
      </c>
      <c r="D1916" s="92">
        <v>225</v>
      </c>
      <c r="G1916" s="5"/>
      <c r="H1916" s="5"/>
      <c r="L1916" s="7"/>
      <c r="M1916" s="7"/>
      <c r="O1916" s="5"/>
      <c r="P1916" s="5"/>
    </row>
    <row r="1917" spans="2:16" x14ac:dyDescent="0.25">
      <c r="B1917" s="90">
        <v>2034</v>
      </c>
      <c r="C1917" s="91">
        <v>0.41196525613299928</v>
      </c>
      <c r="D1917" s="92">
        <v>225</v>
      </c>
      <c r="G1917" s="5"/>
      <c r="H1917" s="5"/>
      <c r="L1917" s="7"/>
      <c r="M1917" s="7"/>
      <c r="O1917" s="5"/>
      <c r="P1917" s="5"/>
    </row>
    <row r="1918" spans="2:16" x14ac:dyDescent="0.25">
      <c r="B1918" s="90">
        <v>2081</v>
      </c>
      <c r="C1918" s="91">
        <v>0.41566548072475551</v>
      </c>
      <c r="D1918" s="92">
        <v>225</v>
      </c>
      <c r="G1918" s="5"/>
      <c r="H1918" s="5"/>
      <c r="L1918" s="7"/>
      <c r="M1918" s="7"/>
      <c r="O1918" s="5"/>
      <c r="P1918" s="5"/>
    </row>
    <row r="1919" spans="2:16" x14ac:dyDescent="0.25">
      <c r="B1919" s="90">
        <v>2057</v>
      </c>
      <c r="C1919" s="91">
        <v>0.45183043890382579</v>
      </c>
      <c r="D1919" s="92">
        <v>225</v>
      </c>
      <c r="G1919" s="5"/>
      <c r="H1919" s="5"/>
      <c r="L1919" s="7"/>
      <c r="M1919" s="7"/>
      <c r="O1919" s="5"/>
      <c r="P1919" s="5"/>
    </row>
    <row r="1920" spans="2:16" x14ac:dyDescent="0.25">
      <c r="B1920" s="90">
        <v>1680</v>
      </c>
      <c r="C1920" s="91">
        <v>0.45474953471156032</v>
      </c>
      <c r="D1920" s="92">
        <v>225</v>
      </c>
      <c r="G1920" s="5"/>
      <c r="H1920" s="5"/>
      <c r="L1920" s="7"/>
      <c r="M1920" s="7"/>
      <c r="O1920" s="5"/>
      <c r="P1920" s="5"/>
    </row>
    <row r="1921" spans="2:16" x14ac:dyDescent="0.25">
      <c r="B1921" s="90">
        <v>1220</v>
      </c>
      <c r="C1921" s="91">
        <v>8.9011043177390392E-2</v>
      </c>
      <c r="D1921" s="92">
        <v>227</v>
      </c>
      <c r="G1921" s="5"/>
      <c r="H1921" s="5"/>
      <c r="L1921" s="7"/>
      <c r="M1921" s="7"/>
      <c r="O1921" s="5"/>
      <c r="P1921" s="5"/>
    </row>
    <row r="1922" spans="2:16" x14ac:dyDescent="0.25">
      <c r="B1922" s="90">
        <v>1260</v>
      </c>
      <c r="C1922" s="91">
        <v>0.13174683112002827</v>
      </c>
      <c r="D1922" s="92">
        <v>227</v>
      </c>
      <c r="G1922" s="5"/>
      <c r="H1922" s="5"/>
      <c r="L1922" s="7"/>
      <c r="M1922" s="7"/>
      <c r="O1922" s="5"/>
      <c r="P1922" s="5"/>
    </row>
    <row r="1923" spans="2:16" x14ac:dyDescent="0.25">
      <c r="B1923" s="90">
        <v>1218</v>
      </c>
      <c r="C1923" s="91">
        <v>0.14847376490926578</v>
      </c>
      <c r="D1923" s="92">
        <v>227</v>
      </c>
      <c r="G1923" s="5"/>
      <c r="H1923" s="5"/>
      <c r="L1923" s="7"/>
      <c r="M1923" s="7"/>
      <c r="O1923" s="5"/>
      <c r="P1923" s="5"/>
    </row>
    <row r="1924" spans="2:16" x14ac:dyDescent="0.25">
      <c r="B1924" s="90">
        <v>1493</v>
      </c>
      <c r="C1924" s="91">
        <v>0.23002351474823368</v>
      </c>
      <c r="D1924" s="92">
        <v>227</v>
      </c>
      <c r="G1924" s="5"/>
      <c r="H1924" s="5"/>
      <c r="L1924" s="7"/>
      <c r="M1924" s="7"/>
      <c r="O1924" s="5"/>
      <c r="P1924" s="5"/>
    </row>
    <row r="1925" spans="2:16" x14ac:dyDescent="0.25">
      <c r="B1925" s="90">
        <v>1632</v>
      </c>
      <c r="C1925" s="91">
        <v>0.25511216989177399</v>
      </c>
      <c r="D1925" s="92">
        <v>227</v>
      </c>
      <c r="G1925" s="5"/>
      <c r="H1925" s="5"/>
      <c r="L1925" s="7"/>
      <c r="M1925" s="7"/>
      <c r="O1925" s="5"/>
      <c r="P1925" s="5"/>
    </row>
    <row r="1926" spans="2:16" x14ac:dyDescent="0.25">
      <c r="B1926" s="90">
        <v>1616</v>
      </c>
      <c r="C1926" s="91">
        <v>0.35955799765873209</v>
      </c>
      <c r="D1926" s="92">
        <v>227</v>
      </c>
      <c r="G1926" s="5"/>
      <c r="H1926" s="5"/>
      <c r="L1926" s="7"/>
      <c r="M1926" s="7"/>
      <c r="O1926" s="5"/>
      <c r="P1926" s="5"/>
    </row>
    <row r="1927" spans="2:16" x14ac:dyDescent="0.25">
      <c r="B1927" s="90">
        <v>1892</v>
      </c>
      <c r="C1927" s="91">
        <v>0.38267902454196112</v>
      </c>
      <c r="D1927" s="92">
        <v>227</v>
      </c>
      <c r="G1927" s="5"/>
      <c r="H1927" s="5"/>
      <c r="L1927" s="7"/>
      <c r="M1927" s="7"/>
      <c r="O1927" s="5"/>
      <c r="P1927" s="5"/>
    </row>
    <row r="1928" spans="2:16" x14ac:dyDescent="0.25">
      <c r="B1928" s="90">
        <v>247</v>
      </c>
      <c r="C1928" s="91">
        <v>0.38567181278438911</v>
      </c>
      <c r="D1928" s="92">
        <v>227</v>
      </c>
      <c r="G1928" s="5"/>
      <c r="H1928" s="5"/>
      <c r="L1928" s="7"/>
      <c r="M1928" s="7"/>
      <c r="O1928" s="5"/>
      <c r="P1928" s="5"/>
    </row>
    <row r="1929" spans="2:16" x14ac:dyDescent="0.25">
      <c r="B1929" s="90">
        <v>492</v>
      </c>
      <c r="C1929" s="91">
        <v>0.41680166884276881</v>
      </c>
      <c r="D1929" s="92">
        <v>227</v>
      </c>
      <c r="G1929" s="5"/>
      <c r="H1929" s="5"/>
      <c r="L1929" s="7"/>
      <c r="M1929" s="7"/>
      <c r="O1929" s="5"/>
      <c r="P1929" s="5"/>
    </row>
    <row r="1930" spans="2:16" x14ac:dyDescent="0.25">
      <c r="B1930" s="90">
        <v>1608</v>
      </c>
      <c r="C1930" s="91">
        <v>0.38550981770839354</v>
      </c>
      <c r="D1930" s="92">
        <v>228</v>
      </c>
      <c r="G1930" s="5"/>
      <c r="H1930" s="5"/>
      <c r="L1930" s="7"/>
      <c r="M1930" s="7"/>
      <c r="O1930" s="5"/>
      <c r="P1930" s="5"/>
    </row>
    <row r="1931" spans="2:16" x14ac:dyDescent="0.25">
      <c r="B1931" s="90">
        <v>602</v>
      </c>
      <c r="C1931" s="91">
        <v>0.40501037948770946</v>
      </c>
      <c r="D1931" s="92">
        <v>228</v>
      </c>
      <c r="G1931" s="5"/>
      <c r="H1931" s="5"/>
      <c r="L1931" s="7"/>
      <c r="M1931" s="7"/>
      <c r="O1931" s="5"/>
      <c r="P1931" s="5"/>
    </row>
    <row r="1932" spans="2:16" x14ac:dyDescent="0.25">
      <c r="B1932" s="90">
        <v>1302</v>
      </c>
      <c r="C1932" s="91">
        <v>0.12723768229607901</v>
      </c>
      <c r="D1932" s="92">
        <v>229</v>
      </c>
      <c r="G1932" s="5"/>
      <c r="H1932" s="5"/>
      <c r="L1932" s="7"/>
      <c r="M1932" s="7"/>
      <c r="O1932" s="5"/>
      <c r="P1932" s="5"/>
    </row>
    <row r="1933" spans="2:16" x14ac:dyDescent="0.25">
      <c r="B1933" s="90">
        <v>1457</v>
      </c>
      <c r="C1933" s="91">
        <v>0.12866018621275854</v>
      </c>
      <c r="D1933" s="92">
        <v>229</v>
      </c>
      <c r="G1933" s="5"/>
      <c r="H1933" s="5"/>
      <c r="L1933" s="7"/>
      <c r="M1933" s="7"/>
      <c r="O1933" s="5"/>
      <c r="P1933" s="5"/>
    </row>
    <row r="1934" spans="2:16" x14ac:dyDescent="0.25">
      <c r="B1934" s="90">
        <v>2134</v>
      </c>
      <c r="C1934" s="91">
        <v>0.30460073927062103</v>
      </c>
      <c r="D1934" s="92">
        <v>229</v>
      </c>
      <c r="G1934" s="5"/>
      <c r="H1934" s="5"/>
      <c r="L1934" s="7"/>
      <c r="M1934" s="7"/>
      <c r="O1934" s="5"/>
      <c r="P1934" s="5"/>
    </row>
    <row r="1935" spans="2:16" x14ac:dyDescent="0.25">
      <c r="B1935" s="90">
        <v>190</v>
      </c>
      <c r="C1935" s="91">
        <v>0.43922800028737063</v>
      </c>
      <c r="D1935" s="92">
        <v>229</v>
      </c>
      <c r="G1935" s="5"/>
      <c r="H1935" s="5"/>
      <c r="L1935" s="7"/>
      <c r="M1935" s="7"/>
      <c r="O1935" s="5"/>
      <c r="P1935" s="5"/>
    </row>
    <row r="1936" spans="2:16" x14ac:dyDescent="0.25">
      <c r="B1936" s="90">
        <v>191</v>
      </c>
      <c r="C1936" s="91">
        <v>0.44715688689453992</v>
      </c>
      <c r="D1936" s="92">
        <v>229</v>
      </c>
      <c r="G1936" s="5"/>
      <c r="H1936" s="5"/>
      <c r="L1936" s="7"/>
      <c r="M1936" s="7"/>
      <c r="O1936" s="5"/>
      <c r="P1936" s="5"/>
    </row>
    <row r="1937" spans="2:16" x14ac:dyDescent="0.25">
      <c r="B1937" s="90">
        <v>62</v>
      </c>
      <c r="C1937" s="91">
        <v>0.45309803381296476</v>
      </c>
      <c r="D1937" s="92">
        <v>229</v>
      </c>
      <c r="G1937" s="5"/>
      <c r="H1937" s="5"/>
      <c r="L1937" s="7"/>
      <c r="M1937" s="7"/>
      <c r="O1937" s="5"/>
      <c r="P1937" s="5"/>
    </row>
    <row r="1938" spans="2:16" x14ac:dyDescent="0.25">
      <c r="B1938" s="90">
        <v>255</v>
      </c>
      <c r="C1938" s="91">
        <v>0.45309803381296476</v>
      </c>
      <c r="D1938" s="92">
        <v>229</v>
      </c>
      <c r="G1938" s="5"/>
      <c r="H1938" s="5"/>
      <c r="L1938" s="7"/>
      <c r="M1938" s="7"/>
      <c r="O1938" s="5"/>
      <c r="P1938" s="5"/>
    </row>
    <row r="1939" spans="2:16" x14ac:dyDescent="0.25">
      <c r="B1939" s="90">
        <v>57</v>
      </c>
      <c r="C1939" s="91">
        <v>0.39992386204917008</v>
      </c>
      <c r="D1939" s="92">
        <v>230</v>
      </c>
      <c r="G1939" s="5"/>
      <c r="H1939" s="5"/>
      <c r="L1939" s="7"/>
      <c r="M1939" s="7"/>
      <c r="O1939" s="5"/>
      <c r="P1939" s="5"/>
    </row>
    <row r="1940" spans="2:16" x14ac:dyDescent="0.25">
      <c r="B1940" s="90">
        <v>550</v>
      </c>
      <c r="C1940" s="91">
        <v>0.39992386204917008</v>
      </c>
      <c r="D1940" s="92">
        <v>230</v>
      </c>
      <c r="G1940" s="5"/>
      <c r="H1940" s="5"/>
      <c r="L1940" s="7"/>
      <c r="M1940" s="7"/>
      <c r="O1940" s="5"/>
      <c r="P1940" s="5"/>
    </row>
    <row r="1941" spans="2:16" x14ac:dyDescent="0.25">
      <c r="B1941" s="90">
        <v>543</v>
      </c>
      <c r="C1941" s="91">
        <v>0.40145437020365893</v>
      </c>
      <c r="D1941" s="92">
        <v>230</v>
      </c>
      <c r="G1941" s="5"/>
      <c r="H1941" s="5"/>
      <c r="L1941" s="7"/>
      <c r="M1941" s="7"/>
      <c r="O1941" s="5"/>
      <c r="P1941" s="5"/>
    </row>
    <row r="1942" spans="2:16" x14ac:dyDescent="0.25">
      <c r="B1942" s="90">
        <v>126</v>
      </c>
      <c r="C1942" s="91">
        <v>0.45089914999099212</v>
      </c>
      <c r="D1942" s="92">
        <v>230</v>
      </c>
      <c r="G1942" s="5"/>
      <c r="H1942" s="5"/>
      <c r="L1942" s="7"/>
      <c r="M1942" s="7"/>
      <c r="O1942" s="5"/>
      <c r="P1942" s="5"/>
    </row>
    <row r="1943" spans="2:16" x14ac:dyDescent="0.25">
      <c r="B1943" s="90">
        <v>127</v>
      </c>
      <c r="C1943" s="91">
        <v>0.45801800340553267</v>
      </c>
      <c r="D1943" s="92">
        <v>230</v>
      </c>
      <c r="G1943" s="5"/>
      <c r="H1943" s="5"/>
      <c r="L1943" s="7"/>
      <c r="M1943" s="7"/>
      <c r="O1943" s="5"/>
      <c r="P1943" s="5"/>
    </row>
    <row r="1944" spans="2:16" x14ac:dyDescent="0.25">
      <c r="B1944" s="90">
        <v>1217</v>
      </c>
      <c r="C1944" s="91">
        <v>0.15586793051059245</v>
      </c>
      <c r="D1944" s="92">
        <v>231</v>
      </c>
      <c r="G1944" s="5"/>
      <c r="H1944" s="5"/>
      <c r="L1944" s="7"/>
      <c r="M1944" s="7"/>
      <c r="O1944" s="5"/>
      <c r="P1944" s="5"/>
    </row>
    <row r="1945" spans="2:16" x14ac:dyDescent="0.25">
      <c r="B1945" s="90">
        <v>1494</v>
      </c>
      <c r="C1945" s="91">
        <v>0.1669226694033723</v>
      </c>
      <c r="D1945" s="92">
        <v>231</v>
      </c>
      <c r="G1945" s="5"/>
      <c r="H1945" s="5"/>
      <c r="L1945" s="7"/>
      <c r="M1945" s="7"/>
      <c r="O1945" s="5"/>
      <c r="P1945" s="5"/>
    </row>
    <row r="1946" spans="2:16" x14ac:dyDescent="0.25">
      <c r="B1946" s="90">
        <v>1213</v>
      </c>
      <c r="C1946" s="91">
        <v>0.19129496997653939</v>
      </c>
      <c r="D1946" s="92">
        <v>231</v>
      </c>
      <c r="G1946" s="5"/>
      <c r="H1946" s="5"/>
      <c r="L1946" s="7"/>
      <c r="M1946" s="7"/>
      <c r="O1946" s="5"/>
      <c r="P1946" s="5"/>
    </row>
    <row r="1947" spans="2:16" x14ac:dyDescent="0.25">
      <c r="B1947" s="90">
        <v>1997</v>
      </c>
      <c r="C1947" s="91">
        <v>0.27786401725653787</v>
      </c>
      <c r="D1947" s="92">
        <v>231</v>
      </c>
      <c r="G1947" s="5"/>
      <c r="H1947" s="5"/>
      <c r="L1947" s="7"/>
      <c r="M1947" s="7"/>
      <c r="O1947" s="5"/>
      <c r="P1947" s="5"/>
    </row>
    <row r="1948" spans="2:16" x14ac:dyDescent="0.25">
      <c r="B1948" s="90">
        <v>2139</v>
      </c>
      <c r="C1948" s="91">
        <v>0.3533826302734685</v>
      </c>
      <c r="D1948" s="92">
        <v>231</v>
      </c>
      <c r="G1948" s="5"/>
      <c r="H1948" s="5"/>
      <c r="L1948" s="7"/>
      <c r="M1948" s="7"/>
      <c r="O1948" s="5"/>
      <c r="P1948" s="5"/>
    </row>
    <row r="1949" spans="2:16" x14ac:dyDescent="0.25">
      <c r="B1949" s="90">
        <v>122</v>
      </c>
      <c r="C1949" s="91">
        <v>0.40380984058100855</v>
      </c>
      <c r="D1949" s="92">
        <v>231</v>
      </c>
      <c r="G1949" s="5"/>
      <c r="H1949" s="5"/>
      <c r="L1949" s="7"/>
      <c r="M1949" s="7"/>
      <c r="O1949" s="5"/>
      <c r="P1949" s="5"/>
    </row>
    <row r="1950" spans="2:16" x14ac:dyDescent="0.25">
      <c r="B1950" s="90">
        <v>249</v>
      </c>
      <c r="C1950" s="91">
        <v>0.40806979156047862</v>
      </c>
      <c r="D1950" s="92">
        <v>232</v>
      </c>
      <c r="G1950" s="5"/>
      <c r="H1950" s="5"/>
      <c r="L1950" s="7"/>
      <c r="M1950" s="7"/>
      <c r="O1950" s="5"/>
      <c r="P1950" s="5"/>
    </row>
    <row r="1951" spans="2:16" x14ac:dyDescent="0.25">
      <c r="B1951" s="90">
        <v>2128</v>
      </c>
      <c r="C1951" s="91">
        <v>0.34666460935885357</v>
      </c>
      <c r="D1951" s="92">
        <v>233</v>
      </c>
      <c r="G1951" s="5"/>
      <c r="H1951" s="5"/>
      <c r="L1951" s="7"/>
      <c r="M1951" s="7"/>
      <c r="O1951" s="5"/>
      <c r="P1951" s="5"/>
    </row>
    <row r="1952" spans="2:16" x14ac:dyDescent="0.25">
      <c r="B1952" s="90">
        <v>2072</v>
      </c>
      <c r="C1952" s="91">
        <v>0.36734572721647696</v>
      </c>
      <c r="D1952" s="92">
        <v>233</v>
      </c>
      <c r="G1952" s="5"/>
      <c r="H1952" s="5"/>
      <c r="L1952" s="7"/>
      <c r="M1952" s="7"/>
      <c r="O1952" s="5"/>
      <c r="P1952" s="5"/>
    </row>
    <row r="1953" spans="2:16" x14ac:dyDescent="0.25">
      <c r="B1953" s="90">
        <v>2045</v>
      </c>
      <c r="C1953" s="91">
        <v>0.37201988536751196</v>
      </c>
      <c r="D1953" s="92">
        <v>233</v>
      </c>
      <c r="G1953" s="5"/>
      <c r="H1953" s="5"/>
      <c r="L1953" s="7"/>
      <c r="M1953" s="7"/>
      <c r="O1953" s="5"/>
      <c r="P1953" s="5"/>
    </row>
    <row r="1954" spans="2:16" x14ac:dyDescent="0.25">
      <c r="B1954" s="90">
        <v>1304</v>
      </c>
      <c r="C1954" s="91">
        <v>7.9152391504325292E-2</v>
      </c>
      <c r="D1954" s="92">
        <v>234</v>
      </c>
      <c r="G1954" s="5"/>
      <c r="H1954" s="5"/>
      <c r="L1954" s="7"/>
      <c r="M1954" s="7"/>
      <c r="O1954" s="5"/>
      <c r="P1954" s="5"/>
    </row>
    <row r="1955" spans="2:16" x14ac:dyDescent="0.25">
      <c r="B1955" s="90">
        <v>604</v>
      </c>
      <c r="C1955" s="91">
        <v>0.4131209782641907</v>
      </c>
      <c r="D1955" s="92">
        <v>235</v>
      </c>
      <c r="G1955" s="5"/>
      <c r="H1955" s="5"/>
      <c r="L1955" s="7"/>
      <c r="M1955" s="7"/>
      <c r="O1955" s="5"/>
      <c r="P1955" s="5"/>
    </row>
    <row r="1956" spans="2:16" x14ac:dyDescent="0.25">
      <c r="B1956" s="90">
        <v>1424</v>
      </c>
      <c r="C1956" s="91">
        <v>8.1344953697400135E-2</v>
      </c>
      <c r="D1956" s="92">
        <v>236</v>
      </c>
      <c r="G1956" s="5"/>
      <c r="H1956" s="5"/>
      <c r="L1956" s="7"/>
      <c r="M1956" s="7"/>
      <c r="O1956" s="5"/>
      <c r="P1956" s="5"/>
    </row>
    <row r="1957" spans="2:16" x14ac:dyDescent="0.25">
      <c r="B1957" s="90">
        <v>1262</v>
      </c>
      <c r="C1957" s="91">
        <v>8.1717836172897518E-2</v>
      </c>
      <c r="D1957" s="92">
        <v>236</v>
      </c>
      <c r="G1957" s="5"/>
      <c r="H1957" s="5"/>
      <c r="L1957" s="7"/>
      <c r="M1957" s="7"/>
      <c r="O1957" s="5"/>
      <c r="P1957" s="5"/>
    </row>
    <row r="1958" spans="2:16" x14ac:dyDescent="0.25">
      <c r="B1958" s="90">
        <v>1421</v>
      </c>
      <c r="C1958" s="91">
        <v>0.1635647023753003</v>
      </c>
      <c r="D1958" s="92">
        <v>236</v>
      </c>
      <c r="G1958" s="5"/>
      <c r="H1958" s="5"/>
      <c r="L1958" s="7"/>
      <c r="M1958" s="7"/>
      <c r="O1958" s="5"/>
      <c r="P1958" s="5"/>
    </row>
    <row r="1959" spans="2:16" x14ac:dyDescent="0.25">
      <c r="B1959" s="90">
        <v>433</v>
      </c>
      <c r="C1959" s="91">
        <v>0.42254402274961089</v>
      </c>
      <c r="D1959" s="92">
        <v>236</v>
      </c>
      <c r="G1959" s="5"/>
      <c r="H1959" s="5"/>
      <c r="L1959" s="7"/>
      <c r="M1959" s="7"/>
      <c r="O1959" s="5"/>
      <c r="P1959" s="5"/>
    </row>
    <row r="1960" spans="2:16" x14ac:dyDescent="0.25">
      <c r="B1960" s="90">
        <v>1617</v>
      </c>
      <c r="C1960" s="91">
        <v>0.44389631250575545</v>
      </c>
      <c r="D1960" s="92">
        <v>236</v>
      </c>
      <c r="G1960" s="5"/>
      <c r="H1960" s="5"/>
      <c r="L1960" s="7"/>
      <c r="M1960" s="7"/>
      <c r="O1960" s="5"/>
      <c r="P1960" s="5"/>
    </row>
    <row r="1961" spans="2:16" x14ac:dyDescent="0.25">
      <c r="B1961" s="90">
        <v>1495</v>
      </c>
      <c r="C1961" s="91">
        <v>0.19034383303020164</v>
      </c>
      <c r="D1961" s="92">
        <v>238</v>
      </c>
      <c r="G1961" s="5"/>
      <c r="H1961" s="5"/>
      <c r="L1961" s="7"/>
      <c r="M1961" s="7"/>
      <c r="O1961" s="5"/>
      <c r="P1961" s="5"/>
    </row>
    <row r="1962" spans="2:16" x14ac:dyDescent="0.25">
      <c r="B1962" s="90">
        <v>58</v>
      </c>
      <c r="C1962" s="91">
        <v>0.41326776088770556</v>
      </c>
      <c r="D1962" s="92">
        <v>238</v>
      </c>
      <c r="G1962" s="5"/>
      <c r="H1962" s="5"/>
      <c r="L1962" s="7"/>
      <c r="M1962" s="7"/>
      <c r="O1962" s="5"/>
      <c r="P1962" s="5"/>
    </row>
    <row r="1963" spans="2:16" x14ac:dyDescent="0.25">
      <c r="B1963" s="90">
        <v>493</v>
      </c>
      <c r="C1963" s="91">
        <v>0.41326776088770556</v>
      </c>
      <c r="D1963" s="92">
        <v>238</v>
      </c>
      <c r="G1963" s="5"/>
      <c r="H1963" s="5"/>
      <c r="L1963" s="7"/>
      <c r="M1963" s="7"/>
      <c r="O1963" s="5"/>
      <c r="P1963" s="5"/>
    </row>
    <row r="1964" spans="2:16" x14ac:dyDescent="0.25">
      <c r="B1964" s="90">
        <v>59</v>
      </c>
      <c r="C1964" s="91">
        <v>0.42118282904546089</v>
      </c>
      <c r="D1964" s="92">
        <v>238</v>
      </c>
      <c r="G1964" s="5"/>
      <c r="H1964" s="5"/>
      <c r="L1964" s="7"/>
      <c r="M1964" s="7"/>
      <c r="O1964" s="5"/>
      <c r="P1964" s="5"/>
    </row>
    <row r="1965" spans="2:16" x14ac:dyDescent="0.25">
      <c r="B1965" s="90">
        <v>435</v>
      </c>
      <c r="C1965" s="91">
        <v>0.42118282904546089</v>
      </c>
      <c r="D1965" s="92">
        <v>238</v>
      </c>
      <c r="G1965" s="5"/>
      <c r="H1965" s="5"/>
      <c r="L1965" s="7"/>
      <c r="M1965" s="7"/>
      <c r="O1965" s="5"/>
      <c r="P1965" s="5"/>
    </row>
    <row r="1966" spans="2:16" x14ac:dyDescent="0.25">
      <c r="B1966" s="90">
        <v>123</v>
      </c>
      <c r="C1966" s="91">
        <v>0.41685486745004674</v>
      </c>
      <c r="D1966" s="92">
        <v>239</v>
      </c>
      <c r="G1966" s="5"/>
      <c r="H1966" s="5"/>
      <c r="L1966" s="7"/>
      <c r="M1966" s="7"/>
      <c r="O1966" s="5"/>
      <c r="P1966" s="5"/>
    </row>
    <row r="1967" spans="2:16" x14ac:dyDescent="0.25">
      <c r="B1967" s="90">
        <v>188</v>
      </c>
      <c r="C1967" s="91">
        <v>0.41536374053710323</v>
      </c>
      <c r="D1967" s="92">
        <v>240</v>
      </c>
      <c r="G1967" s="5"/>
      <c r="H1967" s="5"/>
      <c r="L1967" s="7"/>
      <c r="M1967" s="7"/>
      <c r="O1967" s="5"/>
      <c r="P1967" s="5"/>
    </row>
    <row r="1968" spans="2:16" x14ac:dyDescent="0.25">
      <c r="B1968" s="90">
        <v>250</v>
      </c>
      <c r="C1968" s="91">
        <v>0.41863650276076891</v>
      </c>
      <c r="D1968" s="92">
        <v>240</v>
      </c>
      <c r="G1968" s="5"/>
      <c r="H1968" s="5"/>
      <c r="L1968" s="7"/>
      <c r="M1968" s="7"/>
      <c r="O1968" s="5"/>
      <c r="P1968" s="5"/>
    </row>
    <row r="1969" spans="2:16" x14ac:dyDescent="0.25">
      <c r="B1969" s="90">
        <v>60</v>
      </c>
      <c r="C1969" s="91">
        <v>0.42417396516118822</v>
      </c>
      <c r="D1969" s="92">
        <v>240</v>
      </c>
      <c r="G1969" s="5"/>
      <c r="H1969" s="5"/>
      <c r="L1969" s="7"/>
      <c r="M1969" s="7"/>
      <c r="O1969" s="5"/>
      <c r="P1969" s="5"/>
    </row>
    <row r="1970" spans="2:16" x14ac:dyDescent="0.25">
      <c r="B1970" s="90">
        <v>376</v>
      </c>
      <c r="C1970" s="91">
        <v>0.42417396516118822</v>
      </c>
      <c r="D1970" s="92">
        <v>240</v>
      </c>
      <c r="G1970" s="5"/>
      <c r="H1970" s="5"/>
      <c r="L1970" s="7"/>
      <c r="M1970" s="7"/>
      <c r="O1970" s="5"/>
      <c r="P1970" s="5"/>
    </row>
    <row r="1971" spans="2:16" x14ac:dyDescent="0.25">
      <c r="B1971" s="90">
        <v>1303</v>
      </c>
      <c r="C1971" s="91">
        <v>0.12101255510280262</v>
      </c>
      <c r="D1971" s="92">
        <v>241</v>
      </c>
      <c r="G1971" s="5"/>
      <c r="H1971" s="5"/>
      <c r="L1971" s="7"/>
      <c r="M1971" s="7"/>
      <c r="O1971" s="5"/>
      <c r="P1971" s="5"/>
    </row>
    <row r="1972" spans="2:16" x14ac:dyDescent="0.25">
      <c r="B1972" s="90">
        <v>1348</v>
      </c>
      <c r="C1972" s="91">
        <v>0.17823221246637366</v>
      </c>
      <c r="D1972" s="92">
        <v>241</v>
      </c>
      <c r="G1972" s="5"/>
      <c r="H1972" s="5"/>
      <c r="L1972" s="7"/>
      <c r="M1972" s="7"/>
      <c r="O1972" s="5"/>
      <c r="P1972" s="5"/>
    </row>
    <row r="1973" spans="2:16" x14ac:dyDescent="0.25">
      <c r="B1973" s="90">
        <v>544</v>
      </c>
      <c r="C1973" s="91">
        <v>0.39073617883931522</v>
      </c>
      <c r="D1973" s="92">
        <v>241</v>
      </c>
      <c r="G1973" s="5"/>
      <c r="H1973" s="5"/>
      <c r="L1973" s="7"/>
      <c r="M1973" s="7"/>
      <c r="O1973" s="5"/>
      <c r="P1973" s="5"/>
    </row>
    <row r="1974" spans="2:16" x14ac:dyDescent="0.25">
      <c r="B1974" s="90">
        <v>186</v>
      </c>
      <c r="C1974" s="91">
        <v>0.39191132850654564</v>
      </c>
      <c r="D1974" s="92">
        <v>241</v>
      </c>
      <c r="G1974" s="5"/>
      <c r="H1974" s="5"/>
      <c r="L1974" s="7"/>
      <c r="M1974" s="7"/>
      <c r="O1974" s="5"/>
      <c r="P1974" s="5"/>
    </row>
    <row r="1975" spans="2:16" x14ac:dyDescent="0.25">
      <c r="B1975" s="90">
        <v>2082</v>
      </c>
      <c r="C1975" s="91">
        <v>0.45913576020676938</v>
      </c>
      <c r="D1975" s="92">
        <v>241</v>
      </c>
      <c r="G1975" s="5"/>
      <c r="H1975" s="5"/>
      <c r="L1975" s="7"/>
      <c r="M1975" s="7"/>
      <c r="O1975" s="5"/>
      <c r="P1975" s="5"/>
    </row>
    <row r="1976" spans="2:16" x14ac:dyDescent="0.25">
      <c r="B1976" s="90">
        <v>2103</v>
      </c>
      <c r="C1976" s="91">
        <v>0.46018194516894162</v>
      </c>
      <c r="D1976" s="92">
        <v>241</v>
      </c>
      <c r="G1976" s="5"/>
      <c r="H1976" s="5"/>
      <c r="L1976" s="7"/>
      <c r="M1976" s="7"/>
      <c r="O1976" s="5"/>
      <c r="P1976" s="5"/>
    </row>
    <row r="1977" spans="2:16" x14ac:dyDescent="0.25">
      <c r="B1977" s="90">
        <v>2012</v>
      </c>
      <c r="C1977" s="91">
        <v>0.46026472784509631</v>
      </c>
      <c r="D1977" s="92">
        <v>241</v>
      </c>
      <c r="G1977" s="5"/>
      <c r="H1977" s="5"/>
      <c r="L1977" s="7"/>
      <c r="M1977" s="7"/>
      <c r="O1977" s="5"/>
      <c r="P1977" s="5"/>
    </row>
    <row r="1978" spans="2:16" x14ac:dyDescent="0.25">
      <c r="B1978" s="90">
        <v>1343</v>
      </c>
      <c r="C1978" s="91">
        <v>0.16878729846154128</v>
      </c>
      <c r="D1978" s="92">
        <v>242</v>
      </c>
      <c r="G1978" s="5"/>
      <c r="H1978" s="5"/>
      <c r="L1978" s="7"/>
      <c r="M1978" s="7"/>
      <c r="O1978" s="5"/>
      <c r="P1978" s="5"/>
    </row>
    <row r="1979" spans="2:16" x14ac:dyDescent="0.25">
      <c r="B1979" s="90">
        <v>1576</v>
      </c>
      <c r="C1979" s="91">
        <v>0.30093315445897206</v>
      </c>
      <c r="D1979" s="92">
        <v>242</v>
      </c>
      <c r="G1979" s="5"/>
      <c r="H1979" s="5"/>
      <c r="L1979" s="7"/>
      <c r="M1979" s="7"/>
      <c r="O1979" s="5"/>
      <c r="P1979" s="5"/>
    </row>
    <row r="1980" spans="2:16" x14ac:dyDescent="0.25">
      <c r="B1980" s="90">
        <v>251</v>
      </c>
      <c r="C1980" s="91">
        <v>0.42843963365366378</v>
      </c>
      <c r="D1980" s="92">
        <v>242</v>
      </c>
      <c r="G1980" s="5"/>
      <c r="H1980" s="5"/>
      <c r="L1980" s="7"/>
      <c r="M1980" s="7"/>
      <c r="O1980" s="5"/>
      <c r="P1980" s="5"/>
    </row>
    <row r="1981" spans="2:16" x14ac:dyDescent="0.25">
      <c r="B1981" s="90">
        <v>1347</v>
      </c>
      <c r="C1981" s="91">
        <v>6.3287564772748217E-2</v>
      </c>
      <c r="D1981" s="92">
        <v>243</v>
      </c>
      <c r="G1981" s="5"/>
      <c r="H1981" s="5"/>
      <c r="L1981" s="7"/>
      <c r="M1981" s="7"/>
      <c r="O1981" s="5"/>
      <c r="P1981" s="5"/>
    </row>
    <row r="1982" spans="2:16" x14ac:dyDescent="0.25">
      <c r="B1982" s="90">
        <v>1346</v>
      </c>
      <c r="C1982" s="91">
        <v>8.7477705807289974E-2</v>
      </c>
      <c r="D1982" s="92">
        <v>243</v>
      </c>
      <c r="G1982" s="5"/>
      <c r="H1982" s="5"/>
      <c r="L1982" s="7"/>
      <c r="M1982" s="7"/>
      <c r="O1982" s="5"/>
      <c r="P1982" s="5"/>
    </row>
    <row r="1983" spans="2:16" x14ac:dyDescent="0.25">
      <c r="B1983" s="90">
        <v>1261</v>
      </c>
      <c r="C1983" s="91">
        <v>0.12532135426016044</v>
      </c>
      <c r="D1983" s="92">
        <v>243</v>
      </c>
      <c r="G1983" s="5"/>
      <c r="H1983" s="5"/>
      <c r="L1983" s="7"/>
      <c r="M1983" s="7"/>
      <c r="O1983" s="5"/>
      <c r="P1983" s="5"/>
    </row>
    <row r="1984" spans="2:16" x14ac:dyDescent="0.25">
      <c r="B1984" s="90">
        <v>1423</v>
      </c>
      <c r="C1984" s="91">
        <v>0.12620661038462522</v>
      </c>
      <c r="D1984" s="92">
        <v>243</v>
      </c>
      <c r="G1984" s="5"/>
      <c r="H1984" s="5"/>
      <c r="L1984" s="7"/>
      <c r="M1984" s="7"/>
      <c r="O1984" s="5"/>
      <c r="P1984" s="5"/>
    </row>
    <row r="1985" spans="2:16" x14ac:dyDescent="0.25">
      <c r="B1985" s="90">
        <v>593</v>
      </c>
      <c r="C1985" s="91">
        <v>0.32546382645830252</v>
      </c>
      <c r="D1985" s="92">
        <v>243</v>
      </c>
      <c r="G1985" s="5"/>
      <c r="H1985" s="5"/>
      <c r="L1985" s="7"/>
      <c r="M1985" s="7"/>
      <c r="O1985" s="5"/>
      <c r="P1985" s="5"/>
    </row>
    <row r="1986" spans="2:16" x14ac:dyDescent="0.25">
      <c r="B1986" s="90">
        <v>536</v>
      </c>
      <c r="C1986" s="91">
        <v>0.33494024241561005</v>
      </c>
      <c r="D1986" s="92">
        <v>243</v>
      </c>
      <c r="G1986" s="5"/>
      <c r="H1986" s="5"/>
      <c r="L1986" s="7"/>
      <c r="M1986" s="7"/>
      <c r="O1986" s="5"/>
      <c r="P1986" s="5"/>
    </row>
    <row r="1987" spans="2:16" x14ac:dyDescent="0.25">
      <c r="B1987" s="90">
        <v>649</v>
      </c>
      <c r="C1987" s="91">
        <v>0.33539602629128373</v>
      </c>
      <c r="D1987" s="92">
        <v>243</v>
      </c>
      <c r="G1987" s="5"/>
      <c r="H1987" s="5"/>
      <c r="L1987" s="7"/>
      <c r="M1987" s="7"/>
      <c r="O1987" s="5"/>
      <c r="P1987" s="5"/>
    </row>
    <row r="1988" spans="2:16" x14ac:dyDescent="0.25">
      <c r="B1988" s="90">
        <v>2032</v>
      </c>
      <c r="C1988" s="91">
        <v>0.40547846030551593</v>
      </c>
      <c r="D1988" s="92">
        <v>243</v>
      </c>
      <c r="G1988" s="5"/>
      <c r="H1988" s="5"/>
      <c r="L1988" s="7"/>
      <c r="M1988" s="7"/>
      <c r="O1988" s="5"/>
      <c r="P1988" s="5"/>
    </row>
    <row r="1989" spans="2:16" x14ac:dyDescent="0.25">
      <c r="B1989" s="90">
        <v>124</v>
      </c>
      <c r="C1989" s="91">
        <v>0.42618391022546553</v>
      </c>
      <c r="D1989" s="92">
        <v>243</v>
      </c>
      <c r="G1989" s="5"/>
      <c r="H1989" s="5"/>
      <c r="L1989" s="7"/>
      <c r="M1989" s="7"/>
      <c r="O1989" s="5"/>
      <c r="P1989" s="5"/>
    </row>
    <row r="1990" spans="2:16" x14ac:dyDescent="0.25">
      <c r="B1990" s="90">
        <v>252</v>
      </c>
      <c r="C1990" s="91">
        <v>0.43020531097197834</v>
      </c>
      <c r="D1990" s="92">
        <v>243</v>
      </c>
      <c r="G1990" s="5"/>
      <c r="H1990" s="5"/>
      <c r="L1990" s="7"/>
      <c r="M1990" s="7"/>
      <c r="O1990" s="5"/>
      <c r="P1990" s="5"/>
    </row>
    <row r="1991" spans="2:16" x14ac:dyDescent="0.25">
      <c r="B1991" s="90">
        <v>2102</v>
      </c>
      <c r="C1991" s="91">
        <v>0.43040817174986534</v>
      </c>
      <c r="D1991" s="92">
        <v>243</v>
      </c>
      <c r="G1991" s="5"/>
      <c r="H1991" s="5"/>
      <c r="L1991" s="7"/>
      <c r="M1991" s="7"/>
      <c r="O1991" s="5"/>
      <c r="P1991" s="5"/>
    </row>
    <row r="1992" spans="2:16" x14ac:dyDescent="0.25">
      <c r="B1992" s="90">
        <v>2111</v>
      </c>
      <c r="C1992" s="91">
        <v>0.43391507819565833</v>
      </c>
      <c r="D1992" s="92">
        <v>243</v>
      </c>
      <c r="G1992" s="5"/>
      <c r="H1992" s="5"/>
      <c r="L1992" s="7"/>
      <c r="M1992" s="7"/>
      <c r="O1992" s="5"/>
      <c r="P1992" s="5"/>
    </row>
    <row r="1993" spans="2:16" x14ac:dyDescent="0.25">
      <c r="B1993" s="90">
        <v>2112</v>
      </c>
      <c r="C1993" s="91">
        <v>0.46147687131898707</v>
      </c>
      <c r="D1993" s="92">
        <v>243</v>
      </c>
      <c r="G1993" s="5"/>
      <c r="H1993" s="5"/>
      <c r="L1993" s="7"/>
      <c r="M1993" s="7"/>
      <c r="O1993" s="5"/>
      <c r="P1993" s="5"/>
    </row>
    <row r="1994" spans="2:16" x14ac:dyDescent="0.25">
      <c r="B1994" s="90">
        <v>2065</v>
      </c>
      <c r="C1994" s="91">
        <v>0.46309343441421291</v>
      </c>
      <c r="D1994" s="92">
        <v>243</v>
      </c>
      <c r="G1994" s="5"/>
      <c r="H1994" s="5"/>
      <c r="L1994" s="7"/>
      <c r="M1994" s="7"/>
      <c r="O1994" s="5"/>
      <c r="P1994" s="5"/>
    </row>
    <row r="1995" spans="2:16" x14ac:dyDescent="0.25">
      <c r="B1995" s="90">
        <v>2088</v>
      </c>
      <c r="C1995" s="91">
        <v>0.48486548500451598</v>
      </c>
      <c r="D1995" s="92">
        <v>243</v>
      </c>
      <c r="G1995" s="5"/>
      <c r="H1995" s="5"/>
      <c r="L1995" s="7"/>
      <c r="M1995" s="7"/>
      <c r="O1995" s="5"/>
      <c r="P1995" s="5"/>
    </row>
    <row r="1996" spans="2:16" x14ac:dyDescent="0.25">
      <c r="B1996" s="90">
        <v>2028</v>
      </c>
      <c r="C1996" s="91">
        <v>0.48906835091098322</v>
      </c>
      <c r="D1996" s="92">
        <v>243</v>
      </c>
      <c r="G1996" s="5"/>
      <c r="H1996" s="5"/>
      <c r="L1996" s="7"/>
      <c r="M1996" s="7"/>
      <c r="O1996" s="5"/>
      <c r="P1996" s="5"/>
    </row>
    <row r="1997" spans="2:16" x14ac:dyDescent="0.25">
      <c r="B1997" s="90">
        <v>189</v>
      </c>
      <c r="C1997" s="91">
        <v>0.41804035025006003</v>
      </c>
      <c r="D1997" s="92">
        <v>244</v>
      </c>
      <c r="G1997" s="5"/>
      <c r="H1997" s="5"/>
      <c r="L1997" s="7"/>
      <c r="M1997" s="7"/>
      <c r="O1997" s="5"/>
      <c r="P1997" s="5"/>
    </row>
    <row r="1998" spans="2:16" x14ac:dyDescent="0.25">
      <c r="B1998" s="90">
        <v>1345</v>
      </c>
      <c r="C1998" s="91">
        <v>0.12511221461176769</v>
      </c>
      <c r="D1998" s="92">
        <v>245</v>
      </c>
      <c r="G1998" s="5"/>
      <c r="H1998" s="5"/>
      <c r="L1998" s="7"/>
      <c r="M1998" s="7"/>
      <c r="O1998" s="5"/>
      <c r="P1998" s="5"/>
    </row>
    <row r="1999" spans="2:16" x14ac:dyDescent="0.25">
      <c r="B1999" s="90">
        <v>1463</v>
      </c>
      <c r="C1999" s="91">
        <v>0.13504389429087493</v>
      </c>
      <c r="D1999" s="92">
        <v>245</v>
      </c>
      <c r="G1999" s="5"/>
      <c r="H1999" s="5"/>
      <c r="L1999" s="7"/>
      <c r="M1999" s="7"/>
      <c r="O1999" s="5"/>
      <c r="P1999" s="5"/>
    </row>
    <row r="2000" spans="2:16" x14ac:dyDescent="0.25">
      <c r="B2000" s="90">
        <v>1344</v>
      </c>
      <c r="C2000" s="91">
        <v>0.16389427134215506</v>
      </c>
      <c r="D2000" s="92">
        <v>245</v>
      </c>
      <c r="G2000" s="5"/>
      <c r="H2000" s="5"/>
      <c r="L2000" s="7"/>
      <c r="M2000" s="7"/>
      <c r="O2000" s="5"/>
      <c r="P2000" s="5"/>
    </row>
    <row r="2001" spans="2:16" x14ac:dyDescent="0.25">
      <c r="B2001" s="90">
        <v>1565</v>
      </c>
      <c r="C2001" s="91">
        <v>0.24037032260853342</v>
      </c>
      <c r="D2001" s="92">
        <v>245</v>
      </c>
      <c r="G2001" s="5"/>
      <c r="H2001" s="5"/>
      <c r="L2001" s="7"/>
      <c r="M2001" s="7"/>
      <c r="O2001" s="5"/>
      <c r="P2001" s="5"/>
    </row>
    <row r="2002" spans="2:16" x14ac:dyDescent="0.25">
      <c r="B2002" s="90">
        <v>1566</v>
      </c>
      <c r="C2002" s="91">
        <v>0.26688501330924985</v>
      </c>
      <c r="D2002" s="92">
        <v>245</v>
      </c>
      <c r="G2002" s="5"/>
      <c r="H2002" s="5"/>
      <c r="L2002" s="7"/>
      <c r="M2002" s="7"/>
      <c r="O2002" s="5"/>
      <c r="P2002" s="5"/>
    </row>
    <row r="2003" spans="2:16" x14ac:dyDescent="0.25">
      <c r="B2003" s="90">
        <v>1633</v>
      </c>
      <c r="C2003" s="91">
        <v>0.28024461290802694</v>
      </c>
      <c r="D2003" s="92">
        <v>245</v>
      </c>
      <c r="G2003" s="5"/>
      <c r="H2003" s="5"/>
      <c r="L2003" s="7"/>
      <c r="M2003" s="7"/>
      <c r="O2003" s="5"/>
      <c r="P2003" s="5"/>
    </row>
    <row r="2004" spans="2:16" x14ac:dyDescent="0.25">
      <c r="B2004" s="90">
        <v>1600</v>
      </c>
      <c r="C2004" s="91">
        <v>0.28036282653082534</v>
      </c>
      <c r="D2004" s="92">
        <v>245</v>
      </c>
      <c r="G2004" s="5"/>
      <c r="H2004" s="5"/>
      <c r="L2004" s="7"/>
      <c r="M2004" s="7"/>
      <c r="O2004" s="5"/>
      <c r="P2004" s="5"/>
    </row>
    <row r="2005" spans="2:16" x14ac:dyDescent="0.25">
      <c r="B2005" s="90">
        <v>1568</v>
      </c>
      <c r="C2005" s="91">
        <v>0.34021513302002482</v>
      </c>
      <c r="D2005" s="92">
        <v>245</v>
      </c>
      <c r="G2005" s="5"/>
      <c r="H2005" s="5"/>
      <c r="L2005" s="7"/>
      <c r="M2005" s="7"/>
      <c r="O2005" s="5"/>
      <c r="P2005" s="5"/>
    </row>
    <row r="2006" spans="2:16" x14ac:dyDescent="0.25">
      <c r="B2006" s="90">
        <v>713</v>
      </c>
      <c r="C2006" s="91">
        <v>0.41297937076817737</v>
      </c>
      <c r="D2006" s="92">
        <v>245</v>
      </c>
      <c r="G2006" s="5"/>
      <c r="H2006" s="5"/>
      <c r="L2006" s="7"/>
      <c r="M2006" s="7"/>
      <c r="O2006" s="5"/>
      <c r="P2006" s="5"/>
    </row>
    <row r="2007" spans="2:16" x14ac:dyDescent="0.25">
      <c r="B2007" s="90">
        <v>125</v>
      </c>
      <c r="C2007" s="91">
        <v>0.42889615853222374</v>
      </c>
      <c r="D2007" s="92">
        <v>245</v>
      </c>
      <c r="G2007" s="5"/>
      <c r="H2007" s="5"/>
      <c r="L2007" s="7"/>
      <c r="M2007" s="7"/>
      <c r="O2007" s="5"/>
      <c r="P2007" s="5"/>
    </row>
    <row r="2008" spans="2:16" x14ac:dyDescent="0.25">
      <c r="B2008" s="90">
        <v>2078</v>
      </c>
      <c r="C2008" s="91">
        <v>0.23496458517230967</v>
      </c>
      <c r="D2008" s="92">
        <v>246</v>
      </c>
      <c r="G2008" s="5"/>
      <c r="H2008" s="5"/>
      <c r="L2008" s="7"/>
      <c r="M2008" s="7"/>
      <c r="O2008" s="5"/>
      <c r="P2008" s="5"/>
    </row>
    <row r="2009" spans="2:16" x14ac:dyDescent="0.25">
      <c r="B2009" s="90">
        <v>2077</v>
      </c>
      <c r="C2009" s="91">
        <v>0.24015151245305189</v>
      </c>
      <c r="D2009" s="92">
        <v>246</v>
      </c>
      <c r="G2009" s="5"/>
      <c r="H2009" s="5"/>
      <c r="L2009" s="7"/>
      <c r="M2009" s="7"/>
      <c r="O2009" s="5"/>
      <c r="P2009" s="5"/>
    </row>
    <row r="2010" spans="2:16" x14ac:dyDescent="0.25">
      <c r="B2010" s="90">
        <v>2024</v>
      </c>
      <c r="C2010" s="91">
        <v>0.4008353147611794</v>
      </c>
      <c r="D2010" s="92">
        <v>246</v>
      </c>
      <c r="G2010" s="5"/>
      <c r="H2010" s="5"/>
      <c r="L2010" s="7"/>
      <c r="M2010" s="7"/>
      <c r="O2010" s="5"/>
      <c r="P2010" s="5"/>
    </row>
    <row r="2011" spans="2:16" x14ac:dyDescent="0.25">
      <c r="B2011" s="90">
        <v>1422</v>
      </c>
      <c r="C2011" s="91">
        <v>0.13177182498467677</v>
      </c>
      <c r="D2011" s="92">
        <v>247</v>
      </c>
      <c r="G2011" s="5"/>
      <c r="H2011" s="5"/>
      <c r="L2011" s="7"/>
      <c r="M2011" s="7"/>
      <c r="O2011" s="5"/>
      <c r="P2011" s="5"/>
    </row>
    <row r="2012" spans="2:16" x14ac:dyDescent="0.25">
      <c r="B2012" s="90">
        <v>1339</v>
      </c>
      <c r="C2012" s="91">
        <v>0.17978461200686913</v>
      </c>
      <c r="D2012" s="92">
        <v>247</v>
      </c>
      <c r="G2012" s="5"/>
      <c r="H2012" s="5"/>
      <c r="L2012" s="7"/>
      <c r="M2012" s="7"/>
      <c r="O2012" s="5"/>
      <c r="P2012" s="5"/>
    </row>
    <row r="2013" spans="2:16" x14ac:dyDescent="0.25">
      <c r="B2013" s="90">
        <v>1699</v>
      </c>
      <c r="C2013" s="91">
        <v>0.40423705129065612</v>
      </c>
      <c r="D2013" s="92">
        <v>247</v>
      </c>
      <c r="G2013" s="5"/>
      <c r="H2013" s="5"/>
      <c r="L2013" s="7"/>
      <c r="M2013" s="7"/>
      <c r="O2013" s="5"/>
      <c r="P2013" s="5"/>
    </row>
    <row r="2014" spans="2:16" x14ac:dyDescent="0.25">
      <c r="B2014" s="90">
        <v>1456</v>
      </c>
      <c r="C2014" s="91">
        <v>0.20339694381121443</v>
      </c>
      <c r="D2014" s="92">
        <v>249</v>
      </c>
      <c r="G2014" s="5"/>
      <c r="H2014" s="5"/>
      <c r="L2014" s="7"/>
      <c r="M2014" s="7"/>
      <c r="O2014" s="5"/>
      <c r="P2014" s="5"/>
    </row>
    <row r="2015" spans="2:16" x14ac:dyDescent="0.25">
      <c r="B2015" s="90">
        <v>1460</v>
      </c>
      <c r="C2015" s="91">
        <v>0.21199817658857056</v>
      </c>
      <c r="D2015" s="92">
        <v>249</v>
      </c>
      <c r="G2015" s="5"/>
      <c r="H2015" s="5"/>
      <c r="L2015" s="7"/>
      <c r="M2015" s="7"/>
      <c r="O2015" s="5"/>
      <c r="P2015" s="5"/>
    </row>
    <row r="2016" spans="2:16" x14ac:dyDescent="0.25">
      <c r="B2016" s="90">
        <v>1599</v>
      </c>
      <c r="C2016" s="91">
        <v>0.25422448407558251</v>
      </c>
      <c r="D2016" s="92">
        <v>249</v>
      </c>
      <c r="G2016" s="5"/>
      <c r="H2016" s="5"/>
      <c r="L2016" s="7"/>
      <c r="M2016" s="7"/>
      <c r="O2016" s="5"/>
      <c r="P2016" s="5"/>
    </row>
    <row r="2017" spans="2:16" x14ac:dyDescent="0.25">
      <c r="B2017" s="90">
        <v>1978</v>
      </c>
      <c r="C2017" s="91">
        <v>0.35015561301634457</v>
      </c>
      <c r="D2017" s="92">
        <v>249</v>
      </c>
      <c r="G2017" s="5"/>
      <c r="H2017" s="5"/>
      <c r="L2017" s="7"/>
      <c r="M2017" s="7"/>
      <c r="O2017" s="5"/>
      <c r="P2017" s="5"/>
    </row>
    <row r="2018" spans="2:16" x14ac:dyDescent="0.25">
      <c r="B2018" s="90">
        <v>1635</v>
      </c>
      <c r="C2018" s="91">
        <v>0.36682829048789001</v>
      </c>
      <c r="D2018" s="92">
        <v>249</v>
      </c>
      <c r="G2018" s="5"/>
      <c r="H2018" s="5"/>
      <c r="L2018" s="7"/>
      <c r="M2018" s="7"/>
      <c r="O2018" s="5"/>
      <c r="P2018" s="5"/>
    </row>
    <row r="2019" spans="2:16" x14ac:dyDescent="0.25">
      <c r="B2019" s="90">
        <v>1667</v>
      </c>
      <c r="C2019" s="91">
        <v>0.3728036416576308</v>
      </c>
      <c r="D2019" s="92">
        <v>249</v>
      </c>
      <c r="G2019" s="5"/>
      <c r="H2019" s="5"/>
      <c r="L2019" s="7"/>
      <c r="M2019" s="7"/>
      <c r="O2019" s="5"/>
      <c r="P2019" s="5"/>
    </row>
    <row r="2020" spans="2:16" x14ac:dyDescent="0.25">
      <c r="B2020" s="90">
        <v>187</v>
      </c>
      <c r="C2020" s="91">
        <v>0.4054597705703995</v>
      </c>
      <c r="D2020" s="92">
        <v>249</v>
      </c>
      <c r="G2020" s="5"/>
      <c r="H2020" s="5"/>
      <c r="L2020" s="7"/>
      <c r="M2020" s="7"/>
      <c r="O2020" s="5"/>
      <c r="P2020" s="5"/>
    </row>
    <row r="2021" spans="2:16" x14ac:dyDescent="0.25">
      <c r="B2021" s="90">
        <v>2062</v>
      </c>
      <c r="C2021" s="91">
        <v>0.38195907082603964</v>
      </c>
      <c r="D2021" s="92">
        <v>251</v>
      </c>
      <c r="G2021" s="5"/>
      <c r="H2021" s="5"/>
      <c r="L2021" s="7"/>
      <c r="M2021" s="7"/>
      <c r="O2021" s="5"/>
      <c r="P2021" s="5"/>
    </row>
    <row r="2022" spans="2:16" x14ac:dyDescent="0.25">
      <c r="B2022" s="90">
        <v>1698</v>
      </c>
      <c r="C2022" s="91">
        <v>0.39267080040326341</v>
      </c>
      <c r="D2022" s="92">
        <v>251</v>
      </c>
      <c r="G2022" s="5"/>
      <c r="H2022" s="5"/>
      <c r="L2022" s="7"/>
      <c r="M2022" s="7"/>
      <c r="O2022" s="5"/>
      <c r="P2022" s="5"/>
    </row>
    <row r="2023" spans="2:16" x14ac:dyDescent="0.25">
      <c r="B2023" s="90">
        <v>2066</v>
      </c>
      <c r="C2023" s="91">
        <v>0.40667862590177695</v>
      </c>
      <c r="D2023" s="92">
        <v>251</v>
      </c>
      <c r="G2023" s="5"/>
      <c r="H2023" s="5"/>
      <c r="L2023" s="7"/>
      <c r="M2023" s="7"/>
      <c r="O2023" s="5"/>
      <c r="P2023" s="5"/>
    </row>
    <row r="2024" spans="2:16" x14ac:dyDescent="0.25">
      <c r="B2024" s="90">
        <v>1868</v>
      </c>
      <c r="C2024" s="91">
        <v>0.23719764580619751</v>
      </c>
      <c r="D2024" s="92">
        <v>252</v>
      </c>
      <c r="G2024" s="5"/>
      <c r="H2024" s="5"/>
      <c r="L2024" s="7"/>
      <c r="M2024" s="7"/>
      <c r="O2024" s="5"/>
      <c r="P2024" s="5"/>
    </row>
    <row r="2025" spans="2:16" x14ac:dyDescent="0.25">
      <c r="B2025" s="90">
        <v>1496</v>
      </c>
      <c r="C2025" s="91">
        <v>0.26496611732320474</v>
      </c>
      <c r="D2025" s="92">
        <v>252</v>
      </c>
      <c r="G2025" s="5"/>
      <c r="H2025" s="5"/>
      <c r="L2025" s="7"/>
      <c r="M2025" s="7"/>
      <c r="O2025" s="5"/>
      <c r="P2025" s="5"/>
    </row>
    <row r="2026" spans="2:16" x14ac:dyDescent="0.25">
      <c r="B2026" s="90">
        <v>372</v>
      </c>
      <c r="C2026" s="91">
        <v>0.43374304182814105</v>
      </c>
      <c r="D2026" s="92">
        <v>252</v>
      </c>
      <c r="G2026" s="5"/>
      <c r="H2026" s="5"/>
      <c r="L2026" s="7"/>
      <c r="M2026" s="7"/>
      <c r="O2026" s="5"/>
      <c r="P2026" s="5"/>
    </row>
    <row r="2027" spans="2:16" x14ac:dyDescent="0.25">
      <c r="B2027" s="90">
        <v>311</v>
      </c>
      <c r="C2027" s="91">
        <v>0.43585228776682527</v>
      </c>
      <c r="D2027" s="92">
        <v>252</v>
      </c>
      <c r="G2027" s="5"/>
      <c r="H2027" s="5"/>
      <c r="L2027" s="7"/>
      <c r="M2027" s="7"/>
      <c r="O2027" s="5"/>
      <c r="P2027" s="5"/>
    </row>
    <row r="2028" spans="2:16" x14ac:dyDescent="0.25">
      <c r="B2028" s="90">
        <v>545</v>
      </c>
      <c r="C2028" s="91">
        <v>0.43438300513103623</v>
      </c>
      <c r="D2028" s="92">
        <v>257</v>
      </c>
      <c r="G2028" s="5"/>
      <c r="H2028" s="5"/>
      <c r="L2028" s="7"/>
      <c r="M2028" s="7"/>
      <c r="O2028" s="5"/>
      <c r="P2028" s="5"/>
    </row>
    <row r="2029" spans="2:16" x14ac:dyDescent="0.25">
      <c r="B2029" s="90">
        <v>546</v>
      </c>
      <c r="C2029" s="91">
        <v>0.43533117725535708</v>
      </c>
      <c r="D2029" s="92">
        <v>257</v>
      </c>
      <c r="G2029" s="5"/>
      <c r="H2029" s="5"/>
      <c r="L2029" s="7"/>
      <c r="M2029" s="7"/>
      <c r="O2029" s="5"/>
      <c r="P2029" s="5"/>
    </row>
    <row r="2030" spans="2:16" x14ac:dyDescent="0.25">
      <c r="B2030" s="90">
        <v>658</v>
      </c>
      <c r="C2030" s="91">
        <v>0.43859653816238686</v>
      </c>
      <c r="D2030" s="92">
        <v>257</v>
      </c>
      <c r="G2030" s="5"/>
      <c r="H2030" s="5"/>
      <c r="L2030" s="7"/>
      <c r="M2030" s="7"/>
      <c r="O2030" s="5"/>
      <c r="P2030" s="5"/>
    </row>
    <row r="2031" spans="2:16" x14ac:dyDescent="0.25">
      <c r="B2031" s="90">
        <v>659</v>
      </c>
      <c r="C2031" s="91">
        <v>0.43951209555267312</v>
      </c>
      <c r="D2031" s="92">
        <v>257</v>
      </c>
      <c r="G2031" s="5"/>
      <c r="H2031" s="5"/>
      <c r="L2031" s="7"/>
      <c r="M2031" s="7"/>
      <c r="O2031" s="5"/>
      <c r="P2031" s="5"/>
    </row>
    <row r="2032" spans="2:16" x14ac:dyDescent="0.25">
      <c r="B2032" s="90">
        <v>1577</v>
      </c>
      <c r="C2032" s="91">
        <v>0.28573271662752497</v>
      </c>
      <c r="D2032" s="92">
        <v>258</v>
      </c>
      <c r="G2032" s="5"/>
      <c r="H2032" s="5"/>
      <c r="L2032" s="7"/>
      <c r="M2032" s="7"/>
      <c r="O2032" s="5"/>
      <c r="P2032" s="5"/>
    </row>
    <row r="2033" spans="2:16" x14ac:dyDescent="0.25">
      <c r="B2033" s="90">
        <v>1365</v>
      </c>
      <c r="C2033" s="91">
        <v>0.62130349851661504</v>
      </c>
      <c r="D2033" s="92">
        <v>258</v>
      </c>
      <c r="G2033" s="5"/>
      <c r="H2033" s="5"/>
      <c r="L2033" s="7"/>
      <c r="M2033" s="7"/>
      <c r="O2033" s="5"/>
      <c r="P2033" s="5"/>
    </row>
    <row r="2034" spans="2:16" x14ac:dyDescent="0.25">
      <c r="B2034" s="90">
        <v>2015</v>
      </c>
      <c r="C2034" s="91">
        <v>0.39195692332617738</v>
      </c>
      <c r="D2034" s="92">
        <v>259</v>
      </c>
      <c r="G2034" s="5"/>
      <c r="H2034" s="5"/>
      <c r="L2034" s="7"/>
      <c r="M2034" s="7"/>
      <c r="O2034" s="5"/>
      <c r="P2034" s="5"/>
    </row>
    <row r="2035" spans="2:16" x14ac:dyDescent="0.25">
      <c r="B2035" s="90">
        <v>2019</v>
      </c>
      <c r="C2035" s="91">
        <v>0.47085367633507025</v>
      </c>
      <c r="D2035" s="92">
        <v>259</v>
      </c>
      <c r="G2035" s="5"/>
      <c r="H2035" s="5"/>
      <c r="L2035" s="7"/>
      <c r="M2035" s="7"/>
      <c r="O2035" s="5"/>
      <c r="P2035" s="5"/>
    </row>
    <row r="2036" spans="2:16" x14ac:dyDescent="0.25">
      <c r="B2036" s="90">
        <v>373</v>
      </c>
      <c r="C2036" s="91">
        <v>0.44647265464684105</v>
      </c>
      <c r="D2036" s="92">
        <v>260</v>
      </c>
      <c r="G2036" s="5"/>
      <c r="H2036" s="5"/>
      <c r="L2036" s="7"/>
      <c r="M2036" s="7"/>
      <c r="O2036" s="5"/>
      <c r="P2036" s="5"/>
    </row>
    <row r="2037" spans="2:16" x14ac:dyDescent="0.25">
      <c r="B2037" s="90">
        <v>2141</v>
      </c>
      <c r="C2037" s="91">
        <v>0.16845637221934451</v>
      </c>
      <c r="D2037" s="92">
        <v>262</v>
      </c>
      <c r="G2037" s="5"/>
      <c r="H2037" s="5"/>
      <c r="L2037" s="7"/>
      <c r="M2037" s="7"/>
      <c r="O2037" s="5"/>
      <c r="P2037" s="5"/>
    </row>
    <row r="2038" spans="2:16" x14ac:dyDescent="0.25">
      <c r="B2038" s="90">
        <v>1498</v>
      </c>
      <c r="C2038" s="91">
        <v>0.25082663510613901</v>
      </c>
      <c r="D2038" s="92">
        <v>262</v>
      </c>
      <c r="G2038" s="5"/>
      <c r="H2038" s="5"/>
      <c r="L2038" s="7"/>
      <c r="M2038" s="7"/>
      <c r="O2038" s="5"/>
      <c r="P2038" s="5"/>
    </row>
    <row r="2039" spans="2:16" x14ac:dyDescent="0.25">
      <c r="B2039" s="90">
        <v>312</v>
      </c>
      <c r="C2039" s="91">
        <v>0.44908008647674502</v>
      </c>
      <c r="D2039" s="92">
        <v>262</v>
      </c>
      <c r="G2039" s="5"/>
      <c r="H2039" s="5"/>
      <c r="L2039" s="7"/>
      <c r="M2039" s="7"/>
      <c r="O2039" s="5"/>
      <c r="P2039" s="5"/>
    </row>
    <row r="2040" spans="2:16" x14ac:dyDescent="0.25">
      <c r="B2040" s="90">
        <v>1464</v>
      </c>
      <c r="C2040" s="91">
        <v>0.11468612542239043</v>
      </c>
      <c r="D2040" s="92">
        <v>263</v>
      </c>
      <c r="G2040" s="5"/>
      <c r="H2040" s="5"/>
      <c r="L2040" s="7"/>
      <c r="M2040" s="7"/>
      <c r="O2040" s="5"/>
      <c r="P2040" s="5"/>
    </row>
    <row r="2041" spans="2:16" x14ac:dyDescent="0.25">
      <c r="B2041" s="90">
        <v>1531</v>
      </c>
      <c r="C2041" s="91">
        <v>0.22555149724907453</v>
      </c>
      <c r="D2041" s="92">
        <v>263</v>
      </c>
      <c r="G2041" s="5"/>
      <c r="H2041" s="5"/>
      <c r="L2041" s="7"/>
      <c r="M2041" s="7"/>
      <c r="O2041" s="5"/>
      <c r="P2041" s="5"/>
    </row>
    <row r="2042" spans="2:16" x14ac:dyDescent="0.25">
      <c r="B2042" s="90">
        <v>1459</v>
      </c>
      <c r="C2042" s="91">
        <v>0.23242927228390819</v>
      </c>
      <c r="D2042" s="92">
        <v>263</v>
      </c>
      <c r="G2042" s="5"/>
      <c r="H2042" s="5"/>
      <c r="L2042" s="7"/>
      <c r="M2042" s="7"/>
      <c r="O2042" s="5"/>
      <c r="P2042" s="5"/>
    </row>
    <row r="2043" spans="2:16" x14ac:dyDescent="0.25">
      <c r="B2043" s="90">
        <v>1533</v>
      </c>
      <c r="C2043" s="91">
        <v>0.29126370860664552</v>
      </c>
      <c r="D2043" s="92">
        <v>263</v>
      </c>
      <c r="G2043" s="5"/>
      <c r="H2043" s="5"/>
      <c r="L2043" s="7"/>
      <c r="M2043" s="7"/>
      <c r="O2043" s="5"/>
      <c r="P2043" s="5"/>
    </row>
    <row r="2044" spans="2:16" x14ac:dyDescent="0.25">
      <c r="B2044" s="90">
        <v>1569</v>
      </c>
      <c r="C2044" s="91">
        <v>0.34567811925073832</v>
      </c>
      <c r="D2044" s="92">
        <v>263</v>
      </c>
      <c r="G2044" s="5"/>
      <c r="H2044" s="5"/>
      <c r="L2044" s="7"/>
      <c r="M2044" s="7"/>
      <c r="O2044" s="5"/>
      <c r="P2044" s="5"/>
    </row>
    <row r="2045" spans="2:16" x14ac:dyDescent="0.25">
      <c r="B2045" s="90">
        <v>2123</v>
      </c>
      <c r="C2045" s="91">
        <v>0.4395039815873234</v>
      </c>
      <c r="D2045" s="92">
        <v>263</v>
      </c>
      <c r="G2045" s="5"/>
      <c r="H2045" s="5"/>
      <c r="L2045" s="7"/>
      <c r="M2045" s="7"/>
      <c r="O2045" s="5"/>
      <c r="P2045" s="5"/>
    </row>
    <row r="2046" spans="2:16" x14ac:dyDescent="0.25">
      <c r="B2046" s="90">
        <v>2076</v>
      </c>
      <c r="C2046" s="91">
        <v>7.8530785116018631E-2</v>
      </c>
      <c r="D2046" s="92">
        <v>265</v>
      </c>
      <c r="G2046" s="5"/>
      <c r="H2046" s="5"/>
      <c r="L2046" s="7"/>
      <c r="M2046" s="7"/>
      <c r="O2046" s="5"/>
      <c r="P2046" s="5"/>
    </row>
    <row r="2047" spans="2:16" x14ac:dyDescent="0.25">
      <c r="B2047" s="90">
        <v>4</v>
      </c>
      <c r="C2047" s="91">
        <v>9.5394230168267424E-2</v>
      </c>
      <c r="D2047" s="92">
        <v>265</v>
      </c>
      <c r="G2047" s="5"/>
      <c r="H2047" s="5"/>
      <c r="L2047" s="7"/>
      <c r="M2047" s="7"/>
      <c r="O2047" s="5"/>
      <c r="P2047" s="5"/>
    </row>
    <row r="2048" spans="2:16" x14ac:dyDescent="0.25">
      <c r="B2048" s="90">
        <v>2140</v>
      </c>
      <c r="C2048" s="91">
        <v>9.5394230168267424E-2</v>
      </c>
      <c r="D2048" s="92">
        <v>265</v>
      </c>
      <c r="G2048" s="5"/>
      <c r="H2048" s="5"/>
      <c r="L2048" s="7"/>
      <c r="M2048" s="7"/>
      <c r="O2048" s="5"/>
      <c r="P2048" s="5"/>
    </row>
    <row r="2049" spans="2:16" x14ac:dyDescent="0.25">
      <c r="B2049" s="90">
        <v>1668</v>
      </c>
      <c r="C2049" s="91">
        <v>0.38215234852293278</v>
      </c>
      <c r="D2049" s="92">
        <v>265</v>
      </c>
      <c r="G2049" s="5"/>
      <c r="H2049" s="5"/>
      <c r="L2049" s="7"/>
      <c r="M2049" s="7"/>
      <c r="O2049" s="5"/>
      <c r="P2049" s="5"/>
    </row>
    <row r="2050" spans="2:16" x14ac:dyDescent="0.25">
      <c r="B2050" s="90">
        <v>2022</v>
      </c>
      <c r="C2050" s="91">
        <v>0.39862921218291092</v>
      </c>
      <c r="D2050" s="92">
        <v>265</v>
      </c>
      <c r="G2050" s="5"/>
      <c r="H2050" s="5"/>
      <c r="L2050" s="7"/>
      <c r="M2050" s="7"/>
      <c r="O2050" s="5"/>
      <c r="P2050" s="5"/>
    </row>
    <row r="2051" spans="2:16" x14ac:dyDescent="0.25">
      <c r="B2051" s="90">
        <v>1530</v>
      </c>
      <c r="C2051" s="91">
        <v>0.20084326256735829</v>
      </c>
      <c r="D2051" s="92">
        <v>267</v>
      </c>
      <c r="G2051" s="5"/>
      <c r="H2051" s="5"/>
      <c r="L2051" s="7"/>
      <c r="M2051" s="7"/>
      <c r="O2051" s="5"/>
      <c r="P2051" s="5"/>
    </row>
    <row r="2052" spans="2:16" x14ac:dyDescent="0.25">
      <c r="B2052" s="90">
        <v>1602</v>
      </c>
      <c r="C2052" s="91">
        <v>0.36029855710580849</v>
      </c>
      <c r="D2052" s="92">
        <v>267</v>
      </c>
      <c r="G2052" s="5"/>
      <c r="H2052" s="5"/>
      <c r="L2052" s="7"/>
      <c r="M2052" s="7"/>
      <c r="O2052" s="5"/>
      <c r="P2052" s="5"/>
    </row>
    <row r="2053" spans="2:16" x14ac:dyDescent="0.25">
      <c r="B2053" s="90">
        <v>2014</v>
      </c>
      <c r="C2053" s="91">
        <v>0.40676807481799782</v>
      </c>
      <c r="D2053" s="92">
        <v>267</v>
      </c>
      <c r="G2053" s="5"/>
      <c r="H2053" s="5"/>
      <c r="L2053" s="7"/>
      <c r="M2053" s="7"/>
      <c r="O2053" s="5"/>
      <c r="P2053" s="5"/>
    </row>
    <row r="2054" spans="2:16" x14ac:dyDescent="0.25">
      <c r="B2054" s="90">
        <v>1532</v>
      </c>
      <c r="C2054" s="91">
        <v>0.30024136377378907</v>
      </c>
      <c r="D2054" s="92">
        <v>269</v>
      </c>
      <c r="G2054" s="5"/>
      <c r="H2054" s="5"/>
      <c r="L2054" s="7"/>
      <c r="M2054" s="7"/>
      <c r="O2054" s="5"/>
      <c r="P2054" s="5"/>
    </row>
    <row r="2055" spans="2:16" x14ac:dyDescent="0.25">
      <c r="B2055" s="90">
        <v>1700</v>
      </c>
      <c r="C2055" s="91">
        <v>0.39618772217281395</v>
      </c>
      <c r="D2055" s="92">
        <v>270</v>
      </c>
      <c r="G2055" s="5"/>
      <c r="H2055" s="5"/>
      <c r="L2055" s="7"/>
      <c r="M2055" s="7"/>
      <c r="O2055" s="5"/>
      <c r="P2055" s="5"/>
    </row>
    <row r="2056" spans="2:16" x14ac:dyDescent="0.25">
      <c r="B2056" s="90">
        <v>2063</v>
      </c>
      <c r="C2056" s="91">
        <v>0.40375991677149536</v>
      </c>
      <c r="D2056" s="92">
        <v>271</v>
      </c>
      <c r="G2056" s="5"/>
      <c r="H2056" s="5"/>
      <c r="L2056" s="7"/>
      <c r="M2056" s="7"/>
      <c r="O2056" s="5"/>
      <c r="P2056" s="5"/>
    </row>
    <row r="2057" spans="2:16" x14ac:dyDescent="0.25">
      <c r="B2057" s="90">
        <v>2122</v>
      </c>
      <c r="C2057" s="91">
        <v>0.42705674027650109</v>
      </c>
      <c r="D2057" s="92">
        <v>271</v>
      </c>
      <c r="G2057" s="5"/>
      <c r="H2057" s="5"/>
      <c r="L2057" s="7"/>
      <c r="M2057" s="7"/>
      <c r="O2057" s="5"/>
      <c r="P2057" s="5"/>
    </row>
    <row r="2058" spans="2:16" x14ac:dyDescent="0.25">
      <c r="B2058" s="90">
        <v>1501</v>
      </c>
      <c r="C2058" s="91">
        <v>0.16884254827231648</v>
      </c>
      <c r="D2058" s="92">
        <v>274</v>
      </c>
      <c r="G2058" s="5"/>
      <c r="H2058" s="5"/>
      <c r="L2058" s="7"/>
      <c r="M2058" s="7"/>
      <c r="O2058" s="5"/>
      <c r="P2058" s="5"/>
    </row>
    <row r="2059" spans="2:16" x14ac:dyDescent="0.25">
      <c r="B2059" s="90">
        <v>1462</v>
      </c>
      <c r="C2059" s="91">
        <v>0.17739878802045161</v>
      </c>
      <c r="D2059" s="92">
        <v>274</v>
      </c>
      <c r="G2059" s="5"/>
      <c r="H2059" s="5"/>
      <c r="L2059" s="7"/>
      <c r="M2059" s="7"/>
      <c r="O2059" s="5"/>
      <c r="P2059" s="5"/>
    </row>
    <row r="2060" spans="2:16" x14ac:dyDescent="0.25">
      <c r="B2060" s="90">
        <v>1500</v>
      </c>
      <c r="C2060" s="91">
        <v>0.18673553771419849</v>
      </c>
      <c r="D2060" s="92">
        <v>274</v>
      </c>
      <c r="G2060" s="5"/>
      <c r="H2060" s="5"/>
      <c r="L2060" s="7"/>
      <c r="M2060" s="7"/>
      <c r="O2060" s="5"/>
      <c r="P2060" s="5"/>
    </row>
    <row r="2061" spans="2:16" x14ac:dyDescent="0.25">
      <c r="B2061" s="90">
        <v>1461</v>
      </c>
      <c r="C2061" s="91">
        <v>0.21034034636795362</v>
      </c>
      <c r="D2061" s="92">
        <v>274</v>
      </c>
      <c r="G2061" s="5"/>
      <c r="H2061" s="5"/>
      <c r="L2061" s="7"/>
      <c r="M2061" s="7"/>
      <c r="O2061" s="5"/>
      <c r="P2061" s="5"/>
    </row>
    <row r="2062" spans="2:16" x14ac:dyDescent="0.25">
      <c r="B2062" s="90">
        <v>1666</v>
      </c>
      <c r="C2062" s="91">
        <v>0.35969101553186777</v>
      </c>
      <c r="D2062" s="92">
        <v>274</v>
      </c>
      <c r="G2062" s="5"/>
      <c r="H2062" s="5"/>
      <c r="L2062" s="7"/>
      <c r="M2062" s="7"/>
      <c r="O2062" s="5"/>
      <c r="P2062" s="5"/>
    </row>
    <row r="2063" spans="2:16" x14ac:dyDescent="0.25">
      <c r="B2063" s="90">
        <v>1697</v>
      </c>
      <c r="C2063" s="91">
        <v>0.37379792305099158</v>
      </c>
      <c r="D2063" s="92">
        <v>274</v>
      </c>
      <c r="G2063" s="5"/>
      <c r="H2063" s="5"/>
      <c r="L2063" s="7"/>
      <c r="M2063" s="7"/>
      <c r="O2063" s="5"/>
      <c r="P2063" s="5"/>
    </row>
    <row r="2064" spans="2:16" x14ac:dyDescent="0.25">
      <c r="B2064" s="90">
        <v>660</v>
      </c>
      <c r="C2064" s="91">
        <v>0.45405622792705513</v>
      </c>
      <c r="D2064" s="92">
        <v>275</v>
      </c>
      <c r="G2064" s="5"/>
      <c r="H2064" s="5"/>
      <c r="L2064" s="7"/>
      <c r="M2064" s="7"/>
      <c r="O2064" s="5"/>
      <c r="P2064" s="5"/>
    </row>
    <row r="2065" spans="2:16" x14ac:dyDescent="0.25">
      <c r="B2065" s="90">
        <v>548</v>
      </c>
      <c r="C2065" s="91">
        <v>0.46307127175751484</v>
      </c>
      <c r="D2065" s="92">
        <v>275</v>
      </c>
      <c r="G2065" s="5"/>
      <c r="H2065" s="5"/>
      <c r="L2065" s="7"/>
      <c r="M2065" s="7"/>
      <c r="O2065" s="5"/>
      <c r="P2065" s="5"/>
    </row>
    <row r="2066" spans="2:16" x14ac:dyDescent="0.25">
      <c r="B2066" s="90">
        <v>1364</v>
      </c>
      <c r="C2066" s="91">
        <v>0.53368184678935249</v>
      </c>
      <c r="D2066" s="92">
        <v>275</v>
      </c>
      <c r="G2066" s="5"/>
      <c r="H2066" s="5"/>
      <c r="L2066" s="7"/>
      <c r="M2066" s="7"/>
      <c r="O2066" s="5"/>
      <c r="P2066" s="5"/>
    </row>
    <row r="2067" spans="2:16" x14ac:dyDescent="0.25">
      <c r="B2067" s="90">
        <v>1465</v>
      </c>
      <c r="C2067" s="91">
        <v>0.23973969578106824</v>
      </c>
      <c r="D2067" s="92">
        <v>276</v>
      </c>
      <c r="G2067" s="5"/>
      <c r="H2067" s="5"/>
      <c r="L2067" s="7"/>
      <c r="M2067" s="7"/>
      <c r="O2067" s="5"/>
      <c r="P2067" s="5"/>
    </row>
    <row r="2068" spans="2:16" x14ac:dyDescent="0.25">
      <c r="B2068" s="90">
        <v>1534</v>
      </c>
      <c r="C2068" s="91">
        <v>0.29397167956535819</v>
      </c>
      <c r="D2068" s="92">
        <v>278</v>
      </c>
      <c r="G2068" s="5"/>
      <c r="H2068" s="5"/>
      <c r="L2068" s="7"/>
      <c r="M2068" s="7"/>
      <c r="O2068" s="5"/>
      <c r="P2068" s="5"/>
    </row>
    <row r="2069" spans="2:16" x14ac:dyDescent="0.25">
      <c r="B2069" s="90">
        <v>2060</v>
      </c>
      <c r="C2069" s="91">
        <v>0.43662260113962048</v>
      </c>
      <c r="D2069" s="92">
        <v>279</v>
      </c>
      <c r="G2069" s="5"/>
      <c r="H2069" s="5"/>
      <c r="L2069" s="7"/>
      <c r="M2069" s="7"/>
      <c r="O2069" s="5"/>
      <c r="P2069" s="5"/>
    </row>
    <row r="2070" spans="2:16" x14ac:dyDescent="0.25">
      <c r="B2070" s="90">
        <v>2031</v>
      </c>
      <c r="C2070" s="91">
        <v>0.45074855666855018</v>
      </c>
      <c r="D2070" s="92">
        <v>279</v>
      </c>
      <c r="G2070" s="5"/>
      <c r="H2070" s="5"/>
      <c r="L2070" s="7"/>
      <c r="M2070" s="7"/>
      <c r="O2070" s="5"/>
      <c r="P2070" s="5"/>
    </row>
    <row r="2071" spans="2:16" x14ac:dyDescent="0.25">
      <c r="B2071" s="90">
        <v>2035</v>
      </c>
      <c r="C2071" s="91">
        <v>0.52511965282933937</v>
      </c>
      <c r="D2071" s="92">
        <v>279</v>
      </c>
      <c r="G2071" s="5"/>
      <c r="H2071" s="5"/>
      <c r="L2071" s="7"/>
      <c r="M2071" s="7"/>
      <c r="O2071" s="5"/>
      <c r="P2071" s="5"/>
    </row>
    <row r="2072" spans="2:16" x14ac:dyDescent="0.25">
      <c r="B2072" s="90">
        <v>1499</v>
      </c>
      <c r="C2072" s="91">
        <v>0.22283757401946036</v>
      </c>
      <c r="D2072" s="92">
        <v>280</v>
      </c>
      <c r="G2072" s="5"/>
      <c r="H2072" s="5"/>
      <c r="L2072" s="7"/>
      <c r="M2072" s="7"/>
      <c r="O2072" s="5"/>
      <c r="P2072" s="5"/>
    </row>
    <row r="2073" spans="2:16" x14ac:dyDescent="0.25">
      <c r="B2073" s="90">
        <v>374</v>
      </c>
      <c r="C2073" s="91">
        <v>0.48684108038663165</v>
      </c>
      <c r="D2073" s="92">
        <v>280</v>
      </c>
      <c r="G2073" s="5"/>
      <c r="H2073" s="5"/>
      <c r="L2073" s="7"/>
      <c r="M2073" s="7"/>
      <c r="O2073" s="5"/>
      <c r="P2073" s="5"/>
    </row>
    <row r="2074" spans="2:16" x14ac:dyDescent="0.25">
      <c r="B2074" s="90">
        <v>2020</v>
      </c>
      <c r="C2074" s="91">
        <v>0.46205515964754162</v>
      </c>
      <c r="D2074" s="92">
        <v>281</v>
      </c>
      <c r="G2074" s="5"/>
      <c r="H2074" s="5"/>
      <c r="L2074" s="7"/>
      <c r="M2074" s="7"/>
      <c r="O2074" s="5"/>
      <c r="P2074" s="5"/>
    </row>
    <row r="2075" spans="2:16" x14ac:dyDescent="0.25">
      <c r="B2075" s="90">
        <v>2109</v>
      </c>
      <c r="C2075" s="91">
        <v>0.47596331130411673</v>
      </c>
      <c r="D2075" s="92">
        <v>281</v>
      </c>
      <c r="G2075" s="5"/>
      <c r="H2075" s="5"/>
      <c r="L2075" s="7"/>
      <c r="M2075" s="7"/>
      <c r="O2075" s="5"/>
      <c r="P2075" s="5"/>
    </row>
    <row r="2076" spans="2:16" x14ac:dyDescent="0.25">
      <c r="B2076" s="90">
        <v>1766</v>
      </c>
      <c r="C2076" s="91">
        <v>0.4208233278890372</v>
      </c>
      <c r="D2076" s="92">
        <v>282</v>
      </c>
      <c r="G2076" s="5"/>
      <c r="H2076" s="5"/>
      <c r="L2076" s="7"/>
      <c r="M2076" s="7"/>
      <c r="O2076" s="5"/>
      <c r="P2076" s="5"/>
    </row>
    <row r="2077" spans="2:16" x14ac:dyDescent="0.25">
      <c r="B2077" s="90">
        <v>313</v>
      </c>
      <c r="C2077" s="91">
        <v>0.47521997002867289</v>
      </c>
      <c r="D2077" s="92">
        <v>282</v>
      </c>
      <c r="G2077" s="5"/>
      <c r="H2077" s="5"/>
      <c r="L2077" s="7"/>
      <c r="M2077" s="7"/>
      <c r="O2077" s="5"/>
      <c r="P2077" s="5"/>
    </row>
    <row r="2078" spans="2:16" x14ac:dyDescent="0.25">
      <c r="B2078" s="90">
        <v>375</v>
      </c>
      <c r="C2078" s="91">
        <v>0.48952619604422931</v>
      </c>
      <c r="D2078" s="92">
        <v>282</v>
      </c>
      <c r="G2078" s="5"/>
      <c r="H2078" s="5"/>
      <c r="L2078" s="7"/>
      <c r="M2078" s="7"/>
      <c r="O2078" s="5"/>
      <c r="P2078" s="5"/>
    </row>
    <row r="2079" spans="2:16" x14ac:dyDescent="0.25">
      <c r="B2079" s="90">
        <v>1738</v>
      </c>
      <c r="C2079" s="91">
        <v>0.51580808622100083</v>
      </c>
      <c r="D2079" s="92">
        <v>282</v>
      </c>
      <c r="G2079" s="5"/>
      <c r="H2079" s="5"/>
      <c r="L2079" s="7"/>
      <c r="M2079" s="7"/>
      <c r="O2079" s="5"/>
      <c r="P2079" s="5"/>
    </row>
    <row r="2080" spans="2:16" x14ac:dyDescent="0.25">
      <c r="B2080" s="90">
        <v>1794</v>
      </c>
      <c r="C2080" s="91">
        <v>0.59208924253196615</v>
      </c>
      <c r="D2080" s="92">
        <v>282</v>
      </c>
      <c r="G2080" s="5"/>
      <c r="H2080" s="5"/>
      <c r="L2080" s="7"/>
      <c r="M2080" s="7"/>
      <c r="O2080" s="5"/>
      <c r="P2080" s="5"/>
    </row>
    <row r="2081" spans="2:16" x14ac:dyDescent="0.25">
      <c r="B2081" s="90">
        <v>1739</v>
      </c>
      <c r="C2081" s="91">
        <v>0.66610126460039598</v>
      </c>
      <c r="D2081" s="92">
        <v>282</v>
      </c>
      <c r="G2081" s="5"/>
      <c r="H2081" s="5"/>
      <c r="L2081" s="7"/>
      <c r="M2081" s="7"/>
      <c r="O2081" s="5"/>
      <c r="P2081" s="5"/>
    </row>
    <row r="2082" spans="2:16" x14ac:dyDescent="0.25">
      <c r="B2082" s="90">
        <v>1669</v>
      </c>
      <c r="C2082" s="91">
        <v>0.37126004477291474</v>
      </c>
      <c r="D2082" s="92">
        <v>284</v>
      </c>
      <c r="G2082" s="5"/>
      <c r="H2082" s="5"/>
      <c r="L2082" s="7"/>
      <c r="M2082" s="7"/>
      <c r="O2082" s="5"/>
      <c r="P2082" s="5"/>
    </row>
    <row r="2083" spans="2:16" x14ac:dyDescent="0.25">
      <c r="B2083" s="90">
        <v>1636</v>
      </c>
      <c r="C2083" s="91">
        <v>0.37584833964855835</v>
      </c>
      <c r="D2083" s="92">
        <v>284</v>
      </c>
      <c r="G2083" s="5"/>
      <c r="H2083" s="5"/>
      <c r="L2083" s="7"/>
      <c r="M2083" s="7"/>
      <c r="O2083" s="5"/>
      <c r="P2083" s="5"/>
    </row>
    <row r="2084" spans="2:16" x14ac:dyDescent="0.25">
      <c r="B2084" s="90">
        <v>2096</v>
      </c>
      <c r="C2084" s="91">
        <v>0.46618041023009316</v>
      </c>
      <c r="D2084" s="92">
        <v>285</v>
      </c>
      <c r="G2084" s="5"/>
      <c r="H2084" s="5"/>
      <c r="L2084" s="7"/>
      <c r="M2084" s="7"/>
      <c r="O2084" s="5"/>
      <c r="P2084" s="5"/>
    </row>
    <row r="2085" spans="2:16" x14ac:dyDescent="0.25">
      <c r="B2085" s="90">
        <v>63</v>
      </c>
      <c r="C2085" s="91">
        <v>0.48722521487975401</v>
      </c>
      <c r="D2085" s="92">
        <v>285</v>
      </c>
      <c r="G2085" s="5"/>
      <c r="H2085" s="5"/>
      <c r="L2085" s="7"/>
      <c r="M2085" s="7"/>
      <c r="O2085" s="5"/>
      <c r="P2085" s="5"/>
    </row>
    <row r="2086" spans="2:16" x14ac:dyDescent="0.25">
      <c r="B2086" s="90">
        <v>193</v>
      </c>
      <c r="C2086" s="91">
        <v>0.48722521487975401</v>
      </c>
      <c r="D2086" s="92">
        <v>285</v>
      </c>
      <c r="G2086" s="5"/>
      <c r="H2086" s="5"/>
      <c r="L2086" s="7"/>
      <c r="M2086" s="7"/>
      <c r="O2086" s="5"/>
      <c r="P2086" s="5"/>
    </row>
    <row r="2087" spans="2:16" x14ac:dyDescent="0.25">
      <c r="B2087" s="90">
        <v>192</v>
      </c>
      <c r="C2087" s="91">
        <v>0.49447958056001817</v>
      </c>
      <c r="D2087" s="92">
        <v>286</v>
      </c>
      <c r="G2087" s="5"/>
      <c r="H2087" s="5"/>
      <c r="L2087" s="7"/>
      <c r="M2087" s="7"/>
      <c r="O2087" s="5"/>
      <c r="P2087" s="5"/>
    </row>
    <row r="2088" spans="2:16" x14ac:dyDescent="0.25">
      <c r="B2088" s="90">
        <v>128</v>
      </c>
      <c r="C2088" s="91">
        <v>0.49692254644234868</v>
      </c>
      <c r="D2088" s="92">
        <v>286</v>
      </c>
      <c r="G2088" s="5"/>
      <c r="H2088" s="5"/>
      <c r="L2088" s="7"/>
      <c r="M2088" s="7"/>
      <c r="O2088" s="5"/>
      <c r="P2088" s="5"/>
    </row>
    <row r="2089" spans="2:16" x14ac:dyDescent="0.25">
      <c r="B2089" s="90">
        <v>2030</v>
      </c>
      <c r="C2089" s="91">
        <v>0.46277929195027623</v>
      </c>
      <c r="D2089" s="92">
        <v>287</v>
      </c>
      <c r="G2089" s="5"/>
      <c r="H2089" s="5"/>
      <c r="L2089" s="7"/>
      <c r="M2089" s="7"/>
      <c r="O2089" s="5"/>
      <c r="P2089" s="5"/>
    </row>
    <row r="2090" spans="2:16" x14ac:dyDescent="0.25">
      <c r="B2090" s="90">
        <v>2064</v>
      </c>
      <c r="C2090" s="91">
        <v>0.47089644876217551</v>
      </c>
      <c r="D2090" s="92">
        <v>287</v>
      </c>
      <c r="G2090" s="5"/>
      <c r="H2090" s="5"/>
      <c r="L2090" s="7"/>
      <c r="M2090" s="7"/>
      <c r="O2090" s="5"/>
      <c r="P2090" s="5"/>
    </row>
    <row r="2091" spans="2:16" x14ac:dyDescent="0.25">
      <c r="B2091" s="90">
        <v>2059</v>
      </c>
      <c r="C2091" s="91">
        <v>0.44874511815013041</v>
      </c>
      <c r="D2091" s="92">
        <v>288</v>
      </c>
      <c r="G2091" s="5"/>
      <c r="H2091" s="5"/>
      <c r="L2091" s="7"/>
      <c r="M2091" s="7"/>
      <c r="O2091" s="5"/>
      <c r="P2091" s="5"/>
    </row>
    <row r="2092" spans="2:16" x14ac:dyDescent="0.25">
      <c r="B2092" s="90">
        <v>1536</v>
      </c>
      <c r="C2092" s="91">
        <v>0.23716141598984797</v>
      </c>
      <c r="D2092" s="92">
        <v>291</v>
      </c>
      <c r="G2092" s="5"/>
      <c r="H2092" s="5"/>
      <c r="L2092" s="7"/>
      <c r="M2092" s="7"/>
      <c r="O2092" s="5"/>
      <c r="P2092" s="5"/>
    </row>
    <row r="2093" spans="2:16" x14ac:dyDescent="0.25">
      <c r="B2093" s="90">
        <v>1567</v>
      </c>
      <c r="C2093" s="91">
        <v>0.34281487680563805</v>
      </c>
      <c r="D2093" s="92">
        <v>292</v>
      </c>
      <c r="G2093" s="5"/>
      <c r="H2093" s="5"/>
      <c r="L2093" s="7"/>
      <c r="M2093" s="7"/>
      <c r="O2093" s="5"/>
      <c r="P2093" s="5"/>
    </row>
    <row r="2094" spans="2:16" x14ac:dyDescent="0.25">
      <c r="B2094" s="90">
        <v>1634</v>
      </c>
      <c r="C2094" s="91">
        <v>0.35615102643839025</v>
      </c>
      <c r="D2094" s="92">
        <v>292</v>
      </c>
      <c r="G2094" s="5"/>
      <c r="H2094" s="5"/>
      <c r="L2094" s="7"/>
      <c r="M2094" s="7"/>
      <c r="O2094" s="5"/>
      <c r="P2094" s="5"/>
    </row>
    <row r="2095" spans="2:16" x14ac:dyDescent="0.25">
      <c r="B2095" s="90">
        <v>2121</v>
      </c>
      <c r="C2095" s="91">
        <v>0.46874007523446348</v>
      </c>
      <c r="D2095" s="92">
        <v>293</v>
      </c>
      <c r="G2095" s="5"/>
      <c r="H2095" s="5"/>
      <c r="L2095" s="7"/>
      <c r="M2095" s="7"/>
      <c r="O2095" s="5"/>
      <c r="P2095" s="5"/>
    </row>
    <row r="2096" spans="2:16" x14ac:dyDescent="0.25">
      <c r="B2096" s="90">
        <v>549</v>
      </c>
      <c r="C2096" s="91">
        <v>0.47281466135272698</v>
      </c>
      <c r="D2096" s="92">
        <v>293</v>
      </c>
      <c r="G2096" s="5"/>
      <c r="H2096" s="5"/>
      <c r="L2096" s="7"/>
      <c r="M2096" s="7"/>
      <c r="O2096" s="5"/>
      <c r="P2096" s="5"/>
    </row>
    <row r="2097" spans="2:16" x14ac:dyDescent="0.25">
      <c r="B2097" s="90">
        <v>547</v>
      </c>
      <c r="C2097" s="91">
        <v>0.4497353121073685</v>
      </c>
      <c r="D2097" s="92">
        <v>295</v>
      </c>
      <c r="G2097" s="5"/>
      <c r="H2097" s="5"/>
      <c r="L2097" s="7"/>
      <c r="M2097" s="7"/>
      <c r="O2097" s="5"/>
      <c r="P2097" s="5"/>
    </row>
    <row r="2098" spans="2:16" x14ac:dyDescent="0.25">
      <c r="B2098" s="90">
        <v>314</v>
      </c>
      <c r="C2098" s="91">
        <v>0.47801587807326995</v>
      </c>
      <c r="D2098" s="92">
        <v>295</v>
      </c>
      <c r="G2098" s="5"/>
      <c r="H2098" s="5"/>
      <c r="L2098" s="7"/>
      <c r="M2098" s="7"/>
      <c r="O2098" s="5"/>
      <c r="P2098" s="5"/>
    </row>
    <row r="2099" spans="2:16" x14ac:dyDescent="0.25">
      <c r="B2099" s="90">
        <v>1535</v>
      </c>
      <c r="C2099" s="91">
        <v>0.27006056517055232</v>
      </c>
      <c r="D2099" s="92">
        <v>296</v>
      </c>
      <c r="G2099" s="5"/>
      <c r="H2099" s="5"/>
      <c r="L2099" s="7"/>
      <c r="M2099" s="7"/>
      <c r="O2099" s="5"/>
      <c r="P2099" s="5"/>
    </row>
    <row r="2100" spans="2:16" x14ac:dyDescent="0.25">
      <c r="B2100" s="90">
        <v>1537</v>
      </c>
      <c r="C2100" s="91">
        <v>0.22175856208780687</v>
      </c>
      <c r="D2100" s="92">
        <v>297</v>
      </c>
      <c r="G2100" s="5"/>
      <c r="H2100" s="5"/>
      <c r="L2100" s="7"/>
      <c r="M2100" s="7"/>
      <c r="O2100" s="5"/>
      <c r="P2100" s="5"/>
    </row>
    <row r="2101" spans="2:16" x14ac:dyDescent="0.25">
      <c r="B2101" s="90">
        <v>1570</v>
      </c>
      <c r="C2101" s="91">
        <v>0.32636243380634189</v>
      </c>
      <c r="D2101" s="92">
        <v>298</v>
      </c>
      <c r="G2101" s="5"/>
      <c r="H2101" s="5"/>
      <c r="L2101" s="7"/>
      <c r="M2101" s="7"/>
      <c r="O2101" s="5"/>
      <c r="P2101" s="5"/>
    </row>
    <row r="2102" spans="2:16" x14ac:dyDescent="0.25">
      <c r="B2102" s="90">
        <v>1603</v>
      </c>
      <c r="C2102" s="91">
        <v>0.36777416811679453</v>
      </c>
      <c r="D2102" s="92">
        <v>300</v>
      </c>
      <c r="G2102" s="5"/>
      <c r="H2102" s="5"/>
      <c r="L2102" s="7"/>
      <c r="M2102" s="7"/>
      <c r="O2102" s="5"/>
      <c r="P2102" s="5"/>
    </row>
    <row r="2103" spans="2:16" x14ac:dyDescent="0.25">
      <c r="B2103" s="90">
        <v>2036</v>
      </c>
      <c r="C2103" s="91">
        <v>0.52298299123645087</v>
      </c>
      <c r="D2103" s="92">
        <v>301</v>
      </c>
      <c r="G2103" s="5"/>
      <c r="H2103" s="5"/>
      <c r="L2103" s="7"/>
      <c r="M2103" s="7"/>
      <c r="O2103" s="5"/>
      <c r="P2103" s="5"/>
    </row>
    <row r="2104" spans="2:16" x14ac:dyDescent="0.25">
      <c r="B2104" s="90">
        <v>1764</v>
      </c>
      <c r="C2104" s="91">
        <v>0.41721266104631505</v>
      </c>
      <c r="D2104" s="92">
        <v>302</v>
      </c>
      <c r="G2104" s="5"/>
      <c r="H2104" s="5"/>
      <c r="L2104" s="7"/>
      <c r="M2104" s="7"/>
      <c r="O2104" s="5"/>
      <c r="P2104" s="5"/>
    </row>
    <row r="2105" spans="2:16" x14ac:dyDescent="0.25">
      <c r="B2105" s="90">
        <v>1502</v>
      </c>
      <c r="C2105" s="91">
        <v>0.28689448440995602</v>
      </c>
      <c r="D2105" s="92">
        <v>303</v>
      </c>
      <c r="G2105" s="5"/>
      <c r="H2105" s="5"/>
      <c r="L2105" s="7"/>
      <c r="M2105" s="7"/>
      <c r="O2105" s="5"/>
      <c r="P2105" s="5"/>
    </row>
    <row r="2106" spans="2:16" x14ac:dyDescent="0.25">
      <c r="B2106" s="90">
        <v>1601</v>
      </c>
      <c r="C2106" s="91">
        <v>0.35572657902620808</v>
      </c>
      <c r="D2106" s="92">
        <v>303</v>
      </c>
      <c r="G2106" s="5"/>
      <c r="H2106" s="5"/>
      <c r="L2106" s="7"/>
      <c r="M2106" s="7"/>
      <c r="O2106" s="5"/>
      <c r="P2106" s="5"/>
    </row>
    <row r="2107" spans="2:16" x14ac:dyDescent="0.25">
      <c r="B2107" s="90">
        <v>1538</v>
      </c>
      <c r="C2107" s="91">
        <v>0.34045758052669539</v>
      </c>
      <c r="D2107" s="92">
        <v>308</v>
      </c>
      <c r="G2107" s="5"/>
      <c r="H2107" s="5"/>
      <c r="L2107" s="7"/>
      <c r="M2107" s="7"/>
      <c r="O2107" s="5"/>
      <c r="P2107" s="5"/>
    </row>
    <row r="2108" spans="2:16" x14ac:dyDescent="0.25">
      <c r="B2108" s="90">
        <v>2038</v>
      </c>
      <c r="C2108" s="91">
        <v>0.52254821711451804</v>
      </c>
      <c r="D2108" s="92">
        <v>311</v>
      </c>
      <c r="G2108" s="5"/>
      <c r="H2108" s="5"/>
      <c r="L2108" s="7"/>
      <c r="M2108" s="7"/>
      <c r="O2108" s="5"/>
      <c r="P2108" s="5"/>
    </row>
    <row r="2109" spans="2:16" x14ac:dyDescent="0.25">
      <c r="B2109" s="90">
        <v>1611</v>
      </c>
      <c r="C2109" s="91">
        <v>0.37867211461869399</v>
      </c>
      <c r="D2109" s="92">
        <v>312</v>
      </c>
      <c r="G2109" s="5"/>
      <c r="H2109" s="5"/>
      <c r="L2109" s="7"/>
      <c r="M2109" s="7"/>
      <c r="O2109" s="5"/>
      <c r="P2109" s="5"/>
    </row>
    <row r="2110" spans="2:16" x14ac:dyDescent="0.25">
      <c r="B2110" s="90">
        <v>1573</v>
      </c>
      <c r="C2110" s="91">
        <v>0.4056281030272022</v>
      </c>
      <c r="D2110" s="92">
        <v>312</v>
      </c>
      <c r="G2110" s="5"/>
      <c r="H2110" s="5"/>
      <c r="L2110" s="7"/>
      <c r="M2110" s="7"/>
      <c r="O2110" s="5"/>
      <c r="P2110" s="5"/>
    </row>
    <row r="2111" spans="2:16" x14ac:dyDescent="0.25">
      <c r="B2111" s="90">
        <v>1996</v>
      </c>
      <c r="C2111" s="91">
        <v>0.44694682315670997</v>
      </c>
      <c r="D2111" s="92">
        <v>313</v>
      </c>
      <c r="G2111" s="5"/>
      <c r="H2111" s="5"/>
      <c r="L2111" s="7"/>
      <c r="M2111" s="7"/>
      <c r="O2111" s="5"/>
      <c r="P2111" s="5"/>
    </row>
    <row r="2112" spans="2:16" x14ac:dyDescent="0.25">
      <c r="B2112" s="90">
        <v>2095</v>
      </c>
      <c r="C2112" s="91">
        <v>0.4865383853647306</v>
      </c>
      <c r="D2112" s="92">
        <v>315</v>
      </c>
      <c r="G2112" s="5"/>
      <c r="H2112" s="5"/>
      <c r="L2112" s="7"/>
      <c r="M2112" s="7"/>
      <c r="O2112" s="5"/>
      <c r="P2112" s="5"/>
    </row>
    <row r="2113" spans="2:16" x14ac:dyDescent="0.25">
      <c r="B2113" s="90">
        <v>1571</v>
      </c>
      <c r="C2113" s="91">
        <v>0.29704593332776985</v>
      </c>
      <c r="D2113" s="92">
        <v>316</v>
      </c>
      <c r="G2113" s="5"/>
      <c r="H2113" s="5"/>
      <c r="L2113" s="7"/>
      <c r="M2113" s="7"/>
      <c r="O2113" s="5"/>
      <c r="P2113" s="5"/>
    </row>
    <row r="2114" spans="2:16" x14ac:dyDescent="0.25">
      <c r="B2114" s="90">
        <v>1572</v>
      </c>
      <c r="C2114" s="91">
        <v>0.28458129398967269</v>
      </c>
      <c r="D2114" s="92">
        <v>317</v>
      </c>
      <c r="G2114" s="5"/>
      <c r="H2114" s="5"/>
      <c r="L2114" s="7"/>
      <c r="M2114" s="7"/>
      <c r="O2114" s="5"/>
      <c r="P2114" s="5"/>
    </row>
    <row r="2115" spans="2:16" x14ac:dyDescent="0.25">
      <c r="B2115" s="90">
        <v>1735</v>
      </c>
      <c r="C2115" s="91">
        <v>0.60637664506733024</v>
      </c>
      <c r="D2115" s="92">
        <v>319</v>
      </c>
      <c r="G2115" s="5"/>
      <c r="H2115" s="5"/>
      <c r="L2115" s="7"/>
      <c r="M2115" s="7"/>
      <c r="O2115" s="5"/>
      <c r="P2115" s="5"/>
    </row>
    <row r="2116" spans="2:16" x14ac:dyDescent="0.25">
      <c r="B2116" s="90">
        <v>1604</v>
      </c>
      <c r="C2116" s="91">
        <v>0.3523696854962205</v>
      </c>
      <c r="D2116" s="92">
        <v>320</v>
      </c>
      <c r="G2116" s="5"/>
      <c r="H2116" s="5"/>
      <c r="L2116" s="7"/>
      <c r="M2116" s="7"/>
      <c r="O2116" s="5"/>
      <c r="P2116" s="5"/>
    </row>
    <row r="2117" spans="2:16" x14ac:dyDescent="0.25">
      <c r="B2117" s="90">
        <v>1637</v>
      </c>
      <c r="C2117" s="91">
        <v>0.3633363761216053</v>
      </c>
      <c r="D2117" s="92">
        <v>320</v>
      </c>
      <c r="G2117" s="5"/>
      <c r="H2117" s="5"/>
      <c r="L2117" s="7"/>
      <c r="M2117" s="7"/>
      <c r="O2117" s="5"/>
      <c r="P2117" s="5"/>
    </row>
    <row r="2118" spans="2:16" x14ac:dyDescent="0.25">
      <c r="B2118" s="90">
        <v>1609</v>
      </c>
      <c r="C2118" s="91">
        <v>0.42313333675760856</v>
      </c>
      <c r="D2118" s="92">
        <v>320</v>
      </c>
      <c r="G2118" s="5"/>
      <c r="H2118" s="5"/>
      <c r="L2118" s="7"/>
      <c r="M2118" s="7"/>
      <c r="O2118" s="5"/>
      <c r="P2118" s="5"/>
    </row>
    <row r="2119" spans="2:16" x14ac:dyDescent="0.25">
      <c r="B2119" s="90">
        <v>1670</v>
      </c>
      <c r="C2119" s="91">
        <v>0.34979390324805104</v>
      </c>
      <c r="D2119" s="92">
        <v>321</v>
      </c>
      <c r="G2119" s="5"/>
      <c r="H2119" s="5"/>
      <c r="L2119" s="7"/>
      <c r="M2119" s="7"/>
      <c r="O2119" s="5"/>
      <c r="P2119" s="5"/>
    </row>
    <row r="2120" spans="2:16" x14ac:dyDescent="0.25">
      <c r="B2120" s="90">
        <v>1641</v>
      </c>
      <c r="C2120" s="91">
        <v>0.44435436728665179</v>
      </c>
      <c r="D2120" s="92">
        <v>322</v>
      </c>
      <c r="G2120" s="5"/>
      <c r="H2120" s="5"/>
      <c r="L2120" s="7"/>
      <c r="M2120" s="7"/>
      <c r="O2120" s="5"/>
      <c r="P2120" s="5"/>
    </row>
    <row r="2121" spans="2:16" x14ac:dyDescent="0.25">
      <c r="B2121" s="90">
        <v>1671</v>
      </c>
      <c r="C2121" s="91">
        <v>0.34273323206568074</v>
      </c>
      <c r="D2121" s="92">
        <v>323</v>
      </c>
      <c r="G2121" s="5"/>
      <c r="H2121" s="5"/>
      <c r="L2121" s="7"/>
      <c r="M2121" s="7"/>
      <c r="O2121" s="5"/>
      <c r="P2121" s="5"/>
    </row>
    <row r="2122" spans="2:16" x14ac:dyDescent="0.25">
      <c r="B2122" s="90">
        <v>1701</v>
      </c>
      <c r="C2122" s="91">
        <v>0.37548546458826038</v>
      </c>
      <c r="D2122" s="92">
        <v>323</v>
      </c>
      <c r="G2122" s="5"/>
      <c r="H2122" s="5"/>
      <c r="L2122" s="7"/>
      <c r="M2122" s="7"/>
      <c r="O2122" s="5"/>
      <c r="P2122" s="5"/>
    </row>
    <row r="2123" spans="2:16" x14ac:dyDescent="0.25">
      <c r="B2123" s="90">
        <v>2013</v>
      </c>
      <c r="C2123" s="91">
        <v>0.49690893889063203</v>
      </c>
      <c r="D2123" s="92">
        <v>323</v>
      </c>
      <c r="G2123" s="5"/>
      <c r="H2123" s="5"/>
      <c r="L2123" s="7"/>
      <c r="M2123" s="7"/>
      <c r="O2123" s="5"/>
      <c r="P2123" s="5"/>
    </row>
    <row r="2124" spans="2:16" x14ac:dyDescent="0.25">
      <c r="B2124" s="90">
        <v>2087</v>
      </c>
      <c r="C2124" s="91">
        <v>0.5408129761231667</v>
      </c>
      <c r="D2124" s="92">
        <v>324</v>
      </c>
      <c r="G2124" s="5"/>
      <c r="H2124" s="5"/>
      <c r="L2124" s="7"/>
      <c r="M2124" s="7"/>
      <c r="O2124" s="5"/>
      <c r="P2124" s="5"/>
    </row>
    <row r="2125" spans="2:16" x14ac:dyDescent="0.25">
      <c r="B2125" s="90">
        <v>1605</v>
      </c>
      <c r="C2125" s="91">
        <v>0.32617955645963215</v>
      </c>
      <c r="D2125" s="92">
        <v>328</v>
      </c>
      <c r="G2125" s="5"/>
      <c r="H2125" s="5"/>
      <c r="L2125" s="7"/>
      <c r="M2125" s="7"/>
      <c r="O2125" s="5"/>
      <c r="P2125" s="5"/>
    </row>
    <row r="2126" spans="2:16" x14ac:dyDescent="0.25">
      <c r="B2126" s="90">
        <v>1606</v>
      </c>
      <c r="C2126" s="91">
        <v>0.31635260426744249</v>
      </c>
      <c r="D2126" s="92">
        <v>330</v>
      </c>
      <c r="G2126" s="5"/>
      <c r="H2126" s="5"/>
      <c r="L2126" s="7"/>
      <c r="M2126" s="7"/>
      <c r="O2126" s="5"/>
      <c r="P2126" s="5"/>
    </row>
    <row r="2127" spans="2:16" x14ac:dyDescent="0.25">
      <c r="B2127" s="90">
        <v>1638</v>
      </c>
      <c r="C2127" s="91">
        <v>0.33886112266781354</v>
      </c>
      <c r="D2127" s="92">
        <v>330</v>
      </c>
      <c r="G2127" s="5"/>
      <c r="H2127" s="5"/>
      <c r="L2127" s="7"/>
      <c r="M2127" s="7"/>
      <c r="O2127" s="5"/>
      <c r="P2127" s="5"/>
    </row>
    <row r="2128" spans="2:16" x14ac:dyDescent="0.25">
      <c r="B2128" s="90">
        <v>1639</v>
      </c>
      <c r="C2128" s="91">
        <v>0.33118678711948313</v>
      </c>
      <c r="D2128" s="92">
        <v>332</v>
      </c>
      <c r="G2128" s="5"/>
      <c r="H2128" s="5"/>
      <c r="L2128" s="7"/>
      <c r="M2128" s="7"/>
      <c r="O2128" s="5"/>
      <c r="P2128" s="5"/>
    </row>
    <row r="2129" spans="2:16" x14ac:dyDescent="0.25">
      <c r="B2129" s="90">
        <v>2044</v>
      </c>
      <c r="C2129" s="91">
        <v>0.47785829621714926</v>
      </c>
      <c r="D2129" s="92">
        <v>333</v>
      </c>
      <c r="G2129" s="5"/>
      <c r="H2129" s="5"/>
      <c r="L2129" s="7"/>
      <c r="M2129" s="7"/>
      <c r="O2129" s="5"/>
      <c r="P2129" s="5"/>
    </row>
    <row r="2130" spans="2:16" x14ac:dyDescent="0.25">
      <c r="B2130" s="90">
        <v>1607</v>
      </c>
      <c r="C2130" s="91">
        <v>0.44030881953633383</v>
      </c>
      <c r="D2130" s="92">
        <v>337</v>
      </c>
      <c r="G2130" s="5"/>
      <c r="H2130" s="5"/>
      <c r="L2130" s="7"/>
      <c r="M2130" s="7"/>
      <c r="O2130" s="5"/>
      <c r="P2130" s="5"/>
    </row>
    <row r="2131" spans="2:16" x14ac:dyDescent="0.25">
      <c r="B2131" s="90">
        <v>1673</v>
      </c>
      <c r="C2131" s="91">
        <v>0.49075659487190637</v>
      </c>
      <c r="D2131" s="92">
        <v>337</v>
      </c>
      <c r="G2131" s="5"/>
      <c r="H2131" s="5"/>
      <c r="L2131" s="7"/>
      <c r="M2131" s="7"/>
      <c r="O2131" s="5"/>
      <c r="P2131" s="5"/>
    </row>
    <row r="2132" spans="2:16" x14ac:dyDescent="0.25">
      <c r="B2132" s="90">
        <v>1737</v>
      </c>
      <c r="C2132" s="91">
        <v>0.61013181870555888</v>
      </c>
      <c r="D2132" s="92">
        <v>337</v>
      </c>
      <c r="G2132" s="5"/>
      <c r="H2132" s="5"/>
      <c r="L2132" s="7"/>
      <c r="M2132" s="7"/>
      <c r="O2132" s="5"/>
      <c r="P2132" s="5"/>
    </row>
    <row r="2133" spans="2:16" x14ac:dyDescent="0.25">
      <c r="B2133" s="90">
        <v>1704</v>
      </c>
      <c r="C2133" s="91">
        <v>0.61512651632376425</v>
      </c>
      <c r="D2133" s="92">
        <v>337</v>
      </c>
      <c r="G2133" s="5"/>
      <c r="H2133" s="5"/>
      <c r="L2133" s="7"/>
      <c r="M2133" s="7"/>
      <c r="O2133" s="5"/>
      <c r="P2133" s="5"/>
    </row>
    <row r="2134" spans="2:16" x14ac:dyDescent="0.25">
      <c r="B2134" s="90">
        <v>1610</v>
      </c>
      <c r="C2134" s="91">
        <v>0.39181355703157061</v>
      </c>
      <c r="D2134" s="92">
        <v>338</v>
      </c>
      <c r="G2134" s="5"/>
      <c r="H2134" s="5"/>
      <c r="L2134" s="7"/>
      <c r="M2134" s="7"/>
      <c r="O2134" s="5"/>
      <c r="P2134" s="5"/>
    </row>
    <row r="2135" spans="2:16" x14ac:dyDescent="0.25">
      <c r="B2135" s="90">
        <v>1702</v>
      </c>
      <c r="C2135" s="91">
        <v>0.37048744842577375</v>
      </c>
      <c r="D2135" s="92">
        <v>341</v>
      </c>
      <c r="G2135" s="5"/>
      <c r="H2135" s="5"/>
      <c r="L2135" s="7"/>
      <c r="M2135" s="7"/>
      <c r="O2135" s="5"/>
      <c r="P2135" s="5"/>
    </row>
    <row r="2136" spans="2:16" x14ac:dyDescent="0.25">
      <c r="B2136" s="90">
        <v>132</v>
      </c>
      <c r="C2136" s="91">
        <v>0.46591761131803866</v>
      </c>
      <c r="D2136" s="92">
        <v>344</v>
      </c>
      <c r="G2136" s="5"/>
      <c r="H2136" s="5"/>
      <c r="L2136" s="7"/>
      <c r="M2136" s="7"/>
      <c r="O2136" s="5"/>
      <c r="P2136" s="5"/>
    </row>
    <row r="2137" spans="2:16" x14ac:dyDescent="0.25">
      <c r="B2137" s="90">
        <v>68</v>
      </c>
      <c r="C2137" s="91">
        <v>0.48321722438254466</v>
      </c>
      <c r="D2137" s="92">
        <v>344</v>
      </c>
      <c r="G2137" s="5"/>
      <c r="H2137" s="5"/>
      <c r="L2137" s="7"/>
      <c r="M2137" s="7"/>
      <c r="O2137" s="5"/>
      <c r="P2137" s="5"/>
    </row>
    <row r="2138" spans="2:16" x14ac:dyDescent="0.25">
      <c r="B2138" s="90">
        <v>2039</v>
      </c>
      <c r="C2138" s="91">
        <v>0.64987407242837936</v>
      </c>
      <c r="D2138" s="92">
        <v>355</v>
      </c>
      <c r="G2138" s="5"/>
      <c r="H2138" s="5"/>
      <c r="L2138" s="7"/>
      <c r="M2138" s="7"/>
      <c r="O2138" s="5"/>
      <c r="P2138" s="5"/>
    </row>
    <row r="2139" spans="2:16" x14ac:dyDescent="0.25">
      <c r="B2139" s="90">
        <v>2058</v>
      </c>
      <c r="C2139" s="91">
        <v>0.52753135946473906</v>
      </c>
      <c r="D2139" s="92">
        <v>356</v>
      </c>
      <c r="G2139" s="5"/>
      <c r="H2139" s="5"/>
      <c r="L2139" s="7"/>
      <c r="M2139" s="7"/>
      <c r="O2139" s="5"/>
      <c r="P2139" s="5"/>
    </row>
    <row r="2140" spans="2:16" x14ac:dyDescent="0.25">
      <c r="B2140" s="90">
        <v>2094</v>
      </c>
      <c r="C2140" s="91">
        <v>0.59227558787641277</v>
      </c>
      <c r="D2140" s="92">
        <v>358</v>
      </c>
      <c r="G2140" s="5"/>
      <c r="H2140" s="5"/>
      <c r="L2140" s="7"/>
      <c r="M2140" s="7"/>
      <c r="O2140" s="5"/>
      <c r="P2140" s="5"/>
    </row>
    <row r="2141" spans="2:16" x14ac:dyDescent="0.25">
      <c r="B2141" s="90">
        <v>129</v>
      </c>
      <c r="C2141" s="91">
        <v>0.54108978410536901</v>
      </c>
      <c r="D2141" s="92">
        <v>359</v>
      </c>
      <c r="G2141" s="5"/>
      <c r="H2141" s="5"/>
      <c r="L2141" s="7"/>
      <c r="M2141" s="7"/>
      <c r="O2141" s="5"/>
      <c r="P2141" s="5"/>
    </row>
    <row r="2142" spans="2:16" x14ac:dyDescent="0.25">
      <c r="B2142" s="90">
        <v>64</v>
      </c>
      <c r="C2142" s="91">
        <v>0.54117349179817031</v>
      </c>
      <c r="D2142" s="92">
        <v>359</v>
      </c>
      <c r="G2142" s="5"/>
      <c r="H2142" s="5"/>
      <c r="L2142" s="7"/>
      <c r="M2142" s="7"/>
      <c r="O2142" s="5"/>
      <c r="P2142" s="5"/>
    </row>
    <row r="2143" spans="2:16" x14ac:dyDescent="0.25">
      <c r="B2143" s="90">
        <v>130</v>
      </c>
      <c r="C2143" s="91">
        <v>0.54117349179817031</v>
      </c>
      <c r="D2143" s="92">
        <v>359</v>
      </c>
      <c r="G2143" s="5"/>
      <c r="H2143" s="5"/>
      <c r="L2143" s="7"/>
      <c r="M2143" s="7"/>
      <c r="O2143" s="5"/>
      <c r="P2143" s="5"/>
    </row>
    <row r="2144" spans="2:16" x14ac:dyDescent="0.25">
      <c r="B2144" s="90">
        <v>2040</v>
      </c>
      <c r="C2144" s="91">
        <v>0.78328870691749841</v>
      </c>
      <c r="D2144" s="92">
        <v>360</v>
      </c>
      <c r="G2144" s="5"/>
      <c r="H2144" s="5"/>
      <c r="L2144" s="7"/>
      <c r="M2144" s="7"/>
      <c r="O2144" s="5"/>
      <c r="P2144" s="5"/>
    </row>
    <row r="2145" spans="2:16" x14ac:dyDescent="0.25">
      <c r="B2145" s="90">
        <v>2029</v>
      </c>
      <c r="C2145" s="91">
        <v>0.54493161931671841</v>
      </c>
      <c r="D2145" s="92">
        <v>363</v>
      </c>
      <c r="G2145" s="5"/>
      <c r="H2145" s="5"/>
      <c r="L2145" s="7"/>
      <c r="M2145" s="7"/>
      <c r="O2145" s="5"/>
      <c r="P2145" s="5"/>
    </row>
    <row r="2146" spans="2:16" x14ac:dyDescent="0.25">
      <c r="B2146" s="90">
        <v>2071</v>
      </c>
      <c r="C2146" s="91">
        <v>0.57488039413479874</v>
      </c>
      <c r="D2146" s="92">
        <v>364</v>
      </c>
      <c r="G2146" s="5"/>
      <c r="H2146" s="5"/>
      <c r="L2146" s="7"/>
      <c r="M2146" s="7"/>
      <c r="O2146" s="5"/>
      <c r="P2146" s="5"/>
    </row>
    <row r="2147" spans="2:16" x14ac:dyDescent="0.25">
      <c r="B2147" s="90">
        <v>2124</v>
      </c>
      <c r="C2147" s="91">
        <v>0.59133734626814527</v>
      </c>
      <c r="D2147" s="92">
        <v>364</v>
      </c>
      <c r="G2147" s="5"/>
      <c r="H2147" s="5"/>
      <c r="L2147" s="7"/>
      <c r="M2147" s="7"/>
      <c r="O2147" s="5"/>
      <c r="P2147" s="5"/>
    </row>
    <row r="2148" spans="2:16" x14ac:dyDescent="0.25">
      <c r="B2148" s="90">
        <v>1765</v>
      </c>
      <c r="C2148" s="91">
        <v>0.41752179687310342</v>
      </c>
      <c r="D2148" s="92">
        <v>366</v>
      </c>
      <c r="G2148" s="5"/>
      <c r="H2148" s="5"/>
      <c r="L2148" s="7"/>
      <c r="M2148" s="7"/>
      <c r="O2148" s="5"/>
      <c r="P2148" s="5"/>
    </row>
    <row r="2149" spans="2:16" x14ac:dyDescent="0.25">
      <c r="B2149" s="90">
        <v>1644</v>
      </c>
      <c r="C2149" s="91">
        <v>0.46171803384800447</v>
      </c>
      <c r="D2149" s="92">
        <v>366</v>
      </c>
      <c r="G2149" s="5"/>
      <c r="H2149" s="5"/>
      <c r="L2149" s="7"/>
      <c r="M2149" s="7"/>
      <c r="O2149" s="5"/>
      <c r="P2149" s="5"/>
    </row>
    <row r="2150" spans="2:16" x14ac:dyDescent="0.25">
      <c r="B2150" s="90">
        <v>1672</v>
      </c>
      <c r="C2150" s="91">
        <v>0.46745571623050108</v>
      </c>
      <c r="D2150" s="92">
        <v>366</v>
      </c>
      <c r="G2150" s="5"/>
      <c r="H2150" s="5"/>
      <c r="L2150" s="7"/>
      <c r="M2150" s="7"/>
      <c r="O2150" s="5"/>
      <c r="P2150" s="5"/>
    </row>
    <row r="2151" spans="2:16" x14ac:dyDescent="0.25">
      <c r="B2151" s="90">
        <v>1792</v>
      </c>
      <c r="C2151" s="91">
        <v>0.47727563565494846</v>
      </c>
      <c r="D2151" s="92">
        <v>366</v>
      </c>
      <c r="G2151" s="5"/>
      <c r="H2151" s="5"/>
      <c r="L2151" s="7"/>
      <c r="M2151" s="7"/>
      <c r="O2151" s="5"/>
      <c r="P2151" s="5"/>
    </row>
    <row r="2152" spans="2:16" x14ac:dyDescent="0.25">
      <c r="B2152" s="90">
        <v>1703</v>
      </c>
      <c r="C2152" s="91">
        <v>0.50630154337903377</v>
      </c>
      <c r="D2152" s="92">
        <v>366</v>
      </c>
      <c r="G2152" s="5"/>
      <c r="H2152" s="5"/>
      <c r="L2152" s="7"/>
      <c r="M2152" s="7"/>
      <c r="O2152" s="5"/>
      <c r="P2152" s="5"/>
    </row>
    <row r="2153" spans="2:16" x14ac:dyDescent="0.25">
      <c r="B2153" s="90">
        <v>2</v>
      </c>
      <c r="C2153" s="91">
        <v>0.73901193036612756</v>
      </c>
      <c r="D2153" s="92">
        <v>369</v>
      </c>
      <c r="G2153" s="5"/>
      <c r="H2153" s="5"/>
      <c r="L2153" s="7"/>
      <c r="M2153" s="7"/>
      <c r="O2153" s="5"/>
      <c r="P2153" s="5"/>
    </row>
    <row r="2154" spans="2:16" x14ac:dyDescent="0.25">
      <c r="B2154" s="90">
        <v>2145</v>
      </c>
      <c r="C2154" s="91">
        <v>0.73901193036612756</v>
      </c>
      <c r="D2154" s="92">
        <v>369</v>
      </c>
      <c r="G2154" s="5"/>
      <c r="H2154" s="5"/>
      <c r="L2154" s="7"/>
      <c r="M2154" s="7"/>
      <c r="O2154" s="5"/>
      <c r="P2154" s="5"/>
    </row>
    <row r="2155" spans="2:16" x14ac:dyDescent="0.25">
      <c r="B2155" s="90">
        <v>2086</v>
      </c>
      <c r="C2155" s="91">
        <v>0.6029464613744937</v>
      </c>
      <c r="D2155" s="92">
        <v>372</v>
      </c>
      <c r="G2155" s="5"/>
      <c r="H2155" s="5"/>
      <c r="L2155" s="7"/>
      <c r="M2155" s="7"/>
      <c r="O2155" s="5"/>
      <c r="P2155" s="5"/>
    </row>
    <row r="2156" spans="2:16" x14ac:dyDescent="0.25">
      <c r="B2156" s="90">
        <v>2108</v>
      </c>
      <c r="C2156" s="91">
        <v>0.74798484332705617</v>
      </c>
      <c r="D2156" s="92">
        <v>372</v>
      </c>
      <c r="G2156" s="5"/>
      <c r="H2156" s="5"/>
      <c r="L2156" s="7"/>
      <c r="M2156" s="7"/>
      <c r="O2156" s="5"/>
      <c r="P2156" s="5"/>
    </row>
    <row r="2157" spans="2:16" x14ac:dyDescent="0.25">
      <c r="B2157" s="90">
        <v>1640</v>
      </c>
      <c r="C2157" s="91">
        <v>0.46052607112032684</v>
      </c>
      <c r="D2157" s="92">
        <v>373</v>
      </c>
      <c r="G2157" s="5"/>
      <c r="H2157" s="5"/>
      <c r="L2157" s="7"/>
      <c r="M2157" s="7"/>
      <c r="O2157" s="5"/>
      <c r="P2157" s="5"/>
    </row>
    <row r="2158" spans="2:16" x14ac:dyDescent="0.25">
      <c r="B2158" s="90">
        <v>1676</v>
      </c>
      <c r="C2158" s="91">
        <v>0.53507925401185241</v>
      </c>
      <c r="D2158" s="92">
        <v>373</v>
      </c>
      <c r="G2158" s="5"/>
      <c r="H2158" s="5"/>
      <c r="L2158" s="7"/>
      <c r="M2158" s="7"/>
      <c r="O2158" s="5"/>
      <c r="P2158" s="5"/>
    </row>
    <row r="2159" spans="2:16" x14ac:dyDescent="0.25">
      <c r="B2159" s="90">
        <v>1736</v>
      </c>
      <c r="C2159" s="91">
        <v>0.60771352840362192</v>
      </c>
      <c r="D2159" s="92">
        <v>373</v>
      </c>
      <c r="G2159" s="5"/>
      <c r="H2159" s="5"/>
      <c r="L2159" s="7"/>
      <c r="M2159" s="7"/>
      <c r="O2159" s="5"/>
      <c r="P2159" s="5"/>
    </row>
    <row r="2160" spans="2:16" x14ac:dyDescent="0.25">
      <c r="B2160" s="90">
        <v>1793</v>
      </c>
      <c r="C2160" s="91">
        <v>0.5622170739920439</v>
      </c>
      <c r="D2160" s="92">
        <v>375</v>
      </c>
      <c r="G2160" s="5"/>
      <c r="H2160" s="5"/>
      <c r="L2160" s="7"/>
      <c r="M2160" s="7"/>
      <c r="O2160" s="5"/>
      <c r="P2160" s="5"/>
    </row>
    <row r="2161" spans="2:16" x14ac:dyDescent="0.25">
      <c r="B2161" s="90">
        <v>1707</v>
      </c>
      <c r="C2161" s="91">
        <v>0.73041942523959746</v>
      </c>
      <c r="D2161" s="92">
        <v>375</v>
      </c>
      <c r="G2161" s="5"/>
      <c r="H2161" s="5"/>
      <c r="L2161" s="7"/>
      <c r="M2161" s="7"/>
      <c r="O2161" s="5"/>
      <c r="P2161" s="5"/>
    </row>
    <row r="2162" spans="2:16" x14ac:dyDescent="0.25">
      <c r="B2162" s="90">
        <v>2085</v>
      </c>
      <c r="C2162" s="91">
        <v>0.68295377726734685</v>
      </c>
      <c r="D2162" s="92">
        <v>376</v>
      </c>
      <c r="G2162" s="5"/>
      <c r="H2162" s="5"/>
      <c r="L2162" s="7"/>
      <c r="M2162" s="7"/>
      <c r="O2162" s="5"/>
      <c r="P2162" s="5"/>
    </row>
    <row r="2163" spans="2:16" x14ac:dyDescent="0.25">
      <c r="B2163" s="90">
        <v>65</v>
      </c>
      <c r="C2163" s="91">
        <v>0.56056425682502253</v>
      </c>
      <c r="D2163" s="92">
        <v>377</v>
      </c>
      <c r="G2163" s="5"/>
      <c r="H2163" s="5"/>
      <c r="L2163" s="7"/>
      <c r="M2163" s="7"/>
      <c r="O2163" s="5"/>
      <c r="P2163" s="5"/>
    </row>
    <row r="2164" spans="2:16" x14ac:dyDescent="0.25">
      <c r="B2164" s="90">
        <v>66</v>
      </c>
      <c r="C2164" s="91">
        <v>0.56056425682502253</v>
      </c>
      <c r="D2164" s="92">
        <v>377</v>
      </c>
      <c r="G2164" s="5"/>
      <c r="H2164" s="5"/>
      <c r="L2164" s="7"/>
      <c r="M2164" s="7"/>
      <c r="O2164" s="5"/>
      <c r="P2164" s="5"/>
    </row>
    <row r="2165" spans="2:16" x14ac:dyDescent="0.25">
      <c r="B2165" s="90">
        <v>2089</v>
      </c>
      <c r="C2165" s="91">
        <v>0.73358558792743511</v>
      </c>
      <c r="D2165" s="92">
        <v>381</v>
      </c>
      <c r="G2165" s="5"/>
      <c r="H2165" s="5"/>
      <c r="L2165" s="7"/>
      <c r="M2165" s="7"/>
      <c r="O2165" s="5"/>
      <c r="P2165" s="5"/>
    </row>
    <row r="2166" spans="2:16" x14ac:dyDescent="0.25">
      <c r="B2166" s="90">
        <v>3</v>
      </c>
      <c r="C2166" s="91">
        <v>0.82019887257016033</v>
      </c>
      <c r="D2166" s="92">
        <v>381</v>
      </c>
      <c r="G2166" s="5"/>
      <c r="H2166" s="5"/>
      <c r="L2166" s="7"/>
      <c r="M2166" s="7"/>
      <c r="O2166" s="5"/>
      <c r="P2166" s="5"/>
    </row>
    <row r="2167" spans="2:16" x14ac:dyDescent="0.25">
      <c r="B2167" s="90">
        <v>2143</v>
      </c>
      <c r="C2167" s="91">
        <v>0.82019887257016033</v>
      </c>
      <c r="D2167" s="92">
        <v>381</v>
      </c>
      <c r="G2167" s="5"/>
      <c r="H2167" s="5"/>
      <c r="L2167" s="7"/>
      <c r="M2167" s="7"/>
      <c r="O2167" s="5"/>
      <c r="P2167" s="5"/>
    </row>
    <row r="2168" spans="2:16" x14ac:dyDescent="0.25">
      <c r="B2168" s="90">
        <v>2144</v>
      </c>
      <c r="C2168" s="91">
        <v>0.83392406927962659</v>
      </c>
      <c r="D2168" s="92">
        <v>381</v>
      </c>
      <c r="G2168" s="5"/>
      <c r="H2168" s="5"/>
      <c r="L2168" s="7"/>
      <c r="M2168" s="7"/>
      <c r="O2168" s="5"/>
      <c r="P2168" s="5"/>
    </row>
    <row r="2169" spans="2:16" x14ac:dyDescent="0.25">
      <c r="B2169" s="90">
        <v>2084</v>
      </c>
      <c r="C2169" s="91">
        <v>0.68063066293486352</v>
      </c>
      <c r="D2169" s="92">
        <v>384</v>
      </c>
      <c r="G2169" s="5"/>
      <c r="H2169" s="5"/>
      <c r="L2169" s="7"/>
      <c r="M2169" s="7"/>
      <c r="O2169" s="5"/>
      <c r="P2169" s="5"/>
    </row>
    <row r="2170" spans="2:16" x14ac:dyDescent="0.25">
      <c r="B2170" s="90">
        <v>2106</v>
      </c>
      <c r="C2170" s="91">
        <v>0.79162333059847756</v>
      </c>
      <c r="D2170" s="92">
        <v>384</v>
      </c>
      <c r="G2170" s="5"/>
      <c r="H2170" s="5"/>
      <c r="L2170" s="7"/>
      <c r="M2170" s="7"/>
      <c r="O2170" s="5"/>
      <c r="P2170" s="5"/>
    </row>
    <row r="2171" spans="2:16" x14ac:dyDescent="0.25">
      <c r="B2171" s="90">
        <v>2107</v>
      </c>
      <c r="C2171" s="91">
        <v>0.79604839322425947</v>
      </c>
      <c r="D2171" s="92">
        <v>384</v>
      </c>
      <c r="G2171" s="5"/>
      <c r="H2171" s="5"/>
      <c r="L2171" s="7"/>
      <c r="M2171" s="7"/>
      <c r="O2171" s="5"/>
      <c r="P2171" s="5"/>
    </row>
    <row r="2172" spans="2:16" x14ac:dyDescent="0.25">
      <c r="B2172" s="90">
        <v>2090</v>
      </c>
      <c r="C2172" s="91">
        <v>0.89777339086671604</v>
      </c>
      <c r="D2172" s="92">
        <v>384</v>
      </c>
      <c r="G2172" s="5"/>
      <c r="H2172" s="5"/>
      <c r="L2172" s="7"/>
      <c r="M2172" s="7"/>
      <c r="O2172" s="5"/>
      <c r="P2172" s="5"/>
    </row>
    <row r="2173" spans="2:16" x14ac:dyDescent="0.25">
      <c r="B2173" s="90">
        <v>2115</v>
      </c>
      <c r="C2173" s="91">
        <v>0.90683994793982858</v>
      </c>
      <c r="D2173" s="92">
        <v>384</v>
      </c>
      <c r="G2173" s="5"/>
      <c r="H2173" s="5"/>
      <c r="L2173" s="7"/>
      <c r="M2173" s="7"/>
      <c r="O2173" s="5"/>
      <c r="P2173" s="5"/>
    </row>
    <row r="2174" spans="2:16" x14ac:dyDescent="0.25">
      <c r="B2174" s="90">
        <v>2117</v>
      </c>
      <c r="C2174" s="91">
        <v>1.1754375351338662</v>
      </c>
      <c r="D2174" s="92">
        <v>384</v>
      </c>
      <c r="G2174" s="5"/>
      <c r="H2174" s="5"/>
      <c r="L2174" s="7"/>
      <c r="M2174" s="7"/>
      <c r="O2174" s="5"/>
      <c r="P2174" s="5"/>
    </row>
    <row r="2175" spans="2:16" x14ac:dyDescent="0.25">
      <c r="B2175" s="90">
        <v>2116</v>
      </c>
      <c r="C2175" s="91">
        <v>1.1756634122951533</v>
      </c>
      <c r="D2175" s="92">
        <v>384</v>
      </c>
      <c r="G2175" s="5"/>
      <c r="H2175" s="5"/>
      <c r="L2175" s="7"/>
      <c r="M2175" s="7"/>
      <c r="O2175" s="5"/>
      <c r="P2175" s="5"/>
    </row>
    <row r="2176" spans="2:16" x14ac:dyDescent="0.25">
      <c r="B2176" s="90">
        <v>2083</v>
      </c>
      <c r="C2176" s="91">
        <v>0.75380074728310975</v>
      </c>
      <c r="D2176" s="92">
        <v>392</v>
      </c>
      <c r="G2176" s="5"/>
      <c r="H2176" s="5"/>
      <c r="L2176" s="7"/>
      <c r="M2176" s="7"/>
      <c r="O2176" s="5"/>
      <c r="P2176" s="5"/>
    </row>
    <row r="2177" spans="2:16" x14ac:dyDescent="0.25">
      <c r="B2177" s="90">
        <v>2105</v>
      </c>
      <c r="C2177" s="91">
        <v>0.7676798149818429</v>
      </c>
      <c r="D2177" s="92">
        <v>392</v>
      </c>
      <c r="G2177" s="5"/>
      <c r="H2177" s="5"/>
      <c r="L2177" s="7"/>
      <c r="M2177" s="7"/>
      <c r="O2177" s="5"/>
      <c r="P2177" s="5"/>
    </row>
    <row r="2178" spans="2:16" x14ac:dyDescent="0.25">
      <c r="B2178" s="90">
        <v>2104</v>
      </c>
      <c r="C2178" s="91">
        <v>0.79202674584898136</v>
      </c>
      <c r="D2178" s="92">
        <v>392</v>
      </c>
      <c r="G2178" s="5"/>
      <c r="H2178" s="5"/>
      <c r="L2178" s="7"/>
      <c r="M2178" s="7"/>
      <c r="O2178" s="5"/>
      <c r="P2178" s="5"/>
    </row>
    <row r="2179" spans="2:16" x14ac:dyDescent="0.25">
      <c r="B2179" s="90">
        <v>2113</v>
      </c>
      <c r="C2179" s="91">
        <v>0.86205461207859602</v>
      </c>
      <c r="D2179" s="92">
        <v>392</v>
      </c>
      <c r="G2179" s="5"/>
      <c r="H2179" s="5"/>
      <c r="L2179" s="7"/>
      <c r="M2179" s="7"/>
      <c r="O2179" s="5"/>
      <c r="P2179" s="5"/>
    </row>
    <row r="2180" spans="2:16" x14ac:dyDescent="0.25">
      <c r="B2180" s="90">
        <v>2114</v>
      </c>
      <c r="C2180" s="91">
        <v>0.86985842648966272</v>
      </c>
      <c r="D2180" s="92">
        <v>392</v>
      </c>
      <c r="G2180" s="5"/>
      <c r="H2180" s="5"/>
      <c r="L2180" s="7"/>
      <c r="M2180" s="7"/>
      <c r="O2180" s="5"/>
      <c r="P2180" s="5"/>
    </row>
    <row r="2181" spans="2:16" x14ac:dyDescent="0.25">
      <c r="B2181" s="90">
        <v>2023</v>
      </c>
      <c r="C2181" s="91">
        <v>0.58320996440309358</v>
      </c>
      <c r="D2181" s="92">
        <v>394</v>
      </c>
      <c r="G2181" s="5"/>
      <c r="H2181" s="5"/>
      <c r="L2181" s="7"/>
      <c r="M2181" s="7"/>
      <c r="O2181" s="5"/>
      <c r="P2181" s="5"/>
    </row>
    <row r="2182" spans="2:16" x14ac:dyDescent="0.25">
      <c r="B2182" s="90">
        <v>1</v>
      </c>
      <c r="C2182" s="91">
        <v>1.0111425139151324</v>
      </c>
      <c r="D2182" s="92">
        <v>405</v>
      </c>
      <c r="G2182" s="5"/>
      <c r="H2182" s="5"/>
      <c r="L2182" s="7"/>
      <c r="M2182" s="7"/>
      <c r="O2182" s="5"/>
      <c r="P2182" s="5"/>
    </row>
    <row r="2183" spans="2:16" x14ac:dyDescent="0.25">
      <c r="B2183" s="90">
        <v>1674</v>
      </c>
      <c r="C2183" s="91">
        <v>0.56755375401419816</v>
      </c>
      <c r="D2183" s="92">
        <v>421</v>
      </c>
      <c r="G2183" s="5"/>
      <c r="H2183" s="5"/>
      <c r="L2183" s="7"/>
      <c r="M2183" s="7"/>
      <c r="O2183" s="5"/>
      <c r="P2183" s="5"/>
    </row>
    <row r="2184" spans="2:16" x14ac:dyDescent="0.25">
      <c r="B2184" s="90">
        <v>1642</v>
      </c>
      <c r="C2184" s="91">
        <v>0.50372705068681722</v>
      </c>
      <c r="D2184" s="92">
        <v>428</v>
      </c>
      <c r="G2184" s="5"/>
      <c r="H2184" s="5"/>
      <c r="L2184" s="7"/>
      <c r="M2184" s="7"/>
      <c r="O2184" s="5"/>
      <c r="P2184" s="5"/>
    </row>
    <row r="2185" spans="2:16" x14ac:dyDescent="0.25">
      <c r="B2185" s="90">
        <v>1643</v>
      </c>
      <c r="C2185" s="91">
        <v>0.47385962865299713</v>
      </c>
      <c r="D2185" s="92">
        <v>439</v>
      </c>
      <c r="G2185" s="5"/>
      <c r="H2185" s="5"/>
      <c r="L2185" s="7"/>
      <c r="M2185" s="7"/>
      <c r="O2185" s="5"/>
      <c r="P2185" s="5"/>
    </row>
    <row r="2186" spans="2:16" x14ac:dyDescent="0.25">
      <c r="B2186" s="90">
        <v>1675</v>
      </c>
      <c r="C2186" s="91">
        <v>0.5439966447546758</v>
      </c>
      <c r="D2186" s="92">
        <v>439</v>
      </c>
      <c r="G2186" s="5"/>
      <c r="H2186" s="5"/>
      <c r="L2186" s="7"/>
      <c r="M2186" s="7"/>
      <c r="O2186" s="5"/>
      <c r="P2186" s="5"/>
    </row>
    <row r="2187" spans="2:16" x14ac:dyDescent="0.25">
      <c r="B2187" s="90">
        <v>1705</v>
      </c>
      <c r="C2187" s="91">
        <v>0.75312231003923913</v>
      </c>
      <c r="D2187" s="92">
        <v>446</v>
      </c>
      <c r="G2187" s="5"/>
      <c r="H2187" s="5"/>
      <c r="L2187" s="7"/>
      <c r="M2187" s="7"/>
      <c r="O2187" s="5"/>
      <c r="P2187" s="5"/>
    </row>
    <row r="2188" spans="2:16" x14ac:dyDescent="0.25">
      <c r="B2188" s="90">
        <v>1706</v>
      </c>
      <c r="C2188" s="91">
        <v>0.73612418235262533</v>
      </c>
      <c r="D2188" s="92">
        <v>459</v>
      </c>
      <c r="G2188" s="5"/>
      <c r="H2188" s="5"/>
      <c r="L2188" s="7"/>
      <c r="M2188" s="7"/>
      <c r="O2188" s="5"/>
      <c r="P2188" s="5"/>
    </row>
  </sheetData>
  <autoFilter ref="B42:D2188" xr:uid="{00000000-0009-0000-0000-000004000000}"/>
  <sortState xmlns:xlrd2="http://schemas.microsoft.com/office/spreadsheetml/2017/richdata2" ref="B44:D5043">
    <sortCondition ref="D44:D5043"/>
    <sortCondition ref="C44:C5043"/>
  </sortState>
  <mergeCells count="28">
    <mergeCell ref="C34:D34"/>
    <mergeCell ref="C35:D35"/>
    <mergeCell ref="AC5:AE5"/>
    <mergeCell ref="B15:B18"/>
    <mergeCell ref="B19:B23"/>
    <mergeCell ref="W5:Y5"/>
    <mergeCell ref="Z5:AB5"/>
    <mergeCell ref="C6:D6"/>
    <mergeCell ref="C13:H13"/>
    <mergeCell ref="C14:E14"/>
    <mergeCell ref="C15:D15"/>
    <mergeCell ref="C16:D16"/>
    <mergeCell ref="C17:D17"/>
    <mergeCell ref="C18:D18"/>
    <mergeCell ref="C19:D19"/>
    <mergeCell ref="C20:D20"/>
    <mergeCell ref="E5:I5"/>
    <mergeCell ref="J5:N5"/>
    <mergeCell ref="O5:S5"/>
    <mergeCell ref="T5:V5"/>
    <mergeCell ref="C21:D21"/>
    <mergeCell ref="D31:E31"/>
    <mergeCell ref="B33:D33"/>
    <mergeCell ref="C22:D22"/>
    <mergeCell ref="C23:D23"/>
    <mergeCell ref="D26:H26"/>
    <mergeCell ref="D28:E28"/>
    <mergeCell ref="D29:E2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uplaQ1.GenerarDupla">
                <anchor moveWithCells="1" sizeWithCells="1">
                  <from>
                    <xdr:col>4</xdr:col>
                    <xdr:colOff>388620</xdr:colOff>
                    <xdr:row>38</xdr:row>
                    <xdr:rowOff>106680</xdr:rowOff>
                  </from>
                  <to>
                    <xdr:col>5</xdr:col>
                    <xdr:colOff>861060</xdr:colOff>
                    <xdr:row>40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scarYActualizar">
                <anchor moveWithCells="1" sizeWithCells="1">
                  <from>
                    <xdr:col>5</xdr:col>
                    <xdr:colOff>1188720</xdr:colOff>
                    <xdr:row>39</xdr:row>
                    <xdr:rowOff>137160</xdr:rowOff>
                  </from>
                  <to>
                    <xdr:col>6</xdr:col>
                    <xdr:colOff>784860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scarYSustituirSuperior">
                <anchor moveWithCells="1" sizeWithCells="1">
                  <from>
                    <xdr:col>5</xdr:col>
                    <xdr:colOff>1173480</xdr:colOff>
                    <xdr:row>37</xdr:row>
                    <xdr:rowOff>137160</xdr:rowOff>
                  </from>
                  <to>
                    <xdr:col>6</xdr:col>
                    <xdr:colOff>746760</xdr:colOff>
                    <xdr:row>38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rarEnColumnaH">
                <anchor moveWithCells="1" sizeWithCells="1">
                  <from>
                    <xdr:col>6</xdr:col>
                    <xdr:colOff>1287780</xdr:colOff>
                    <xdr:row>38</xdr:row>
                    <xdr:rowOff>106680</xdr:rowOff>
                  </from>
                  <to>
                    <xdr:col>7</xdr:col>
                    <xdr:colOff>1074420</xdr:colOff>
                    <xdr:row>40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B1:AF2188"/>
  <sheetViews>
    <sheetView showGridLines="0" topLeftCell="S1" zoomScale="80" zoomScaleNormal="80" workbookViewId="0">
      <selection activeCell="C7" sqref="C7:AE10"/>
    </sheetView>
  </sheetViews>
  <sheetFormatPr baseColWidth="10" defaultColWidth="11" defaultRowHeight="13.8" x14ac:dyDescent="0.25"/>
  <cols>
    <col min="1" max="1" width="1.59765625" style="5" customWidth="1"/>
    <col min="2" max="2" width="10.3984375" style="5" customWidth="1"/>
    <col min="3" max="5" width="10.3984375" style="6" customWidth="1"/>
    <col min="6" max="8" width="19.69921875" style="6" customWidth="1"/>
    <col min="9" max="9" width="19.69921875" style="5" customWidth="1"/>
    <col min="10" max="10" width="10.3984375" style="5" customWidth="1"/>
    <col min="11" max="13" width="19.69921875" style="5" customWidth="1"/>
    <col min="14" max="14" width="19.69921875" style="7" customWidth="1"/>
    <col min="15" max="15" width="10.3984375" style="7" customWidth="1"/>
    <col min="16" max="16" width="19.69921875" style="7" customWidth="1"/>
    <col min="17" max="19" width="19.69921875" style="5" customWidth="1"/>
    <col min="20" max="20" width="10.3984375" style="5" customWidth="1"/>
    <col min="21" max="22" width="19.69921875" style="5" customWidth="1"/>
    <col min="23" max="23" width="10.3984375" style="5" customWidth="1"/>
    <col min="24" max="25" width="19.69921875" style="5" customWidth="1"/>
    <col min="26" max="26" width="10.3984375" style="5" customWidth="1"/>
    <col min="27" max="31" width="19.69921875" style="5" customWidth="1"/>
    <col min="32" max="32" width="13.3984375" style="5" bestFit="1" customWidth="1"/>
    <col min="33" max="16384" width="11" style="5"/>
  </cols>
  <sheetData>
    <row r="1" spans="2:32" s="2" customFormat="1" x14ac:dyDescent="0.25">
      <c r="C1" s="1"/>
      <c r="D1" s="1"/>
      <c r="E1" s="1"/>
      <c r="F1" s="1"/>
      <c r="G1" s="1"/>
      <c r="M1" s="3"/>
      <c r="N1" s="3"/>
      <c r="O1" s="3"/>
    </row>
    <row r="2" spans="2:32" s="2" customFormat="1" x14ac:dyDescent="0.25">
      <c r="C2" s="1"/>
      <c r="D2" s="13" t="s">
        <v>119</v>
      </c>
      <c r="E2" s="14" t="s">
        <v>120</v>
      </c>
      <c r="F2" s="1"/>
      <c r="G2" s="1"/>
      <c r="M2" s="3"/>
      <c r="N2" s="3"/>
      <c r="O2" s="3"/>
    </row>
    <row r="3" spans="2:32" s="2" customFormat="1" x14ac:dyDescent="0.25">
      <c r="B3" s="13" t="s">
        <v>121</v>
      </c>
      <c r="C3" s="15">
        <f>$D$40</f>
        <v>1900</v>
      </c>
      <c r="D3" s="15">
        <f>IFERROR(VLOOKUP($C3,Duplas[],4,0),"")</f>
        <v>442</v>
      </c>
      <c r="E3" s="15">
        <f>IFERROR(VLOOKUP($C3,Duplas[],5,0),"")</f>
        <v>632</v>
      </c>
      <c r="F3" s="1"/>
      <c r="G3" s="1"/>
      <c r="M3" s="3"/>
      <c r="N3" s="3"/>
      <c r="O3" s="3"/>
    </row>
    <row r="4" spans="2:32" s="2" customFormat="1" x14ac:dyDescent="0.25"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2:32" s="2" customFormat="1" x14ac:dyDescent="0.25">
      <c r="C5" s="1"/>
      <c r="D5" s="1"/>
      <c r="E5" s="155" t="s">
        <v>122</v>
      </c>
      <c r="F5" s="155"/>
      <c r="G5" s="155"/>
      <c r="H5" s="155"/>
      <c r="I5" s="155"/>
      <c r="J5" s="154" t="s">
        <v>123</v>
      </c>
      <c r="K5" s="154"/>
      <c r="L5" s="154"/>
      <c r="M5" s="154"/>
      <c r="N5" s="154"/>
      <c r="O5" s="153" t="s">
        <v>124</v>
      </c>
      <c r="P5" s="153"/>
      <c r="Q5" s="153"/>
      <c r="R5" s="153"/>
      <c r="S5" s="153"/>
      <c r="T5" s="150" t="s">
        <v>125</v>
      </c>
      <c r="U5" s="150"/>
      <c r="V5" s="150"/>
      <c r="W5" s="150" t="s">
        <v>126</v>
      </c>
      <c r="X5" s="150"/>
      <c r="Y5" s="150"/>
      <c r="Z5" s="150" t="s">
        <v>127</v>
      </c>
      <c r="AA5" s="150"/>
      <c r="AB5" s="150"/>
      <c r="AC5" s="150" t="s">
        <v>128</v>
      </c>
      <c r="AD5" s="150"/>
      <c r="AE5" s="150"/>
    </row>
    <row r="6" spans="2:32" s="2" customFormat="1" x14ac:dyDescent="0.25">
      <c r="B6" s="16" t="s">
        <v>129</v>
      </c>
      <c r="C6" s="156" t="s">
        <v>41</v>
      </c>
      <c r="D6" s="157"/>
      <c r="E6" s="17" t="s">
        <v>130</v>
      </c>
      <c r="F6" s="17" t="s">
        <v>131</v>
      </c>
      <c r="G6" s="17" t="s">
        <v>132</v>
      </c>
      <c r="H6" s="17" t="s">
        <v>133</v>
      </c>
      <c r="I6" s="17" t="s">
        <v>134</v>
      </c>
      <c r="J6" s="18" t="s">
        <v>130</v>
      </c>
      <c r="K6" s="18" t="s">
        <v>131</v>
      </c>
      <c r="L6" s="18" t="s">
        <v>132</v>
      </c>
      <c r="M6" s="18" t="s">
        <v>133</v>
      </c>
      <c r="N6" s="18" t="s">
        <v>134</v>
      </c>
      <c r="O6" s="19" t="s">
        <v>130</v>
      </c>
      <c r="P6" s="19" t="s">
        <v>131</v>
      </c>
      <c r="Q6" s="19" t="s">
        <v>132</v>
      </c>
      <c r="R6" s="19" t="s">
        <v>133</v>
      </c>
      <c r="S6" s="19" t="s">
        <v>134</v>
      </c>
      <c r="T6" s="13" t="s">
        <v>130</v>
      </c>
      <c r="U6" s="13" t="s">
        <v>133</v>
      </c>
      <c r="V6" s="13" t="s">
        <v>134</v>
      </c>
      <c r="W6" s="13" t="s">
        <v>130</v>
      </c>
      <c r="X6" s="13" t="s">
        <v>133</v>
      </c>
      <c r="Y6" s="13" t="s">
        <v>134</v>
      </c>
      <c r="Z6" s="13" t="s">
        <v>130</v>
      </c>
      <c r="AA6" s="13" t="s">
        <v>133</v>
      </c>
      <c r="AB6" s="13" t="s">
        <v>134</v>
      </c>
      <c r="AC6" s="13" t="s">
        <v>135</v>
      </c>
      <c r="AD6" s="13" t="s">
        <v>136</v>
      </c>
      <c r="AE6" s="13" t="s">
        <v>137</v>
      </c>
    </row>
    <row r="7" spans="2:32" s="2" customFormat="1" x14ac:dyDescent="0.25">
      <c r="B7" s="16">
        <v>1</v>
      </c>
      <c r="C7" s="20">
        <f>MIN(DatosHoy[Puntos])</f>
        <v>94</v>
      </c>
      <c r="D7" s="15">
        <f>C8</f>
        <v>442</v>
      </c>
      <c r="E7" s="15">
        <f>$C7</f>
        <v>94</v>
      </c>
      <c r="F7" s="21" t="str">
        <f>IFERROR("Datos!"&amp;CONCATENATE(VLOOKUP($C7,DatosHoy[[#Headers],[#Data],[Puntos]:[CTq3 colum]],9,IF(COUNTIF(DatosHoy[Puntos],$C7)&lt;=1,0,1)),":",VLOOKUP($D7,DatosHoy[[#Headers],[#Data],[Puntos]:[CTq3 colum]],9,IF(COUNTIF(DatosHoy[Puntos],$D7)&lt;=1,0,1))),"")</f>
        <v>Datos!$L$6:$L$117</v>
      </c>
      <c r="G7" s="21" t="str">
        <f>IFERROR("Datos!"&amp;CONCATENATE(VLOOKUP($C7,DatosHoy[[#Headers],[#Data],[Puntos]:[CTq3 colum]],2,IF(COUNTIF(DatosHoy[Puntos],$C7)&lt;=1,0,1)),":",VLOOKUP($D7,DatosHoy[[#Headers],[#Data],[Puntos]:[CTq3 colum]],2,IF(COUNTIF(DatosHoy[Puntos],$D7)&lt;=1,0,1))),"")</f>
        <v>Datos!$P$6:$P$117</v>
      </c>
      <c r="H7" s="22">
        <f ca="1">IFERROR(SLOPE(INDIRECT(F7),INDIRECT($G7)),H6)</f>
        <v>24892.787849362605</v>
      </c>
      <c r="I7" s="22">
        <f ca="1">IFERROR(INTERCEPT(INDIRECT(F7),INDIRECT($G7)),I6)</f>
        <v>-1515853.4090055944</v>
      </c>
      <c r="J7" s="15">
        <f>$C7</f>
        <v>94</v>
      </c>
      <c r="K7" s="21" t="str">
        <f>IFERROR("Datos!"&amp;CONCATENATE(VLOOKUP($C7,DatosHoy[[#Headers],[#Data],[Puntos]:[CTq3 colum]],10,IF(COUNTIF(DatosHoy[Puntos],$C7)&lt;=1,0,1)),":",VLOOKUP($D7,DatosHoy[[#Headers],[#Data],[Puntos]:[CTq3 colum]],10,IF(COUNTIF(DatosHoy[Puntos],$D7)&lt;=1,0,1))),"")</f>
        <v>Datos!$M$6:$M$117</v>
      </c>
      <c r="L7" s="21" t="str">
        <f>IFERROR("Datos!"&amp;CONCATENATE(VLOOKUP($C7,DatosHoy[[#Headers],[#Data],[Puntos]:[CTq3 colum]],2,IF(COUNTIF(DatosHoy[Puntos],$C7)&lt;=1,0,1)),":",VLOOKUP($D7,DatosHoy[[#Headers],[#Data],[Puntos]:[CTq3 colum]],2,IF(COUNTIF(DatosHoy[Puntos],$D7)&lt;=1,0,1))),"")</f>
        <v>Datos!$P$6:$P$117</v>
      </c>
      <c r="M7" s="22">
        <f ca="1">IFERROR(SLOPE(INDIRECT(K7),INDIRECT($G7)),M6)</f>
        <v>25206.85182108793</v>
      </c>
      <c r="N7" s="22">
        <f ca="1">IFERROR(INTERCEPT(INDIRECT(K7),INDIRECT($G7)),N6)</f>
        <v>-1519853.2602716191</v>
      </c>
      <c r="O7" s="15">
        <f>$C7</f>
        <v>94</v>
      </c>
      <c r="P7" s="21" t="str">
        <f>IFERROR("Datos!"&amp;CONCATENATE(VLOOKUP($C7,DatosHoy[[#Headers],[#Data],[Puntos]:[CTq3 colum]],11,IF(COUNTIF(DatosHoy[Puntos],$C7)&lt;=1,0,1)),":",VLOOKUP($D7,DatosHoy[[#Headers],[#Data],[Puntos]:[CTq3 colum]],11,IF(COUNTIF(DatosHoy[Puntos],$D7)&lt;=1,0,1))),"")</f>
        <v>Datos!$N$6:$N$117</v>
      </c>
      <c r="Q7" s="21" t="str">
        <f>IFERROR("Datos!"&amp;CONCATENATE(VLOOKUP($C7,DatosHoy[[#Headers],[#Data],[Puntos]:[CTq3 colum]],2,IF(COUNTIF(DatosHoy[Puntos],$C7)&lt;=1,0,1)),":",VLOOKUP($D7,DatosHoy[[#Headers],[#Data],[Puntos]:[CTq3 colum]],2,IF(COUNTIF(DatosHoy[Puntos],$D7)&lt;=1,0,1))),"")</f>
        <v>Datos!$P$6:$P$117</v>
      </c>
      <c r="R7" s="22">
        <f ca="1">IFERROR(SLOPE(INDIRECT(P7),INDIRECT($G7)),R6)</f>
        <v>25057.710432546653</v>
      </c>
      <c r="S7" s="22">
        <f ca="1">IFERROR(INTERCEPT(INDIRECT(P7),INDIRECT($G7)),S6)</f>
        <v>-1296748.9891968817</v>
      </c>
      <c r="T7" s="15">
        <f>$C7</f>
        <v>94</v>
      </c>
      <c r="U7" s="22">
        <f ca="1">IFERROR((AC8-AC7)/(T8-T7),U6)</f>
        <v>18460.37831405022</v>
      </c>
      <c r="V7" s="22">
        <f ca="1">IFERROR(AC8-(T8*U7),V6)</f>
        <v>473078.21626759972</v>
      </c>
      <c r="W7" s="15">
        <f>$C7</f>
        <v>94</v>
      </c>
      <c r="X7" s="22">
        <f ca="1">IFERROR((AD8-AD7)/(W8-W7),X6)</f>
        <v>18895.130483307046</v>
      </c>
      <c r="Y7" s="22">
        <f ca="1">IFERROR(AD8-(W8*X7),Y6)</f>
        <v>506782.30872121826</v>
      </c>
      <c r="Z7" s="15">
        <f>$C7</f>
        <v>94</v>
      </c>
      <c r="AA7" s="22">
        <f ca="1">IFERROR((AE8-AE7)/(Z8-Z7),AA6)</f>
        <v>19250.724335833052</v>
      </c>
      <c r="AB7" s="22">
        <f ca="1">IFERROR(AE8-(Z8*AA7),AB6)</f>
        <v>553395.40622567572</v>
      </c>
      <c r="AC7" s="22">
        <f ca="1">IFERROR(F18,"")</f>
        <v>2208353.777788321</v>
      </c>
      <c r="AD7" s="22">
        <f ca="1">IFERROR(G18,"")</f>
        <v>2282924.5741520799</v>
      </c>
      <c r="AE7" s="22">
        <f ca="1">IFERROR(H18,"")</f>
        <v>2362963.493793983</v>
      </c>
    </row>
    <row r="8" spans="2:32" s="2" customFormat="1" x14ac:dyDescent="0.25">
      <c r="B8" s="16">
        <v>2</v>
      </c>
      <c r="C8" s="15">
        <f>D3</f>
        <v>442</v>
      </c>
      <c r="D8" s="15">
        <f>C9</f>
        <v>632</v>
      </c>
      <c r="E8" s="15">
        <f>$C8</f>
        <v>442</v>
      </c>
      <c r="F8" s="21" t="str">
        <f>IFERROR("Datos!"&amp;CONCATENATE(VLOOKUP($C8,DatosHoy[[#Headers],[#Data],[Puntos]:[CTq3 colum]],9,IF(COUNTIF(DatosHoy[Puntos],$C8)&lt;=1,0,1)),":",VLOOKUP($D8,DatosHoy[[#Headers],[#Data],[Puntos]:[CTq3 colum]],9,IF(COUNTIF(DatosHoy[Puntos],$D8)&lt;=1,0,1))),"")</f>
        <v>Datos!$L$117:$L$136</v>
      </c>
      <c r="G8" s="21" t="str">
        <f>IFERROR("Datos!"&amp;CONCATENATE(VLOOKUP($C8,DatosHoy[[#Headers],[#Data],[Puntos]:[CTq3 colum]],2,IF(COUNTIF(DatosHoy[Puntos],$C8)&lt;=1,0,1)),":",VLOOKUP($D8,DatosHoy[[#Headers],[#Data],[Puntos]:[CTq3 colum]],2,IF(COUNTIF(DatosHoy[Puntos],$D8)&lt;=1,0,1))),"")</f>
        <v>Datos!$P$117:$P$136</v>
      </c>
      <c r="H8" s="22">
        <f ca="1">IFERROR(SLOPE(INDIRECT(F8),INDIRECT($G8)),H7)</f>
        <v>49377.487566188182</v>
      </c>
      <c r="I8" s="22">
        <f ca="1">IFERROR(INTERCEPT(INDIRECT(F8),INDIRECT($G8)),I7)</f>
        <v>-13192284.073177379</v>
      </c>
      <c r="J8" s="15">
        <f>$C8</f>
        <v>442</v>
      </c>
      <c r="K8" s="21" t="str">
        <f>IFERROR("Datos!"&amp;CONCATENATE(VLOOKUP($C8,DatosHoy[[#Headers],[#Data],[Puntos]:[CTq3 colum]],10,IF(COUNTIF(DatosHoy[Puntos],$C8)&lt;=1,0,1)),":",VLOOKUP($D8,DatosHoy[[#Headers],[#Data],[Puntos]:[CTq3 colum]],10,IF(COUNTIF(DatosHoy[Puntos],$D8)&lt;=1,0,1))),"")</f>
        <v>Datos!$M$117:$M$136</v>
      </c>
      <c r="L8" s="21" t="str">
        <f>IFERROR("Datos!"&amp;CONCATENATE(VLOOKUP($C8,DatosHoy[[#Headers],[#Data],[Puntos]:[CTq3 colum]],2,IF(COUNTIF(DatosHoy[Puntos],$C8)&lt;=1,0,1)),":",VLOOKUP($D8,DatosHoy[[#Headers],[#Data],[Puntos]:[CTq3 colum]],2,IF(COUNTIF(DatosHoy[Puntos],$D8)&lt;=1,0,1))),"")</f>
        <v>Datos!$P$117:$P$136</v>
      </c>
      <c r="M8" s="22">
        <f ca="1">IFERROR(SLOPE(INDIRECT(K8),INDIRECT($G8)),M7)</f>
        <v>54209.37829579039</v>
      </c>
      <c r="N8" s="22">
        <f ca="1">IFERROR(INTERCEPT(INDIRECT(K8),INDIRECT($G8)),N7)</f>
        <v>-15102115.224396419</v>
      </c>
      <c r="O8" s="15">
        <f>$C8</f>
        <v>442</v>
      </c>
      <c r="P8" s="21" t="str">
        <f>IFERROR("Datos!"&amp;CONCATENATE(VLOOKUP($C8,DatosHoy[[#Headers],[#Data],[Puntos]:[CTq3 colum]],11,IF(COUNTIF(DatosHoy[Puntos],$C8)&lt;=1,0,1)),":",VLOOKUP($D8,DatosHoy[[#Headers],[#Data],[Puntos]:[CTq3 colum]],11,IF(COUNTIF(DatosHoy[Puntos],$D8)&lt;=1,0,1))),"")</f>
        <v>Datos!$N$117:$N$136</v>
      </c>
      <c r="Q8" s="21" t="str">
        <f>IFERROR("Datos!"&amp;CONCATENATE(VLOOKUP($C8,DatosHoy[[#Headers],[#Data],[Puntos]:[CTq3 colum]],2,IF(COUNTIF(DatosHoy[Puntos],$C8)&lt;=1,0,1)),":",VLOOKUP($D8,DatosHoy[[#Headers],[#Data],[Puntos]:[CTq3 colum]],2,IF(COUNTIF(DatosHoy[Puntos],$D8)&lt;=1,0,1))),"")</f>
        <v>Datos!$P$117:$P$136</v>
      </c>
      <c r="R8" s="22">
        <f ca="1">IFERROR(SLOPE(INDIRECT(P8),INDIRECT($G8)),R7)</f>
        <v>54765.832621766669</v>
      </c>
      <c r="S8" s="22">
        <f ca="1">IFERROR(INTERCEPT(INDIRECT(P8),INDIRECT($G8)),S7)</f>
        <v>-15144282.456156982</v>
      </c>
      <c r="T8" s="15">
        <f>$C8</f>
        <v>442</v>
      </c>
      <c r="U8" s="22">
        <f ca="1">IFERROR((AC9-AC8)/(T9-T8),U7)</f>
        <v>27286.676792763978</v>
      </c>
      <c r="V8" s="22">
        <f ca="1">IFERROR(AC9-(T9*U8),V7)</f>
        <v>-3428145.7113238797</v>
      </c>
      <c r="W8" s="15">
        <f>$C8</f>
        <v>442</v>
      </c>
      <c r="X8" s="22">
        <f ca="1">IFERROR((AD9-AD8)/(W9-W8),X7)</f>
        <v>27780.450418519678</v>
      </c>
      <c r="Y8" s="22">
        <f ca="1">IFERROR(AD9-(W9*X8),Y7)</f>
        <v>-3420529.1026427634</v>
      </c>
      <c r="Z8" s="15">
        <f>$C8</f>
        <v>442</v>
      </c>
      <c r="AA8" s="22">
        <f ca="1">IFERROR((AE9-AE8)/(Z9-Z8),AA7)</f>
        <v>26501.29104740101</v>
      </c>
      <c r="AB8" s="22">
        <f ca="1">IFERROR(AE9-(Z9*AA8),AB7)</f>
        <v>-2651355.0802873615</v>
      </c>
      <c r="AC8" s="22">
        <f ca="1">IFERROR(IF(T8=T7,AC7,VLOOKUP($T8,$E$6:$I$10,4,1)*$T8+VLOOKUP($T8,$E$6:$I$10,5,1)),"")</f>
        <v>8632565.431077797</v>
      </c>
      <c r="AD8" s="22">
        <f ca="1">IFERROR(IF(W8=W7,AD7,VLOOKUP($W8,$J$6:$N$10,4,1)*$W8+VLOOKUP($W8,$J$6:$N$10,5,1)),"")</f>
        <v>8858429.9823429324</v>
      </c>
      <c r="AE8" s="22">
        <f ca="1">IFERROR(IF(Z8=Z7,AE7,VLOOKUP($Z8,$O$6:$S$10,4,1)*$Z8+VLOOKUP($Z8,$O$6:$S$10,5,1)),"")</f>
        <v>9062215.5626638848</v>
      </c>
    </row>
    <row r="9" spans="2:32" s="2" customFormat="1" x14ac:dyDescent="0.25">
      <c r="B9" s="16">
        <v>3</v>
      </c>
      <c r="C9" s="15">
        <f>E3</f>
        <v>632</v>
      </c>
      <c r="D9" s="20">
        <f>MAX(DatosHoy[Puntos])</f>
        <v>1048</v>
      </c>
      <c r="E9" s="15">
        <f>$C9</f>
        <v>632</v>
      </c>
      <c r="F9" s="21" t="str">
        <f>IFERROR("Datos!"&amp;CONCATENATE(VLOOKUP($C9,DatosHoy[[#Headers],[#Data],[Puntos]:[CTq3 colum]],9,IF(COUNTIF(DatosHoy[Puntos],$C9)&lt;=1,0,1)),":",VLOOKUP($D9,DatosHoy[[#Headers],[#Data],[Puntos]:[CTq3 colum]],9,IF(COUNTIF(DatosHoy[Puntos],$D9)&lt;=1,0,1))),"")</f>
        <v>Datos!$L$136:$L$144</v>
      </c>
      <c r="G9" s="21" t="str">
        <f>IFERROR("Datos!"&amp;CONCATENATE(VLOOKUP($C9,DatosHoy[[#Headers],[#Data],[Puntos]:[CTq3 colum]],2,IF(COUNTIF(DatosHoy[Puntos],$C9)&lt;=1,0,1)),":",VLOOKUP($D9,DatosHoy[[#Headers],[#Data],[Puntos]:[CTq3 colum]],2,IF(COUNTIF(DatosHoy[Puntos],$D9)&lt;=1,0,1))),"")</f>
        <v>Datos!$P$136:$P$144</v>
      </c>
      <c r="H9" s="22">
        <f ca="1">IFERROR(SLOPE(INDIRECT(F9),INDIRECT($G9)),H8)</f>
        <v>67802.109784275861</v>
      </c>
      <c r="I9" s="22">
        <f ca="1">IFERROR(INTERCEPT(INDIRECT(F9),INDIRECT($G9)),I8)</f>
        <v>-29033899.36195939</v>
      </c>
      <c r="J9" s="15">
        <f>$C9</f>
        <v>632</v>
      </c>
      <c r="K9" s="21" t="str">
        <f>IFERROR("Datos!"&amp;CONCATENATE(VLOOKUP($C9,DatosHoy[[#Headers],[#Data],[Puntos]:[CTq3 colum]],10,IF(COUNTIF(DatosHoy[Puntos],$C9)&lt;=1,0,1)),":",VLOOKUP($D9,DatosHoy[[#Headers],[#Data],[Puntos]:[CTq3 colum]],10,IF(COUNTIF(DatosHoy[Puntos],$D9)&lt;=1,0,1))),"")</f>
        <v>Datos!$M$136:$M$144</v>
      </c>
      <c r="L9" s="21" t="str">
        <f>IFERROR("Datos!"&amp;CONCATENATE(VLOOKUP($C9,DatosHoy[[#Headers],[#Data],[Puntos]:[CTq3 colum]],2,IF(COUNTIF(DatosHoy[Puntos],$C9)&lt;=1,0,1)),":",VLOOKUP($D9,DatosHoy[[#Headers],[#Data],[Puntos]:[CTq3 colum]],2,IF(COUNTIF(DatosHoy[Puntos],$D9)&lt;=1,0,1))),"")</f>
        <v>Datos!$P$136:$P$144</v>
      </c>
      <c r="M9" s="22">
        <f ca="1">IFERROR(SLOPE(INDIRECT(K9),INDIRECT($G9)),M8)</f>
        <v>78718.489410901937</v>
      </c>
      <c r="N9" s="22">
        <f ca="1">IFERROR(INTERCEPT(INDIRECT(K9),INDIRECT($G9)),N8)</f>
        <v>-35613369.745828353</v>
      </c>
      <c r="O9" s="15">
        <f>$C9</f>
        <v>632</v>
      </c>
      <c r="P9" s="21" t="str">
        <f>IFERROR("Datos!"&amp;CONCATENATE(VLOOKUP($C9,DatosHoy[[#Headers],[#Data],[Puntos]:[CTq3 colum]],11,IF(COUNTIF(DatosHoy[Puntos],$C9)&lt;=1,0,1)),":",VLOOKUP($D9,DatosHoy[[#Headers],[#Data],[Puntos]:[CTq3 colum]],11,IF(COUNTIF(DatosHoy[Puntos],$D9)&lt;=1,0,1))),"")</f>
        <v>Datos!$N$136:$N$144</v>
      </c>
      <c r="Q9" s="21" t="str">
        <f>IFERROR("Datos!"&amp;CONCATENATE(VLOOKUP($C9,DatosHoy[[#Headers],[#Data],[Puntos]:[CTq3 colum]],2,IF(COUNTIF(DatosHoy[Puntos],$C9)&lt;=1,0,1)),":",VLOOKUP($D9,DatosHoy[[#Headers],[#Data],[Puntos]:[CTq3 colum]],2,IF(COUNTIF(DatosHoy[Puntos],$D9)&lt;=1,0,1))),"")</f>
        <v>Datos!$P$136:$P$144</v>
      </c>
      <c r="R9" s="22">
        <f ca="1">IFERROR(SLOPE(INDIRECT(P9),INDIRECT($G9)),R8)</f>
        <v>91444.780215497347</v>
      </c>
      <c r="S9" s="22">
        <f ca="1">IFERROR(INTERCEPT(INDIRECT(P9),INDIRECT($G9)),S8)</f>
        <v>-43695640.23452425</v>
      </c>
      <c r="T9" s="15">
        <f>$C9</f>
        <v>632</v>
      </c>
      <c r="U9" s="22">
        <f ca="1">IFERROR((AC10-AC9)/(T10-T9),U8)</f>
        <v>71869.026962843724</v>
      </c>
      <c r="V9" s="22">
        <f ca="1">IFERROR(AC10-(T10*U9),V8)</f>
        <v>-31604191.018814288</v>
      </c>
      <c r="W9" s="15">
        <f>$C9</f>
        <v>632</v>
      </c>
      <c r="X9" s="22">
        <f ca="1">IFERROR((AD10-AD9)/(W10-W9),X8)</f>
        <v>78718.489410901937</v>
      </c>
      <c r="Y9" s="22">
        <f ca="1">IFERROR(AD10-(W10*X9),Y8)</f>
        <v>-35613369.745828353</v>
      </c>
      <c r="Z9" s="15">
        <f>$C9</f>
        <v>632</v>
      </c>
      <c r="AA9" s="22">
        <f ca="1">IFERROR((AE10-AE9)/(Z10-Z9),AA8)</f>
        <v>91444.780215497347</v>
      </c>
      <c r="AB9" s="22">
        <f ca="1">IFERROR(AE10-(Z10*AA9),AB8)</f>
        <v>-43695640.23452425</v>
      </c>
      <c r="AC9" s="22">
        <f ca="1">IFERROR(IF(T9=T10,AC10,VLOOKUP($T9,$E$6:$I$10,4,1)*$T9+VLOOKUP($T9,$E$6:$I$10,5,1)),"")</f>
        <v>13817034.021702953</v>
      </c>
      <c r="AD9" s="22">
        <f ca="1">IFERROR(IF(W9=W10,AD10,VLOOKUP($W9,$J$6:$N$10,4,1)*$W9+VLOOKUP($W9,$J$6:$N$10,5,1)),"")</f>
        <v>14136715.561861672</v>
      </c>
      <c r="AE9" s="22">
        <f ca="1">IFERROR(IF(Z9=Z10,AE10,VLOOKUP($Z9,$O$6:$S$10,4,1)*$Z9+VLOOKUP($Z9,$O$6:$S$10,5,1)),"")</f>
        <v>14097460.861670077</v>
      </c>
    </row>
    <row r="10" spans="2:32" s="2" customFormat="1" x14ac:dyDescent="0.25">
      <c r="B10" s="16">
        <v>4</v>
      </c>
      <c r="C10" s="20">
        <f>D9</f>
        <v>1048</v>
      </c>
      <c r="D10" s="15">
        <v>2623</v>
      </c>
      <c r="E10" s="15">
        <f>$C10</f>
        <v>1048</v>
      </c>
      <c r="F10" s="21" t="str">
        <f>F9</f>
        <v>Datos!$L$136:$L$144</v>
      </c>
      <c r="G10" s="21" t="str">
        <f>G9</f>
        <v>Datos!$P$136:$P$144</v>
      </c>
      <c r="H10" s="22">
        <f ca="1">IFERROR(SLOPE(INDIRECT(F10),INDIRECT($G10)),H9)</f>
        <v>67802.109784275861</v>
      </c>
      <c r="I10" s="22">
        <f ca="1">IFERROR(INTERCEPT(INDIRECT(F10),INDIRECT($G10)),I9)</f>
        <v>-29033899.36195939</v>
      </c>
      <c r="J10" s="15">
        <f>$C10</f>
        <v>1048</v>
      </c>
      <c r="K10" s="21" t="str">
        <f>K9</f>
        <v>Datos!$M$136:$M$144</v>
      </c>
      <c r="L10" s="21" t="str">
        <f>L9</f>
        <v>Datos!$P$136:$P$144</v>
      </c>
      <c r="M10" s="22">
        <f ca="1">IFERROR(SLOPE(INDIRECT(K10),INDIRECT($G10)),M9)</f>
        <v>78718.489410901937</v>
      </c>
      <c r="N10" s="22">
        <f ca="1">IFERROR(INTERCEPT(INDIRECT(K10),INDIRECT($G10)),N9)</f>
        <v>-35613369.745828353</v>
      </c>
      <c r="O10" s="15">
        <f>$C10</f>
        <v>1048</v>
      </c>
      <c r="P10" s="21" t="str">
        <f>P9</f>
        <v>Datos!$N$136:$N$144</v>
      </c>
      <c r="Q10" s="21" t="str">
        <f>Q9</f>
        <v>Datos!$P$136:$P$144</v>
      </c>
      <c r="R10" s="22">
        <f ca="1">IFERROR(SLOPE(INDIRECT(P10),INDIRECT($G10)),R9)</f>
        <v>91444.780215497347</v>
      </c>
      <c r="S10" s="22">
        <f ca="1">IFERROR(INTERCEPT(INDIRECT(P10),INDIRECT($G10)),S9)</f>
        <v>-43695640.23452425</v>
      </c>
      <c r="T10" s="15">
        <f>$C10</f>
        <v>1048</v>
      </c>
      <c r="U10" s="22">
        <f ca="1">U9</f>
        <v>71869.026962843724</v>
      </c>
      <c r="V10" s="22">
        <f ca="1">V9</f>
        <v>-31604191.018814288</v>
      </c>
      <c r="W10" s="15">
        <f>$C10</f>
        <v>1048</v>
      </c>
      <c r="X10" s="22">
        <f ca="1">X9</f>
        <v>78718.489410901937</v>
      </c>
      <c r="Y10" s="22">
        <f ca="1">Y9</f>
        <v>-35613369.745828353</v>
      </c>
      <c r="Z10" s="15">
        <f>$C10</f>
        <v>1048</v>
      </c>
      <c r="AA10" s="22">
        <f ca="1">AA9</f>
        <v>91444.780215497347</v>
      </c>
      <c r="AB10" s="22">
        <f ca="1">AB9</f>
        <v>-43695640.23452425</v>
      </c>
      <c r="AC10" s="22">
        <f ca="1">IFERROR(F23,"")</f>
        <v>43714549.238245942</v>
      </c>
      <c r="AD10" s="22">
        <f ca="1">IFERROR(G23,"")</f>
        <v>46883607.15679688</v>
      </c>
      <c r="AE10" s="22">
        <f ca="1">IFERROR(H23,"")</f>
        <v>52138489.431316972</v>
      </c>
    </row>
    <row r="11" spans="2:32" s="2" customFormat="1" x14ac:dyDescent="0.25">
      <c r="C11" s="1"/>
      <c r="D11" s="1"/>
      <c r="E11" s="1"/>
      <c r="F11" s="1"/>
      <c r="G11" s="1"/>
      <c r="M11" s="3"/>
      <c r="N11" s="3"/>
      <c r="O11" s="3"/>
    </row>
    <row r="12" spans="2:32" s="2" customFormat="1" x14ac:dyDescent="0.25">
      <c r="C12" s="1"/>
      <c r="D12" s="1"/>
      <c r="E12" s="1"/>
      <c r="F12" s="1"/>
      <c r="G12" s="1"/>
      <c r="M12" s="3"/>
      <c r="N12" s="3"/>
      <c r="O12" s="3"/>
    </row>
    <row r="13" spans="2:32" s="2" customFormat="1" x14ac:dyDescent="0.25">
      <c r="C13" s="155" t="s">
        <v>138</v>
      </c>
      <c r="D13" s="155"/>
      <c r="E13" s="155"/>
      <c r="F13" s="155"/>
      <c r="G13" s="155"/>
      <c r="H13" s="155"/>
      <c r="N13" s="3"/>
      <c r="O13" s="3"/>
      <c r="P13" s="3"/>
    </row>
    <row r="14" spans="2:32" s="2" customFormat="1" x14ac:dyDescent="0.25">
      <c r="C14" s="158" t="s">
        <v>139</v>
      </c>
      <c r="D14" s="159"/>
      <c r="E14" s="160"/>
      <c r="F14" s="17" t="s">
        <v>135</v>
      </c>
      <c r="G14" s="17" t="s">
        <v>136</v>
      </c>
      <c r="H14" s="17" t="s">
        <v>137</v>
      </c>
      <c r="N14" s="3"/>
      <c r="O14" s="3"/>
      <c r="P14" s="3"/>
    </row>
    <row r="15" spans="2:32" s="2" customFormat="1" x14ac:dyDescent="0.25">
      <c r="B15" s="151" t="s">
        <v>140</v>
      </c>
      <c r="C15" s="161" t="s">
        <v>141</v>
      </c>
      <c r="D15" s="162"/>
      <c r="E15" s="23">
        <f>MIN(Datos!P6:P144)</f>
        <v>94</v>
      </c>
      <c r="F15" s="24">
        <f ca="1">IFERROR(VLOOKUP($E15,$E$6:$I$10,4,1)*$E15+VLOOKUP($E15,$E$6:$I$10,5,1),"")</f>
        <v>824068.64883449022</v>
      </c>
      <c r="G15" s="25">
        <f ca="1">IFERROR(VLOOKUP($E15,$J$6:$N$10,4,1)*$E15+VLOOKUP($E15,$J$6:$N$10,5,1),"")</f>
        <v>849590.81091064634</v>
      </c>
      <c r="H15" s="25">
        <f ca="1">IFERROR(VLOOKUP($E15,$O$6:$S$10,4,1)*$E15+VLOOKUP($E15,$O$6:$S$10,5,1),"")</f>
        <v>1058675.7914625038</v>
      </c>
      <c r="J15" s="1"/>
      <c r="K15" s="1"/>
      <c r="L15" s="1"/>
      <c r="M15" s="1"/>
      <c r="N15" s="3"/>
      <c r="O15" s="3"/>
      <c r="P15" s="3"/>
    </row>
    <row r="16" spans="2:32" s="2" customFormat="1" x14ac:dyDescent="0.25">
      <c r="B16" s="151"/>
      <c r="C16" s="163" t="s">
        <v>142</v>
      </c>
      <c r="D16" s="164"/>
      <c r="E16" s="26"/>
      <c r="F16" s="27">
        <f>IFERROR($H16*Datos!$L$3,"")</f>
        <v>2208353.777788321</v>
      </c>
      <c r="G16" s="27">
        <f>IFERROR($H16*Datos!$M$3,"")</f>
        <v>2282924.5741520799</v>
      </c>
      <c r="H16" s="27">
        <f>IFERROR(MIN(DatosHoy[CT Q3]),"")</f>
        <v>2362963.493793983</v>
      </c>
      <c r="N16" s="3"/>
      <c r="O16" s="3"/>
      <c r="P16" s="3"/>
    </row>
    <row r="17" spans="2:16" s="2" customFormat="1" x14ac:dyDescent="0.25">
      <c r="B17" s="151"/>
      <c r="C17" s="165" t="s">
        <v>143</v>
      </c>
      <c r="D17" s="166"/>
      <c r="E17" s="28">
        <v>0.1</v>
      </c>
      <c r="F17" s="29">
        <f>IFERROR(F16*(1+$E$17),"")</f>
        <v>2429189.1555671534</v>
      </c>
      <c r="G17" s="29">
        <f>IFERROR(G16*(1+$E$17),"")</f>
        <v>2511217.0315672881</v>
      </c>
      <c r="H17" s="29">
        <f>IFERROR(H16*(1+$E$17),"")</f>
        <v>2599259.8431733814</v>
      </c>
      <c r="N17" s="3"/>
      <c r="O17" s="3"/>
      <c r="P17" s="3"/>
    </row>
    <row r="18" spans="2:16" s="2" customFormat="1" x14ac:dyDescent="0.25">
      <c r="B18" s="152"/>
      <c r="C18" s="167" t="s">
        <v>144</v>
      </c>
      <c r="D18" s="167"/>
      <c r="E18" s="30"/>
      <c r="F18" s="31">
        <f ca="1">IF(F15&gt;F17,F17,IF(F15&lt;F16,F16,F15))</f>
        <v>2208353.777788321</v>
      </c>
      <c r="G18" s="31">
        <f ca="1">IF(G15&gt;G17,G17,IF(G15&lt;G16,G16,G15))</f>
        <v>2282924.5741520799</v>
      </c>
      <c r="H18" s="31">
        <f ca="1">IF(H15&gt;H17,H17,IF(H15&lt;H16,H16,H15))</f>
        <v>2362963.493793983</v>
      </c>
      <c r="J18" s="1"/>
      <c r="K18" s="1"/>
      <c r="L18" s="1"/>
      <c r="M18" s="1"/>
      <c r="N18" s="3"/>
      <c r="O18" s="3"/>
      <c r="P18" s="3"/>
    </row>
    <row r="19" spans="2:16" s="2" customFormat="1" x14ac:dyDescent="0.25">
      <c r="B19" s="151" t="s">
        <v>145</v>
      </c>
      <c r="C19" s="168" t="s">
        <v>146</v>
      </c>
      <c r="D19" s="169"/>
      <c r="E19" s="32">
        <f>MAX(Datos!P6:P144)</f>
        <v>1048</v>
      </c>
      <c r="F19" s="33">
        <f ca="1">IFERROR(VLOOKUP($E19,$E$6:$I$10,4,1)*$E19+VLOOKUP($E19,$E$6:$I$10,5,1),"")</f>
        <v>42022711.691961713</v>
      </c>
      <c r="G19" s="34">
        <f ca="1">IFERROR(VLOOKUP($E19,$J$6:$N$10,4,1)*$E19+VLOOKUP($E19,$J$6:$N$10,5,1),"")</f>
        <v>46883607.15679688</v>
      </c>
      <c r="H19" s="34">
        <f ca="1">IFERROR(VLOOKUP($E19,$O$6:$S$10,4,1)*$E19+VLOOKUP($E19,$O$6:$S$10,5,1),"")</f>
        <v>52138489.431316972</v>
      </c>
      <c r="N19" s="3"/>
      <c r="O19" s="3"/>
      <c r="P19" s="3"/>
    </row>
    <row r="20" spans="2:16" s="2" customFormat="1" x14ac:dyDescent="0.25">
      <c r="B20" s="151"/>
      <c r="C20" s="161" t="s">
        <v>147</v>
      </c>
      <c r="D20" s="170"/>
      <c r="E20" s="35"/>
      <c r="F20" s="27">
        <f>IFERROR(F21*(1-$E$21),"")</f>
        <v>43714549.238245942</v>
      </c>
      <c r="G20" s="27">
        <f>IFERROR(G21*(1-$E$21),"")</f>
        <v>45190684.440026656</v>
      </c>
      <c r="H20" s="27">
        <f>IFERROR(H21*(1-$E$21),"")</f>
        <v>46775061.603166759</v>
      </c>
      <c r="N20" s="3"/>
      <c r="O20" s="3"/>
      <c r="P20" s="3"/>
    </row>
    <row r="21" spans="2:16" s="2" customFormat="1" x14ac:dyDescent="0.25">
      <c r="B21" s="151"/>
      <c r="C21" s="161" t="s">
        <v>148</v>
      </c>
      <c r="D21" s="170"/>
      <c r="E21" s="36">
        <v>0.1</v>
      </c>
      <c r="F21" s="27">
        <f>IFERROR($H21*Datos!$L$3,"")</f>
        <v>48571721.375828825</v>
      </c>
      <c r="G21" s="27">
        <f>IFERROR($H21*Datos!$M$3,"")</f>
        <v>50211871.600029618</v>
      </c>
      <c r="H21" s="27">
        <f>IFERROR(MAX(DatosHoy[CT Q3]),"")</f>
        <v>51972290.670185283</v>
      </c>
      <c r="N21" s="3"/>
      <c r="O21" s="3"/>
      <c r="P21" s="3"/>
    </row>
    <row r="22" spans="2:16" s="2" customFormat="1" x14ac:dyDescent="0.25">
      <c r="B22" s="151"/>
      <c r="C22" s="165" t="s">
        <v>149</v>
      </c>
      <c r="D22" s="166"/>
      <c r="E22" s="37"/>
      <c r="F22" s="38">
        <f>IFERROR(F21*(1+$E$21),"")</f>
        <v>53428893.513411708</v>
      </c>
      <c r="G22" s="38">
        <f>IFERROR(G21*(1+$E$21),"")</f>
        <v>55233058.760032587</v>
      </c>
      <c r="H22" s="38">
        <f>IFERROR(H21*(1+$E$21),"")</f>
        <v>57169519.737203814</v>
      </c>
      <c r="N22" s="3"/>
      <c r="O22" s="3"/>
      <c r="P22" s="3"/>
    </row>
    <row r="23" spans="2:16" s="2" customFormat="1" x14ac:dyDescent="0.25">
      <c r="B23" s="152"/>
      <c r="C23" s="167" t="s">
        <v>150</v>
      </c>
      <c r="D23" s="167"/>
      <c r="E23" s="32"/>
      <c r="F23" s="39">
        <f ca="1">IF(F19&gt;F22,F22,IF(F19&lt;F20,F20,F19))</f>
        <v>43714549.238245942</v>
      </c>
      <c r="G23" s="39">
        <f ca="1">IF(G19&gt;G22,G22,IF(G19&lt;G20,G20,G19))</f>
        <v>46883607.15679688</v>
      </c>
      <c r="H23" s="39">
        <f ca="1">IF(H19&gt;H22,H22,IF(H19&lt;H20,H20,H19))</f>
        <v>52138489.431316972</v>
      </c>
      <c r="N23" s="3"/>
      <c r="O23" s="3"/>
      <c r="P23" s="3"/>
    </row>
    <row r="24" spans="2:16" s="2" customFormat="1" x14ac:dyDescent="0.25">
      <c r="C24" s="1"/>
      <c r="D24" s="1"/>
      <c r="E24" s="1"/>
      <c r="F24" s="1"/>
      <c r="G24" s="1"/>
      <c r="M24" s="3"/>
      <c r="N24" s="3"/>
      <c r="O24" s="3"/>
    </row>
    <row r="25" spans="2:16" s="2" customFormat="1" x14ac:dyDescent="0.25">
      <c r="C25" s="1"/>
      <c r="D25" s="1"/>
      <c r="E25" s="1"/>
      <c r="F25" s="1"/>
      <c r="G25" s="1"/>
      <c r="M25" s="3"/>
      <c r="N25" s="3"/>
      <c r="O25" s="3"/>
    </row>
    <row r="26" spans="2:16" s="2" customFormat="1" x14ac:dyDescent="0.25">
      <c r="D26" s="171" t="s">
        <v>151</v>
      </c>
      <c r="E26" s="171"/>
      <c r="F26" s="155"/>
      <c r="G26" s="155"/>
      <c r="H26" s="155"/>
      <c r="N26" s="3"/>
      <c r="O26" s="3"/>
      <c r="P26" s="3"/>
    </row>
    <row r="27" spans="2:16" s="2" customFormat="1" x14ac:dyDescent="0.25">
      <c r="D27" s="40"/>
      <c r="E27" s="41"/>
      <c r="F27" s="42" t="s">
        <v>135</v>
      </c>
      <c r="G27" s="42" t="s">
        <v>136</v>
      </c>
      <c r="H27" s="17" t="s">
        <v>137</v>
      </c>
      <c r="N27" s="3"/>
      <c r="O27" s="3"/>
      <c r="P27" s="3"/>
    </row>
    <row r="28" spans="2:16" s="2" customFormat="1" x14ac:dyDescent="0.25">
      <c r="D28" s="156" t="s">
        <v>152</v>
      </c>
      <c r="E28" s="157"/>
      <c r="F28" s="43">
        <f>IFERROR(DatosHoy[[#Totals],[G Q3]],"")</f>
        <v>1049764069.1282924</v>
      </c>
      <c r="G28" s="43">
        <f>IFERROR(DatosHoy[[#Totals],[G+V Q3]],"")</f>
        <v>1085212077.2401795</v>
      </c>
      <c r="H28" s="43">
        <f>IFERROR(DatosHoy[[#Totals],[CT Q3]],"")</f>
        <v>1123259414.9525568</v>
      </c>
      <c r="N28" s="3"/>
      <c r="O28" s="3"/>
      <c r="P28" s="3"/>
    </row>
    <row r="29" spans="2:16" s="2" customFormat="1" x14ac:dyDescent="0.25">
      <c r="D29" s="156" t="s">
        <v>153</v>
      </c>
      <c r="E29" s="172"/>
      <c r="F29" s="43">
        <f ca="1">IFERROR(DatosHoy[[#Totals],[G ajus PM Q3]],"")</f>
        <v>1054234831.2846209</v>
      </c>
      <c r="G29" s="43">
        <f ca="1">IFERROR(DatosHoy[[#Totals],[G+V ajus PM Q3]],"")</f>
        <v>1087508319.0355055</v>
      </c>
      <c r="H29" s="43">
        <f ca="1">IFERROR(DatosHoy[[#Totals],[CT ajus PM Q3]],"")</f>
        <v>1119667529.3710279</v>
      </c>
      <c r="N29" s="3"/>
      <c r="O29" s="3"/>
      <c r="P29" s="3"/>
    </row>
    <row r="30" spans="2:16" s="2" customFormat="1" x14ac:dyDescent="0.25">
      <c r="D30" s="44" t="s">
        <v>154</v>
      </c>
      <c r="E30" s="45">
        <f ca="1">SUM(F30:H30)</f>
        <v>9.560228525799741E-3</v>
      </c>
      <c r="F30" s="46">
        <f ca="1">IFERROR(ABS(1-F28/F29),"")</f>
        <v>4.2407649829598881E-3</v>
      </c>
      <c r="G30" s="47">
        <f ca="1">IFERROR(ABS(1-G28/G29),"")</f>
        <v>2.1114705562551572E-3</v>
      </c>
      <c r="H30" s="47">
        <f ca="1">IFERROR(ABS(1-H28/H29),"")</f>
        <v>3.2079929865846957E-3</v>
      </c>
      <c r="N30" s="3"/>
      <c r="O30" s="3"/>
      <c r="P30" s="3"/>
    </row>
    <row r="31" spans="2:16" s="2" customFormat="1" x14ac:dyDescent="0.25">
      <c r="D31" s="156" t="s">
        <v>155</v>
      </c>
      <c r="E31" s="173"/>
      <c r="F31" s="48">
        <f ca="1">SUMIF(DatosHoy[G ajus PM Q3],"&lt;0")</f>
        <v>0</v>
      </c>
      <c r="G31" s="48">
        <f ca="1">SUMIF(DatosHoy[G+V ajus PM Q3],"&lt;0")</f>
        <v>0</v>
      </c>
      <c r="H31" s="48">
        <f ca="1">SUMIF(DatosHoy[CT ajus PM Q3],"&lt;0")</f>
        <v>0</v>
      </c>
      <c r="N31" s="3"/>
      <c r="O31" s="3"/>
      <c r="P31" s="3"/>
    </row>
    <row r="32" spans="2:16" s="2" customFormat="1" x14ac:dyDescent="0.25">
      <c r="C32" s="4"/>
      <c r="D32" s="1"/>
      <c r="E32" s="3"/>
      <c r="F32" s="3"/>
      <c r="G32" s="3"/>
      <c r="M32" s="3"/>
      <c r="N32" s="3"/>
      <c r="O32" s="3"/>
    </row>
    <row r="33" spans="2:30" s="2" customFormat="1" x14ac:dyDescent="0.25">
      <c r="B33" s="156" t="s">
        <v>156</v>
      </c>
      <c r="C33" s="174"/>
      <c r="D33" s="157"/>
      <c r="L33" s="3"/>
      <c r="M33" s="3"/>
      <c r="N33" s="3"/>
    </row>
    <row r="34" spans="2:30" s="2" customFormat="1" x14ac:dyDescent="0.25">
      <c r="B34" s="16">
        <v>2</v>
      </c>
      <c r="C34" s="156" t="s">
        <v>157</v>
      </c>
      <c r="D34" s="174"/>
      <c r="E34" s="45">
        <f ca="1">IF(OR(OR(F30="",G30="",H30=""),AND(F30="",G30="",H30="")),"NO",SUM(F30:H30))</f>
        <v>9.560228525799741E-3</v>
      </c>
      <c r="L34" s="3"/>
      <c r="M34" s="3"/>
      <c r="N34" s="3"/>
    </row>
    <row r="35" spans="2:30" s="2" customFormat="1" x14ac:dyDescent="0.25">
      <c r="B35" s="16">
        <v>1</v>
      </c>
      <c r="C35" s="156" t="s">
        <v>158</v>
      </c>
      <c r="D35" s="157"/>
      <c r="E35" s="35">
        <f ca="1">COUNTIF(DatosHoy[[V1 Q3]:[V5 Q5]],"&gt;0")+COUNTIF(DatosHoy[[V1 Md vs Q3]:[V3 Md vs Q3]],"&gt;0")</f>
        <v>0</v>
      </c>
      <c r="L35" s="3"/>
      <c r="M35" s="3"/>
      <c r="N35" s="3"/>
    </row>
    <row r="36" spans="2:30" s="2" customFormat="1" x14ac:dyDescent="0.25">
      <c r="L36" s="3"/>
      <c r="M36" s="3"/>
      <c r="N36" s="3"/>
    </row>
    <row r="37" spans="2:30" s="2" customFormat="1" x14ac:dyDescent="0.25">
      <c r="L37" s="3"/>
      <c r="M37" s="3"/>
      <c r="N37" s="3"/>
    </row>
    <row r="38" spans="2:30" s="2" customFormat="1" x14ac:dyDescent="0.25">
      <c r="L38" s="3"/>
      <c r="M38" s="3"/>
      <c r="N38" s="3"/>
    </row>
    <row r="39" spans="2:30" s="2" customFormat="1" x14ac:dyDescent="0.25">
      <c r="C39" s="1"/>
      <c r="D39" s="1"/>
      <c r="F39" s="1"/>
      <c r="G39" s="1"/>
      <c r="M39" s="3"/>
      <c r="N39" s="3"/>
      <c r="O39" s="3"/>
    </row>
    <row r="40" spans="2:30" s="2" customFormat="1" x14ac:dyDescent="0.25">
      <c r="C40" s="49" t="s">
        <v>121</v>
      </c>
      <c r="D40" s="32">
        <v>1900</v>
      </c>
      <c r="F40" s="1"/>
      <c r="G40" s="1"/>
      <c r="M40" s="3"/>
      <c r="N40" s="3"/>
      <c r="O40" s="3"/>
    </row>
    <row r="41" spans="2:30" s="2" customFormat="1" x14ac:dyDescent="0.25">
      <c r="C41" s="1"/>
      <c r="E41" s="1"/>
      <c r="F41" s="1"/>
      <c r="G41" s="1"/>
      <c r="M41" s="3"/>
      <c r="N41" s="3"/>
      <c r="O41" s="3"/>
    </row>
    <row r="42" spans="2:30" s="2" customFormat="1" x14ac:dyDescent="0.25">
      <c r="B42" s="1"/>
      <c r="C42" s="50" t="s">
        <v>157</v>
      </c>
      <c r="D42" s="50" t="s">
        <v>158</v>
      </c>
      <c r="E42" s="1"/>
      <c r="F42" s="1"/>
      <c r="L42" s="3"/>
      <c r="M42" s="3"/>
      <c r="N42" s="3"/>
    </row>
    <row r="43" spans="2:30" s="2" customFormat="1" x14ac:dyDescent="0.25">
      <c r="B43" s="51" t="s">
        <v>162</v>
      </c>
      <c r="C43" s="52">
        <f ca="1">E34</f>
        <v>9.560228525799741E-3</v>
      </c>
      <c r="D43" s="53">
        <f ca="1">E35</f>
        <v>0</v>
      </c>
      <c r="E43" s="1"/>
      <c r="F43" s="1"/>
      <c r="L43" s="3"/>
      <c r="M43" s="3"/>
      <c r="N43" s="3"/>
    </row>
    <row r="44" spans="2:30" x14ac:dyDescent="0.25">
      <c r="B44" s="90">
        <v>1900</v>
      </c>
      <c r="C44" s="91">
        <v>9.560228525799741E-3</v>
      </c>
      <c r="D44" s="92">
        <v>0</v>
      </c>
      <c r="E44" s="9"/>
      <c r="G44" s="5"/>
      <c r="H44" s="133" t="s">
        <v>164</v>
      </c>
      <c r="L44" s="7"/>
      <c r="M44" s="7"/>
      <c r="O44" s="5"/>
      <c r="P44" s="5"/>
    </row>
    <row r="45" spans="2:30" x14ac:dyDescent="0.25">
      <c r="B45" s="90">
        <v>1854</v>
      </c>
      <c r="C45" s="91">
        <v>1.4570202686659095E-2</v>
      </c>
      <c r="D45" s="92">
        <v>0</v>
      </c>
      <c r="E45" s="9"/>
      <c r="G45" s="5"/>
      <c r="H45" s="132"/>
      <c r="L45" s="7"/>
      <c r="M45" s="7"/>
      <c r="O45" s="5"/>
      <c r="P45" s="5"/>
    </row>
    <row r="46" spans="2:30" s="6" customFormat="1" x14ac:dyDescent="0.25">
      <c r="B46" s="90">
        <v>1943</v>
      </c>
      <c r="C46" s="91">
        <v>2.5622400697142944E-2</v>
      </c>
      <c r="D46" s="92">
        <v>0</v>
      </c>
      <c r="E46" s="9"/>
      <c r="G46" s="5"/>
      <c r="H46" s="132"/>
      <c r="I46" s="5"/>
      <c r="J46" s="5"/>
      <c r="K46" s="5"/>
      <c r="L46" s="7"/>
      <c r="M46" s="7"/>
      <c r="N46" s="7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2:30" s="6" customFormat="1" x14ac:dyDescent="0.25">
      <c r="B47" s="90">
        <v>1963</v>
      </c>
      <c r="C47" s="91">
        <v>2.5752163042944809E-2</v>
      </c>
      <c r="D47" s="92">
        <v>0</v>
      </c>
      <c r="E47" s="9"/>
      <c r="G47" s="5"/>
      <c r="H47" s="132"/>
      <c r="I47" s="5"/>
      <c r="J47" s="5"/>
      <c r="K47" s="5"/>
      <c r="L47" s="7"/>
      <c r="M47" s="7"/>
      <c r="N47" s="7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2:30" s="6" customFormat="1" x14ac:dyDescent="0.25">
      <c r="B48" s="90">
        <v>1923</v>
      </c>
      <c r="C48" s="91">
        <v>2.9292308914612875E-2</v>
      </c>
      <c r="D48" s="92">
        <v>0</v>
      </c>
      <c r="E48" s="9"/>
      <c r="G48" s="5"/>
      <c r="H48" s="132"/>
      <c r="I48" s="5"/>
      <c r="J48" s="5"/>
      <c r="K48" s="5"/>
      <c r="L48" s="7"/>
      <c r="M48" s="7"/>
      <c r="N48" s="7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</row>
    <row r="49" spans="2:30" s="6" customFormat="1" x14ac:dyDescent="0.25">
      <c r="B49" s="90">
        <v>1878</v>
      </c>
      <c r="C49" s="91">
        <v>7.0060690203339382E-2</v>
      </c>
      <c r="D49" s="92">
        <v>0</v>
      </c>
      <c r="E49" s="9"/>
      <c r="G49" s="5"/>
      <c r="H49" s="132"/>
      <c r="I49" s="5"/>
      <c r="J49" s="5"/>
      <c r="K49" s="5"/>
      <c r="L49" s="7"/>
      <c r="M49" s="7"/>
      <c r="N49" s="7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</row>
    <row r="50" spans="2:30" s="6" customFormat="1" x14ac:dyDescent="0.25">
      <c r="B50" s="90">
        <v>2000</v>
      </c>
      <c r="C50" s="91">
        <v>8.377732336216448E-2</v>
      </c>
      <c r="D50" s="92">
        <v>0</v>
      </c>
      <c r="E50" s="9"/>
      <c r="G50" s="5"/>
      <c r="H50" s="131"/>
      <c r="I50" s="5"/>
      <c r="J50" s="5"/>
      <c r="K50" s="5"/>
      <c r="L50" s="7"/>
      <c r="M50" s="7"/>
      <c r="N50" s="7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</row>
    <row r="51" spans="2:30" s="6" customFormat="1" x14ac:dyDescent="0.25">
      <c r="B51" s="90">
        <v>2079</v>
      </c>
      <c r="C51" s="91">
        <v>9.2848647360384562E-2</v>
      </c>
      <c r="D51" s="92">
        <v>0</v>
      </c>
      <c r="E51" s="9"/>
      <c r="G51" s="5"/>
      <c r="H51" s="5"/>
      <c r="I51" s="5"/>
      <c r="J51" s="5"/>
      <c r="K51" s="5"/>
      <c r="L51" s="7"/>
      <c r="M51" s="7"/>
      <c r="N51" s="7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</row>
    <row r="52" spans="2:30" s="6" customFormat="1" x14ac:dyDescent="0.25">
      <c r="B52" s="90">
        <v>1853</v>
      </c>
      <c r="C52" s="91">
        <v>0.11231373243394094</v>
      </c>
      <c r="D52" s="92">
        <v>0</v>
      </c>
      <c r="E52" s="9"/>
      <c r="G52" s="5"/>
      <c r="H52" s="5"/>
      <c r="I52" s="5"/>
      <c r="J52" s="5"/>
      <c r="K52" s="5"/>
      <c r="L52" s="7"/>
      <c r="M52" s="7"/>
      <c r="N52" s="7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</row>
    <row r="53" spans="2:30" s="6" customFormat="1" x14ac:dyDescent="0.25">
      <c r="B53" s="90">
        <v>1982</v>
      </c>
      <c r="C53" s="91">
        <v>0.11884860472907777</v>
      </c>
      <c r="D53" s="92">
        <v>0</v>
      </c>
      <c r="E53" s="9"/>
      <c r="G53" s="5"/>
      <c r="H53" s="5"/>
      <c r="I53" s="5"/>
      <c r="J53" s="5"/>
      <c r="K53" s="5"/>
      <c r="L53" s="7"/>
      <c r="M53" s="7"/>
      <c r="N53" s="7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</row>
    <row r="54" spans="2:30" x14ac:dyDescent="0.25">
      <c r="B54" s="90">
        <v>1901</v>
      </c>
      <c r="C54" s="91">
        <v>0.11899887303415568</v>
      </c>
      <c r="D54" s="92">
        <v>0</v>
      </c>
      <c r="G54" s="5"/>
      <c r="H54" s="5"/>
      <c r="L54" s="7"/>
      <c r="M54" s="7"/>
      <c r="O54" s="5"/>
      <c r="P54" s="5"/>
    </row>
    <row r="55" spans="2:30" x14ac:dyDescent="0.25">
      <c r="B55" s="90">
        <v>1828</v>
      </c>
      <c r="C55" s="91">
        <v>0.11999640291624303</v>
      </c>
      <c r="D55" s="92">
        <v>0</v>
      </c>
      <c r="G55" s="5"/>
      <c r="H55" s="5"/>
      <c r="L55" s="7"/>
      <c r="M55" s="7"/>
      <c r="O55" s="5"/>
      <c r="P55" s="5"/>
    </row>
    <row r="56" spans="2:30" x14ac:dyDescent="0.25">
      <c r="B56" s="90">
        <v>2120</v>
      </c>
      <c r="C56" s="91">
        <v>0.12780035607732532</v>
      </c>
      <c r="D56" s="92">
        <v>0</v>
      </c>
      <c r="G56" s="5"/>
      <c r="H56" s="5"/>
      <c r="L56" s="7"/>
      <c r="M56" s="7"/>
      <c r="O56" s="5"/>
      <c r="P56" s="5"/>
    </row>
    <row r="57" spans="2:30" x14ac:dyDescent="0.25">
      <c r="B57" s="90">
        <v>1944</v>
      </c>
      <c r="C57" s="91">
        <v>0.15036548754032308</v>
      </c>
      <c r="D57" s="92">
        <v>0</v>
      </c>
      <c r="G57" s="5"/>
      <c r="H57" s="5"/>
      <c r="L57" s="7"/>
      <c r="M57" s="7"/>
      <c r="O57" s="5"/>
      <c r="P57" s="5"/>
    </row>
    <row r="58" spans="2:30" x14ac:dyDescent="0.25">
      <c r="B58" s="90">
        <v>1688</v>
      </c>
      <c r="C58" s="91">
        <v>0.16105395701306147</v>
      </c>
      <c r="D58" s="92">
        <v>0</v>
      </c>
      <c r="G58" s="5"/>
      <c r="H58" s="5"/>
      <c r="L58" s="7"/>
      <c r="M58" s="7"/>
      <c r="O58" s="5"/>
      <c r="P58" s="5"/>
    </row>
    <row r="59" spans="2:30" x14ac:dyDescent="0.25">
      <c r="B59" s="90">
        <v>2093</v>
      </c>
      <c r="C59" s="91">
        <v>0.16989045296480187</v>
      </c>
      <c r="D59" s="92">
        <v>0</v>
      </c>
      <c r="G59" s="5"/>
      <c r="H59" s="5"/>
      <c r="L59" s="7"/>
      <c r="M59" s="7"/>
      <c r="O59" s="5"/>
      <c r="P59" s="5"/>
    </row>
    <row r="60" spans="2:30" x14ac:dyDescent="0.25">
      <c r="B60" s="90">
        <v>1964</v>
      </c>
      <c r="C60" s="91">
        <v>0.17866782103319456</v>
      </c>
      <c r="D60" s="92">
        <v>0</v>
      </c>
      <c r="G60" s="5"/>
      <c r="H60" s="5"/>
      <c r="L60" s="7"/>
      <c r="M60" s="7"/>
      <c r="O60" s="5"/>
      <c r="P60" s="5"/>
    </row>
    <row r="61" spans="2:30" x14ac:dyDescent="0.25">
      <c r="B61" s="90">
        <v>2077</v>
      </c>
      <c r="C61" s="91">
        <v>0.18149883400917044</v>
      </c>
      <c r="D61" s="92">
        <v>0</v>
      </c>
      <c r="G61" s="5"/>
      <c r="H61" s="5"/>
      <c r="L61" s="7"/>
      <c r="M61" s="7"/>
      <c r="O61" s="5"/>
      <c r="P61" s="5"/>
    </row>
    <row r="62" spans="2:30" x14ac:dyDescent="0.25">
      <c r="B62" s="90">
        <v>2078</v>
      </c>
      <c r="C62" s="91">
        <v>0.19549645142969785</v>
      </c>
      <c r="D62" s="92">
        <v>0</v>
      </c>
      <c r="G62" s="5"/>
      <c r="H62" s="5"/>
      <c r="L62" s="7"/>
      <c r="M62" s="7"/>
      <c r="O62" s="5"/>
      <c r="P62" s="5"/>
    </row>
    <row r="63" spans="2:30" x14ac:dyDescent="0.25">
      <c r="B63" s="90">
        <v>1872</v>
      </c>
      <c r="C63" s="91">
        <v>0.21689381033337907</v>
      </c>
      <c r="D63" s="92">
        <v>0</v>
      </c>
      <c r="G63" s="5"/>
      <c r="H63" s="5"/>
      <c r="L63" s="7"/>
      <c r="M63" s="7"/>
      <c r="O63" s="5"/>
      <c r="P63" s="5"/>
    </row>
    <row r="64" spans="2:30" x14ac:dyDescent="0.25">
      <c r="B64" s="90">
        <v>2082</v>
      </c>
      <c r="C64" s="91">
        <v>0.2246693485744492</v>
      </c>
      <c r="D64" s="92">
        <v>0</v>
      </c>
      <c r="G64" s="5"/>
      <c r="H64" s="5"/>
      <c r="L64" s="7"/>
      <c r="M64" s="7"/>
      <c r="O64" s="5"/>
      <c r="P64" s="5"/>
    </row>
    <row r="65" spans="2:16" x14ac:dyDescent="0.25">
      <c r="B65" s="90">
        <v>2062</v>
      </c>
      <c r="C65" s="91">
        <v>0.23096143267257552</v>
      </c>
      <c r="D65" s="92">
        <v>0</v>
      </c>
      <c r="G65" s="5"/>
      <c r="H65" s="5"/>
      <c r="L65" s="7"/>
      <c r="M65" s="7"/>
      <c r="O65" s="5"/>
      <c r="P65" s="5"/>
    </row>
    <row r="66" spans="2:16" x14ac:dyDescent="0.25">
      <c r="B66" s="90">
        <v>2057</v>
      </c>
      <c r="C66" s="91">
        <v>0.23825901623970303</v>
      </c>
      <c r="D66" s="92">
        <v>0</v>
      </c>
      <c r="G66" s="5"/>
      <c r="H66" s="5"/>
      <c r="L66" s="7"/>
      <c r="M66" s="7"/>
      <c r="O66" s="5"/>
      <c r="P66" s="5"/>
    </row>
    <row r="67" spans="2:16" x14ac:dyDescent="0.25">
      <c r="B67" s="90">
        <v>1797</v>
      </c>
      <c r="C67" s="91">
        <v>0.2638070233124743</v>
      </c>
      <c r="D67" s="92">
        <v>0</v>
      </c>
      <c r="G67" s="5"/>
      <c r="H67" s="5"/>
      <c r="L67" s="7"/>
      <c r="M67" s="7"/>
      <c r="O67" s="5"/>
      <c r="P67" s="5"/>
    </row>
    <row r="68" spans="2:16" x14ac:dyDescent="0.25">
      <c r="B68" s="90">
        <v>2048</v>
      </c>
      <c r="C68" s="91">
        <v>0.27309534333085927</v>
      </c>
      <c r="D68" s="92">
        <v>0</v>
      </c>
      <c r="G68" s="5"/>
      <c r="H68" s="5"/>
      <c r="L68" s="7"/>
      <c r="M68" s="7"/>
      <c r="O68" s="5"/>
      <c r="P68" s="5"/>
    </row>
    <row r="69" spans="2:16" x14ac:dyDescent="0.25">
      <c r="B69" s="90">
        <v>2112</v>
      </c>
      <c r="C69" s="91">
        <v>0.27455434150895885</v>
      </c>
      <c r="D69" s="92">
        <v>0</v>
      </c>
      <c r="G69" s="5"/>
      <c r="H69" s="5"/>
      <c r="L69" s="7"/>
      <c r="M69" s="7"/>
      <c r="O69" s="5"/>
      <c r="P69" s="5"/>
    </row>
    <row r="70" spans="2:16" x14ac:dyDescent="0.25">
      <c r="B70" s="90">
        <v>1938</v>
      </c>
      <c r="C70" s="91">
        <v>0.2798150306110323</v>
      </c>
      <c r="D70" s="92">
        <v>0</v>
      </c>
      <c r="G70" s="5"/>
      <c r="H70" s="5"/>
      <c r="L70" s="7"/>
      <c r="M70" s="7"/>
      <c r="O70" s="5"/>
      <c r="P70" s="5"/>
    </row>
    <row r="71" spans="2:16" x14ac:dyDescent="0.25">
      <c r="B71" s="90">
        <v>2103</v>
      </c>
      <c r="C71" s="91">
        <v>0.28303456540878857</v>
      </c>
      <c r="D71" s="92">
        <v>0</v>
      </c>
      <c r="G71" s="5"/>
      <c r="H71" s="5"/>
      <c r="L71" s="7"/>
      <c r="M71" s="7"/>
      <c r="O71" s="5"/>
      <c r="P71" s="5"/>
    </row>
    <row r="72" spans="2:16" x14ac:dyDescent="0.25">
      <c r="B72" s="90">
        <v>1958</v>
      </c>
      <c r="C72" s="91">
        <v>0.28505082348171218</v>
      </c>
      <c r="D72" s="92">
        <v>0</v>
      </c>
      <c r="G72" s="5"/>
      <c r="H72" s="5"/>
      <c r="L72" s="7"/>
      <c r="M72" s="7"/>
      <c r="O72" s="5"/>
      <c r="P72" s="5"/>
    </row>
    <row r="73" spans="2:16" x14ac:dyDescent="0.25">
      <c r="B73" s="90">
        <v>1983</v>
      </c>
      <c r="C73" s="91">
        <v>0.28730970030747405</v>
      </c>
      <c r="D73" s="92">
        <v>0</v>
      </c>
      <c r="G73" s="5"/>
      <c r="H73" s="5"/>
      <c r="L73" s="7"/>
      <c r="M73" s="7"/>
      <c r="O73" s="5"/>
      <c r="P73" s="5"/>
    </row>
    <row r="74" spans="2:16" x14ac:dyDescent="0.25">
      <c r="B74" s="90">
        <v>1823</v>
      </c>
      <c r="C74" s="91">
        <v>0.29362327141664057</v>
      </c>
      <c r="D74" s="92">
        <v>0</v>
      </c>
      <c r="G74" s="5"/>
      <c r="H74" s="5"/>
      <c r="L74" s="7"/>
      <c r="M74" s="7"/>
      <c r="O74" s="5"/>
      <c r="P74" s="5"/>
    </row>
    <row r="75" spans="2:16" x14ac:dyDescent="0.25">
      <c r="B75" s="90">
        <v>1895</v>
      </c>
      <c r="C75" s="91">
        <v>0.29925781843967436</v>
      </c>
      <c r="D75" s="92">
        <v>0</v>
      </c>
      <c r="G75" s="5"/>
      <c r="H75" s="5"/>
      <c r="L75" s="7"/>
      <c r="M75" s="7"/>
      <c r="O75" s="5"/>
      <c r="P75" s="5"/>
    </row>
    <row r="76" spans="2:16" x14ac:dyDescent="0.25">
      <c r="B76" s="90">
        <v>2043</v>
      </c>
      <c r="C76" s="91">
        <v>0.30136954868594312</v>
      </c>
      <c r="D76" s="92">
        <v>0</v>
      </c>
      <c r="G76" s="5"/>
      <c r="H76" s="5"/>
      <c r="L76" s="7"/>
      <c r="M76" s="7"/>
      <c r="O76" s="5"/>
      <c r="P76" s="5"/>
    </row>
    <row r="77" spans="2:16" x14ac:dyDescent="0.25">
      <c r="B77" s="90">
        <v>1848</v>
      </c>
      <c r="C77" s="91">
        <v>0.30149108367927735</v>
      </c>
      <c r="D77" s="92">
        <v>0</v>
      </c>
      <c r="G77" s="5"/>
      <c r="H77" s="5"/>
      <c r="L77" s="7"/>
      <c r="M77" s="7"/>
      <c r="O77" s="5"/>
      <c r="P77" s="5"/>
    </row>
    <row r="78" spans="2:16" x14ac:dyDescent="0.25">
      <c r="B78" s="90">
        <v>2001</v>
      </c>
      <c r="C78" s="91">
        <v>0.30215891052186916</v>
      </c>
      <c r="D78" s="92">
        <v>0</v>
      </c>
      <c r="G78" s="5"/>
      <c r="H78" s="5"/>
      <c r="L78" s="7"/>
      <c r="M78" s="7"/>
      <c r="O78" s="5"/>
      <c r="P78" s="5"/>
    </row>
    <row r="79" spans="2:16" x14ac:dyDescent="0.25">
      <c r="B79" s="90">
        <v>1995</v>
      </c>
      <c r="C79" s="91">
        <v>0.30891107784441529</v>
      </c>
      <c r="D79" s="92">
        <v>0</v>
      </c>
      <c r="G79" s="5"/>
      <c r="H79" s="5"/>
      <c r="L79" s="7"/>
      <c r="M79" s="7"/>
      <c r="O79" s="5"/>
      <c r="P79" s="5"/>
    </row>
    <row r="80" spans="2:16" x14ac:dyDescent="0.25">
      <c r="B80" s="90">
        <v>2066</v>
      </c>
      <c r="C80" s="91">
        <v>0.31091667371942677</v>
      </c>
      <c r="D80" s="92">
        <v>0</v>
      </c>
      <c r="G80" s="5"/>
      <c r="H80" s="5"/>
      <c r="L80" s="7"/>
      <c r="M80" s="7"/>
      <c r="O80" s="5"/>
      <c r="P80" s="5"/>
    </row>
    <row r="81" spans="2:16" x14ac:dyDescent="0.25">
      <c r="B81" s="90">
        <v>2063</v>
      </c>
      <c r="C81" s="91">
        <v>0.3142946913175636</v>
      </c>
      <c r="D81" s="92">
        <v>0</v>
      </c>
      <c r="G81" s="5"/>
      <c r="H81" s="5"/>
      <c r="L81" s="7"/>
      <c r="M81" s="7"/>
      <c r="O81" s="5"/>
      <c r="P81" s="5"/>
    </row>
    <row r="82" spans="2:16" x14ac:dyDescent="0.25">
      <c r="B82" s="90">
        <v>1977</v>
      </c>
      <c r="C82" s="91">
        <v>0.3329973239584243</v>
      </c>
      <c r="D82" s="92">
        <v>0</v>
      </c>
      <c r="G82" s="5"/>
      <c r="H82" s="5"/>
      <c r="L82" s="7"/>
      <c r="M82" s="7"/>
      <c r="O82" s="5"/>
      <c r="P82" s="5"/>
    </row>
    <row r="83" spans="2:16" x14ac:dyDescent="0.25">
      <c r="B83" s="90">
        <v>2064</v>
      </c>
      <c r="C83" s="91">
        <v>0.35316487159502241</v>
      </c>
      <c r="D83" s="92">
        <v>0</v>
      </c>
      <c r="G83" s="5"/>
      <c r="H83" s="5"/>
      <c r="L83" s="7"/>
      <c r="M83" s="7"/>
      <c r="O83" s="5"/>
      <c r="P83" s="5"/>
    </row>
    <row r="84" spans="2:16" x14ac:dyDescent="0.25">
      <c r="B84" s="90">
        <v>2065</v>
      </c>
      <c r="C84" s="91">
        <v>0.35332552244589399</v>
      </c>
      <c r="D84" s="92">
        <v>0</v>
      </c>
      <c r="G84" s="5"/>
      <c r="H84" s="5"/>
      <c r="L84" s="7"/>
      <c r="M84" s="7"/>
      <c r="O84" s="5"/>
      <c r="P84" s="5"/>
    </row>
    <row r="85" spans="2:16" x14ac:dyDescent="0.25">
      <c r="B85" s="90">
        <v>1984</v>
      </c>
      <c r="C85" s="91">
        <v>0.36466016104014309</v>
      </c>
      <c r="D85" s="92">
        <v>0</v>
      </c>
      <c r="G85" s="5"/>
      <c r="H85" s="5"/>
      <c r="L85" s="7"/>
      <c r="M85" s="7"/>
      <c r="O85" s="5"/>
      <c r="P85" s="5"/>
    </row>
    <row r="86" spans="2:16" x14ac:dyDescent="0.25">
      <c r="B86" s="90">
        <v>2052</v>
      </c>
      <c r="C86" s="91">
        <v>0.3868602604448631</v>
      </c>
      <c r="D86" s="92">
        <v>0</v>
      </c>
      <c r="G86" s="5"/>
      <c r="H86" s="5"/>
      <c r="L86" s="7"/>
      <c r="M86" s="7"/>
      <c r="O86" s="5"/>
      <c r="P86" s="5"/>
    </row>
    <row r="87" spans="2:16" x14ac:dyDescent="0.25">
      <c r="B87" s="90">
        <v>2049</v>
      </c>
      <c r="C87" s="91">
        <v>0.39861414211660884</v>
      </c>
      <c r="D87" s="92">
        <v>0</v>
      </c>
      <c r="G87" s="5"/>
      <c r="H87" s="5"/>
      <c r="L87" s="7"/>
      <c r="M87" s="7"/>
      <c r="O87" s="5"/>
      <c r="P87" s="5"/>
    </row>
    <row r="88" spans="2:16" x14ac:dyDescent="0.25">
      <c r="B88" s="90">
        <v>2002</v>
      </c>
      <c r="C88" s="91">
        <v>0.40847030391995653</v>
      </c>
      <c r="D88" s="92">
        <v>0</v>
      </c>
      <c r="G88" s="5"/>
      <c r="H88" s="5"/>
      <c r="L88" s="7"/>
      <c r="M88" s="7"/>
      <c r="O88" s="5"/>
      <c r="P88" s="5"/>
    </row>
    <row r="89" spans="2:16" x14ac:dyDescent="0.25">
      <c r="B89" s="90">
        <v>2108</v>
      </c>
      <c r="C89" s="91">
        <v>0.44475501636920078</v>
      </c>
      <c r="D89" s="92">
        <v>0</v>
      </c>
      <c r="G89" s="5"/>
      <c r="H89" s="5"/>
      <c r="L89" s="7"/>
      <c r="M89" s="7"/>
      <c r="O89" s="5"/>
      <c r="P89" s="5"/>
    </row>
    <row r="90" spans="2:16" x14ac:dyDescent="0.25">
      <c r="B90" s="90">
        <v>2028</v>
      </c>
      <c r="C90" s="91">
        <v>0.44926598633190118</v>
      </c>
      <c r="D90" s="92">
        <v>0</v>
      </c>
      <c r="G90" s="5"/>
      <c r="H90" s="5"/>
      <c r="L90" s="7"/>
      <c r="M90" s="7"/>
      <c r="O90" s="5"/>
      <c r="P90" s="5"/>
    </row>
    <row r="91" spans="2:16" x14ac:dyDescent="0.25">
      <c r="B91" s="90">
        <v>2017</v>
      </c>
      <c r="C91" s="91">
        <v>0.45081910511274448</v>
      </c>
      <c r="D91" s="92">
        <v>0</v>
      </c>
      <c r="G91" s="5"/>
      <c r="H91" s="5"/>
      <c r="L91" s="7"/>
      <c r="M91" s="7"/>
      <c r="O91" s="5"/>
      <c r="P91" s="5"/>
    </row>
    <row r="92" spans="2:16" x14ac:dyDescent="0.25">
      <c r="B92" s="90">
        <v>2109</v>
      </c>
      <c r="C92" s="91">
        <v>0.45581485654473242</v>
      </c>
      <c r="D92" s="92">
        <v>0</v>
      </c>
      <c r="G92" s="5"/>
      <c r="H92" s="5"/>
      <c r="L92" s="7"/>
      <c r="M92" s="7"/>
      <c r="O92" s="5"/>
      <c r="P92" s="5"/>
    </row>
    <row r="93" spans="2:16" x14ac:dyDescent="0.25">
      <c r="B93" s="90">
        <v>2033</v>
      </c>
      <c r="C93" s="91">
        <v>0.46452661191968869</v>
      </c>
      <c r="D93" s="92">
        <v>0</v>
      </c>
      <c r="G93" s="5"/>
      <c r="H93" s="5"/>
      <c r="L93" s="7"/>
      <c r="M93" s="7"/>
      <c r="O93" s="5"/>
      <c r="P93" s="5"/>
    </row>
    <row r="94" spans="2:16" x14ac:dyDescent="0.25">
      <c r="B94" s="90">
        <v>2012</v>
      </c>
      <c r="C94" s="91">
        <v>0.46827784086452739</v>
      </c>
      <c r="D94" s="92">
        <v>0</v>
      </c>
      <c r="G94" s="5"/>
      <c r="H94" s="5"/>
      <c r="L94" s="7"/>
      <c r="M94" s="7"/>
      <c r="O94" s="5"/>
      <c r="P94" s="5"/>
    </row>
    <row r="95" spans="2:16" x14ac:dyDescent="0.25">
      <c r="B95" s="90">
        <v>2050</v>
      </c>
      <c r="C95" s="91">
        <v>0.47048161787144893</v>
      </c>
      <c r="D95" s="92">
        <v>0</v>
      </c>
      <c r="G95" s="5"/>
      <c r="H95" s="5"/>
      <c r="L95" s="7"/>
      <c r="M95" s="7"/>
      <c r="O95" s="5"/>
      <c r="P95" s="5"/>
    </row>
    <row r="96" spans="2:16" x14ac:dyDescent="0.25">
      <c r="B96" s="90">
        <v>2051</v>
      </c>
      <c r="C96" s="91">
        <v>0.48856762074349847</v>
      </c>
      <c r="D96" s="92">
        <v>0</v>
      </c>
      <c r="G96" s="5"/>
      <c r="H96" s="5"/>
      <c r="L96" s="7"/>
      <c r="M96" s="7"/>
      <c r="O96" s="5"/>
      <c r="P96" s="5"/>
    </row>
    <row r="97" spans="2:16" x14ac:dyDescent="0.25">
      <c r="B97" s="90">
        <v>1368</v>
      </c>
      <c r="C97" s="91">
        <v>0.52032719324491705</v>
      </c>
      <c r="D97" s="92">
        <v>0</v>
      </c>
      <c r="G97" s="5"/>
      <c r="H97" s="5"/>
      <c r="L97" s="7"/>
      <c r="M97" s="7"/>
      <c r="O97" s="5"/>
      <c r="P97" s="5"/>
    </row>
    <row r="98" spans="2:16" x14ac:dyDescent="0.25">
      <c r="B98" s="90">
        <v>1445</v>
      </c>
      <c r="C98" s="91">
        <v>0.52499266014134582</v>
      </c>
      <c r="D98" s="92">
        <v>0</v>
      </c>
      <c r="G98" s="5"/>
      <c r="H98" s="5"/>
      <c r="L98" s="7"/>
      <c r="M98" s="7"/>
      <c r="O98" s="5"/>
      <c r="P98" s="5"/>
    </row>
    <row r="99" spans="2:16" x14ac:dyDescent="0.25">
      <c r="B99" s="90">
        <v>1482</v>
      </c>
      <c r="C99" s="91">
        <v>0.5286790156619281</v>
      </c>
      <c r="D99" s="92">
        <v>0</v>
      </c>
      <c r="G99" s="5"/>
      <c r="H99" s="5"/>
      <c r="L99" s="7"/>
      <c r="M99" s="7"/>
      <c r="O99" s="5"/>
      <c r="P99" s="5"/>
    </row>
    <row r="100" spans="2:16" x14ac:dyDescent="0.25">
      <c r="B100" s="90">
        <v>1518</v>
      </c>
      <c r="C100" s="91">
        <v>0.53585979194034539</v>
      </c>
      <c r="D100" s="92">
        <v>0</v>
      </c>
      <c r="G100" s="5"/>
      <c r="H100" s="5"/>
      <c r="L100" s="7"/>
      <c r="M100" s="7"/>
      <c r="O100" s="5"/>
      <c r="P100" s="5"/>
    </row>
    <row r="101" spans="2:16" x14ac:dyDescent="0.25">
      <c r="B101" s="90">
        <v>1553</v>
      </c>
      <c r="C101" s="91">
        <v>0.54076353827549828</v>
      </c>
      <c r="D101" s="92">
        <v>0</v>
      </c>
      <c r="G101" s="5"/>
      <c r="H101" s="5"/>
      <c r="L101" s="7"/>
      <c r="M101" s="7"/>
      <c r="O101" s="5"/>
      <c r="P101" s="5"/>
    </row>
    <row r="102" spans="2:16" x14ac:dyDescent="0.25">
      <c r="B102" s="90">
        <v>1652</v>
      </c>
      <c r="C102" s="91">
        <v>0.54234574807654201</v>
      </c>
      <c r="D102" s="92">
        <v>0</v>
      </c>
      <c r="G102" s="5"/>
      <c r="H102" s="5"/>
      <c r="L102" s="7"/>
      <c r="M102" s="7"/>
      <c r="O102" s="5"/>
      <c r="P102" s="5"/>
    </row>
    <row r="103" spans="2:16" x14ac:dyDescent="0.25">
      <c r="B103" s="90">
        <v>1328</v>
      </c>
      <c r="C103" s="91">
        <v>0.54577235535286561</v>
      </c>
      <c r="D103" s="92">
        <v>0</v>
      </c>
      <c r="G103" s="5"/>
      <c r="H103" s="5"/>
      <c r="L103" s="7"/>
      <c r="M103" s="7"/>
      <c r="O103" s="5"/>
      <c r="P103" s="5"/>
    </row>
    <row r="104" spans="2:16" x14ac:dyDescent="0.25">
      <c r="B104" s="90">
        <v>1683</v>
      </c>
      <c r="C104" s="91">
        <v>0.54706821596867117</v>
      </c>
      <c r="D104" s="92">
        <v>0</v>
      </c>
      <c r="G104" s="5"/>
      <c r="H104" s="5"/>
      <c r="L104" s="7"/>
      <c r="M104" s="7"/>
      <c r="O104" s="5"/>
      <c r="P104" s="5"/>
    </row>
    <row r="105" spans="2:16" x14ac:dyDescent="0.25">
      <c r="B105" s="90">
        <v>1620</v>
      </c>
      <c r="C105" s="91">
        <v>0.54736072535988411</v>
      </c>
      <c r="D105" s="92">
        <v>0</v>
      </c>
      <c r="G105" s="5"/>
      <c r="H105" s="5"/>
      <c r="L105" s="7"/>
      <c r="M105" s="7"/>
      <c r="O105" s="5"/>
      <c r="P105" s="5"/>
    </row>
    <row r="106" spans="2:16" x14ac:dyDescent="0.25">
      <c r="B106" s="90">
        <v>1587</v>
      </c>
      <c r="C106" s="91">
        <v>0.55373879853320751</v>
      </c>
      <c r="D106" s="92">
        <v>0</v>
      </c>
      <c r="G106" s="5"/>
      <c r="H106" s="5"/>
      <c r="L106" s="7"/>
      <c r="M106" s="7"/>
      <c r="O106" s="5"/>
      <c r="P106" s="5"/>
    </row>
    <row r="107" spans="2:16" x14ac:dyDescent="0.25">
      <c r="B107" s="90">
        <v>2018</v>
      </c>
      <c r="C107" s="91">
        <v>0.56385429282078281</v>
      </c>
      <c r="D107" s="92">
        <v>0</v>
      </c>
      <c r="G107" s="5"/>
      <c r="H107" s="5"/>
      <c r="L107" s="7"/>
      <c r="M107" s="7"/>
      <c r="O107" s="5"/>
      <c r="P107" s="5"/>
    </row>
    <row r="108" spans="2:16" x14ac:dyDescent="0.25">
      <c r="B108" s="90">
        <v>2034</v>
      </c>
      <c r="C108" s="91">
        <v>0.56992602595643993</v>
      </c>
      <c r="D108" s="92">
        <v>0</v>
      </c>
      <c r="G108" s="5"/>
      <c r="H108" s="5"/>
      <c r="L108" s="7"/>
      <c r="M108" s="7"/>
      <c r="O108" s="5"/>
      <c r="P108" s="5"/>
    </row>
    <row r="109" spans="2:16" x14ac:dyDescent="0.25">
      <c r="B109" s="90">
        <v>2019</v>
      </c>
      <c r="C109" s="91">
        <v>0.63109323112388782</v>
      </c>
      <c r="D109" s="92">
        <v>0</v>
      </c>
      <c r="G109" s="5"/>
      <c r="H109" s="5"/>
      <c r="L109" s="7"/>
      <c r="M109" s="7"/>
      <c r="O109" s="5"/>
      <c r="P109" s="5"/>
    </row>
    <row r="110" spans="2:16" x14ac:dyDescent="0.25">
      <c r="B110" s="90">
        <v>2035</v>
      </c>
      <c r="C110" s="91">
        <v>0.63290249816146404</v>
      </c>
      <c r="D110" s="92">
        <v>0</v>
      </c>
      <c r="G110" s="5"/>
      <c r="H110" s="5"/>
      <c r="L110" s="7"/>
      <c r="M110" s="7"/>
      <c r="O110" s="5"/>
      <c r="P110" s="5"/>
    </row>
    <row r="111" spans="2:16" x14ac:dyDescent="0.25">
      <c r="B111" s="90">
        <v>2144</v>
      </c>
      <c r="C111" s="91">
        <v>1.2301035728025715</v>
      </c>
      <c r="D111" s="92">
        <v>0</v>
      </c>
      <c r="G111" s="5"/>
      <c r="H111" s="5"/>
      <c r="L111" s="7"/>
      <c r="M111" s="7"/>
      <c r="O111" s="5"/>
      <c r="P111" s="5"/>
    </row>
    <row r="112" spans="2:16" x14ac:dyDescent="0.25">
      <c r="B112" s="90">
        <v>3</v>
      </c>
      <c r="C112" s="91">
        <v>1.235815115149669</v>
      </c>
      <c r="D112" s="92">
        <v>0</v>
      </c>
      <c r="G112" s="5"/>
      <c r="H112" s="5"/>
      <c r="L112" s="7"/>
      <c r="M112" s="7"/>
      <c r="O112" s="5"/>
      <c r="P112" s="5"/>
    </row>
    <row r="113" spans="2:16" x14ac:dyDescent="0.25">
      <c r="B113" s="90">
        <v>2143</v>
      </c>
      <c r="C113" s="91">
        <v>1.235815115149669</v>
      </c>
      <c r="D113" s="92">
        <v>0</v>
      </c>
      <c r="G113" s="5"/>
      <c r="H113" s="5"/>
      <c r="L113" s="7"/>
      <c r="M113" s="7"/>
      <c r="O113" s="5"/>
      <c r="P113" s="5"/>
    </row>
    <row r="114" spans="2:16" x14ac:dyDescent="0.25">
      <c r="B114" s="90">
        <v>1</v>
      </c>
      <c r="C114" s="91">
        <v>1.302470206284295</v>
      </c>
      <c r="D114" s="92">
        <v>0</v>
      </c>
      <c r="G114" s="5"/>
      <c r="H114" s="5"/>
      <c r="L114" s="7"/>
      <c r="M114" s="7"/>
      <c r="O114" s="5"/>
      <c r="P114" s="5"/>
    </row>
    <row r="115" spans="2:16" x14ac:dyDescent="0.25">
      <c r="B115" s="90">
        <v>2</v>
      </c>
      <c r="C115" s="91">
        <v>1.3704950132810829</v>
      </c>
      <c r="D115" s="92">
        <v>0</v>
      </c>
      <c r="G115" s="5"/>
      <c r="H115" s="5"/>
      <c r="L115" s="7"/>
      <c r="M115" s="7"/>
      <c r="O115" s="5"/>
      <c r="P115" s="5"/>
    </row>
    <row r="116" spans="2:16" x14ac:dyDescent="0.25">
      <c r="B116" s="90">
        <v>2145</v>
      </c>
      <c r="C116" s="91">
        <v>1.3704950132810829</v>
      </c>
      <c r="D116" s="92">
        <v>0</v>
      </c>
      <c r="G116" s="5"/>
      <c r="H116" s="5"/>
      <c r="L116" s="7"/>
      <c r="M116" s="7"/>
      <c r="O116" s="5"/>
      <c r="P116" s="5"/>
    </row>
    <row r="117" spans="2:16" x14ac:dyDescent="0.25">
      <c r="B117" s="90">
        <v>2090</v>
      </c>
      <c r="C117" s="91">
        <v>0.68930054326252066</v>
      </c>
      <c r="D117" s="92">
        <v>1</v>
      </c>
      <c r="G117" s="5"/>
      <c r="H117" s="5"/>
      <c r="L117" s="7"/>
      <c r="M117" s="7"/>
      <c r="O117" s="5"/>
      <c r="P117" s="5"/>
    </row>
    <row r="118" spans="2:16" x14ac:dyDescent="0.25">
      <c r="B118" s="90">
        <v>2037</v>
      </c>
      <c r="C118" s="91">
        <v>0.60436685333901141</v>
      </c>
      <c r="D118" s="92">
        <v>2</v>
      </c>
      <c r="G118" s="5"/>
      <c r="H118" s="5"/>
      <c r="L118" s="7"/>
      <c r="M118" s="7"/>
      <c r="O118" s="5"/>
      <c r="P118" s="5"/>
    </row>
    <row r="119" spans="2:16" x14ac:dyDescent="0.25">
      <c r="B119" s="90">
        <v>2020</v>
      </c>
      <c r="C119" s="91">
        <v>0.6521941766946654</v>
      </c>
      <c r="D119" s="92">
        <v>3</v>
      </c>
      <c r="G119" s="5"/>
      <c r="H119" s="5"/>
      <c r="L119" s="7"/>
      <c r="M119" s="7"/>
      <c r="O119" s="5"/>
      <c r="P119" s="5"/>
    </row>
    <row r="120" spans="2:16" x14ac:dyDescent="0.25">
      <c r="B120" s="90">
        <v>2036</v>
      </c>
      <c r="C120" s="91">
        <v>0.65565618153838345</v>
      </c>
      <c r="D120" s="92">
        <v>3</v>
      </c>
      <c r="G120" s="5"/>
      <c r="H120" s="5"/>
      <c r="L120" s="7"/>
      <c r="M120" s="7"/>
      <c r="O120" s="5"/>
      <c r="P120" s="5"/>
    </row>
    <row r="121" spans="2:16" x14ac:dyDescent="0.25">
      <c r="B121" s="90">
        <v>2117</v>
      </c>
      <c r="C121" s="91">
        <v>0.82569797171751069</v>
      </c>
      <c r="D121" s="92">
        <v>3</v>
      </c>
      <c r="G121" s="5"/>
      <c r="H121" s="5"/>
      <c r="L121" s="7"/>
      <c r="M121" s="7"/>
      <c r="O121" s="5"/>
      <c r="P121" s="5"/>
    </row>
    <row r="122" spans="2:16" x14ac:dyDescent="0.25">
      <c r="B122" s="90">
        <v>1829</v>
      </c>
      <c r="C122" s="91">
        <v>9.4229136232101274E-3</v>
      </c>
      <c r="D122" s="92">
        <v>8</v>
      </c>
      <c r="G122" s="5"/>
      <c r="H122" s="5"/>
      <c r="L122" s="7"/>
      <c r="M122" s="7"/>
      <c r="O122" s="5"/>
      <c r="P122" s="5"/>
    </row>
    <row r="123" spans="2:16" x14ac:dyDescent="0.25">
      <c r="B123" s="90">
        <v>1831</v>
      </c>
      <c r="C123" s="91">
        <v>1.0739118249155966E-2</v>
      </c>
      <c r="D123" s="92">
        <v>8</v>
      </c>
      <c r="G123" s="5"/>
      <c r="H123" s="5"/>
      <c r="L123" s="7"/>
      <c r="M123" s="7"/>
      <c r="O123" s="5"/>
      <c r="P123" s="5"/>
    </row>
    <row r="124" spans="2:16" x14ac:dyDescent="0.25">
      <c r="B124" s="90">
        <v>1925</v>
      </c>
      <c r="C124" s="91">
        <v>1.2820044545857501E-2</v>
      </c>
      <c r="D124" s="92">
        <v>8</v>
      </c>
      <c r="G124" s="5"/>
      <c r="H124" s="5"/>
      <c r="L124" s="7"/>
      <c r="M124" s="7"/>
      <c r="O124" s="5"/>
      <c r="P124" s="5"/>
    </row>
    <row r="125" spans="2:16" x14ac:dyDescent="0.25">
      <c r="B125" s="90">
        <v>1804</v>
      </c>
      <c r="C125" s="91">
        <v>1.5116406718897135E-2</v>
      </c>
      <c r="D125" s="92">
        <v>8</v>
      </c>
      <c r="G125" s="5"/>
      <c r="H125" s="5"/>
      <c r="L125" s="7"/>
      <c r="M125" s="7"/>
      <c r="O125" s="5"/>
      <c r="P125" s="5"/>
    </row>
    <row r="126" spans="2:16" x14ac:dyDescent="0.25">
      <c r="B126" s="90">
        <v>1879</v>
      </c>
      <c r="C126" s="91">
        <v>2.4436715525850472E-2</v>
      </c>
      <c r="D126" s="92">
        <v>8</v>
      </c>
      <c r="G126" s="5"/>
      <c r="H126" s="5"/>
      <c r="L126" s="7"/>
      <c r="M126" s="7"/>
      <c r="O126" s="5"/>
      <c r="P126" s="5"/>
    </row>
    <row r="127" spans="2:16" x14ac:dyDescent="0.25">
      <c r="B127" s="90">
        <v>1924</v>
      </c>
      <c r="C127" s="91">
        <v>2.6713857696708643E-2</v>
      </c>
      <c r="D127" s="92">
        <v>8</v>
      </c>
      <c r="G127" s="5"/>
      <c r="H127" s="5"/>
      <c r="L127" s="7"/>
      <c r="M127" s="7"/>
      <c r="O127" s="5"/>
      <c r="P127" s="5"/>
    </row>
    <row r="128" spans="2:16" x14ac:dyDescent="0.25">
      <c r="B128" s="90">
        <v>1856</v>
      </c>
      <c r="C128" s="91">
        <v>2.7461132010826228E-2</v>
      </c>
      <c r="D128" s="92">
        <v>8</v>
      </c>
      <c r="G128" s="5"/>
      <c r="H128" s="5"/>
      <c r="L128" s="7"/>
      <c r="M128" s="7"/>
      <c r="O128" s="5"/>
      <c r="P128" s="5"/>
    </row>
    <row r="129" spans="2:16" x14ac:dyDescent="0.25">
      <c r="B129" s="90">
        <v>1830</v>
      </c>
      <c r="C129" s="91">
        <v>3.311240310946717E-2</v>
      </c>
      <c r="D129" s="92">
        <v>8</v>
      </c>
      <c r="G129" s="5"/>
      <c r="H129" s="5"/>
      <c r="L129" s="7"/>
      <c r="M129" s="7"/>
      <c r="O129" s="5"/>
      <c r="P129" s="5"/>
    </row>
    <row r="130" spans="2:16" x14ac:dyDescent="0.25">
      <c r="B130" s="90">
        <v>1805</v>
      </c>
      <c r="C130" s="91">
        <v>4.9654583860587298E-2</v>
      </c>
      <c r="D130" s="92">
        <v>8</v>
      </c>
      <c r="G130" s="5"/>
      <c r="H130" s="5"/>
      <c r="L130" s="7"/>
      <c r="M130" s="7"/>
      <c r="O130" s="5"/>
      <c r="P130" s="5"/>
    </row>
    <row r="131" spans="2:16" x14ac:dyDescent="0.25">
      <c r="B131" s="90">
        <v>1803</v>
      </c>
      <c r="C131" s="91">
        <v>5.171770640974338E-2</v>
      </c>
      <c r="D131" s="92">
        <v>8</v>
      </c>
      <c r="G131" s="5"/>
      <c r="H131" s="5"/>
      <c r="L131" s="7"/>
      <c r="M131" s="7"/>
      <c r="O131" s="5"/>
      <c r="P131" s="5"/>
    </row>
    <row r="132" spans="2:16" x14ac:dyDescent="0.25">
      <c r="B132" s="90">
        <v>1855</v>
      </c>
      <c r="C132" s="91">
        <v>5.9594078787874039E-2</v>
      </c>
      <c r="D132" s="92">
        <v>8</v>
      </c>
      <c r="G132" s="5"/>
      <c r="H132" s="5"/>
      <c r="L132" s="7"/>
      <c r="M132" s="7"/>
      <c r="O132" s="5"/>
      <c r="P132" s="5"/>
    </row>
    <row r="133" spans="2:16" x14ac:dyDescent="0.25">
      <c r="B133" s="90">
        <v>1880</v>
      </c>
      <c r="C133" s="91">
        <v>6.0972615663012153E-2</v>
      </c>
      <c r="D133" s="92">
        <v>8</v>
      </c>
      <c r="G133" s="5"/>
      <c r="H133" s="5"/>
      <c r="L133" s="7"/>
      <c r="M133" s="7"/>
      <c r="O133" s="5"/>
      <c r="P133" s="5"/>
    </row>
    <row r="134" spans="2:16" x14ac:dyDescent="0.25">
      <c r="B134" s="90">
        <v>1947</v>
      </c>
      <c r="C134" s="91">
        <v>6.3053734011736973E-2</v>
      </c>
      <c r="D134" s="92">
        <v>8</v>
      </c>
      <c r="G134" s="5"/>
      <c r="H134" s="5"/>
      <c r="L134" s="7"/>
      <c r="M134" s="7"/>
      <c r="O134" s="5"/>
      <c r="P134" s="5"/>
    </row>
    <row r="135" spans="2:16" x14ac:dyDescent="0.25">
      <c r="B135" s="90">
        <v>1904</v>
      </c>
      <c r="C135" s="91">
        <v>6.3806806440460773E-2</v>
      </c>
      <c r="D135" s="92">
        <v>8</v>
      </c>
      <c r="G135" s="5"/>
      <c r="H135" s="5"/>
      <c r="L135" s="7"/>
      <c r="M135" s="7"/>
      <c r="O135" s="5"/>
      <c r="P135" s="5"/>
    </row>
    <row r="136" spans="2:16" x14ac:dyDescent="0.25">
      <c r="B136" s="90">
        <v>1967</v>
      </c>
      <c r="C136" s="91">
        <v>8.2279801584439483E-2</v>
      </c>
      <c r="D136" s="92">
        <v>8</v>
      </c>
      <c r="G136" s="5"/>
      <c r="H136" s="5"/>
      <c r="L136" s="7"/>
      <c r="M136" s="7"/>
      <c r="O136" s="5"/>
      <c r="P136" s="5"/>
    </row>
    <row r="137" spans="2:16" x14ac:dyDescent="0.25">
      <c r="B137" s="90">
        <v>2006</v>
      </c>
      <c r="C137" s="91">
        <v>0.10345634535565107</v>
      </c>
      <c r="D137" s="92">
        <v>8</v>
      </c>
      <c r="G137" s="5"/>
      <c r="H137" s="5"/>
      <c r="L137" s="7"/>
      <c r="M137" s="7"/>
      <c r="O137" s="5"/>
      <c r="P137" s="5"/>
    </row>
    <row r="138" spans="2:16" x14ac:dyDescent="0.25">
      <c r="B138" s="90">
        <v>1488</v>
      </c>
      <c r="C138" s="91">
        <v>0.11089815231824629</v>
      </c>
      <c r="D138" s="92">
        <v>8</v>
      </c>
      <c r="G138" s="5"/>
      <c r="H138" s="5"/>
      <c r="L138" s="7"/>
      <c r="M138" s="7"/>
      <c r="O138" s="5"/>
      <c r="P138" s="5"/>
    </row>
    <row r="139" spans="2:16" x14ac:dyDescent="0.25">
      <c r="B139" s="90">
        <v>1903</v>
      </c>
      <c r="C139" s="91">
        <v>0.13701711190161492</v>
      </c>
      <c r="D139" s="92">
        <v>8</v>
      </c>
      <c r="G139" s="5"/>
      <c r="H139" s="5"/>
      <c r="L139" s="7"/>
      <c r="M139" s="7"/>
      <c r="O139" s="5"/>
      <c r="P139" s="5"/>
    </row>
    <row r="140" spans="2:16" x14ac:dyDescent="0.25">
      <c r="B140" s="90">
        <v>1524</v>
      </c>
      <c r="C140" s="91">
        <v>0.14171945658563634</v>
      </c>
      <c r="D140" s="92">
        <v>8</v>
      </c>
      <c r="G140" s="5"/>
      <c r="H140" s="5"/>
      <c r="L140" s="7"/>
      <c r="M140" s="7"/>
      <c r="O140" s="5"/>
      <c r="P140" s="5"/>
    </row>
    <row r="141" spans="2:16" x14ac:dyDescent="0.25">
      <c r="B141" s="90">
        <v>1489</v>
      </c>
      <c r="C141" s="91">
        <v>0.1475892831201927</v>
      </c>
      <c r="D141" s="92">
        <v>8</v>
      </c>
      <c r="G141" s="5"/>
      <c r="H141" s="5"/>
      <c r="L141" s="7"/>
      <c r="M141" s="7"/>
      <c r="O141" s="5"/>
      <c r="P141" s="5"/>
    </row>
    <row r="142" spans="2:16" x14ac:dyDescent="0.25">
      <c r="B142" s="90">
        <v>1902</v>
      </c>
      <c r="C142" s="91">
        <v>0.16334547543430933</v>
      </c>
      <c r="D142" s="92">
        <v>8</v>
      </c>
      <c r="G142" s="5"/>
      <c r="H142" s="5"/>
      <c r="L142" s="7"/>
      <c r="M142" s="7"/>
      <c r="O142" s="5"/>
      <c r="P142" s="5"/>
    </row>
    <row r="143" spans="2:16" x14ac:dyDescent="0.25">
      <c r="B143" s="90">
        <v>2004</v>
      </c>
      <c r="C143" s="91">
        <v>0.16359833730367379</v>
      </c>
      <c r="D143" s="92">
        <v>8</v>
      </c>
      <c r="G143" s="5"/>
      <c r="H143" s="5"/>
      <c r="L143" s="7"/>
      <c r="M143" s="7"/>
      <c r="O143" s="5"/>
      <c r="P143" s="5"/>
    </row>
    <row r="144" spans="2:16" x14ac:dyDescent="0.25">
      <c r="B144" s="90">
        <v>1559</v>
      </c>
      <c r="C144" s="91">
        <v>0.16596692231875965</v>
      </c>
      <c r="D144" s="92">
        <v>8</v>
      </c>
      <c r="G144" s="5"/>
      <c r="H144" s="5"/>
      <c r="L144" s="7"/>
      <c r="M144" s="7"/>
      <c r="O144" s="5"/>
      <c r="P144" s="5"/>
    </row>
    <row r="145" spans="2:16" x14ac:dyDescent="0.25">
      <c r="B145" s="90">
        <v>1525</v>
      </c>
      <c r="C145" s="91">
        <v>0.17678666337560078</v>
      </c>
      <c r="D145" s="92">
        <v>8</v>
      </c>
      <c r="G145" s="5"/>
      <c r="H145" s="5"/>
      <c r="L145" s="7"/>
      <c r="M145" s="7"/>
      <c r="O145" s="5"/>
      <c r="P145" s="5"/>
    </row>
    <row r="146" spans="2:16" x14ac:dyDescent="0.25">
      <c r="B146" s="90">
        <v>1988</v>
      </c>
      <c r="C146" s="91">
        <v>0.18031708538648528</v>
      </c>
      <c r="D146" s="92">
        <v>8</v>
      </c>
      <c r="G146" s="5"/>
      <c r="H146" s="5"/>
      <c r="L146" s="7"/>
      <c r="M146" s="7"/>
      <c r="O146" s="5"/>
      <c r="P146" s="5"/>
    </row>
    <row r="147" spans="2:16" x14ac:dyDescent="0.25">
      <c r="B147" s="90">
        <v>1946</v>
      </c>
      <c r="C147" s="91">
        <v>0.18468378516500428</v>
      </c>
      <c r="D147" s="92">
        <v>8</v>
      </c>
      <c r="G147" s="5"/>
      <c r="H147" s="5"/>
      <c r="L147" s="7"/>
      <c r="M147" s="7"/>
      <c r="O147" s="5"/>
      <c r="P147" s="5"/>
    </row>
    <row r="148" spans="2:16" x14ac:dyDescent="0.25">
      <c r="B148" s="90">
        <v>1986</v>
      </c>
      <c r="C148" s="91">
        <v>0.19739168953674568</v>
      </c>
      <c r="D148" s="92">
        <v>8</v>
      </c>
      <c r="G148" s="5"/>
      <c r="H148" s="5"/>
      <c r="L148" s="7"/>
      <c r="M148" s="7"/>
      <c r="O148" s="5"/>
      <c r="P148" s="5"/>
    </row>
    <row r="149" spans="2:16" x14ac:dyDescent="0.25">
      <c r="B149" s="90">
        <v>1560</v>
      </c>
      <c r="C149" s="91">
        <v>0.19982633683446616</v>
      </c>
      <c r="D149" s="92">
        <v>8</v>
      </c>
      <c r="G149" s="5"/>
      <c r="H149" s="5"/>
      <c r="L149" s="7"/>
      <c r="M149" s="7"/>
      <c r="O149" s="5"/>
      <c r="P149" s="5"/>
    </row>
    <row r="150" spans="2:16" x14ac:dyDescent="0.25">
      <c r="B150" s="90">
        <v>1593</v>
      </c>
      <c r="C150" s="91">
        <v>0.21244551171751802</v>
      </c>
      <c r="D150" s="92">
        <v>8</v>
      </c>
      <c r="G150" s="5"/>
      <c r="H150" s="5"/>
      <c r="L150" s="7"/>
      <c r="M150" s="7"/>
      <c r="O150" s="5"/>
      <c r="P150" s="5"/>
    </row>
    <row r="151" spans="2:16" x14ac:dyDescent="0.25">
      <c r="B151" s="90">
        <v>1945</v>
      </c>
      <c r="C151" s="91">
        <v>0.21308072992552562</v>
      </c>
      <c r="D151" s="92">
        <v>8</v>
      </c>
      <c r="G151" s="5"/>
      <c r="H151" s="5"/>
      <c r="L151" s="7"/>
      <c r="M151" s="7"/>
      <c r="O151" s="5"/>
      <c r="P151" s="5"/>
    </row>
    <row r="152" spans="2:16" x14ac:dyDescent="0.25">
      <c r="B152" s="90">
        <v>1966</v>
      </c>
      <c r="C152" s="91">
        <v>0.21525624447231451</v>
      </c>
      <c r="D152" s="92">
        <v>8</v>
      </c>
      <c r="G152" s="5"/>
      <c r="H152" s="5"/>
      <c r="L152" s="7"/>
      <c r="M152" s="7"/>
      <c r="O152" s="5"/>
      <c r="P152" s="5"/>
    </row>
    <row r="153" spans="2:16" x14ac:dyDescent="0.25">
      <c r="B153" s="90">
        <v>1626</v>
      </c>
      <c r="C153" s="91">
        <v>0.22578985593974987</v>
      </c>
      <c r="D153" s="92">
        <v>8</v>
      </c>
      <c r="G153" s="5"/>
      <c r="H153" s="5"/>
      <c r="L153" s="7"/>
      <c r="M153" s="7"/>
      <c r="O153" s="5"/>
      <c r="P153" s="5"/>
    </row>
    <row r="154" spans="2:16" x14ac:dyDescent="0.25">
      <c r="B154" s="90">
        <v>1658</v>
      </c>
      <c r="C154" s="91">
        <v>0.2332935289184962</v>
      </c>
      <c r="D154" s="92">
        <v>8</v>
      </c>
      <c r="G154" s="5"/>
      <c r="H154" s="5"/>
      <c r="L154" s="7"/>
      <c r="M154" s="7"/>
      <c r="O154" s="5"/>
      <c r="P154" s="5"/>
    </row>
    <row r="155" spans="2:16" x14ac:dyDescent="0.25">
      <c r="B155" s="90">
        <v>1965</v>
      </c>
      <c r="C155" s="91">
        <v>0.24333548423530149</v>
      </c>
      <c r="D155" s="92">
        <v>8</v>
      </c>
      <c r="G155" s="5"/>
      <c r="H155" s="5"/>
      <c r="L155" s="7"/>
      <c r="M155" s="7"/>
      <c r="O155" s="5"/>
      <c r="P155" s="5"/>
    </row>
    <row r="156" spans="2:16" x14ac:dyDescent="0.25">
      <c r="B156" s="90">
        <v>1594</v>
      </c>
      <c r="C156" s="91">
        <v>0.24460052402307597</v>
      </c>
      <c r="D156" s="92">
        <v>8</v>
      </c>
      <c r="G156" s="5"/>
      <c r="H156" s="5"/>
      <c r="L156" s="7"/>
      <c r="M156" s="7"/>
      <c r="O156" s="5"/>
      <c r="P156" s="5"/>
    </row>
    <row r="157" spans="2:16" x14ac:dyDescent="0.25">
      <c r="B157" s="90">
        <v>1689</v>
      </c>
      <c r="C157" s="91">
        <v>0.24830284871658082</v>
      </c>
      <c r="D157" s="92">
        <v>8</v>
      </c>
      <c r="G157" s="5"/>
      <c r="H157" s="5"/>
      <c r="L157" s="7"/>
      <c r="M157" s="7"/>
      <c r="O157" s="5"/>
      <c r="P157" s="5"/>
    </row>
    <row r="158" spans="2:16" x14ac:dyDescent="0.25">
      <c r="B158" s="90">
        <v>1691</v>
      </c>
      <c r="C158" s="91">
        <v>0.25591592806134256</v>
      </c>
      <c r="D158" s="92">
        <v>8</v>
      </c>
      <c r="G158" s="5"/>
      <c r="H158" s="5"/>
      <c r="L158" s="7"/>
      <c r="M158" s="7"/>
      <c r="O158" s="5"/>
      <c r="P158" s="5"/>
    </row>
    <row r="159" spans="2:16" x14ac:dyDescent="0.25">
      <c r="B159" s="90">
        <v>1627</v>
      </c>
      <c r="C159" s="91">
        <v>0.25706838290806988</v>
      </c>
      <c r="D159" s="92">
        <v>8</v>
      </c>
      <c r="G159" s="5"/>
      <c r="H159" s="5"/>
      <c r="L159" s="7"/>
      <c r="M159" s="7"/>
      <c r="O159" s="5"/>
      <c r="P159" s="5"/>
    </row>
    <row r="160" spans="2:16" x14ac:dyDescent="0.25">
      <c r="B160" s="90">
        <v>1659</v>
      </c>
      <c r="C160" s="91">
        <v>0.26277291636066724</v>
      </c>
      <c r="D160" s="92">
        <v>8</v>
      </c>
      <c r="G160" s="5"/>
      <c r="H160" s="5"/>
      <c r="L160" s="7"/>
      <c r="M160" s="7"/>
      <c r="O160" s="5"/>
      <c r="P160" s="5"/>
    </row>
    <row r="161" spans="2:16" x14ac:dyDescent="0.25">
      <c r="B161" s="90">
        <v>1690</v>
      </c>
      <c r="C161" s="91">
        <v>0.27822407486296796</v>
      </c>
      <c r="D161" s="92">
        <v>8</v>
      </c>
      <c r="G161" s="5"/>
      <c r="H161" s="5"/>
      <c r="L161" s="7"/>
      <c r="M161" s="7"/>
      <c r="O161" s="5"/>
      <c r="P161" s="5"/>
    </row>
    <row r="162" spans="2:16" x14ac:dyDescent="0.25">
      <c r="B162" s="90">
        <v>1985</v>
      </c>
      <c r="C162" s="91">
        <v>0.34534557757439466</v>
      </c>
      <c r="D162" s="92">
        <v>8</v>
      </c>
      <c r="G162" s="5"/>
      <c r="H162" s="5"/>
      <c r="L162" s="7"/>
      <c r="M162" s="7"/>
      <c r="O162" s="5"/>
      <c r="P162" s="5"/>
    </row>
    <row r="163" spans="2:16" x14ac:dyDescent="0.25">
      <c r="B163" s="90">
        <v>2003</v>
      </c>
      <c r="C163" s="91">
        <v>0.39317449094124679</v>
      </c>
      <c r="D163" s="92">
        <v>8</v>
      </c>
      <c r="G163" s="5"/>
      <c r="H163" s="5"/>
      <c r="L163" s="7"/>
      <c r="M163" s="7"/>
      <c r="O163" s="5"/>
      <c r="P163" s="5"/>
    </row>
    <row r="164" spans="2:16" x14ac:dyDescent="0.25">
      <c r="B164" s="90">
        <v>2025</v>
      </c>
      <c r="C164" s="91">
        <v>0.54261513494670688</v>
      </c>
      <c r="D164" s="92">
        <v>8</v>
      </c>
      <c r="G164" s="5"/>
      <c r="H164" s="5"/>
      <c r="L164" s="7"/>
      <c r="M164" s="7"/>
      <c r="O164" s="5"/>
      <c r="P164" s="5"/>
    </row>
    <row r="165" spans="2:16" x14ac:dyDescent="0.25">
      <c r="B165" s="90">
        <v>1523</v>
      </c>
      <c r="C165" s="91">
        <v>3.5360078990615884E-2</v>
      </c>
      <c r="D165" s="92">
        <v>10</v>
      </c>
      <c r="G165" s="5"/>
      <c r="H165" s="5"/>
      <c r="L165" s="7"/>
      <c r="M165" s="7"/>
      <c r="O165" s="5"/>
      <c r="P165" s="5"/>
    </row>
    <row r="166" spans="2:16" x14ac:dyDescent="0.25">
      <c r="B166" s="90">
        <v>2021</v>
      </c>
      <c r="C166" s="91">
        <v>0.58756418079755746</v>
      </c>
      <c r="D166" s="92">
        <v>11</v>
      </c>
      <c r="G166" s="5"/>
      <c r="H166" s="5"/>
      <c r="L166" s="7"/>
      <c r="M166" s="7"/>
      <c r="O166" s="5"/>
      <c r="P166" s="5"/>
    </row>
    <row r="167" spans="2:16" x14ac:dyDescent="0.25">
      <c r="B167" s="90">
        <v>2054</v>
      </c>
      <c r="C167" s="91">
        <v>0.67612247623022637</v>
      </c>
      <c r="D167" s="92">
        <v>11</v>
      </c>
      <c r="G167" s="5"/>
      <c r="H167" s="5"/>
      <c r="L167" s="7"/>
      <c r="M167" s="7"/>
      <c r="O167" s="5"/>
      <c r="P167" s="5"/>
    </row>
    <row r="168" spans="2:16" x14ac:dyDescent="0.25">
      <c r="B168" s="90">
        <v>2023</v>
      </c>
      <c r="C168" s="91">
        <v>0.79466248747162593</v>
      </c>
      <c r="D168" s="92">
        <v>11</v>
      </c>
      <c r="G168" s="5"/>
      <c r="H168" s="5"/>
      <c r="L168" s="7"/>
      <c r="M168" s="7"/>
      <c r="O168" s="5"/>
      <c r="P168" s="5"/>
    </row>
    <row r="169" spans="2:16" x14ac:dyDescent="0.25">
      <c r="B169" s="90">
        <v>2039</v>
      </c>
      <c r="C169" s="91">
        <v>0.88528723576572643</v>
      </c>
      <c r="D169" s="92">
        <v>11</v>
      </c>
      <c r="G169" s="5"/>
      <c r="H169" s="5"/>
      <c r="L169" s="7"/>
      <c r="M169" s="7"/>
      <c r="O169" s="5"/>
      <c r="P169" s="5"/>
    </row>
    <row r="170" spans="2:16" x14ac:dyDescent="0.25">
      <c r="B170" s="90">
        <v>2040</v>
      </c>
      <c r="C170" s="91">
        <v>0.94617570359572922</v>
      </c>
      <c r="D170" s="92">
        <v>11</v>
      </c>
      <c r="G170" s="5"/>
      <c r="H170" s="5"/>
      <c r="L170" s="7"/>
      <c r="M170" s="7"/>
      <c r="O170" s="5"/>
      <c r="P170" s="5"/>
    </row>
    <row r="171" spans="2:16" x14ac:dyDescent="0.25">
      <c r="B171" s="90">
        <v>1209</v>
      </c>
      <c r="C171" s="91">
        <v>1.6063976846721117E-2</v>
      </c>
      <c r="D171" s="92">
        <v>12</v>
      </c>
      <c r="G171" s="5"/>
      <c r="H171" s="5"/>
      <c r="L171" s="7"/>
      <c r="M171" s="7"/>
      <c r="O171" s="5"/>
      <c r="P171" s="5"/>
    </row>
    <row r="172" spans="2:16" x14ac:dyDescent="0.25">
      <c r="B172" s="90">
        <v>1375</v>
      </c>
      <c r="C172" s="91">
        <v>1.959643531686639E-2</v>
      </c>
      <c r="D172" s="92">
        <v>12</v>
      </c>
      <c r="G172" s="5"/>
      <c r="H172" s="5"/>
      <c r="L172" s="7"/>
      <c r="M172" s="7"/>
      <c r="O172" s="5"/>
      <c r="P172" s="5"/>
    </row>
    <row r="173" spans="2:16" x14ac:dyDescent="0.25">
      <c r="B173" s="90">
        <v>1294</v>
      </c>
      <c r="C173" s="91">
        <v>2.0162436945526108E-2</v>
      </c>
      <c r="D173" s="92">
        <v>12</v>
      </c>
      <c r="G173" s="5"/>
      <c r="H173" s="5"/>
      <c r="L173" s="7"/>
      <c r="M173" s="7"/>
      <c r="O173" s="5"/>
      <c r="P173" s="5"/>
    </row>
    <row r="174" spans="2:16" x14ac:dyDescent="0.25">
      <c r="B174" s="90">
        <v>1414</v>
      </c>
      <c r="C174" s="91">
        <v>3.0391874593144075E-2</v>
      </c>
      <c r="D174" s="92">
        <v>12</v>
      </c>
      <c r="G174" s="5"/>
      <c r="H174" s="5"/>
      <c r="L174" s="7"/>
      <c r="M174" s="7"/>
      <c r="O174" s="5"/>
      <c r="P174" s="5"/>
    </row>
    <row r="175" spans="2:16" x14ac:dyDescent="0.25">
      <c r="B175" s="90">
        <v>1252</v>
      </c>
      <c r="C175" s="91">
        <v>3.4971411914145101E-2</v>
      </c>
      <c r="D175" s="92">
        <v>12</v>
      </c>
      <c r="G175" s="5"/>
      <c r="H175" s="5"/>
      <c r="L175" s="7"/>
      <c r="M175" s="7"/>
      <c r="O175" s="5"/>
      <c r="P175" s="5"/>
    </row>
    <row r="176" spans="2:16" x14ac:dyDescent="0.25">
      <c r="B176" s="90">
        <v>1335</v>
      </c>
      <c r="C176" s="91">
        <v>3.6589338313390951E-2</v>
      </c>
      <c r="D176" s="92">
        <v>12</v>
      </c>
      <c r="G176" s="5"/>
      <c r="H176" s="5"/>
      <c r="L176" s="7"/>
      <c r="M176" s="7"/>
      <c r="O176" s="5"/>
      <c r="P176" s="5"/>
    </row>
    <row r="177" spans="2:16" x14ac:dyDescent="0.25">
      <c r="B177" s="90">
        <v>1857</v>
      </c>
      <c r="C177" s="91">
        <v>3.8275621214576949E-2</v>
      </c>
      <c r="D177" s="92">
        <v>12</v>
      </c>
      <c r="G177" s="5"/>
      <c r="H177" s="5"/>
      <c r="L177" s="7"/>
      <c r="M177" s="7"/>
      <c r="O177" s="5"/>
      <c r="P177" s="5"/>
    </row>
    <row r="178" spans="2:16" x14ac:dyDescent="0.25">
      <c r="B178" s="90">
        <v>1832</v>
      </c>
      <c r="C178" s="91">
        <v>5.2309098871244464E-2</v>
      </c>
      <c r="D178" s="92">
        <v>12</v>
      </c>
      <c r="G178" s="5"/>
      <c r="H178" s="5"/>
      <c r="L178" s="7"/>
      <c r="M178" s="7"/>
      <c r="O178" s="5"/>
      <c r="P178" s="5"/>
    </row>
    <row r="179" spans="2:16" x14ac:dyDescent="0.25">
      <c r="B179" s="90">
        <v>1906</v>
      </c>
      <c r="C179" s="91">
        <v>5.6453011923090157E-2</v>
      </c>
      <c r="D179" s="92">
        <v>12</v>
      </c>
      <c r="G179" s="5"/>
      <c r="H179" s="5"/>
      <c r="L179" s="7"/>
      <c r="M179" s="7"/>
      <c r="O179" s="5"/>
      <c r="P179" s="5"/>
    </row>
    <row r="180" spans="2:16" x14ac:dyDescent="0.25">
      <c r="B180" s="90">
        <v>1990</v>
      </c>
      <c r="C180" s="91">
        <v>6.3269052294760542E-2</v>
      </c>
      <c r="D180" s="92">
        <v>12</v>
      </c>
      <c r="G180" s="5"/>
      <c r="H180" s="5"/>
      <c r="L180" s="7"/>
      <c r="M180" s="7"/>
      <c r="O180" s="5"/>
      <c r="P180" s="5"/>
    </row>
    <row r="181" spans="2:16" x14ac:dyDescent="0.25">
      <c r="B181" s="90">
        <v>1453</v>
      </c>
      <c r="C181" s="91">
        <v>6.9306081863383495E-2</v>
      </c>
      <c r="D181" s="92">
        <v>12</v>
      </c>
      <c r="G181" s="5"/>
      <c r="H181" s="5"/>
      <c r="L181" s="7"/>
      <c r="M181" s="7"/>
      <c r="O181" s="5"/>
      <c r="P181" s="5"/>
    </row>
    <row r="182" spans="2:16" x14ac:dyDescent="0.25">
      <c r="B182" s="90">
        <v>1837</v>
      </c>
      <c r="C182" s="91">
        <v>8.7320449452674254E-2</v>
      </c>
      <c r="D182" s="92">
        <v>12</v>
      </c>
      <c r="G182" s="5"/>
      <c r="H182" s="5"/>
      <c r="L182" s="7"/>
      <c r="M182" s="7"/>
      <c r="O182" s="5"/>
      <c r="P182" s="5"/>
    </row>
    <row r="183" spans="2:16" x14ac:dyDescent="0.25">
      <c r="B183" s="90">
        <v>1452</v>
      </c>
      <c r="C183" s="91">
        <v>0.10888001002560488</v>
      </c>
      <c r="D183" s="92">
        <v>12</v>
      </c>
      <c r="G183" s="5"/>
      <c r="H183" s="5"/>
      <c r="L183" s="7"/>
      <c r="M183" s="7"/>
      <c r="O183" s="5"/>
      <c r="P183" s="5"/>
    </row>
    <row r="184" spans="2:16" x14ac:dyDescent="0.25">
      <c r="B184" s="90">
        <v>1490</v>
      </c>
      <c r="C184" s="91">
        <v>0.11229730750138511</v>
      </c>
      <c r="D184" s="92">
        <v>12</v>
      </c>
      <c r="G184" s="5"/>
      <c r="H184" s="5"/>
      <c r="L184" s="7"/>
      <c r="M184" s="7"/>
      <c r="O184" s="5"/>
      <c r="P184" s="5"/>
    </row>
    <row r="185" spans="2:16" x14ac:dyDescent="0.25">
      <c r="B185" s="90">
        <v>1991</v>
      </c>
      <c r="C185" s="91">
        <v>0.11515211523035562</v>
      </c>
      <c r="D185" s="92">
        <v>12</v>
      </c>
      <c r="G185" s="5"/>
      <c r="H185" s="5"/>
      <c r="L185" s="7"/>
      <c r="M185" s="7"/>
      <c r="O185" s="5"/>
      <c r="P185" s="5"/>
    </row>
    <row r="186" spans="2:16" x14ac:dyDescent="0.25">
      <c r="B186" s="90">
        <v>1909</v>
      </c>
      <c r="C186" s="91">
        <v>0.11611234555094541</v>
      </c>
      <c r="D186" s="92">
        <v>12</v>
      </c>
      <c r="G186" s="5"/>
      <c r="H186" s="5"/>
      <c r="L186" s="7"/>
      <c r="M186" s="7"/>
      <c r="O186" s="5"/>
      <c r="P186" s="5"/>
    </row>
    <row r="187" spans="2:16" x14ac:dyDescent="0.25">
      <c r="B187" s="90">
        <v>1527</v>
      </c>
      <c r="C187" s="91">
        <v>0.11871652517690978</v>
      </c>
      <c r="D187" s="92">
        <v>12</v>
      </c>
      <c r="G187" s="5"/>
      <c r="H187" s="5"/>
      <c r="L187" s="7"/>
      <c r="M187" s="7"/>
      <c r="O187" s="5"/>
      <c r="P187" s="5"/>
    </row>
    <row r="188" spans="2:16" x14ac:dyDescent="0.25">
      <c r="B188" s="90">
        <v>1862</v>
      </c>
      <c r="C188" s="91">
        <v>0.12604716742796906</v>
      </c>
      <c r="D188" s="92">
        <v>12</v>
      </c>
      <c r="G188" s="5"/>
      <c r="H188" s="5"/>
      <c r="L188" s="7"/>
      <c r="M188" s="7"/>
      <c r="O188" s="5"/>
      <c r="P188" s="5"/>
    </row>
    <row r="189" spans="2:16" x14ac:dyDescent="0.25">
      <c r="B189" s="90">
        <v>1526</v>
      </c>
      <c r="C189" s="91">
        <v>0.14430067172731775</v>
      </c>
      <c r="D189" s="92">
        <v>12</v>
      </c>
      <c r="G189" s="5"/>
      <c r="H189" s="5"/>
      <c r="L189" s="7"/>
      <c r="M189" s="7"/>
      <c r="O189" s="5"/>
      <c r="P189" s="5"/>
    </row>
    <row r="190" spans="2:16" x14ac:dyDescent="0.25">
      <c r="B190" s="90">
        <v>1562</v>
      </c>
      <c r="C190" s="91">
        <v>0.14633990553801657</v>
      </c>
      <c r="D190" s="92">
        <v>12</v>
      </c>
      <c r="G190" s="5"/>
      <c r="H190" s="5"/>
      <c r="L190" s="7"/>
      <c r="M190" s="7"/>
      <c r="O190" s="5"/>
      <c r="P190" s="5"/>
    </row>
    <row r="191" spans="2:16" x14ac:dyDescent="0.25">
      <c r="B191" s="90">
        <v>1561</v>
      </c>
      <c r="C191" s="91">
        <v>0.16957016671630198</v>
      </c>
      <c r="D191" s="92">
        <v>12</v>
      </c>
      <c r="G191" s="5"/>
      <c r="H191" s="5"/>
      <c r="L191" s="7"/>
      <c r="M191" s="7"/>
      <c r="O191" s="5"/>
      <c r="P191" s="5"/>
    </row>
    <row r="192" spans="2:16" x14ac:dyDescent="0.25">
      <c r="B192" s="90">
        <v>8</v>
      </c>
      <c r="C192" s="91">
        <v>0.191671850233747</v>
      </c>
      <c r="D192" s="92">
        <v>12</v>
      </c>
      <c r="G192" s="5"/>
      <c r="H192" s="5"/>
      <c r="L192" s="7"/>
      <c r="M192" s="7"/>
      <c r="O192" s="5"/>
      <c r="P192" s="5"/>
    </row>
    <row r="193" spans="2:16" x14ac:dyDescent="0.25">
      <c r="B193" s="90">
        <v>2118</v>
      </c>
      <c r="C193" s="91">
        <v>0.191671850233747</v>
      </c>
      <c r="D193" s="92">
        <v>12</v>
      </c>
      <c r="G193" s="5"/>
      <c r="H193" s="5"/>
      <c r="L193" s="7"/>
      <c r="M193" s="7"/>
      <c r="O193" s="5"/>
      <c r="P193" s="5"/>
    </row>
    <row r="194" spans="2:16" x14ac:dyDescent="0.25">
      <c r="B194" s="90">
        <v>1596</v>
      </c>
      <c r="C194" s="91">
        <v>0.19888545430537685</v>
      </c>
      <c r="D194" s="92">
        <v>12</v>
      </c>
      <c r="G194" s="5"/>
      <c r="H194" s="5"/>
      <c r="L194" s="7"/>
      <c r="M194" s="7"/>
      <c r="O194" s="5"/>
      <c r="P194" s="5"/>
    </row>
    <row r="195" spans="2:16" x14ac:dyDescent="0.25">
      <c r="B195" s="90">
        <v>1629</v>
      </c>
      <c r="C195" s="91">
        <v>0.2144908465794535</v>
      </c>
      <c r="D195" s="92">
        <v>12</v>
      </c>
      <c r="G195" s="5"/>
      <c r="H195" s="5"/>
      <c r="L195" s="7"/>
      <c r="M195" s="7"/>
      <c r="O195" s="5"/>
      <c r="P195" s="5"/>
    </row>
    <row r="196" spans="2:16" x14ac:dyDescent="0.25">
      <c r="B196" s="90">
        <v>1595</v>
      </c>
      <c r="C196" s="91">
        <v>0.21827605380516801</v>
      </c>
      <c r="D196" s="92">
        <v>12</v>
      </c>
      <c r="G196" s="5"/>
      <c r="H196" s="5"/>
      <c r="L196" s="7"/>
      <c r="M196" s="7"/>
      <c r="O196" s="5"/>
      <c r="P196" s="5"/>
    </row>
    <row r="197" spans="2:16" x14ac:dyDescent="0.25">
      <c r="B197" s="90">
        <v>1661</v>
      </c>
      <c r="C197" s="91">
        <v>0.22297765747341614</v>
      </c>
      <c r="D197" s="92">
        <v>12</v>
      </c>
      <c r="G197" s="5"/>
      <c r="H197" s="5"/>
      <c r="L197" s="7"/>
      <c r="M197" s="7"/>
      <c r="O197" s="5"/>
      <c r="P197" s="5"/>
    </row>
    <row r="198" spans="2:16" x14ac:dyDescent="0.25">
      <c r="B198" s="90">
        <v>1628</v>
      </c>
      <c r="C198" s="91">
        <v>0.23267908449458219</v>
      </c>
      <c r="D198" s="92">
        <v>12</v>
      </c>
      <c r="G198" s="5"/>
      <c r="H198" s="5"/>
      <c r="L198" s="7"/>
      <c r="M198" s="7"/>
      <c r="O198" s="5"/>
      <c r="P198" s="5"/>
    </row>
    <row r="199" spans="2:16" x14ac:dyDescent="0.25">
      <c r="B199" s="90">
        <v>1660</v>
      </c>
      <c r="C199" s="91">
        <v>0.23933164855145284</v>
      </c>
      <c r="D199" s="92">
        <v>12</v>
      </c>
      <c r="G199" s="5"/>
      <c r="H199" s="5"/>
      <c r="L199" s="7"/>
      <c r="M199" s="7"/>
      <c r="O199" s="5"/>
      <c r="P199" s="5"/>
    </row>
    <row r="200" spans="2:16" x14ac:dyDescent="0.25">
      <c r="B200" s="90">
        <v>1692</v>
      </c>
      <c r="C200" s="91">
        <v>0.23955039454640537</v>
      </c>
      <c r="D200" s="92">
        <v>12</v>
      </c>
      <c r="G200" s="5"/>
      <c r="H200" s="5"/>
      <c r="L200" s="7"/>
      <c r="M200" s="7"/>
      <c r="O200" s="5"/>
      <c r="P200" s="5"/>
    </row>
    <row r="201" spans="2:16" x14ac:dyDescent="0.25">
      <c r="B201" s="90">
        <v>1631</v>
      </c>
      <c r="C201" s="91">
        <v>0.24833360648188429</v>
      </c>
      <c r="D201" s="92">
        <v>12</v>
      </c>
      <c r="G201" s="5"/>
      <c r="H201" s="5"/>
      <c r="L201" s="7"/>
      <c r="M201" s="7"/>
      <c r="O201" s="5"/>
      <c r="P201" s="5"/>
    </row>
    <row r="202" spans="2:16" x14ac:dyDescent="0.25">
      <c r="B202" s="90">
        <v>1663</v>
      </c>
      <c r="C202" s="91">
        <v>0.25570622008395916</v>
      </c>
      <c r="D202" s="92">
        <v>12</v>
      </c>
      <c r="G202" s="5"/>
      <c r="H202" s="5"/>
      <c r="L202" s="7"/>
      <c r="M202" s="7"/>
      <c r="O202" s="5"/>
      <c r="P202" s="5"/>
    </row>
    <row r="203" spans="2:16" x14ac:dyDescent="0.25">
      <c r="B203" s="90">
        <v>1694</v>
      </c>
      <c r="C203" s="91">
        <v>0.27484616322376321</v>
      </c>
      <c r="D203" s="92">
        <v>12</v>
      </c>
      <c r="G203" s="5"/>
      <c r="H203" s="5"/>
      <c r="L203" s="7"/>
      <c r="M203" s="7"/>
      <c r="O203" s="5"/>
      <c r="P203" s="5"/>
    </row>
    <row r="204" spans="2:16" x14ac:dyDescent="0.25">
      <c r="B204" s="90">
        <v>1912</v>
      </c>
      <c r="C204" s="91">
        <v>0.23028316776701463</v>
      </c>
      <c r="D204" s="92">
        <v>13</v>
      </c>
      <c r="G204" s="5"/>
      <c r="H204" s="5"/>
      <c r="L204" s="7"/>
      <c r="M204" s="7"/>
      <c r="O204" s="5"/>
      <c r="P204" s="5"/>
    </row>
    <row r="205" spans="2:16" x14ac:dyDescent="0.25">
      <c r="B205" s="90">
        <v>1955</v>
      </c>
      <c r="C205" s="91">
        <v>0.27244077215508289</v>
      </c>
      <c r="D205" s="92">
        <v>13</v>
      </c>
      <c r="G205" s="5"/>
      <c r="H205" s="5"/>
      <c r="L205" s="7"/>
      <c r="M205" s="7"/>
      <c r="O205" s="5"/>
      <c r="P205" s="5"/>
    </row>
    <row r="206" spans="2:16" x14ac:dyDescent="0.25">
      <c r="B206" s="90">
        <v>2024</v>
      </c>
      <c r="C206" s="91">
        <v>0.59814820958903059</v>
      </c>
      <c r="D206" s="92">
        <v>15</v>
      </c>
      <c r="G206" s="5"/>
      <c r="H206" s="5"/>
      <c r="L206" s="7"/>
      <c r="M206" s="7"/>
      <c r="O206" s="5"/>
      <c r="P206" s="5"/>
    </row>
    <row r="207" spans="2:16" x14ac:dyDescent="0.25">
      <c r="B207" s="90">
        <v>1811</v>
      </c>
      <c r="C207" s="91">
        <v>2.0898005510475604E-2</v>
      </c>
      <c r="D207" s="92">
        <v>16</v>
      </c>
      <c r="G207" s="5"/>
      <c r="H207" s="5"/>
      <c r="L207" s="7"/>
      <c r="M207" s="7"/>
      <c r="O207" s="5"/>
      <c r="P207" s="5"/>
    </row>
    <row r="208" spans="2:16" x14ac:dyDescent="0.25">
      <c r="B208" s="90">
        <v>1859</v>
      </c>
      <c r="C208" s="91">
        <v>3.9209882812529795E-2</v>
      </c>
      <c r="D208" s="92">
        <v>16</v>
      </c>
      <c r="G208" s="5"/>
      <c r="H208" s="5"/>
      <c r="L208" s="7"/>
      <c r="M208" s="7"/>
      <c r="O208" s="5"/>
      <c r="P208" s="5"/>
    </row>
    <row r="209" spans="2:16" x14ac:dyDescent="0.25">
      <c r="B209" s="90">
        <v>1949</v>
      </c>
      <c r="C209" s="91">
        <v>4.1945422359680906E-2</v>
      </c>
      <c r="D209" s="92">
        <v>16</v>
      </c>
      <c r="G209" s="5"/>
      <c r="H209" s="5"/>
      <c r="L209" s="7"/>
      <c r="M209" s="7"/>
      <c r="O209" s="5"/>
      <c r="P209" s="5"/>
    </row>
    <row r="210" spans="2:16" x14ac:dyDescent="0.25">
      <c r="B210" s="90">
        <v>1989</v>
      </c>
      <c r="C210" s="91">
        <v>4.8868411999353656E-2</v>
      </c>
      <c r="D210" s="92">
        <v>16</v>
      </c>
      <c r="G210" s="5"/>
      <c r="H210" s="5"/>
      <c r="L210" s="7"/>
      <c r="M210" s="7"/>
      <c r="O210" s="5"/>
      <c r="P210" s="5"/>
    </row>
    <row r="211" spans="2:16" x14ac:dyDescent="0.25">
      <c r="B211" s="90">
        <v>1969</v>
      </c>
      <c r="C211" s="91">
        <v>5.7216479317492519E-2</v>
      </c>
      <c r="D211" s="92">
        <v>16</v>
      </c>
      <c r="G211" s="5"/>
      <c r="H211" s="5"/>
      <c r="L211" s="7"/>
      <c r="M211" s="7"/>
      <c r="O211" s="5"/>
      <c r="P211" s="5"/>
    </row>
    <row r="212" spans="2:16" x14ac:dyDescent="0.25">
      <c r="B212" s="90">
        <v>1657</v>
      </c>
      <c r="C212" s="91">
        <v>0.1456293179471484</v>
      </c>
      <c r="D212" s="92">
        <v>18</v>
      </c>
      <c r="G212" s="5"/>
      <c r="H212" s="5"/>
      <c r="L212" s="7"/>
      <c r="M212" s="7"/>
      <c r="O212" s="5"/>
      <c r="P212" s="5"/>
    </row>
    <row r="213" spans="2:16" x14ac:dyDescent="0.25">
      <c r="B213" s="90">
        <v>1625</v>
      </c>
      <c r="C213" s="91">
        <v>0.13341301652300752</v>
      </c>
      <c r="D213" s="92">
        <v>20</v>
      </c>
      <c r="G213" s="5"/>
      <c r="H213" s="5"/>
      <c r="L213" s="7"/>
      <c r="M213" s="7"/>
      <c r="O213" s="5"/>
      <c r="P213" s="5"/>
    </row>
    <row r="214" spans="2:16" x14ac:dyDescent="0.25">
      <c r="B214" s="90">
        <v>1911</v>
      </c>
      <c r="C214" s="91">
        <v>0.19159689190274654</v>
      </c>
      <c r="D214" s="92">
        <v>21</v>
      </c>
      <c r="G214" s="5"/>
      <c r="H214" s="5"/>
      <c r="L214" s="7"/>
      <c r="M214" s="7"/>
      <c r="O214" s="5"/>
      <c r="P214" s="5"/>
    </row>
    <row r="215" spans="2:16" x14ac:dyDescent="0.25">
      <c r="B215" s="90">
        <v>2067</v>
      </c>
      <c r="C215" s="91">
        <v>3.6041044725598659E-2</v>
      </c>
      <c r="D215" s="92">
        <v>24</v>
      </c>
      <c r="G215" s="5"/>
      <c r="H215" s="5"/>
      <c r="L215" s="7"/>
      <c r="M215" s="7"/>
      <c r="O215" s="5"/>
      <c r="P215" s="5"/>
    </row>
    <row r="216" spans="2:16" x14ac:dyDescent="0.25">
      <c r="B216" s="90">
        <v>2097</v>
      </c>
      <c r="C216" s="91">
        <v>4.8508932313547914E-2</v>
      </c>
      <c r="D216" s="92">
        <v>24</v>
      </c>
      <c r="G216" s="5"/>
      <c r="H216" s="5"/>
      <c r="L216" s="7"/>
      <c r="M216" s="7"/>
      <c r="O216" s="5"/>
      <c r="P216" s="5"/>
    </row>
    <row r="217" spans="2:16" x14ac:dyDescent="0.25">
      <c r="B217" s="90">
        <v>1898</v>
      </c>
      <c r="C217" s="91">
        <v>6.522800498135839E-2</v>
      </c>
      <c r="D217" s="92">
        <v>24</v>
      </c>
      <c r="G217" s="5"/>
      <c r="H217" s="5"/>
      <c r="L217" s="7"/>
      <c r="M217" s="7"/>
      <c r="O217" s="5"/>
      <c r="P217" s="5"/>
    </row>
    <row r="218" spans="2:16" x14ac:dyDescent="0.25">
      <c r="B218" s="90">
        <v>1961</v>
      </c>
      <c r="C218" s="91">
        <v>0.16799246535324397</v>
      </c>
      <c r="D218" s="92">
        <v>24</v>
      </c>
      <c r="G218" s="5"/>
      <c r="H218" s="5"/>
      <c r="L218" s="7"/>
      <c r="M218" s="7"/>
      <c r="O218" s="5"/>
      <c r="P218" s="5"/>
    </row>
    <row r="219" spans="2:16" x14ac:dyDescent="0.25">
      <c r="B219" s="90">
        <v>2139</v>
      </c>
      <c r="C219" s="91">
        <v>0.20594137091898812</v>
      </c>
      <c r="D219" s="92">
        <v>24</v>
      </c>
      <c r="G219" s="5"/>
      <c r="H219" s="5"/>
      <c r="L219" s="7"/>
      <c r="M219" s="7"/>
      <c r="O219" s="5"/>
      <c r="P219" s="5"/>
    </row>
    <row r="220" spans="2:16" x14ac:dyDescent="0.25">
      <c r="B220" s="90">
        <v>2061</v>
      </c>
      <c r="C220" s="91">
        <v>0.22554475004301822</v>
      </c>
      <c r="D220" s="92">
        <v>24</v>
      </c>
      <c r="G220" s="5"/>
      <c r="H220" s="5"/>
      <c r="L220" s="7"/>
      <c r="M220" s="7"/>
      <c r="O220" s="5"/>
      <c r="P220" s="5"/>
    </row>
    <row r="221" spans="2:16" x14ac:dyDescent="0.25">
      <c r="B221" s="90">
        <v>1980</v>
      </c>
      <c r="C221" s="91">
        <v>0.28300136095510298</v>
      </c>
      <c r="D221" s="92">
        <v>24</v>
      </c>
      <c r="G221" s="5"/>
      <c r="H221" s="5"/>
      <c r="L221" s="7"/>
      <c r="M221" s="7"/>
      <c r="O221" s="5"/>
      <c r="P221" s="5"/>
    </row>
    <row r="222" spans="2:16" x14ac:dyDescent="0.25">
      <c r="B222" s="90">
        <v>2047</v>
      </c>
      <c r="C222" s="91">
        <v>0.28692233728500349</v>
      </c>
      <c r="D222" s="92">
        <v>24</v>
      </c>
      <c r="G222" s="5"/>
      <c r="H222" s="5"/>
      <c r="L222" s="7"/>
      <c r="M222" s="7"/>
      <c r="O222" s="5"/>
      <c r="P222" s="5"/>
    </row>
    <row r="223" spans="2:16" x14ac:dyDescent="0.25">
      <c r="B223" s="90">
        <v>2060</v>
      </c>
      <c r="C223" s="91">
        <v>0.31875964014110669</v>
      </c>
      <c r="D223" s="92">
        <v>24</v>
      </c>
      <c r="G223" s="5"/>
      <c r="H223" s="5"/>
      <c r="L223" s="7"/>
      <c r="M223" s="7"/>
      <c r="O223" s="5"/>
      <c r="P223" s="5"/>
    </row>
    <row r="224" spans="2:16" x14ac:dyDescent="0.25">
      <c r="B224" s="90">
        <v>1998</v>
      </c>
      <c r="C224" s="91">
        <v>0.32339978877650866</v>
      </c>
      <c r="D224" s="92">
        <v>24</v>
      </c>
      <c r="G224" s="5"/>
      <c r="H224" s="5"/>
      <c r="L224" s="7"/>
      <c r="M224" s="7"/>
      <c r="O224" s="5"/>
      <c r="P224" s="5"/>
    </row>
    <row r="225" spans="2:16" x14ac:dyDescent="0.25">
      <c r="B225" s="90">
        <v>2046</v>
      </c>
      <c r="C225" s="91">
        <v>0.39449184691932659</v>
      </c>
      <c r="D225" s="92">
        <v>24</v>
      </c>
      <c r="G225" s="5"/>
      <c r="H225" s="5"/>
      <c r="L225" s="7"/>
      <c r="M225" s="7"/>
      <c r="O225" s="5"/>
      <c r="P225" s="5"/>
    </row>
    <row r="226" spans="2:16" x14ac:dyDescent="0.25">
      <c r="B226" s="90">
        <v>2058</v>
      </c>
      <c r="C226" s="91">
        <v>0.45471752468498938</v>
      </c>
      <c r="D226" s="92">
        <v>24</v>
      </c>
      <c r="G226" s="5"/>
      <c r="H226" s="5"/>
      <c r="L226" s="7"/>
      <c r="M226" s="7"/>
      <c r="O226" s="5"/>
      <c r="P226" s="5"/>
    </row>
    <row r="227" spans="2:16" x14ac:dyDescent="0.25">
      <c r="B227" s="90">
        <v>2044</v>
      </c>
      <c r="C227" s="91">
        <v>0.53803546957723603</v>
      </c>
      <c r="D227" s="92">
        <v>24</v>
      </c>
      <c r="G227" s="5"/>
      <c r="H227" s="5"/>
      <c r="L227" s="7"/>
      <c r="M227" s="7"/>
      <c r="O227" s="5"/>
      <c r="P227" s="5"/>
    </row>
    <row r="228" spans="2:16" x14ac:dyDescent="0.25">
      <c r="B228" s="90">
        <v>2071</v>
      </c>
      <c r="C228" s="91">
        <v>0.55497275513105537</v>
      </c>
      <c r="D228" s="92">
        <v>25</v>
      </c>
      <c r="G228" s="5"/>
      <c r="H228" s="5"/>
      <c r="L228" s="7"/>
      <c r="M228" s="7"/>
      <c r="O228" s="5"/>
      <c r="P228" s="5"/>
    </row>
    <row r="229" spans="2:16" x14ac:dyDescent="0.25">
      <c r="B229" s="90">
        <v>2013</v>
      </c>
      <c r="C229" s="91">
        <v>0.64465137812450302</v>
      </c>
      <c r="D229" s="92">
        <v>25</v>
      </c>
      <c r="G229" s="5"/>
      <c r="H229" s="5"/>
      <c r="L229" s="7"/>
      <c r="M229" s="7"/>
      <c r="O229" s="5"/>
      <c r="P229" s="5"/>
    </row>
    <row r="230" spans="2:16" x14ac:dyDescent="0.25">
      <c r="B230" s="90">
        <v>1910</v>
      </c>
      <c r="C230" s="91">
        <v>0.24442970319836421</v>
      </c>
      <c r="D230" s="92">
        <v>26</v>
      </c>
      <c r="G230" s="5"/>
      <c r="H230" s="5"/>
      <c r="L230" s="7"/>
      <c r="M230" s="7"/>
      <c r="O230" s="5"/>
      <c r="P230" s="5"/>
    </row>
    <row r="231" spans="2:16" x14ac:dyDescent="0.25">
      <c r="B231" s="90">
        <v>2032</v>
      </c>
      <c r="C231" s="91">
        <v>0.46389034960831366</v>
      </c>
      <c r="D231" s="92">
        <v>26</v>
      </c>
      <c r="G231" s="5"/>
      <c r="H231" s="5"/>
      <c r="L231" s="7"/>
      <c r="M231" s="7"/>
      <c r="O231" s="5"/>
      <c r="P231" s="5"/>
    </row>
    <row r="232" spans="2:16" x14ac:dyDescent="0.25">
      <c r="B232" s="90">
        <v>2015</v>
      </c>
      <c r="C232" s="91">
        <v>0.53165015682557348</v>
      </c>
      <c r="D232" s="92">
        <v>26</v>
      </c>
      <c r="G232" s="5"/>
      <c r="H232" s="5"/>
      <c r="L232" s="7"/>
      <c r="M232" s="7"/>
      <c r="O232" s="5"/>
      <c r="P232" s="5"/>
    </row>
    <row r="233" spans="2:16" x14ac:dyDescent="0.25">
      <c r="B233" s="90">
        <v>2094</v>
      </c>
      <c r="C233" s="91">
        <v>0.59900176601395771</v>
      </c>
      <c r="D233" s="92">
        <v>26</v>
      </c>
      <c r="G233" s="5"/>
      <c r="H233" s="5"/>
      <c r="L233" s="7"/>
      <c r="M233" s="7"/>
      <c r="O233" s="5"/>
      <c r="P233" s="5"/>
    </row>
    <row r="234" spans="2:16" x14ac:dyDescent="0.25">
      <c r="B234" s="90">
        <v>2029</v>
      </c>
      <c r="C234" s="91">
        <v>0.64733297206737217</v>
      </c>
      <c r="D234" s="92">
        <v>26</v>
      </c>
      <c r="G234" s="5"/>
      <c r="H234" s="5"/>
      <c r="L234" s="7"/>
      <c r="M234" s="7"/>
      <c r="O234" s="5"/>
      <c r="P234" s="5"/>
    </row>
    <row r="235" spans="2:16" x14ac:dyDescent="0.25">
      <c r="B235" s="90">
        <v>2121</v>
      </c>
      <c r="C235" s="91">
        <v>0.67053867862686467</v>
      </c>
      <c r="D235" s="92">
        <v>26</v>
      </c>
      <c r="G235" s="5"/>
      <c r="H235" s="5"/>
      <c r="L235" s="7"/>
      <c r="M235" s="7"/>
      <c r="O235" s="5"/>
      <c r="P235" s="5"/>
    </row>
    <row r="236" spans="2:16" x14ac:dyDescent="0.25">
      <c r="B236" s="90">
        <v>1451</v>
      </c>
      <c r="C236" s="91">
        <v>6.7328607520777961E-2</v>
      </c>
      <c r="D236" s="92">
        <v>27</v>
      </c>
      <c r="G236" s="5"/>
      <c r="H236" s="5"/>
      <c r="L236" s="7"/>
      <c r="M236" s="7"/>
      <c r="O236" s="5"/>
      <c r="P236" s="5"/>
    </row>
    <row r="237" spans="2:16" x14ac:dyDescent="0.25">
      <c r="B237" s="90">
        <v>1992</v>
      </c>
      <c r="C237" s="91">
        <v>0.32494350745289879</v>
      </c>
      <c r="D237" s="92">
        <v>27</v>
      </c>
      <c r="G237" s="5"/>
      <c r="H237" s="5"/>
      <c r="L237" s="7"/>
      <c r="M237" s="7"/>
      <c r="O237" s="5"/>
      <c r="P237" s="5"/>
    </row>
    <row r="238" spans="2:16" x14ac:dyDescent="0.25">
      <c r="B238" s="90">
        <v>2016</v>
      </c>
      <c r="C238" s="91">
        <v>0.45230879347133524</v>
      </c>
      <c r="D238" s="92">
        <v>27</v>
      </c>
      <c r="G238" s="5"/>
      <c r="H238" s="5"/>
      <c r="L238" s="7"/>
      <c r="M238" s="7"/>
      <c r="O238" s="5"/>
      <c r="P238" s="5"/>
    </row>
    <row r="239" spans="2:16" x14ac:dyDescent="0.25">
      <c r="B239" s="90">
        <v>2096</v>
      </c>
      <c r="C239" s="91">
        <v>0.49024695737968826</v>
      </c>
      <c r="D239" s="92">
        <v>27</v>
      </c>
      <c r="G239" s="5"/>
      <c r="H239" s="5"/>
      <c r="L239" s="7"/>
      <c r="M239" s="7"/>
      <c r="O239" s="5"/>
      <c r="P239" s="5"/>
    </row>
    <row r="240" spans="2:16" x14ac:dyDescent="0.25">
      <c r="B240" s="90">
        <v>2031</v>
      </c>
      <c r="C240" s="91">
        <v>0.54009819015438598</v>
      </c>
      <c r="D240" s="92">
        <v>27</v>
      </c>
      <c r="G240" s="5"/>
      <c r="H240" s="5"/>
      <c r="L240" s="7"/>
      <c r="M240" s="7"/>
      <c r="O240" s="5"/>
      <c r="P240" s="5"/>
    </row>
    <row r="241" spans="2:16" x14ac:dyDescent="0.25">
      <c r="B241" s="90">
        <v>2107</v>
      </c>
      <c r="C241" s="91">
        <v>0.5700038021169449</v>
      </c>
      <c r="D241" s="92">
        <v>27</v>
      </c>
      <c r="G241" s="5"/>
      <c r="H241" s="5"/>
      <c r="L241" s="7"/>
      <c r="M241" s="7"/>
      <c r="O241" s="5"/>
      <c r="P241" s="5"/>
    </row>
    <row r="242" spans="2:16" x14ac:dyDescent="0.25">
      <c r="B242" s="90">
        <v>2085</v>
      </c>
      <c r="C242" s="91">
        <v>0.59148019562267662</v>
      </c>
      <c r="D242" s="92">
        <v>27</v>
      </c>
      <c r="G242" s="5"/>
      <c r="H242" s="5"/>
      <c r="L242" s="7"/>
      <c r="M242" s="7"/>
      <c r="O242" s="5"/>
      <c r="P242" s="5"/>
    </row>
    <row r="243" spans="2:16" x14ac:dyDescent="0.25">
      <c r="B243" s="90">
        <v>2083</v>
      </c>
      <c r="C243" s="91">
        <v>0.68870879626621917</v>
      </c>
      <c r="D243" s="92">
        <v>27</v>
      </c>
      <c r="G243" s="5"/>
      <c r="H243" s="5"/>
      <c r="L243" s="7"/>
      <c r="M243" s="7"/>
      <c r="O243" s="5"/>
      <c r="P243" s="5"/>
    </row>
    <row r="244" spans="2:16" x14ac:dyDescent="0.25">
      <c r="B244" s="90">
        <v>2123</v>
      </c>
      <c r="C244" s="91">
        <v>0.69739803878070994</v>
      </c>
      <c r="D244" s="92">
        <v>27</v>
      </c>
      <c r="G244" s="5"/>
      <c r="H244" s="5"/>
      <c r="L244" s="7"/>
      <c r="M244" s="7"/>
      <c r="O244" s="5"/>
      <c r="P244" s="5"/>
    </row>
    <row r="245" spans="2:16" x14ac:dyDescent="0.25">
      <c r="B245" s="90">
        <v>2022</v>
      </c>
      <c r="C245" s="91">
        <v>0.73731135344036702</v>
      </c>
      <c r="D245" s="92">
        <v>27</v>
      </c>
      <c r="G245" s="5"/>
      <c r="H245" s="5"/>
      <c r="L245" s="7"/>
      <c r="M245" s="7"/>
      <c r="O245" s="5"/>
      <c r="P245" s="5"/>
    </row>
    <row r="246" spans="2:16" x14ac:dyDescent="0.25">
      <c r="B246" s="90">
        <v>2104</v>
      </c>
      <c r="C246" s="91">
        <v>0.76043793923553415</v>
      </c>
      <c r="D246" s="92">
        <v>27</v>
      </c>
      <c r="G246" s="5"/>
      <c r="H246" s="5"/>
      <c r="L246" s="7"/>
      <c r="M246" s="7"/>
      <c r="O246" s="5"/>
      <c r="P246" s="5"/>
    </row>
    <row r="247" spans="2:16" x14ac:dyDescent="0.25">
      <c r="B247" s="90">
        <v>2106</v>
      </c>
      <c r="C247" s="91">
        <v>0.76394352116767861</v>
      </c>
      <c r="D247" s="92">
        <v>27</v>
      </c>
      <c r="G247" s="5"/>
      <c r="H247" s="5"/>
      <c r="L247" s="7"/>
      <c r="M247" s="7"/>
      <c r="O247" s="5"/>
      <c r="P247" s="5"/>
    </row>
    <row r="248" spans="2:16" x14ac:dyDescent="0.25">
      <c r="B248" s="90">
        <v>2113</v>
      </c>
      <c r="C248" s="91">
        <v>0.81340205986883185</v>
      </c>
      <c r="D248" s="92">
        <v>27</v>
      </c>
      <c r="G248" s="5"/>
      <c r="H248" s="5"/>
      <c r="L248" s="7"/>
      <c r="M248" s="7"/>
      <c r="O248" s="5"/>
      <c r="P248" s="5"/>
    </row>
    <row r="249" spans="2:16" x14ac:dyDescent="0.25">
      <c r="B249" s="90">
        <v>2038</v>
      </c>
      <c r="C249" s="91">
        <v>0.82486177605103572</v>
      </c>
      <c r="D249" s="92">
        <v>27</v>
      </c>
      <c r="G249" s="5"/>
      <c r="H249" s="5"/>
      <c r="L249" s="7"/>
      <c r="M249" s="7"/>
      <c r="O249" s="5"/>
      <c r="P249" s="5"/>
    </row>
    <row r="250" spans="2:16" x14ac:dyDescent="0.25">
      <c r="B250" s="90">
        <v>2116</v>
      </c>
      <c r="C250" s="91">
        <v>0.86075187762651462</v>
      </c>
      <c r="D250" s="92">
        <v>27</v>
      </c>
      <c r="G250" s="5"/>
      <c r="H250" s="5"/>
      <c r="L250" s="7"/>
      <c r="M250" s="7"/>
      <c r="O250" s="5"/>
      <c r="P250" s="5"/>
    </row>
    <row r="251" spans="2:16" x14ac:dyDescent="0.25">
      <c r="B251" s="90">
        <v>2115</v>
      </c>
      <c r="C251" s="91">
        <v>0.86152514428624283</v>
      </c>
      <c r="D251" s="92">
        <v>27</v>
      </c>
      <c r="G251" s="5"/>
      <c r="H251" s="5"/>
      <c r="L251" s="7"/>
      <c r="M251" s="7"/>
      <c r="O251" s="5"/>
      <c r="P251" s="5"/>
    </row>
    <row r="252" spans="2:16" x14ac:dyDescent="0.25">
      <c r="B252" s="90">
        <v>2124</v>
      </c>
      <c r="C252" s="91">
        <v>1.1114907057621803</v>
      </c>
      <c r="D252" s="92">
        <v>27</v>
      </c>
      <c r="G252" s="5"/>
      <c r="H252" s="5"/>
      <c r="L252" s="7"/>
      <c r="M252" s="7"/>
      <c r="O252" s="5"/>
      <c r="P252" s="5"/>
    </row>
    <row r="253" spans="2:16" x14ac:dyDescent="0.25">
      <c r="B253" s="90">
        <v>1558</v>
      </c>
      <c r="C253" s="91">
        <v>6.1698366758053513E-2</v>
      </c>
      <c r="D253" s="92">
        <v>28</v>
      </c>
      <c r="G253" s="5"/>
      <c r="H253" s="5"/>
      <c r="L253" s="7"/>
      <c r="M253" s="7"/>
      <c r="O253" s="5"/>
      <c r="P253" s="5"/>
    </row>
    <row r="254" spans="2:16" x14ac:dyDescent="0.25">
      <c r="B254" s="90">
        <v>1592</v>
      </c>
      <c r="C254" s="91">
        <v>0.1160755848184315</v>
      </c>
      <c r="D254" s="92">
        <v>28</v>
      </c>
      <c r="G254" s="5"/>
      <c r="H254" s="5"/>
      <c r="L254" s="7"/>
      <c r="M254" s="7"/>
      <c r="O254" s="5"/>
      <c r="P254" s="5"/>
    </row>
    <row r="255" spans="2:16" x14ac:dyDescent="0.25">
      <c r="B255" s="90">
        <v>2005</v>
      </c>
      <c r="C255" s="91">
        <v>0.16445145729090094</v>
      </c>
      <c r="D255" s="92">
        <v>28</v>
      </c>
      <c r="G255" s="5"/>
      <c r="H255" s="5"/>
      <c r="L255" s="7"/>
      <c r="M255" s="7"/>
      <c r="O255" s="5"/>
      <c r="P255" s="5"/>
    </row>
    <row r="256" spans="2:16" x14ac:dyDescent="0.25">
      <c r="B256" s="90">
        <v>2073</v>
      </c>
      <c r="C256" s="91">
        <v>0.27672241369924866</v>
      </c>
      <c r="D256" s="92">
        <v>28</v>
      </c>
      <c r="G256" s="5"/>
      <c r="H256" s="5"/>
      <c r="L256" s="7"/>
      <c r="M256" s="7"/>
      <c r="O256" s="5"/>
      <c r="P256" s="5"/>
    </row>
    <row r="257" spans="2:16" x14ac:dyDescent="0.25">
      <c r="B257" s="90">
        <v>1165</v>
      </c>
      <c r="C257" s="91">
        <v>5.0491614637411697E-2</v>
      </c>
      <c r="D257" s="92">
        <v>30</v>
      </c>
      <c r="G257" s="5"/>
      <c r="H257" s="5"/>
      <c r="L257" s="7"/>
      <c r="M257" s="7"/>
      <c r="O257" s="5"/>
      <c r="P257" s="5"/>
    </row>
    <row r="258" spans="2:16" x14ac:dyDescent="0.25">
      <c r="B258" s="90">
        <v>2128</v>
      </c>
      <c r="C258" s="91">
        <v>1.5241643627341483E-2</v>
      </c>
      <c r="D258" s="92">
        <v>32</v>
      </c>
      <c r="G258" s="5"/>
      <c r="H258" s="5"/>
      <c r="L258" s="7"/>
      <c r="M258" s="7"/>
      <c r="O258" s="5"/>
      <c r="P258" s="5"/>
    </row>
    <row r="259" spans="2:16" x14ac:dyDescent="0.25">
      <c r="B259" s="90">
        <v>1920</v>
      </c>
      <c r="C259" s="91">
        <v>5.0960686569138103E-2</v>
      </c>
      <c r="D259" s="92">
        <v>32</v>
      </c>
      <c r="G259" s="5"/>
      <c r="H259" s="5"/>
      <c r="L259" s="7"/>
      <c r="M259" s="7"/>
      <c r="O259" s="5"/>
      <c r="P259" s="5"/>
    </row>
    <row r="260" spans="2:16" x14ac:dyDescent="0.25">
      <c r="B260" s="90">
        <v>1905</v>
      </c>
      <c r="C260" s="91">
        <v>5.1638532544358684E-2</v>
      </c>
      <c r="D260" s="92">
        <v>32</v>
      </c>
      <c r="G260" s="5"/>
      <c r="H260" s="5"/>
      <c r="L260" s="7"/>
      <c r="M260" s="7"/>
      <c r="O260" s="5"/>
      <c r="P260" s="5"/>
    </row>
    <row r="261" spans="2:16" x14ac:dyDescent="0.25">
      <c r="B261" s="90">
        <v>1941</v>
      </c>
      <c r="C261" s="91">
        <v>0.12966381081312706</v>
      </c>
      <c r="D261" s="92">
        <v>32</v>
      </c>
      <c r="G261" s="5"/>
      <c r="H261" s="5"/>
      <c r="L261" s="7"/>
      <c r="M261" s="7"/>
      <c r="O261" s="5"/>
      <c r="P261" s="5"/>
    </row>
    <row r="262" spans="2:16" x14ac:dyDescent="0.25">
      <c r="B262" s="90">
        <v>1987</v>
      </c>
      <c r="C262" s="91">
        <v>0.19567469027187689</v>
      </c>
      <c r="D262" s="92">
        <v>32</v>
      </c>
      <c r="G262" s="5"/>
      <c r="H262" s="5"/>
      <c r="L262" s="7"/>
      <c r="M262" s="7"/>
      <c r="O262" s="5"/>
      <c r="P262" s="5"/>
    </row>
    <row r="263" spans="2:16" x14ac:dyDescent="0.25">
      <c r="B263" s="90">
        <v>1960</v>
      </c>
      <c r="C263" s="91">
        <v>0.22627970075862047</v>
      </c>
      <c r="D263" s="92">
        <v>32</v>
      </c>
      <c r="G263" s="5"/>
      <c r="H263" s="5"/>
      <c r="L263" s="7"/>
      <c r="M263" s="7"/>
      <c r="O263" s="5"/>
      <c r="P263" s="5"/>
    </row>
    <row r="264" spans="2:16" x14ac:dyDescent="0.25">
      <c r="B264" s="90">
        <v>1979</v>
      </c>
      <c r="C264" s="91">
        <v>0.33868621154312784</v>
      </c>
      <c r="D264" s="92">
        <v>32</v>
      </c>
      <c r="G264" s="5"/>
      <c r="H264" s="5"/>
      <c r="L264" s="7"/>
      <c r="M264" s="7"/>
      <c r="O264" s="5"/>
      <c r="P264" s="5"/>
    </row>
    <row r="265" spans="2:16" x14ac:dyDescent="0.25">
      <c r="B265" s="90">
        <v>2059</v>
      </c>
      <c r="C265" s="91">
        <v>0.35318909018149713</v>
      </c>
      <c r="D265" s="92">
        <v>32</v>
      </c>
      <c r="G265" s="5"/>
      <c r="H265" s="5"/>
      <c r="L265" s="7"/>
      <c r="M265" s="7"/>
      <c r="O265" s="5"/>
      <c r="P265" s="5"/>
    </row>
    <row r="266" spans="2:16" x14ac:dyDescent="0.25">
      <c r="B266" s="90">
        <v>2072</v>
      </c>
      <c r="C266" s="91">
        <v>0.35457197404095186</v>
      </c>
      <c r="D266" s="92">
        <v>32</v>
      </c>
      <c r="G266" s="5"/>
      <c r="H266" s="5"/>
      <c r="L266" s="7"/>
      <c r="M266" s="7"/>
      <c r="O266" s="5"/>
      <c r="P266" s="5"/>
    </row>
    <row r="267" spans="2:16" x14ac:dyDescent="0.25">
      <c r="B267" s="90">
        <v>1997</v>
      </c>
      <c r="C267" s="91">
        <v>0.38610616203296289</v>
      </c>
      <c r="D267" s="92">
        <v>32</v>
      </c>
      <c r="G267" s="5"/>
      <c r="H267" s="5"/>
      <c r="L267" s="7"/>
      <c r="M267" s="7"/>
      <c r="O267" s="5"/>
      <c r="P267" s="5"/>
    </row>
    <row r="268" spans="2:16" x14ac:dyDescent="0.25">
      <c r="B268" s="90">
        <v>2045</v>
      </c>
      <c r="C268" s="91">
        <v>0.43027996407422098</v>
      </c>
      <c r="D268" s="92">
        <v>32</v>
      </c>
      <c r="G268" s="5"/>
      <c r="H268" s="5"/>
      <c r="L268" s="7"/>
      <c r="M268" s="7"/>
      <c r="O268" s="5"/>
      <c r="P268" s="5"/>
    </row>
    <row r="269" spans="2:16" x14ac:dyDescent="0.25">
      <c r="B269" s="90">
        <v>2014</v>
      </c>
      <c r="C269" s="91">
        <v>0.55824994239800929</v>
      </c>
      <c r="D269" s="92">
        <v>33</v>
      </c>
      <c r="G269" s="5"/>
      <c r="H269" s="5"/>
      <c r="L269" s="7"/>
      <c r="M269" s="7"/>
      <c r="O269" s="5"/>
      <c r="P269" s="5"/>
    </row>
    <row r="270" spans="2:16" x14ac:dyDescent="0.25">
      <c r="B270" s="90">
        <v>2070</v>
      </c>
      <c r="C270" s="91">
        <v>1.2517955202704378E-2</v>
      </c>
      <c r="D270" s="92">
        <v>34</v>
      </c>
      <c r="G270" s="5"/>
      <c r="H270" s="5"/>
      <c r="L270" s="7"/>
      <c r="M270" s="7"/>
      <c r="O270" s="5"/>
      <c r="P270" s="5"/>
    </row>
    <row r="271" spans="2:16" x14ac:dyDescent="0.25">
      <c r="B271" s="90">
        <v>1336</v>
      </c>
      <c r="C271" s="91">
        <v>2.3691747675556041E-2</v>
      </c>
      <c r="D271" s="92">
        <v>34</v>
      </c>
      <c r="G271" s="5"/>
      <c r="H271" s="5"/>
      <c r="L271" s="7"/>
      <c r="M271" s="7"/>
      <c r="O271" s="5"/>
      <c r="P271" s="5"/>
    </row>
    <row r="272" spans="2:16" x14ac:dyDescent="0.25">
      <c r="B272" s="90">
        <v>1415</v>
      </c>
      <c r="C272" s="91">
        <v>3.3288444299354625E-2</v>
      </c>
      <c r="D272" s="92">
        <v>34</v>
      </c>
      <c r="G272" s="5"/>
      <c r="H272" s="5"/>
      <c r="L272" s="7"/>
      <c r="M272" s="7"/>
      <c r="O272" s="5"/>
      <c r="P272" s="5"/>
    </row>
    <row r="273" spans="2:16" x14ac:dyDescent="0.25">
      <c r="B273" s="90">
        <v>1454</v>
      </c>
      <c r="C273" s="91">
        <v>4.2128022234102946E-2</v>
      </c>
      <c r="D273" s="92">
        <v>34</v>
      </c>
      <c r="G273" s="5"/>
      <c r="H273" s="5"/>
      <c r="L273" s="7"/>
      <c r="M273" s="7"/>
      <c r="O273" s="5"/>
      <c r="P273" s="5"/>
    </row>
    <row r="274" spans="2:16" x14ac:dyDescent="0.25">
      <c r="B274" s="90">
        <v>1376</v>
      </c>
      <c r="C274" s="91">
        <v>5.4306904241690379E-2</v>
      </c>
      <c r="D274" s="92">
        <v>34</v>
      </c>
      <c r="G274" s="5"/>
      <c r="H274" s="5"/>
      <c r="L274" s="7"/>
      <c r="M274" s="7"/>
      <c r="O274" s="5"/>
      <c r="P274" s="5"/>
    </row>
    <row r="275" spans="2:16" x14ac:dyDescent="0.25">
      <c r="B275" s="90">
        <v>325</v>
      </c>
      <c r="C275" s="91">
        <v>5.5385213615472217E-2</v>
      </c>
      <c r="D275" s="92">
        <v>34</v>
      </c>
      <c r="G275" s="5"/>
      <c r="H275" s="5"/>
      <c r="L275" s="7"/>
      <c r="M275" s="7"/>
      <c r="O275" s="5"/>
      <c r="P275" s="5"/>
    </row>
    <row r="276" spans="2:16" x14ac:dyDescent="0.25">
      <c r="B276" s="90">
        <v>1210</v>
      </c>
      <c r="C276" s="91">
        <v>5.7029384634980307E-2</v>
      </c>
      <c r="D276" s="92">
        <v>34</v>
      </c>
      <c r="G276" s="5"/>
      <c r="H276" s="5"/>
      <c r="L276" s="7"/>
      <c r="M276" s="7"/>
      <c r="O276" s="5"/>
      <c r="P276" s="5"/>
    </row>
    <row r="277" spans="2:16" x14ac:dyDescent="0.25">
      <c r="B277" s="90">
        <v>1295</v>
      </c>
      <c r="C277" s="91">
        <v>6.8655564663475221E-2</v>
      </c>
      <c r="D277" s="92">
        <v>34</v>
      </c>
      <c r="G277" s="5"/>
      <c r="H277" s="5"/>
      <c r="L277" s="7"/>
      <c r="M277" s="7"/>
      <c r="O277" s="5"/>
      <c r="P277" s="5"/>
    </row>
    <row r="278" spans="2:16" x14ac:dyDescent="0.25">
      <c r="B278" s="90">
        <v>1491</v>
      </c>
      <c r="C278" s="91">
        <v>8.346823084087085E-2</v>
      </c>
      <c r="D278" s="92">
        <v>34</v>
      </c>
      <c r="G278" s="5"/>
      <c r="H278" s="5"/>
      <c r="L278" s="7"/>
      <c r="M278" s="7"/>
      <c r="O278" s="5"/>
      <c r="P278" s="5"/>
    </row>
    <row r="279" spans="2:16" x14ac:dyDescent="0.25">
      <c r="B279" s="90">
        <v>1253</v>
      </c>
      <c r="C279" s="91">
        <v>9.2735678672093647E-2</v>
      </c>
      <c r="D279" s="92">
        <v>34</v>
      </c>
      <c r="G279" s="5"/>
      <c r="H279" s="5"/>
      <c r="L279" s="7"/>
      <c r="M279" s="7"/>
      <c r="O279" s="5"/>
      <c r="P279" s="5"/>
    </row>
    <row r="280" spans="2:16" x14ac:dyDescent="0.25">
      <c r="B280" s="90">
        <v>1493</v>
      </c>
      <c r="C280" s="91">
        <v>0.10251327930170107</v>
      </c>
      <c r="D280" s="92">
        <v>34</v>
      </c>
      <c r="G280" s="5"/>
      <c r="H280" s="5"/>
      <c r="L280" s="7"/>
      <c r="M280" s="7"/>
      <c r="O280" s="5"/>
      <c r="P280" s="5"/>
    </row>
    <row r="281" spans="2:16" x14ac:dyDescent="0.25">
      <c r="B281" s="90">
        <v>1458</v>
      </c>
      <c r="C281" s="91">
        <v>0.10842119194751043</v>
      </c>
      <c r="D281" s="92">
        <v>34</v>
      </c>
      <c r="G281" s="5"/>
      <c r="H281" s="5"/>
      <c r="L281" s="7"/>
      <c r="M281" s="7"/>
      <c r="O281" s="5"/>
      <c r="P281" s="5"/>
    </row>
    <row r="282" spans="2:16" x14ac:dyDescent="0.25">
      <c r="B282" s="90">
        <v>1529</v>
      </c>
      <c r="C282" s="91">
        <v>0.14159058524109547</v>
      </c>
      <c r="D282" s="92">
        <v>34</v>
      </c>
      <c r="G282" s="5"/>
      <c r="H282" s="5"/>
      <c r="L282" s="7"/>
      <c r="M282" s="7"/>
      <c r="O282" s="5"/>
      <c r="P282" s="5"/>
    </row>
    <row r="283" spans="2:16" x14ac:dyDescent="0.25">
      <c r="B283" s="90">
        <v>1495</v>
      </c>
      <c r="C283" s="91">
        <v>0.16157381336044196</v>
      </c>
      <c r="D283" s="92">
        <v>34</v>
      </c>
      <c r="G283" s="5"/>
      <c r="H283" s="5"/>
      <c r="L283" s="7"/>
      <c r="M283" s="7"/>
      <c r="O283" s="5"/>
      <c r="P283" s="5"/>
    </row>
    <row r="284" spans="2:16" x14ac:dyDescent="0.25">
      <c r="B284" s="90">
        <v>1564</v>
      </c>
      <c r="C284" s="91">
        <v>0.17222192331021391</v>
      </c>
      <c r="D284" s="92">
        <v>34</v>
      </c>
      <c r="G284" s="5"/>
      <c r="H284" s="5"/>
      <c r="L284" s="7"/>
      <c r="M284" s="7"/>
      <c r="O284" s="5"/>
      <c r="P284" s="5"/>
    </row>
    <row r="285" spans="2:16" x14ac:dyDescent="0.25">
      <c r="B285" s="90">
        <v>1531</v>
      </c>
      <c r="C285" s="91">
        <v>0.20218317459592972</v>
      </c>
      <c r="D285" s="92">
        <v>34</v>
      </c>
      <c r="G285" s="5"/>
      <c r="H285" s="5"/>
      <c r="L285" s="7"/>
      <c r="M285" s="7"/>
      <c r="O285" s="5"/>
      <c r="P285" s="5"/>
    </row>
    <row r="286" spans="2:16" x14ac:dyDescent="0.25">
      <c r="B286" s="90">
        <v>1598</v>
      </c>
      <c r="C286" s="91">
        <v>0.23058504158587112</v>
      </c>
      <c r="D286" s="92">
        <v>34</v>
      </c>
      <c r="G286" s="5"/>
      <c r="H286" s="5"/>
      <c r="L286" s="7"/>
      <c r="M286" s="7"/>
      <c r="O286" s="5"/>
      <c r="P286" s="5"/>
    </row>
    <row r="287" spans="2:16" x14ac:dyDescent="0.25">
      <c r="B287" s="90">
        <v>1566</v>
      </c>
      <c r="C287" s="91">
        <v>0.23386533966991507</v>
      </c>
      <c r="D287" s="92">
        <v>34</v>
      </c>
      <c r="G287" s="5"/>
      <c r="H287" s="5"/>
      <c r="L287" s="7"/>
      <c r="M287" s="7"/>
      <c r="O287" s="5"/>
      <c r="P287" s="5"/>
    </row>
    <row r="288" spans="2:16" x14ac:dyDescent="0.25">
      <c r="B288" s="90">
        <v>1459</v>
      </c>
      <c r="C288" s="91">
        <v>0.23711246710655942</v>
      </c>
      <c r="D288" s="92">
        <v>34</v>
      </c>
      <c r="G288" s="5"/>
      <c r="H288" s="5"/>
      <c r="L288" s="7"/>
      <c r="M288" s="7"/>
      <c r="O288" s="5"/>
      <c r="P288" s="5"/>
    </row>
    <row r="289" spans="2:16" x14ac:dyDescent="0.25">
      <c r="B289" s="90">
        <v>1496</v>
      </c>
      <c r="C289" s="91">
        <v>0.27816507661737722</v>
      </c>
      <c r="D289" s="92">
        <v>34</v>
      </c>
      <c r="G289" s="5"/>
      <c r="H289" s="5"/>
      <c r="L289" s="7"/>
      <c r="M289" s="7"/>
      <c r="O289" s="5"/>
      <c r="P289" s="5"/>
    </row>
    <row r="290" spans="2:16" x14ac:dyDescent="0.25">
      <c r="B290" s="90">
        <v>9</v>
      </c>
      <c r="C290" s="91">
        <v>0.29083717161028833</v>
      </c>
      <c r="D290" s="92">
        <v>34</v>
      </c>
      <c r="G290" s="5"/>
      <c r="H290" s="5"/>
      <c r="L290" s="7"/>
      <c r="M290" s="7"/>
      <c r="O290" s="5"/>
      <c r="P290" s="5"/>
    </row>
    <row r="291" spans="2:16" x14ac:dyDescent="0.25">
      <c r="B291" s="90">
        <v>2110</v>
      </c>
      <c r="C291" s="91">
        <v>0.29083717161028833</v>
      </c>
      <c r="D291" s="92">
        <v>34</v>
      </c>
      <c r="G291" s="5"/>
      <c r="H291" s="5"/>
      <c r="L291" s="7"/>
      <c r="M291" s="7"/>
      <c r="O291" s="5"/>
      <c r="P291" s="5"/>
    </row>
    <row r="292" spans="2:16" x14ac:dyDescent="0.25">
      <c r="B292" s="90">
        <v>1600</v>
      </c>
      <c r="C292" s="91">
        <v>0.29472613540912151</v>
      </c>
      <c r="D292" s="92">
        <v>34</v>
      </c>
      <c r="G292" s="5"/>
      <c r="H292" s="5"/>
      <c r="L292" s="7"/>
      <c r="M292" s="7"/>
      <c r="O292" s="5"/>
      <c r="P292" s="5"/>
    </row>
    <row r="293" spans="2:16" x14ac:dyDescent="0.25">
      <c r="B293" s="90">
        <v>1633</v>
      </c>
      <c r="C293" s="91">
        <v>0.31214168044451418</v>
      </c>
      <c r="D293" s="92">
        <v>34</v>
      </c>
      <c r="G293" s="5"/>
      <c r="H293" s="5"/>
      <c r="L293" s="7"/>
      <c r="M293" s="7"/>
      <c r="O293" s="5"/>
      <c r="P293" s="5"/>
    </row>
    <row r="294" spans="2:16" x14ac:dyDescent="0.25">
      <c r="B294" s="90">
        <v>1532</v>
      </c>
      <c r="C294" s="91">
        <v>0.31652597972299346</v>
      </c>
      <c r="D294" s="92">
        <v>34</v>
      </c>
      <c r="G294" s="5"/>
      <c r="H294" s="5"/>
      <c r="L294" s="7"/>
      <c r="M294" s="7"/>
      <c r="O294" s="5"/>
      <c r="P294" s="5"/>
    </row>
    <row r="295" spans="2:16" x14ac:dyDescent="0.25">
      <c r="B295" s="90">
        <v>1665</v>
      </c>
      <c r="C295" s="91">
        <v>0.31786104343081345</v>
      </c>
      <c r="D295" s="92">
        <v>34</v>
      </c>
      <c r="G295" s="5"/>
      <c r="H295" s="5"/>
      <c r="L295" s="7"/>
      <c r="M295" s="7"/>
      <c r="O295" s="5"/>
      <c r="P295" s="5"/>
    </row>
    <row r="296" spans="2:16" x14ac:dyDescent="0.25">
      <c r="B296" s="90">
        <v>1696</v>
      </c>
      <c r="C296" s="91">
        <v>0.33836059101040561</v>
      </c>
      <c r="D296" s="92">
        <v>34</v>
      </c>
      <c r="G296" s="5"/>
      <c r="H296" s="5"/>
      <c r="L296" s="7"/>
      <c r="M296" s="7"/>
      <c r="O296" s="5"/>
      <c r="P296" s="5"/>
    </row>
    <row r="297" spans="2:16" x14ac:dyDescent="0.25">
      <c r="B297" s="90">
        <v>1567</v>
      </c>
      <c r="C297" s="91">
        <v>0.34693972575420551</v>
      </c>
      <c r="D297" s="92">
        <v>34</v>
      </c>
      <c r="G297" s="5"/>
      <c r="H297" s="5"/>
      <c r="L297" s="7"/>
      <c r="M297" s="7"/>
      <c r="O297" s="5"/>
      <c r="P297" s="5"/>
    </row>
    <row r="298" spans="2:16" x14ac:dyDescent="0.25">
      <c r="B298" s="90">
        <v>1601</v>
      </c>
      <c r="C298" s="91">
        <v>0.40628419992000564</v>
      </c>
      <c r="D298" s="92">
        <v>34</v>
      </c>
      <c r="G298" s="5"/>
      <c r="H298" s="5"/>
      <c r="L298" s="7"/>
      <c r="M298" s="7"/>
      <c r="O298" s="5"/>
      <c r="P298" s="5"/>
    </row>
    <row r="299" spans="2:16" x14ac:dyDescent="0.25">
      <c r="B299" s="90">
        <v>1666</v>
      </c>
      <c r="C299" s="91">
        <v>0.42396493745706409</v>
      </c>
      <c r="D299" s="92">
        <v>34</v>
      </c>
      <c r="G299" s="5"/>
      <c r="H299" s="5"/>
      <c r="L299" s="7"/>
      <c r="M299" s="7"/>
      <c r="O299" s="5"/>
      <c r="P299" s="5"/>
    </row>
    <row r="300" spans="2:16" x14ac:dyDescent="0.25">
      <c r="B300" s="90">
        <v>1634</v>
      </c>
      <c r="C300" s="91">
        <v>0.424331368706094</v>
      </c>
      <c r="D300" s="92">
        <v>34</v>
      </c>
      <c r="G300" s="5"/>
      <c r="H300" s="5"/>
      <c r="L300" s="7"/>
      <c r="M300" s="7"/>
      <c r="O300" s="5"/>
      <c r="P300" s="5"/>
    </row>
    <row r="301" spans="2:16" x14ac:dyDescent="0.25">
      <c r="B301" s="90">
        <v>1697</v>
      </c>
      <c r="C301" s="91">
        <v>0.44958138142883697</v>
      </c>
      <c r="D301" s="92">
        <v>34</v>
      </c>
      <c r="G301" s="5"/>
      <c r="H301" s="5"/>
      <c r="L301" s="7"/>
      <c r="M301" s="7"/>
      <c r="O301" s="5"/>
      <c r="P301" s="5"/>
    </row>
    <row r="302" spans="2:16" x14ac:dyDescent="0.25">
      <c r="B302" s="90">
        <v>2030</v>
      </c>
      <c r="C302" s="91">
        <v>0.56488969648773357</v>
      </c>
      <c r="D302" s="92">
        <v>34</v>
      </c>
      <c r="G302" s="5"/>
      <c r="H302" s="5"/>
      <c r="L302" s="7"/>
      <c r="M302" s="7"/>
      <c r="O302" s="5"/>
      <c r="P302" s="5"/>
    </row>
    <row r="303" spans="2:16" x14ac:dyDescent="0.25">
      <c r="B303" s="90">
        <v>2095</v>
      </c>
      <c r="C303" s="91">
        <v>0.51552339327499697</v>
      </c>
      <c r="D303" s="92">
        <v>35</v>
      </c>
      <c r="G303" s="5"/>
      <c r="H303" s="5"/>
      <c r="L303" s="7"/>
      <c r="M303" s="7"/>
      <c r="O303" s="5"/>
      <c r="P303" s="5"/>
    </row>
    <row r="304" spans="2:16" x14ac:dyDescent="0.25">
      <c r="B304" s="90">
        <v>1407</v>
      </c>
      <c r="C304" s="91">
        <v>0.52245247479942847</v>
      </c>
      <c r="D304" s="92">
        <v>35</v>
      </c>
      <c r="G304" s="5"/>
      <c r="H304" s="5"/>
      <c r="L304" s="7"/>
      <c r="M304" s="7"/>
      <c r="O304" s="5"/>
      <c r="P304" s="5"/>
    </row>
    <row r="305" spans="2:16" x14ac:dyDescent="0.25">
      <c r="B305" s="90">
        <v>1287</v>
      </c>
      <c r="C305" s="91">
        <v>0.5330167503379748</v>
      </c>
      <c r="D305" s="92">
        <v>35</v>
      </c>
      <c r="G305" s="5"/>
      <c r="H305" s="5"/>
      <c r="L305" s="7"/>
      <c r="M305" s="7"/>
      <c r="O305" s="5"/>
      <c r="P305" s="5"/>
    </row>
    <row r="306" spans="2:16" x14ac:dyDescent="0.25">
      <c r="B306" s="90">
        <v>2084</v>
      </c>
      <c r="C306" s="91">
        <v>0.61069427408201826</v>
      </c>
      <c r="D306" s="92">
        <v>35</v>
      </c>
      <c r="G306" s="5"/>
      <c r="H306" s="5"/>
      <c r="L306" s="7"/>
      <c r="M306" s="7"/>
      <c r="O306" s="5"/>
      <c r="P306" s="5"/>
    </row>
    <row r="307" spans="2:16" x14ac:dyDescent="0.25">
      <c r="B307" s="90">
        <v>2122</v>
      </c>
      <c r="C307" s="91">
        <v>0.68554705445619868</v>
      </c>
      <c r="D307" s="92">
        <v>35</v>
      </c>
      <c r="G307" s="5"/>
      <c r="H307" s="5"/>
      <c r="L307" s="7"/>
      <c r="M307" s="7"/>
      <c r="O307" s="5"/>
      <c r="P307" s="5"/>
    </row>
    <row r="308" spans="2:16" x14ac:dyDescent="0.25">
      <c r="B308" s="90">
        <v>2105</v>
      </c>
      <c r="C308" s="91">
        <v>0.74623250417106846</v>
      </c>
      <c r="D308" s="92">
        <v>35</v>
      </c>
      <c r="G308" s="5"/>
      <c r="H308" s="5"/>
      <c r="L308" s="7"/>
      <c r="M308" s="7"/>
      <c r="O308" s="5"/>
      <c r="P308" s="5"/>
    </row>
    <row r="309" spans="2:16" x14ac:dyDescent="0.25">
      <c r="B309" s="90">
        <v>2114</v>
      </c>
      <c r="C309" s="91">
        <v>0.8299944488322113</v>
      </c>
      <c r="D309" s="92">
        <v>35</v>
      </c>
      <c r="G309" s="5"/>
      <c r="H309" s="5"/>
      <c r="L309" s="7"/>
      <c r="M309" s="7"/>
      <c r="O309" s="5"/>
      <c r="P309" s="5"/>
    </row>
    <row r="310" spans="2:16" x14ac:dyDescent="0.25">
      <c r="B310" s="90">
        <v>1948</v>
      </c>
      <c r="C310" s="91">
        <v>5.2295523332703264E-2</v>
      </c>
      <c r="D310" s="92">
        <v>36</v>
      </c>
      <c r="G310" s="5"/>
      <c r="H310" s="5"/>
      <c r="L310" s="7"/>
      <c r="M310" s="7"/>
      <c r="O310" s="5"/>
      <c r="P310" s="5"/>
    </row>
    <row r="311" spans="2:16" x14ac:dyDescent="0.25">
      <c r="B311" s="90">
        <v>2100</v>
      </c>
      <c r="C311" s="91">
        <v>7.9470201458290868E-2</v>
      </c>
      <c r="D311" s="92">
        <v>36</v>
      </c>
      <c r="G311" s="5"/>
      <c r="H311" s="5"/>
      <c r="L311" s="7"/>
      <c r="M311" s="7"/>
      <c r="O311" s="5"/>
      <c r="P311" s="5"/>
    </row>
    <row r="312" spans="2:16" x14ac:dyDescent="0.25">
      <c r="B312" s="90">
        <v>1952</v>
      </c>
      <c r="C312" s="91">
        <v>4.5300096918621802E-2</v>
      </c>
      <c r="D312" s="92">
        <v>38</v>
      </c>
      <c r="G312" s="5"/>
      <c r="H312" s="5"/>
      <c r="L312" s="7"/>
      <c r="M312" s="7"/>
      <c r="O312" s="5"/>
      <c r="P312" s="5"/>
    </row>
    <row r="313" spans="2:16" x14ac:dyDescent="0.25">
      <c r="B313" s="90">
        <v>1456</v>
      </c>
      <c r="C313" s="91">
        <v>4.9675790985440949E-2</v>
      </c>
      <c r="D313" s="92">
        <v>38</v>
      </c>
      <c r="G313" s="5"/>
      <c r="H313" s="5"/>
      <c r="L313" s="7"/>
      <c r="M313" s="7"/>
      <c r="O313" s="5"/>
      <c r="P313" s="5"/>
    </row>
    <row r="314" spans="2:16" x14ac:dyDescent="0.25">
      <c r="B314" s="90">
        <v>1494</v>
      </c>
      <c r="C314" s="91">
        <v>7.28333247657309E-2</v>
      </c>
      <c r="D314" s="92">
        <v>38</v>
      </c>
      <c r="G314" s="5"/>
      <c r="H314" s="5"/>
      <c r="L314" s="7"/>
      <c r="M314" s="7"/>
      <c r="O314" s="5"/>
      <c r="P314" s="5"/>
    </row>
    <row r="315" spans="2:16" x14ac:dyDescent="0.25">
      <c r="B315" s="90">
        <v>1530</v>
      </c>
      <c r="C315" s="91">
        <v>0.11640496282270818</v>
      </c>
      <c r="D315" s="92">
        <v>38</v>
      </c>
      <c r="G315" s="5"/>
      <c r="H315" s="5"/>
      <c r="L315" s="7"/>
      <c r="M315" s="7"/>
      <c r="O315" s="5"/>
      <c r="P315" s="5"/>
    </row>
    <row r="316" spans="2:16" x14ac:dyDescent="0.25">
      <c r="B316" s="90">
        <v>1565</v>
      </c>
      <c r="C316" s="91">
        <v>0.15041491657285078</v>
      </c>
      <c r="D316" s="92">
        <v>38</v>
      </c>
      <c r="G316" s="5"/>
      <c r="H316" s="5"/>
      <c r="L316" s="7"/>
      <c r="M316" s="7"/>
      <c r="O316" s="5"/>
      <c r="P316" s="5"/>
    </row>
    <row r="317" spans="2:16" x14ac:dyDescent="0.25">
      <c r="B317" s="90">
        <v>1599</v>
      </c>
      <c r="C317" s="91">
        <v>0.21475715857694821</v>
      </c>
      <c r="D317" s="92">
        <v>38</v>
      </c>
      <c r="G317" s="5"/>
      <c r="H317" s="5"/>
      <c r="L317" s="7"/>
      <c r="M317" s="7"/>
      <c r="O317" s="5"/>
      <c r="P317" s="5"/>
    </row>
    <row r="318" spans="2:16" x14ac:dyDescent="0.25">
      <c r="B318" s="90">
        <v>1632</v>
      </c>
      <c r="C318" s="91">
        <v>0.23461474446616026</v>
      </c>
      <c r="D318" s="92">
        <v>38</v>
      </c>
      <c r="G318" s="5"/>
      <c r="H318" s="5"/>
      <c r="L318" s="7"/>
      <c r="M318" s="7"/>
      <c r="O318" s="5"/>
      <c r="P318" s="5"/>
    </row>
    <row r="319" spans="2:16" x14ac:dyDescent="0.25">
      <c r="B319" s="90">
        <v>1664</v>
      </c>
      <c r="C319" s="91">
        <v>0.24432034242599698</v>
      </c>
      <c r="D319" s="92">
        <v>38</v>
      </c>
      <c r="G319" s="5"/>
      <c r="H319" s="5"/>
      <c r="L319" s="7"/>
      <c r="M319" s="7"/>
      <c r="O319" s="5"/>
      <c r="P319" s="5"/>
    </row>
    <row r="320" spans="2:16" x14ac:dyDescent="0.25">
      <c r="B320" s="90">
        <v>1695</v>
      </c>
      <c r="C320" s="91">
        <v>0.26404567137451651</v>
      </c>
      <c r="D320" s="92">
        <v>38</v>
      </c>
      <c r="G320" s="5"/>
      <c r="H320" s="5"/>
      <c r="L320" s="7"/>
      <c r="M320" s="7"/>
      <c r="O320" s="5"/>
      <c r="P320" s="5"/>
    </row>
    <row r="321" spans="2:16" x14ac:dyDescent="0.25">
      <c r="B321" s="90">
        <v>1919</v>
      </c>
      <c r="C321" s="91">
        <v>2.5467127892975339E-2</v>
      </c>
      <c r="D321" s="92">
        <v>40</v>
      </c>
      <c r="G321" s="5"/>
      <c r="H321" s="5"/>
      <c r="L321" s="7"/>
      <c r="M321" s="7"/>
      <c r="O321" s="5"/>
      <c r="P321" s="5"/>
    </row>
    <row r="322" spans="2:16" x14ac:dyDescent="0.25">
      <c r="B322" s="90">
        <v>1521</v>
      </c>
      <c r="C322" s="91">
        <v>3.2654551639037854E-2</v>
      </c>
      <c r="D322" s="92">
        <v>40</v>
      </c>
      <c r="G322" s="5"/>
      <c r="H322" s="5"/>
      <c r="L322" s="7"/>
      <c r="M322" s="7"/>
      <c r="O322" s="5"/>
      <c r="P322" s="5"/>
    </row>
    <row r="323" spans="2:16" x14ac:dyDescent="0.25">
      <c r="B323" s="90">
        <v>1850</v>
      </c>
      <c r="C323" s="91">
        <v>3.2780178287791117E-2</v>
      </c>
      <c r="D323" s="92">
        <v>40</v>
      </c>
      <c r="G323" s="5"/>
      <c r="H323" s="5"/>
      <c r="L323" s="7"/>
      <c r="M323" s="7"/>
      <c r="O323" s="5"/>
      <c r="P323" s="5"/>
    </row>
    <row r="324" spans="2:16" x14ac:dyDescent="0.25">
      <c r="B324" s="90">
        <v>1556</v>
      </c>
      <c r="C324" s="91">
        <v>3.6285768431923882E-2</v>
      </c>
      <c r="D324" s="92">
        <v>40</v>
      </c>
      <c r="G324" s="5"/>
      <c r="H324" s="5"/>
      <c r="L324" s="7"/>
      <c r="M324" s="7"/>
      <c r="O324" s="5"/>
      <c r="P324" s="5"/>
    </row>
    <row r="325" spans="2:16" x14ac:dyDescent="0.25">
      <c r="B325" s="90">
        <v>1485</v>
      </c>
      <c r="C325" s="91">
        <v>4.6887484321344153E-2</v>
      </c>
      <c r="D325" s="92">
        <v>40</v>
      </c>
      <c r="G325" s="5"/>
      <c r="H325" s="5"/>
      <c r="L325" s="7"/>
      <c r="M325" s="7"/>
      <c r="O325" s="5"/>
      <c r="P325" s="5"/>
    </row>
    <row r="326" spans="2:16" x14ac:dyDescent="0.25">
      <c r="B326" s="90">
        <v>2130</v>
      </c>
      <c r="C326" s="91">
        <v>4.9000721646238254E-2</v>
      </c>
      <c r="D326" s="92">
        <v>40</v>
      </c>
      <c r="G326" s="5"/>
      <c r="H326" s="5"/>
      <c r="L326" s="7"/>
      <c r="M326" s="7"/>
      <c r="O326" s="5"/>
      <c r="P326" s="5"/>
    </row>
    <row r="327" spans="2:16" x14ac:dyDescent="0.25">
      <c r="B327" s="90">
        <v>1825</v>
      </c>
      <c r="C327" s="91">
        <v>5.2350250548393928E-2</v>
      </c>
      <c r="D327" s="92">
        <v>40</v>
      </c>
      <c r="G327" s="5"/>
      <c r="H327" s="5"/>
      <c r="L327" s="7"/>
      <c r="M327" s="7"/>
      <c r="O327" s="5"/>
      <c r="P327" s="5"/>
    </row>
    <row r="328" spans="2:16" x14ac:dyDescent="0.25">
      <c r="B328" s="90">
        <v>1555</v>
      </c>
      <c r="C328" s="91">
        <v>7.117477910507386E-2</v>
      </c>
      <c r="D328" s="92">
        <v>40</v>
      </c>
      <c r="G328" s="5"/>
      <c r="H328" s="5"/>
      <c r="L328" s="7"/>
      <c r="M328" s="7"/>
      <c r="O328" s="5"/>
      <c r="P328" s="5"/>
    </row>
    <row r="329" spans="2:16" x14ac:dyDescent="0.25">
      <c r="B329" s="90">
        <v>1590</v>
      </c>
      <c r="C329" s="91">
        <v>7.7694779712626505E-2</v>
      </c>
      <c r="D329" s="92">
        <v>40</v>
      </c>
      <c r="G329" s="5"/>
      <c r="H329" s="5"/>
      <c r="L329" s="7"/>
      <c r="M329" s="7"/>
      <c r="O329" s="5"/>
      <c r="P329" s="5"/>
    </row>
    <row r="330" spans="2:16" x14ac:dyDescent="0.25">
      <c r="B330" s="90">
        <v>1874</v>
      </c>
      <c r="C330" s="91">
        <v>8.9242309746385917E-2</v>
      </c>
      <c r="D330" s="92">
        <v>40</v>
      </c>
      <c r="G330" s="5"/>
      <c r="H330" s="5"/>
      <c r="L330" s="7"/>
      <c r="M330" s="7"/>
      <c r="O330" s="5"/>
      <c r="P330" s="5"/>
    </row>
    <row r="331" spans="2:16" x14ac:dyDescent="0.25">
      <c r="B331" s="90">
        <v>1623</v>
      </c>
      <c r="C331" s="91">
        <v>9.6654990702661925E-2</v>
      </c>
      <c r="D331" s="92">
        <v>40</v>
      </c>
      <c r="G331" s="5"/>
      <c r="H331" s="5"/>
      <c r="L331" s="7"/>
      <c r="M331" s="7"/>
      <c r="O331" s="5"/>
      <c r="P331" s="5"/>
    </row>
    <row r="332" spans="2:16" x14ac:dyDescent="0.25">
      <c r="B332" s="90">
        <v>1799</v>
      </c>
      <c r="C332" s="91">
        <v>0.10133544529287142</v>
      </c>
      <c r="D332" s="92">
        <v>40</v>
      </c>
      <c r="G332" s="5"/>
      <c r="H332" s="5"/>
      <c r="L332" s="7"/>
      <c r="M332" s="7"/>
      <c r="O332" s="5"/>
      <c r="P332" s="5"/>
    </row>
    <row r="333" spans="2:16" x14ac:dyDescent="0.25">
      <c r="B333" s="90">
        <v>1655</v>
      </c>
      <c r="C333" s="91">
        <v>0.10798602516335132</v>
      </c>
      <c r="D333" s="92">
        <v>40</v>
      </c>
      <c r="G333" s="5"/>
      <c r="H333" s="5"/>
      <c r="L333" s="7"/>
      <c r="M333" s="7"/>
      <c r="O333" s="5"/>
      <c r="P333" s="5"/>
    </row>
    <row r="334" spans="2:16" x14ac:dyDescent="0.25">
      <c r="B334" s="90">
        <v>1897</v>
      </c>
      <c r="C334" s="91">
        <v>0.11502350806291772</v>
      </c>
      <c r="D334" s="92">
        <v>40</v>
      </c>
      <c r="G334" s="5"/>
      <c r="H334" s="5"/>
      <c r="L334" s="7"/>
      <c r="M334" s="7"/>
      <c r="O334" s="5"/>
      <c r="P334" s="5"/>
    </row>
    <row r="335" spans="2:16" x14ac:dyDescent="0.25">
      <c r="B335" s="90">
        <v>1589</v>
      </c>
      <c r="C335" s="91">
        <v>0.1212626646133762</v>
      </c>
      <c r="D335" s="92">
        <v>40</v>
      </c>
      <c r="G335" s="5"/>
      <c r="H335" s="5"/>
      <c r="L335" s="7"/>
      <c r="M335" s="7"/>
      <c r="O335" s="5"/>
      <c r="P335" s="5"/>
    </row>
    <row r="336" spans="2:16" x14ac:dyDescent="0.25">
      <c r="B336" s="90">
        <v>1686</v>
      </c>
      <c r="C336" s="91">
        <v>0.12544524596487683</v>
      </c>
      <c r="D336" s="92">
        <v>40</v>
      </c>
      <c r="G336" s="5"/>
      <c r="H336" s="5"/>
      <c r="L336" s="7"/>
      <c r="M336" s="7"/>
      <c r="O336" s="5"/>
      <c r="P336" s="5"/>
    </row>
    <row r="337" spans="2:16" x14ac:dyDescent="0.25">
      <c r="B337" s="90">
        <v>1622</v>
      </c>
      <c r="C337" s="91">
        <v>0.13790673176691681</v>
      </c>
      <c r="D337" s="92">
        <v>40</v>
      </c>
      <c r="G337" s="5"/>
      <c r="H337" s="5"/>
      <c r="L337" s="7"/>
      <c r="M337" s="7"/>
      <c r="O337" s="5"/>
      <c r="P337" s="5"/>
    </row>
    <row r="338" spans="2:16" x14ac:dyDescent="0.25">
      <c r="B338" s="90">
        <v>1654</v>
      </c>
      <c r="C338" s="91">
        <v>0.14738530570315744</v>
      </c>
      <c r="D338" s="92">
        <v>40</v>
      </c>
      <c r="G338" s="5"/>
      <c r="H338" s="5"/>
      <c r="L338" s="7"/>
      <c r="M338" s="7"/>
      <c r="O338" s="5"/>
      <c r="P338" s="5"/>
    </row>
    <row r="339" spans="2:16" x14ac:dyDescent="0.25">
      <c r="B339" s="90">
        <v>1685</v>
      </c>
      <c r="C339" s="91">
        <v>0.1639963249642572</v>
      </c>
      <c r="D339" s="92">
        <v>40</v>
      </c>
      <c r="G339" s="5"/>
      <c r="H339" s="5"/>
      <c r="L339" s="7"/>
      <c r="M339" s="7"/>
      <c r="O339" s="5"/>
      <c r="P339" s="5"/>
    </row>
    <row r="340" spans="2:16" x14ac:dyDescent="0.25">
      <c r="B340" s="90">
        <v>1940</v>
      </c>
      <c r="C340" s="91">
        <v>0.18831182425810844</v>
      </c>
      <c r="D340" s="92">
        <v>40</v>
      </c>
      <c r="G340" s="5"/>
      <c r="H340" s="5"/>
      <c r="L340" s="7"/>
      <c r="M340" s="7"/>
      <c r="O340" s="5"/>
      <c r="P340" s="5"/>
    </row>
    <row r="341" spans="2:16" x14ac:dyDescent="0.25">
      <c r="B341" s="90">
        <v>1918</v>
      </c>
      <c r="C341" s="91">
        <v>0.19009117712450474</v>
      </c>
      <c r="D341" s="92">
        <v>40</v>
      </c>
      <c r="G341" s="5"/>
      <c r="H341" s="5"/>
      <c r="L341" s="7"/>
      <c r="M341" s="7"/>
      <c r="O341" s="5"/>
      <c r="P341" s="5"/>
    </row>
    <row r="342" spans="2:16" x14ac:dyDescent="0.25">
      <c r="B342" s="90">
        <v>1896</v>
      </c>
      <c r="C342" s="91">
        <v>0.25175126735407027</v>
      </c>
      <c r="D342" s="92">
        <v>40</v>
      </c>
      <c r="G342" s="5"/>
      <c r="H342" s="5"/>
      <c r="L342" s="7"/>
      <c r="M342" s="7"/>
      <c r="O342" s="5"/>
      <c r="P342" s="5"/>
    </row>
    <row r="343" spans="2:16" x14ac:dyDescent="0.25">
      <c r="B343" s="90">
        <v>1939</v>
      </c>
      <c r="C343" s="91">
        <v>0.3480715750848834</v>
      </c>
      <c r="D343" s="92">
        <v>40</v>
      </c>
      <c r="G343" s="5"/>
      <c r="H343" s="5"/>
      <c r="L343" s="7"/>
      <c r="M343" s="7"/>
      <c r="O343" s="5"/>
      <c r="P343" s="5"/>
    </row>
    <row r="344" spans="2:16" x14ac:dyDescent="0.25">
      <c r="B344" s="90">
        <v>1959</v>
      </c>
      <c r="C344" s="91">
        <v>0.38461236311159874</v>
      </c>
      <c r="D344" s="92">
        <v>40</v>
      </c>
      <c r="G344" s="5"/>
      <c r="H344" s="5"/>
      <c r="L344" s="7"/>
      <c r="M344" s="7"/>
      <c r="O344" s="5"/>
      <c r="P344" s="5"/>
    </row>
    <row r="345" spans="2:16" x14ac:dyDescent="0.25">
      <c r="B345" s="90">
        <v>1978</v>
      </c>
      <c r="C345" s="91">
        <v>0.49317826547789423</v>
      </c>
      <c r="D345" s="92">
        <v>40</v>
      </c>
      <c r="G345" s="5"/>
      <c r="H345" s="5"/>
      <c r="L345" s="7"/>
      <c r="M345" s="7"/>
      <c r="O345" s="5"/>
      <c r="P345" s="5"/>
    </row>
    <row r="346" spans="2:16" x14ac:dyDescent="0.25">
      <c r="B346" s="90">
        <v>1996</v>
      </c>
      <c r="C346" s="91">
        <v>0.55741079260556625</v>
      </c>
      <c r="D346" s="92">
        <v>40</v>
      </c>
      <c r="G346" s="5"/>
      <c r="H346" s="5"/>
      <c r="L346" s="7"/>
      <c r="M346" s="7"/>
      <c r="O346" s="5"/>
      <c r="P346" s="5"/>
    </row>
    <row r="347" spans="2:16" x14ac:dyDescent="0.25">
      <c r="B347" s="90">
        <v>615</v>
      </c>
      <c r="C347" s="91">
        <v>2.9669135924880186E-2</v>
      </c>
      <c r="D347" s="92">
        <v>41</v>
      </c>
      <c r="G347" s="5"/>
      <c r="H347" s="5"/>
      <c r="L347" s="7"/>
      <c r="M347" s="7"/>
      <c r="O347" s="5"/>
      <c r="P347" s="5"/>
    </row>
    <row r="348" spans="2:16" x14ac:dyDescent="0.25">
      <c r="B348" s="90">
        <v>670</v>
      </c>
      <c r="C348" s="91">
        <v>3.2992512534132379E-2</v>
      </c>
      <c r="D348" s="92">
        <v>41</v>
      </c>
      <c r="G348" s="5"/>
      <c r="H348" s="5"/>
      <c r="L348" s="7"/>
      <c r="M348" s="7"/>
      <c r="O348" s="5"/>
      <c r="P348" s="5"/>
    </row>
    <row r="349" spans="2:16" x14ac:dyDescent="0.25">
      <c r="B349" s="90">
        <v>829</v>
      </c>
      <c r="C349" s="91">
        <v>5.6918257200115674E-2</v>
      </c>
      <c r="D349" s="92">
        <v>41</v>
      </c>
      <c r="G349" s="5"/>
      <c r="H349" s="5"/>
      <c r="L349" s="7"/>
      <c r="M349" s="7"/>
      <c r="O349" s="5"/>
      <c r="P349" s="5"/>
    </row>
    <row r="350" spans="2:16" x14ac:dyDescent="0.25">
      <c r="B350" s="90">
        <v>1954</v>
      </c>
      <c r="C350" s="91">
        <v>0.19832676357307877</v>
      </c>
      <c r="D350" s="92">
        <v>42</v>
      </c>
      <c r="G350" s="5"/>
      <c r="H350" s="5"/>
      <c r="L350" s="7"/>
      <c r="M350" s="7"/>
      <c r="O350" s="5"/>
      <c r="P350" s="5"/>
    </row>
    <row r="351" spans="2:16" x14ac:dyDescent="0.25">
      <c r="B351" s="90">
        <v>1864</v>
      </c>
      <c r="C351" s="91">
        <v>0.21793109908992359</v>
      </c>
      <c r="D351" s="92">
        <v>43</v>
      </c>
      <c r="G351" s="5"/>
      <c r="H351" s="5"/>
      <c r="L351" s="7"/>
      <c r="M351" s="7"/>
      <c r="O351" s="5"/>
      <c r="P351" s="5"/>
    </row>
    <row r="352" spans="2:16" x14ac:dyDescent="0.25">
      <c r="B352" s="90">
        <v>2134</v>
      </c>
      <c r="C352" s="91">
        <v>3.3143619535593194E-2</v>
      </c>
      <c r="D352" s="92">
        <v>44</v>
      </c>
      <c r="G352" s="5"/>
      <c r="H352" s="5"/>
      <c r="L352" s="7"/>
      <c r="M352" s="7"/>
      <c r="O352" s="5"/>
      <c r="P352" s="5"/>
    </row>
    <row r="353" spans="2:16" x14ac:dyDescent="0.25">
      <c r="B353" s="90">
        <v>1484</v>
      </c>
      <c r="C353" s="91">
        <v>3.8798707560430801E-2</v>
      </c>
      <c r="D353" s="92">
        <v>44</v>
      </c>
      <c r="G353" s="5"/>
      <c r="H353" s="5"/>
      <c r="L353" s="7"/>
      <c r="M353" s="7"/>
      <c r="O353" s="5"/>
      <c r="P353" s="5"/>
    </row>
    <row r="354" spans="2:16" x14ac:dyDescent="0.25">
      <c r="B354" s="90">
        <v>1520</v>
      </c>
      <c r="C354" s="91">
        <v>4.8287363980096365E-2</v>
      </c>
      <c r="D354" s="92">
        <v>44</v>
      </c>
      <c r="G354" s="5"/>
      <c r="H354" s="5"/>
      <c r="L354" s="7"/>
      <c r="M354" s="7"/>
      <c r="O354" s="5"/>
      <c r="P354" s="5"/>
    </row>
    <row r="355" spans="2:16" x14ac:dyDescent="0.25">
      <c r="B355" s="90">
        <v>1873</v>
      </c>
      <c r="C355" s="91">
        <v>6.9859202223514938E-2</v>
      </c>
      <c r="D355" s="92">
        <v>44</v>
      </c>
      <c r="G355" s="5"/>
      <c r="H355" s="5"/>
      <c r="L355" s="7"/>
      <c r="M355" s="7"/>
      <c r="O355" s="5"/>
      <c r="P355" s="5"/>
    </row>
    <row r="356" spans="2:16" x14ac:dyDescent="0.25">
      <c r="B356" s="90">
        <v>1720</v>
      </c>
      <c r="C356" s="91">
        <v>0.10019031997133476</v>
      </c>
      <c r="D356" s="92">
        <v>44</v>
      </c>
      <c r="G356" s="5"/>
      <c r="H356" s="5"/>
      <c r="L356" s="7"/>
      <c r="M356" s="7"/>
      <c r="O356" s="5"/>
      <c r="P356" s="5"/>
    </row>
    <row r="357" spans="2:16" x14ac:dyDescent="0.25">
      <c r="B357" s="90">
        <v>1849</v>
      </c>
      <c r="C357" s="91">
        <v>0.12922794736033283</v>
      </c>
      <c r="D357" s="92">
        <v>44</v>
      </c>
      <c r="G357" s="5"/>
      <c r="H357" s="5"/>
      <c r="L357" s="7"/>
      <c r="M357" s="7"/>
      <c r="O357" s="5"/>
      <c r="P357" s="5"/>
    </row>
    <row r="358" spans="2:16" x14ac:dyDescent="0.25">
      <c r="B358" s="90">
        <v>1917</v>
      </c>
      <c r="C358" s="91">
        <v>0.17113713920971874</v>
      </c>
      <c r="D358" s="92">
        <v>44</v>
      </c>
      <c r="G358" s="5"/>
      <c r="H358" s="5"/>
      <c r="L358" s="7"/>
      <c r="M358" s="7"/>
      <c r="O358" s="5"/>
      <c r="P358" s="5"/>
    </row>
    <row r="359" spans="2:16" x14ac:dyDescent="0.25">
      <c r="B359" s="90">
        <v>1487</v>
      </c>
      <c r="C359" s="91">
        <v>3.2111740835917058E-2</v>
      </c>
      <c r="D359" s="92">
        <v>45</v>
      </c>
      <c r="G359" s="5"/>
      <c r="H359" s="5"/>
      <c r="L359" s="7"/>
      <c r="M359" s="7"/>
      <c r="O359" s="5"/>
      <c r="P359" s="5"/>
    </row>
    <row r="360" spans="2:16" x14ac:dyDescent="0.25">
      <c r="B360" s="90">
        <v>264</v>
      </c>
      <c r="C360" s="91">
        <v>4.5403237608837799E-2</v>
      </c>
      <c r="D360" s="92">
        <v>45</v>
      </c>
      <c r="G360" s="5"/>
      <c r="H360" s="5"/>
      <c r="L360" s="7"/>
      <c r="M360" s="7"/>
      <c r="O360" s="5"/>
      <c r="P360" s="5"/>
    </row>
    <row r="361" spans="2:16" x14ac:dyDescent="0.25">
      <c r="B361" s="90">
        <v>1863</v>
      </c>
      <c r="C361" s="91">
        <v>0.23758020429495352</v>
      </c>
      <c r="D361" s="92">
        <v>47</v>
      </c>
      <c r="G361" s="5"/>
      <c r="H361" s="5"/>
      <c r="L361" s="7"/>
      <c r="M361" s="7"/>
      <c r="O361" s="5"/>
      <c r="P361" s="5"/>
    </row>
    <row r="362" spans="2:16" x14ac:dyDescent="0.25">
      <c r="B362" s="90">
        <v>1680</v>
      </c>
      <c r="C362" s="91">
        <v>0.65098023052841525</v>
      </c>
      <c r="D362" s="92">
        <v>47</v>
      </c>
      <c r="G362" s="5"/>
      <c r="H362" s="5"/>
      <c r="L362" s="7"/>
      <c r="M362" s="7"/>
      <c r="O362" s="5"/>
      <c r="P362" s="5"/>
    </row>
    <row r="363" spans="2:16" x14ac:dyDescent="0.25">
      <c r="B363" s="90">
        <v>318</v>
      </c>
      <c r="C363" s="91">
        <v>0.79135672275196856</v>
      </c>
      <c r="D363" s="92">
        <v>47</v>
      </c>
      <c r="G363" s="5"/>
      <c r="H363" s="5"/>
      <c r="L363" s="7"/>
      <c r="M363" s="7"/>
      <c r="O363" s="5"/>
      <c r="P363" s="5"/>
    </row>
    <row r="364" spans="2:16" x14ac:dyDescent="0.25">
      <c r="B364" s="90">
        <v>257</v>
      </c>
      <c r="C364" s="91">
        <v>0.79967076410170124</v>
      </c>
      <c r="D364" s="92">
        <v>47</v>
      </c>
      <c r="G364" s="5"/>
      <c r="H364" s="5"/>
      <c r="L364" s="7"/>
      <c r="M364" s="7"/>
      <c r="O364" s="5"/>
      <c r="P364" s="5"/>
    </row>
    <row r="365" spans="2:16" x14ac:dyDescent="0.25">
      <c r="B365" s="90">
        <v>68</v>
      </c>
      <c r="C365" s="91">
        <v>0.94207619104712814</v>
      </c>
      <c r="D365" s="92">
        <v>47</v>
      </c>
      <c r="G365" s="5"/>
      <c r="H365" s="5"/>
      <c r="L365" s="7"/>
      <c r="M365" s="7"/>
      <c r="O365" s="5"/>
      <c r="P365" s="5"/>
    </row>
    <row r="366" spans="2:16" x14ac:dyDescent="0.25">
      <c r="B366" s="90">
        <v>1798</v>
      </c>
      <c r="C366" s="91">
        <v>4.4663163594665489E-2</v>
      </c>
      <c r="D366" s="92">
        <v>48</v>
      </c>
      <c r="G366" s="5"/>
      <c r="H366" s="5"/>
      <c r="L366" s="7"/>
      <c r="M366" s="7"/>
      <c r="O366" s="5"/>
      <c r="P366" s="5"/>
    </row>
    <row r="367" spans="2:16" x14ac:dyDescent="0.25">
      <c r="B367" s="90">
        <v>384</v>
      </c>
      <c r="C367" s="91">
        <v>6.3739004050090253E-2</v>
      </c>
      <c r="D367" s="92">
        <v>48</v>
      </c>
      <c r="G367" s="5"/>
      <c r="H367" s="5"/>
      <c r="L367" s="7"/>
      <c r="M367" s="7"/>
      <c r="O367" s="5"/>
      <c r="P367" s="5"/>
    </row>
    <row r="368" spans="2:16" x14ac:dyDescent="0.25">
      <c r="B368" s="90">
        <v>263</v>
      </c>
      <c r="C368" s="91">
        <v>6.6202059493758902E-2</v>
      </c>
      <c r="D368" s="92">
        <v>48</v>
      </c>
      <c r="G368" s="5"/>
      <c r="H368" s="5"/>
      <c r="L368" s="7"/>
      <c r="M368" s="7"/>
      <c r="O368" s="5"/>
      <c r="P368" s="5"/>
    </row>
    <row r="369" spans="2:16" x14ac:dyDescent="0.25">
      <c r="B369" s="90">
        <v>1714</v>
      </c>
      <c r="C369" s="91">
        <v>6.6752167123925288E-2</v>
      </c>
      <c r="D369" s="92">
        <v>48</v>
      </c>
      <c r="G369" s="5"/>
      <c r="H369" s="5"/>
      <c r="L369" s="7"/>
      <c r="M369" s="7"/>
      <c r="O369" s="5"/>
      <c r="P369" s="5"/>
    </row>
    <row r="370" spans="2:16" x14ac:dyDescent="0.25">
      <c r="B370" s="90">
        <v>324</v>
      </c>
      <c r="C370" s="91">
        <v>7.6473100358970703E-2</v>
      </c>
      <c r="D370" s="92">
        <v>48</v>
      </c>
      <c r="G370" s="5"/>
      <c r="H370" s="5"/>
      <c r="L370" s="7"/>
      <c r="M370" s="7"/>
      <c r="O370" s="5"/>
      <c r="P370" s="5"/>
    </row>
    <row r="371" spans="2:16" x14ac:dyDescent="0.25">
      <c r="B371" s="90">
        <v>1851</v>
      </c>
      <c r="C371" s="91">
        <v>7.8166953947826245E-2</v>
      </c>
      <c r="D371" s="92">
        <v>48</v>
      </c>
      <c r="G371" s="5"/>
      <c r="H371" s="5"/>
      <c r="L371" s="7"/>
      <c r="M371" s="7"/>
      <c r="O371" s="5"/>
      <c r="P371" s="5"/>
    </row>
    <row r="372" spans="2:16" x14ac:dyDescent="0.25">
      <c r="B372" s="90">
        <v>1824</v>
      </c>
      <c r="C372" s="91">
        <v>9.1671731221253605E-2</v>
      </c>
      <c r="D372" s="92">
        <v>48</v>
      </c>
      <c r="G372" s="5"/>
      <c r="H372" s="5"/>
      <c r="L372" s="7"/>
      <c r="M372" s="7"/>
      <c r="O372" s="5"/>
      <c r="P372" s="5"/>
    </row>
    <row r="373" spans="2:16" x14ac:dyDescent="0.25">
      <c r="B373" s="90">
        <v>1826</v>
      </c>
      <c r="C373" s="91">
        <v>0.10607493261994372</v>
      </c>
      <c r="D373" s="92">
        <v>48</v>
      </c>
      <c r="G373" s="5"/>
      <c r="H373" s="5"/>
      <c r="L373" s="7"/>
      <c r="M373" s="7"/>
      <c r="O373" s="5"/>
      <c r="P373" s="5"/>
    </row>
    <row r="374" spans="2:16" x14ac:dyDescent="0.25">
      <c r="B374" s="90">
        <v>1120</v>
      </c>
      <c r="C374" s="91">
        <v>0.11925062754369131</v>
      </c>
      <c r="D374" s="92">
        <v>48</v>
      </c>
      <c r="G374" s="5"/>
      <c r="H374" s="5"/>
      <c r="L374" s="7"/>
      <c r="M374" s="7"/>
      <c r="O374" s="5"/>
      <c r="P374" s="5"/>
    </row>
    <row r="375" spans="2:16" x14ac:dyDescent="0.25">
      <c r="B375" s="90">
        <v>1074</v>
      </c>
      <c r="C375" s="91">
        <v>0.12094677213120386</v>
      </c>
      <c r="D375" s="92">
        <v>48</v>
      </c>
      <c r="G375" s="5"/>
      <c r="H375" s="5"/>
      <c r="L375" s="7"/>
      <c r="M375" s="7"/>
      <c r="O375" s="5"/>
      <c r="P375" s="5"/>
    </row>
    <row r="376" spans="2:16" x14ac:dyDescent="0.25">
      <c r="B376" s="90">
        <v>1981</v>
      </c>
      <c r="C376" s="91">
        <v>0.14261576064497805</v>
      </c>
      <c r="D376" s="92">
        <v>48</v>
      </c>
      <c r="G376" s="5"/>
      <c r="H376" s="5"/>
      <c r="L376" s="7"/>
      <c r="M376" s="7"/>
      <c r="O376" s="5"/>
      <c r="P376" s="5"/>
    </row>
    <row r="377" spans="2:16" x14ac:dyDescent="0.25">
      <c r="B377" s="90">
        <v>1999</v>
      </c>
      <c r="C377" s="91">
        <v>0.14591073248998399</v>
      </c>
      <c r="D377" s="92">
        <v>48</v>
      </c>
      <c r="G377" s="5"/>
      <c r="H377" s="5"/>
      <c r="L377" s="7"/>
      <c r="M377" s="7"/>
      <c r="O377" s="5"/>
      <c r="P377" s="5"/>
    </row>
    <row r="378" spans="2:16" x14ac:dyDescent="0.25">
      <c r="B378" s="90">
        <v>2086</v>
      </c>
      <c r="C378" s="91">
        <v>0.34048414123195569</v>
      </c>
      <c r="D378" s="92">
        <v>49</v>
      </c>
      <c r="G378" s="5"/>
      <c r="H378" s="5"/>
      <c r="L378" s="7"/>
      <c r="M378" s="7"/>
      <c r="O378" s="5"/>
      <c r="P378" s="5"/>
    </row>
    <row r="379" spans="2:16" x14ac:dyDescent="0.25">
      <c r="B379" s="90">
        <v>75</v>
      </c>
      <c r="C379" s="91">
        <v>4.0675264369804731E-2</v>
      </c>
      <c r="D379" s="92">
        <v>51</v>
      </c>
      <c r="G379" s="5"/>
      <c r="H379" s="5"/>
      <c r="L379" s="7"/>
      <c r="M379" s="7"/>
      <c r="O379" s="5"/>
      <c r="P379" s="5"/>
    </row>
    <row r="380" spans="2:16" x14ac:dyDescent="0.25">
      <c r="B380" s="90">
        <v>1215</v>
      </c>
      <c r="C380" s="91">
        <v>3.3571285135406859E-2</v>
      </c>
      <c r="D380" s="92">
        <v>52</v>
      </c>
      <c r="G380" s="5"/>
      <c r="H380" s="5"/>
      <c r="L380" s="7"/>
      <c r="M380" s="7"/>
      <c r="O380" s="5"/>
      <c r="P380" s="5"/>
    </row>
    <row r="381" spans="2:16" x14ac:dyDescent="0.25">
      <c r="B381" s="90">
        <v>1420</v>
      </c>
      <c r="C381" s="91">
        <v>3.945270572024917E-2</v>
      </c>
      <c r="D381" s="92">
        <v>52</v>
      </c>
      <c r="G381" s="5"/>
      <c r="H381" s="5"/>
      <c r="L381" s="7"/>
      <c r="M381" s="7"/>
      <c r="O381" s="5"/>
      <c r="P381" s="5"/>
    </row>
    <row r="382" spans="2:16" x14ac:dyDescent="0.25">
      <c r="B382" s="90">
        <v>1381</v>
      </c>
      <c r="C382" s="91">
        <v>3.9592787586433142E-2</v>
      </c>
      <c r="D382" s="92">
        <v>52</v>
      </c>
      <c r="G382" s="5"/>
      <c r="H382" s="5"/>
      <c r="L382" s="7"/>
      <c r="M382" s="7"/>
      <c r="O382" s="5"/>
      <c r="P382" s="5"/>
    </row>
    <row r="383" spans="2:16" x14ac:dyDescent="0.25">
      <c r="B383" s="90">
        <v>1300</v>
      </c>
      <c r="C383" s="91">
        <v>4.2679879890405559E-2</v>
      </c>
      <c r="D383" s="92">
        <v>52</v>
      </c>
      <c r="G383" s="5"/>
      <c r="H383" s="5"/>
      <c r="L383" s="7"/>
      <c r="M383" s="7"/>
      <c r="O383" s="5"/>
      <c r="P383" s="5"/>
    </row>
    <row r="384" spans="2:16" x14ac:dyDescent="0.25">
      <c r="B384" s="90">
        <v>1341</v>
      </c>
      <c r="C384" s="91">
        <v>4.7117194254691408E-2</v>
      </c>
      <c r="D384" s="92">
        <v>52</v>
      </c>
      <c r="G384" s="5"/>
      <c r="H384" s="5"/>
      <c r="L384" s="7"/>
      <c r="M384" s="7"/>
      <c r="O384" s="5"/>
      <c r="P384" s="5"/>
    </row>
    <row r="385" spans="2:16" x14ac:dyDescent="0.25">
      <c r="B385" s="90">
        <v>139</v>
      </c>
      <c r="C385" s="91">
        <v>4.9211241664202987E-2</v>
      </c>
      <c r="D385" s="92">
        <v>52</v>
      </c>
      <c r="G385" s="5"/>
      <c r="H385" s="5"/>
      <c r="L385" s="7"/>
      <c r="M385" s="7"/>
      <c r="O385" s="5"/>
      <c r="P385" s="5"/>
    </row>
    <row r="386" spans="2:16" x14ac:dyDescent="0.25">
      <c r="B386" s="90">
        <v>1258</v>
      </c>
      <c r="C386" s="91">
        <v>5.1029042709124783E-2</v>
      </c>
      <c r="D386" s="92">
        <v>52</v>
      </c>
      <c r="G386" s="5"/>
      <c r="H386" s="5"/>
      <c r="L386" s="7"/>
      <c r="M386" s="7"/>
      <c r="O386" s="5"/>
      <c r="P386" s="5"/>
    </row>
    <row r="387" spans="2:16" x14ac:dyDescent="0.25">
      <c r="B387" s="90">
        <v>1171</v>
      </c>
      <c r="C387" s="91">
        <v>5.6345838844222618E-2</v>
      </c>
      <c r="D387" s="92">
        <v>52</v>
      </c>
      <c r="G387" s="5"/>
      <c r="H387" s="5"/>
      <c r="L387" s="7"/>
      <c r="M387" s="7"/>
      <c r="O387" s="5"/>
      <c r="P387" s="5"/>
    </row>
    <row r="388" spans="2:16" x14ac:dyDescent="0.25">
      <c r="B388" s="90">
        <v>1337</v>
      </c>
      <c r="C388" s="91">
        <v>5.6900866490564583E-2</v>
      </c>
      <c r="D388" s="92">
        <v>52</v>
      </c>
      <c r="G388" s="5"/>
      <c r="H388" s="5"/>
      <c r="L388" s="7"/>
      <c r="M388" s="7"/>
      <c r="O388" s="5"/>
      <c r="P388" s="5"/>
    </row>
    <row r="389" spans="2:16" x14ac:dyDescent="0.25">
      <c r="B389" s="90">
        <v>1216</v>
      </c>
      <c r="C389" s="91">
        <v>6.9838184137985704E-2</v>
      </c>
      <c r="D389" s="92">
        <v>52</v>
      </c>
      <c r="G389" s="5"/>
      <c r="H389" s="5"/>
      <c r="L389" s="7"/>
      <c r="M389" s="7"/>
      <c r="O389" s="5"/>
      <c r="P389" s="5"/>
    </row>
    <row r="390" spans="2:16" x14ac:dyDescent="0.25">
      <c r="B390" s="90">
        <v>1259</v>
      </c>
      <c r="C390" s="91">
        <v>8.7098236560964493E-2</v>
      </c>
      <c r="D390" s="92">
        <v>52</v>
      </c>
      <c r="G390" s="5"/>
      <c r="H390" s="5"/>
      <c r="L390" s="7"/>
      <c r="M390" s="7"/>
      <c r="O390" s="5"/>
      <c r="P390" s="5"/>
    </row>
    <row r="391" spans="2:16" x14ac:dyDescent="0.25">
      <c r="B391" s="90">
        <v>1301</v>
      </c>
      <c r="C391" s="91">
        <v>0.10031825201426448</v>
      </c>
      <c r="D391" s="92">
        <v>52</v>
      </c>
      <c r="G391" s="5"/>
      <c r="H391" s="5"/>
      <c r="L391" s="7"/>
      <c r="M391" s="7"/>
      <c r="O391" s="5"/>
      <c r="P391" s="5"/>
    </row>
    <row r="392" spans="2:16" x14ac:dyDescent="0.25">
      <c r="B392" s="90">
        <v>1377</v>
      </c>
      <c r="C392" s="91">
        <v>0.10695819355921077</v>
      </c>
      <c r="D392" s="92">
        <v>52</v>
      </c>
      <c r="G392" s="5"/>
      <c r="H392" s="5"/>
      <c r="L392" s="7"/>
      <c r="M392" s="7"/>
      <c r="O392" s="5"/>
      <c r="P392" s="5"/>
    </row>
    <row r="393" spans="2:16" x14ac:dyDescent="0.25">
      <c r="B393" s="90">
        <v>1382</v>
      </c>
      <c r="C393" s="91">
        <v>0.10976595138663625</v>
      </c>
      <c r="D393" s="92">
        <v>52</v>
      </c>
      <c r="G393" s="5"/>
      <c r="H393" s="5"/>
      <c r="L393" s="7"/>
      <c r="M393" s="7"/>
      <c r="O393" s="5"/>
      <c r="P393" s="5"/>
    </row>
    <row r="394" spans="2:16" x14ac:dyDescent="0.25">
      <c r="B394" s="90">
        <v>1166</v>
      </c>
      <c r="C394" s="91">
        <v>0.11252800402638763</v>
      </c>
      <c r="D394" s="92">
        <v>52</v>
      </c>
      <c r="G394" s="5"/>
      <c r="H394" s="5"/>
      <c r="L394" s="7"/>
      <c r="M394" s="7"/>
      <c r="O394" s="5"/>
      <c r="P394" s="5"/>
    </row>
    <row r="395" spans="2:16" x14ac:dyDescent="0.25">
      <c r="B395" s="90">
        <v>265</v>
      </c>
      <c r="C395" s="91">
        <v>0.12887588009252737</v>
      </c>
      <c r="D395" s="92">
        <v>52</v>
      </c>
      <c r="G395" s="5"/>
      <c r="H395" s="5"/>
      <c r="L395" s="7"/>
      <c r="M395" s="7"/>
      <c r="O395" s="5"/>
      <c r="P395" s="5"/>
    </row>
    <row r="396" spans="2:16" x14ac:dyDescent="0.25">
      <c r="B396" s="90">
        <v>326</v>
      </c>
      <c r="C396" s="91">
        <v>0.13911942817671297</v>
      </c>
      <c r="D396" s="92">
        <v>52</v>
      </c>
      <c r="G396" s="5"/>
      <c r="H396" s="5"/>
      <c r="L396" s="7"/>
      <c r="M396" s="7"/>
      <c r="O396" s="5"/>
      <c r="P396" s="5"/>
    </row>
    <row r="397" spans="2:16" x14ac:dyDescent="0.25">
      <c r="B397" s="90">
        <v>1875</v>
      </c>
      <c r="C397" s="91">
        <v>0.1493072324141933</v>
      </c>
      <c r="D397" s="92">
        <v>52</v>
      </c>
      <c r="G397" s="5"/>
      <c r="H397" s="5"/>
      <c r="L397" s="7"/>
      <c r="M397" s="7"/>
      <c r="O397" s="5"/>
      <c r="P397" s="5"/>
    </row>
    <row r="398" spans="2:16" x14ac:dyDescent="0.25">
      <c r="B398" s="90">
        <v>1342</v>
      </c>
      <c r="C398" s="91">
        <v>0.15956644744418513</v>
      </c>
      <c r="D398" s="92">
        <v>52</v>
      </c>
      <c r="G398" s="5"/>
      <c r="H398" s="5"/>
      <c r="L398" s="7"/>
      <c r="M398" s="7"/>
      <c r="O398" s="5"/>
      <c r="P398" s="5"/>
    </row>
    <row r="399" spans="2:16" x14ac:dyDescent="0.25">
      <c r="B399" s="90">
        <v>1421</v>
      </c>
      <c r="C399" s="91">
        <v>0.16924747091658154</v>
      </c>
      <c r="D399" s="92">
        <v>52</v>
      </c>
      <c r="G399" s="5"/>
      <c r="H399" s="5"/>
      <c r="L399" s="7"/>
      <c r="M399" s="7"/>
      <c r="O399" s="5"/>
      <c r="P399" s="5"/>
    </row>
    <row r="400" spans="2:16" x14ac:dyDescent="0.25">
      <c r="B400" s="90">
        <v>10</v>
      </c>
      <c r="C400" s="91">
        <v>0.28588318695824255</v>
      </c>
      <c r="D400" s="92">
        <v>52</v>
      </c>
      <c r="G400" s="5"/>
      <c r="H400" s="5"/>
      <c r="L400" s="7"/>
      <c r="M400" s="7"/>
      <c r="O400" s="5"/>
      <c r="P400" s="5"/>
    </row>
    <row r="401" spans="2:16" x14ac:dyDescent="0.25">
      <c r="B401" s="90">
        <v>2101</v>
      </c>
      <c r="C401" s="91">
        <v>0.28588318695824255</v>
      </c>
      <c r="D401" s="92">
        <v>52</v>
      </c>
      <c r="G401" s="5"/>
      <c r="H401" s="5"/>
      <c r="L401" s="7"/>
      <c r="M401" s="7"/>
      <c r="O401" s="5"/>
      <c r="P401" s="5"/>
    </row>
    <row r="402" spans="2:16" x14ac:dyDescent="0.25">
      <c r="B402" s="90">
        <v>1245</v>
      </c>
      <c r="C402" s="91">
        <v>0.55159119179894178</v>
      </c>
      <c r="D402" s="92">
        <v>53</v>
      </c>
      <c r="G402" s="5"/>
      <c r="H402" s="5"/>
      <c r="L402" s="7"/>
      <c r="M402" s="7"/>
      <c r="O402" s="5"/>
      <c r="P402" s="5"/>
    </row>
    <row r="403" spans="2:16" x14ac:dyDescent="0.25">
      <c r="B403" s="90">
        <v>1158</v>
      </c>
      <c r="C403" s="91">
        <v>0.59191101862835016</v>
      </c>
      <c r="D403" s="92">
        <v>53</v>
      </c>
      <c r="G403" s="5"/>
      <c r="H403" s="5"/>
      <c r="L403" s="7"/>
      <c r="M403" s="7"/>
      <c r="O403" s="5"/>
      <c r="P403" s="5"/>
    </row>
    <row r="404" spans="2:16" x14ac:dyDescent="0.25">
      <c r="B404" s="90">
        <v>1202</v>
      </c>
      <c r="C404" s="91">
        <v>0.60720402327160761</v>
      </c>
      <c r="D404" s="92">
        <v>53</v>
      </c>
      <c r="G404" s="5"/>
      <c r="H404" s="5"/>
      <c r="L404" s="7"/>
      <c r="M404" s="7"/>
      <c r="O404" s="5"/>
      <c r="P404" s="5"/>
    </row>
    <row r="405" spans="2:16" x14ac:dyDescent="0.25">
      <c r="B405" s="90">
        <v>1172</v>
      </c>
      <c r="C405" s="91">
        <v>4.6361759189023188E-2</v>
      </c>
      <c r="D405" s="92">
        <v>54</v>
      </c>
      <c r="G405" s="5"/>
      <c r="H405" s="5"/>
      <c r="L405" s="7"/>
      <c r="M405" s="7"/>
      <c r="O405" s="5"/>
      <c r="P405" s="5"/>
    </row>
    <row r="406" spans="2:16" x14ac:dyDescent="0.25">
      <c r="B406" s="90">
        <v>937</v>
      </c>
      <c r="C406" s="91">
        <v>4.7608138443669179E-2</v>
      </c>
      <c r="D406" s="92">
        <v>54</v>
      </c>
      <c r="G406" s="5"/>
      <c r="H406" s="5"/>
      <c r="L406" s="7"/>
      <c r="M406" s="7"/>
      <c r="O406" s="5"/>
      <c r="P406" s="5"/>
    </row>
    <row r="407" spans="2:16" x14ac:dyDescent="0.25">
      <c r="B407" s="90">
        <v>986</v>
      </c>
      <c r="C407" s="91">
        <v>4.7841437261191277E-2</v>
      </c>
      <c r="D407" s="92">
        <v>54</v>
      </c>
      <c r="G407" s="5"/>
      <c r="H407" s="5"/>
      <c r="L407" s="7"/>
      <c r="M407" s="7"/>
      <c r="O407" s="5"/>
      <c r="P407" s="5"/>
    </row>
    <row r="408" spans="2:16" x14ac:dyDescent="0.25">
      <c r="B408" s="90">
        <v>887</v>
      </c>
      <c r="C408" s="91">
        <v>5.3459435323995663E-2</v>
      </c>
      <c r="D408" s="92">
        <v>54</v>
      </c>
      <c r="G408" s="5"/>
      <c r="H408" s="5"/>
      <c r="L408" s="7"/>
      <c r="M408" s="7"/>
      <c r="O408" s="5"/>
      <c r="P408" s="5"/>
    </row>
    <row r="409" spans="2:16" x14ac:dyDescent="0.25">
      <c r="B409" s="90">
        <v>1034</v>
      </c>
      <c r="C409" s="91">
        <v>5.4654229036633306E-2</v>
      </c>
      <c r="D409" s="92">
        <v>54</v>
      </c>
      <c r="G409" s="5"/>
      <c r="H409" s="5"/>
      <c r="L409" s="7"/>
      <c r="M409" s="7"/>
      <c r="O409" s="5"/>
      <c r="P409" s="5"/>
    </row>
    <row r="410" spans="2:16" x14ac:dyDescent="0.25">
      <c r="B410" s="90">
        <v>1770</v>
      </c>
      <c r="C410" s="91">
        <v>0.15713380058935156</v>
      </c>
      <c r="D410" s="92">
        <v>54</v>
      </c>
      <c r="G410" s="5"/>
      <c r="H410" s="5"/>
      <c r="L410" s="7"/>
      <c r="M410" s="7"/>
      <c r="O410" s="5"/>
      <c r="P410" s="5"/>
    </row>
    <row r="411" spans="2:16" x14ac:dyDescent="0.25">
      <c r="B411" s="90">
        <v>1713</v>
      </c>
      <c r="C411" s="91">
        <v>0.23507509164037155</v>
      </c>
      <c r="D411" s="92">
        <v>54</v>
      </c>
      <c r="G411" s="5"/>
      <c r="H411" s="5"/>
      <c r="L411" s="7"/>
      <c r="M411" s="7"/>
      <c r="O411" s="5"/>
      <c r="P411" s="5"/>
    </row>
    <row r="412" spans="2:16" x14ac:dyDescent="0.25">
      <c r="B412" s="90">
        <v>2089</v>
      </c>
      <c r="C412" s="91">
        <v>0.54250860067862705</v>
      </c>
      <c r="D412" s="92">
        <v>54</v>
      </c>
      <c r="G412" s="5"/>
      <c r="H412" s="5"/>
      <c r="L412" s="7"/>
      <c r="M412" s="7"/>
      <c r="O412" s="5"/>
      <c r="P412" s="5"/>
    </row>
    <row r="413" spans="2:16" x14ac:dyDescent="0.25">
      <c r="B413" s="90">
        <v>663</v>
      </c>
      <c r="C413" s="91">
        <v>0.74773770370057724</v>
      </c>
      <c r="D413" s="92">
        <v>54</v>
      </c>
      <c r="G413" s="5"/>
      <c r="H413" s="5"/>
      <c r="L413" s="7"/>
      <c r="M413" s="7"/>
      <c r="O413" s="5"/>
      <c r="P413" s="5"/>
    </row>
    <row r="414" spans="2:16" x14ac:dyDescent="0.25">
      <c r="B414" s="90">
        <v>608</v>
      </c>
      <c r="C414" s="91">
        <v>0.75567594283586592</v>
      </c>
      <c r="D414" s="92">
        <v>54</v>
      </c>
      <c r="G414" s="5"/>
      <c r="H414" s="5"/>
      <c r="L414" s="7"/>
      <c r="M414" s="7"/>
      <c r="O414" s="5"/>
      <c r="P414" s="5"/>
    </row>
    <row r="415" spans="2:16" x14ac:dyDescent="0.25">
      <c r="B415" s="90">
        <v>552</v>
      </c>
      <c r="C415" s="91">
        <v>0.75803769729940973</v>
      </c>
      <c r="D415" s="92">
        <v>54</v>
      </c>
      <c r="G415" s="5"/>
      <c r="H415" s="5"/>
      <c r="L415" s="7"/>
      <c r="M415" s="7"/>
      <c r="O415" s="5"/>
      <c r="P415" s="5"/>
    </row>
    <row r="416" spans="2:16" x14ac:dyDescent="0.25">
      <c r="B416" s="90">
        <v>495</v>
      </c>
      <c r="C416" s="91">
        <v>0.76779080790009124</v>
      </c>
      <c r="D416" s="92">
        <v>54</v>
      </c>
      <c r="G416" s="5"/>
      <c r="H416" s="5"/>
      <c r="L416" s="7"/>
      <c r="M416" s="7"/>
      <c r="O416" s="5"/>
      <c r="P416" s="5"/>
    </row>
    <row r="417" spans="2:16" x14ac:dyDescent="0.25">
      <c r="B417" s="90">
        <v>378</v>
      </c>
      <c r="C417" s="91">
        <v>0.78042970078170248</v>
      </c>
      <c r="D417" s="92">
        <v>54</v>
      </c>
      <c r="G417" s="5"/>
      <c r="H417" s="5"/>
      <c r="L417" s="7"/>
      <c r="M417" s="7"/>
      <c r="O417" s="5"/>
      <c r="P417" s="5"/>
    </row>
    <row r="418" spans="2:16" x14ac:dyDescent="0.25">
      <c r="B418" s="90">
        <v>132</v>
      </c>
      <c r="C418" s="91">
        <v>0.92807327100520243</v>
      </c>
      <c r="D418" s="92">
        <v>55</v>
      </c>
      <c r="G418" s="5"/>
      <c r="H418" s="5"/>
      <c r="L418" s="7"/>
      <c r="M418" s="7"/>
      <c r="O418" s="5"/>
      <c r="P418" s="5"/>
    </row>
    <row r="419" spans="2:16" x14ac:dyDescent="0.25">
      <c r="B419" s="90">
        <v>1942</v>
      </c>
      <c r="C419" s="91">
        <v>2.3670030659868613E-2</v>
      </c>
      <c r="D419" s="92">
        <v>56</v>
      </c>
      <c r="G419" s="5"/>
      <c r="H419" s="5"/>
      <c r="L419" s="7"/>
      <c r="M419" s="7"/>
      <c r="O419" s="5"/>
      <c r="P419" s="5"/>
    </row>
    <row r="420" spans="2:16" x14ac:dyDescent="0.25">
      <c r="B420" s="90">
        <v>1962</v>
      </c>
      <c r="C420" s="91">
        <v>3.4265279381828551E-2</v>
      </c>
      <c r="D420" s="92">
        <v>56</v>
      </c>
      <c r="G420" s="5"/>
      <c r="H420" s="5"/>
      <c r="L420" s="7"/>
      <c r="M420" s="7"/>
      <c r="O420" s="5"/>
      <c r="P420" s="5"/>
    </row>
    <row r="421" spans="2:16" x14ac:dyDescent="0.25">
      <c r="B421" s="90">
        <v>1339</v>
      </c>
      <c r="C421" s="91">
        <v>3.9381758480665718E-2</v>
      </c>
      <c r="D421" s="92">
        <v>56</v>
      </c>
      <c r="G421" s="5"/>
      <c r="H421" s="5"/>
      <c r="L421" s="7"/>
      <c r="M421" s="7"/>
      <c r="O421" s="5"/>
      <c r="P421" s="5"/>
    </row>
    <row r="422" spans="2:16" x14ac:dyDescent="0.25">
      <c r="B422" s="90">
        <v>1418</v>
      </c>
      <c r="C422" s="91">
        <v>7.1284246479607294E-2</v>
      </c>
      <c r="D422" s="92">
        <v>56</v>
      </c>
      <c r="G422" s="5"/>
      <c r="H422" s="5"/>
      <c r="L422" s="7"/>
      <c r="M422" s="7"/>
      <c r="O422" s="5"/>
      <c r="P422" s="5"/>
    </row>
    <row r="423" spans="2:16" x14ac:dyDescent="0.25">
      <c r="B423" s="90">
        <v>1213</v>
      </c>
      <c r="C423" s="91">
        <v>8.1261871962201138E-2</v>
      </c>
      <c r="D423" s="92">
        <v>56</v>
      </c>
      <c r="G423" s="5"/>
      <c r="H423" s="5"/>
      <c r="L423" s="7"/>
      <c r="M423" s="7"/>
      <c r="O423" s="5"/>
      <c r="P423" s="5"/>
    </row>
    <row r="424" spans="2:16" x14ac:dyDescent="0.25">
      <c r="B424" s="90">
        <v>437</v>
      </c>
      <c r="C424" s="91">
        <v>0.77948850200946185</v>
      </c>
      <c r="D424" s="92">
        <v>56</v>
      </c>
      <c r="G424" s="5"/>
      <c r="H424" s="5"/>
      <c r="L424" s="7"/>
      <c r="M424" s="7"/>
      <c r="O424" s="5"/>
      <c r="P424" s="5"/>
    </row>
    <row r="425" spans="2:16" x14ac:dyDescent="0.25">
      <c r="B425" s="90">
        <v>74</v>
      </c>
      <c r="C425" s="91">
        <v>6.4033857860358534E-2</v>
      </c>
      <c r="D425" s="92">
        <v>58</v>
      </c>
      <c r="G425" s="5"/>
      <c r="H425" s="5"/>
      <c r="L425" s="7"/>
      <c r="M425" s="7"/>
      <c r="O425" s="5"/>
      <c r="P425" s="5"/>
    </row>
    <row r="426" spans="2:16" x14ac:dyDescent="0.25">
      <c r="B426" s="90">
        <v>1127</v>
      </c>
      <c r="C426" s="91">
        <v>6.4391880977937355E-2</v>
      </c>
      <c r="D426" s="92">
        <v>58</v>
      </c>
      <c r="G426" s="5"/>
      <c r="H426" s="5"/>
      <c r="L426" s="7"/>
      <c r="M426" s="7"/>
      <c r="O426" s="5"/>
      <c r="P426" s="5"/>
    </row>
    <row r="427" spans="2:16" x14ac:dyDescent="0.25">
      <c r="B427" s="90">
        <v>1081</v>
      </c>
      <c r="C427" s="91">
        <v>6.7644822125067616E-2</v>
      </c>
      <c r="D427" s="92">
        <v>58</v>
      </c>
      <c r="G427" s="5"/>
      <c r="H427" s="5"/>
      <c r="L427" s="7"/>
      <c r="M427" s="7"/>
      <c r="O427" s="5"/>
      <c r="P427" s="5"/>
    </row>
    <row r="428" spans="2:16" x14ac:dyDescent="0.25">
      <c r="B428" s="90">
        <v>1742</v>
      </c>
      <c r="C428" s="91">
        <v>0.16178891300821263</v>
      </c>
      <c r="D428" s="92">
        <v>58</v>
      </c>
      <c r="G428" s="5"/>
      <c r="H428" s="5"/>
      <c r="L428" s="7"/>
      <c r="M428" s="7"/>
      <c r="O428" s="5"/>
      <c r="P428" s="5"/>
    </row>
    <row r="429" spans="2:16" x14ac:dyDescent="0.25">
      <c r="B429" s="90">
        <v>979</v>
      </c>
      <c r="C429" s="91">
        <v>5.0032652733946525E-2</v>
      </c>
      <c r="D429" s="92">
        <v>59</v>
      </c>
      <c r="G429" s="5"/>
      <c r="H429" s="5"/>
      <c r="L429" s="7"/>
      <c r="M429" s="7"/>
      <c r="O429" s="5"/>
      <c r="P429" s="5"/>
    </row>
    <row r="430" spans="2:16" x14ac:dyDescent="0.25">
      <c r="B430" s="90">
        <v>880</v>
      </c>
      <c r="C430" s="91">
        <v>6.2703190418569532E-2</v>
      </c>
      <c r="D430" s="92">
        <v>59</v>
      </c>
      <c r="G430" s="5"/>
      <c r="H430" s="5"/>
      <c r="L430" s="7"/>
      <c r="M430" s="7"/>
      <c r="O430" s="5"/>
      <c r="P430" s="5"/>
    </row>
    <row r="431" spans="2:16" x14ac:dyDescent="0.25">
      <c r="B431" s="90">
        <v>201</v>
      </c>
      <c r="C431" s="91">
        <v>6.7940098247550873E-2</v>
      </c>
      <c r="D431" s="92">
        <v>59</v>
      </c>
      <c r="G431" s="5"/>
      <c r="H431" s="5"/>
      <c r="L431" s="7"/>
      <c r="M431" s="7"/>
      <c r="O431" s="5"/>
      <c r="P431" s="5"/>
    </row>
    <row r="432" spans="2:16" x14ac:dyDescent="0.25">
      <c r="B432" s="90">
        <v>138</v>
      </c>
      <c r="C432" s="91">
        <v>7.2781031910549965E-2</v>
      </c>
      <c r="D432" s="92">
        <v>59</v>
      </c>
      <c r="G432" s="5"/>
      <c r="H432" s="5"/>
      <c r="L432" s="7"/>
      <c r="M432" s="7"/>
      <c r="O432" s="5"/>
      <c r="P432" s="5"/>
    </row>
    <row r="433" spans="2:16" x14ac:dyDescent="0.25">
      <c r="B433" s="90">
        <v>1027</v>
      </c>
      <c r="C433" s="91">
        <v>9.3735996872529315E-2</v>
      </c>
      <c r="D433" s="92">
        <v>59</v>
      </c>
      <c r="G433" s="5"/>
      <c r="H433" s="5"/>
      <c r="L433" s="7"/>
      <c r="M433" s="7"/>
      <c r="O433" s="5"/>
      <c r="P433" s="5"/>
    </row>
    <row r="434" spans="2:16" x14ac:dyDescent="0.25">
      <c r="B434" s="90">
        <v>1700</v>
      </c>
      <c r="C434" s="91">
        <v>0.49710078434339688</v>
      </c>
      <c r="D434" s="92">
        <v>59</v>
      </c>
      <c r="G434" s="5"/>
      <c r="H434" s="5"/>
      <c r="L434" s="7"/>
      <c r="M434" s="7"/>
      <c r="O434" s="5"/>
      <c r="P434" s="5"/>
    </row>
    <row r="435" spans="2:16" x14ac:dyDescent="0.25">
      <c r="B435" s="90">
        <v>1899</v>
      </c>
      <c r="C435" s="91">
        <v>2.9763643079192104E-2</v>
      </c>
      <c r="D435" s="92">
        <v>60</v>
      </c>
      <c r="G435" s="5"/>
      <c r="H435" s="5"/>
      <c r="L435" s="7"/>
      <c r="M435" s="7"/>
      <c r="O435" s="5"/>
      <c r="P435" s="5"/>
    </row>
    <row r="436" spans="2:16" x14ac:dyDescent="0.25">
      <c r="B436" s="90">
        <v>1834</v>
      </c>
      <c r="C436" s="91">
        <v>5.2059834833623198E-2</v>
      </c>
      <c r="D436" s="92">
        <v>60</v>
      </c>
      <c r="G436" s="5"/>
      <c r="H436" s="5"/>
      <c r="L436" s="7"/>
      <c r="M436" s="7"/>
      <c r="O436" s="5"/>
      <c r="P436" s="5"/>
    </row>
    <row r="437" spans="2:16" x14ac:dyDescent="0.25">
      <c r="B437" s="90">
        <v>2138</v>
      </c>
      <c r="C437" s="91">
        <v>0.17418837177708069</v>
      </c>
      <c r="D437" s="92">
        <v>60</v>
      </c>
      <c r="G437" s="5"/>
      <c r="H437" s="5"/>
      <c r="L437" s="7"/>
      <c r="M437" s="7"/>
      <c r="O437" s="5"/>
      <c r="P437" s="5"/>
    </row>
    <row r="438" spans="2:16" x14ac:dyDescent="0.25">
      <c r="B438" s="90">
        <v>1334</v>
      </c>
      <c r="C438" s="91">
        <v>2.7710270531412062E-2</v>
      </c>
      <c r="D438" s="92">
        <v>61</v>
      </c>
      <c r="G438" s="5"/>
      <c r="H438" s="5"/>
      <c r="L438" s="7"/>
      <c r="M438" s="7"/>
      <c r="O438" s="5"/>
      <c r="P438" s="5"/>
    </row>
    <row r="439" spans="2:16" x14ac:dyDescent="0.25">
      <c r="B439" s="90">
        <v>202</v>
      </c>
      <c r="C439" s="91">
        <v>4.4279501667014998E-2</v>
      </c>
      <c r="D439" s="92">
        <v>61</v>
      </c>
      <c r="G439" s="5"/>
      <c r="H439" s="5"/>
      <c r="L439" s="7"/>
      <c r="M439" s="7"/>
      <c r="O439" s="5"/>
      <c r="P439" s="5"/>
    </row>
    <row r="440" spans="2:16" x14ac:dyDescent="0.25">
      <c r="B440" s="90">
        <v>1374</v>
      </c>
      <c r="C440" s="91">
        <v>5.6749074270693534E-2</v>
      </c>
      <c r="D440" s="92">
        <v>61</v>
      </c>
      <c r="G440" s="5"/>
      <c r="H440" s="5"/>
      <c r="L440" s="7"/>
      <c r="M440" s="7"/>
      <c r="O440" s="5"/>
      <c r="P440" s="5"/>
    </row>
    <row r="441" spans="2:16" x14ac:dyDescent="0.25">
      <c r="B441" s="90">
        <v>1293</v>
      </c>
      <c r="C441" s="91">
        <v>7.1274249082956542E-2</v>
      </c>
      <c r="D441" s="92">
        <v>61</v>
      </c>
      <c r="G441" s="5"/>
      <c r="H441" s="5"/>
      <c r="L441" s="7"/>
      <c r="M441" s="7"/>
      <c r="O441" s="5"/>
      <c r="P441" s="5"/>
    </row>
    <row r="442" spans="2:16" x14ac:dyDescent="0.25">
      <c r="B442" s="90">
        <v>1649</v>
      </c>
      <c r="C442" s="91">
        <v>0.41272207252437065</v>
      </c>
      <c r="D442" s="92">
        <v>62</v>
      </c>
      <c r="G442" s="5"/>
      <c r="H442" s="5"/>
      <c r="L442" s="7"/>
      <c r="M442" s="7"/>
      <c r="O442" s="5"/>
      <c r="P442" s="5"/>
    </row>
    <row r="443" spans="2:16" x14ac:dyDescent="0.25">
      <c r="B443" s="90">
        <v>559</v>
      </c>
      <c r="C443" s="91">
        <v>3.1667734550139937E-2</v>
      </c>
      <c r="D443" s="92">
        <v>63</v>
      </c>
      <c r="G443" s="5"/>
      <c r="H443" s="5"/>
      <c r="L443" s="7"/>
      <c r="M443" s="7"/>
      <c r="O443" s="5"/>
      <c r="P443" s="5"/>
    </row>
    <row r="444" spans="2:16" x14ac:dyDescent="0.25">
      <c r="B444" s="90">
        <v>385</v>
      </c>
      <c r="C444" s="91">
        <v>4.110461997076742E-2</v>
      </c>
      <c r="D444" s="92">
        <v>63</v>
      </c>
      <c r="G444" s="5"/>
      <c r="H444" s="5"/>
      <c r="L444" s="7"/>
      <c r="M444" s="7"/>
      <c r="O444" s="5"/>
      <c r="P444" s="5"/>
    </row>
    <row r="445" spans="2:16" x14ac:dyDescent="0.25">
      <c r="B445" s="90">
        <v>777</v>
      </c>
      <c r="C445" s="91">
        <v>4.1121411538548092E-2</v>
      </c>
      <c r="D445" s="92">
        <v>63</v>
      </c>
      <c r="G445" s="5"/>
      <c r="H445" s="5"/>
      <c r="L445" s="7"/>
      <c r="M445" s="7"/>
      <c r="O445" s="5"/>
      <c r="P445" s="5"/>
    </row>
    <row r="446" spans="2:16" x14ac:dyDescent="0.25">
      <c r="B446" s="90">
        <v>724</v>
      </c>
      <c r="C446" s="91">
        <v>4.3256571864916493E-2</v>
      </c>
      <c r="D446" s="92">
        <v>63</v>
      </c>
      <c r="G446" s="5"/>
      <c r="H446" s="5"/>
      <c r="L446" s="7"/>
      <c r="M446" s="7"/>
      <c r="O446" s="5"/>
      <c r="P446" s="5"/>
    </row>
    <row r="447" spans="2:16" x14ac:dyDescent="0.25">
      <c r="B447" s="90">
        <v>616</v>
      </c>
      <c r="C447" s="91">
        <v>0.10586513965012623</v>
      </c>
      <c r="D447" s="92">
        <v>63</v>
      </c>
      <c r="G447" s="5"/>
      <c r="H447" s="5"/>
      <c r="L447" s="7"/>
      <c r="M447" s="7"/>
      <c r="O447" s="5"/>
      <c r="P447" s="5"/>
    </row>
    <row r="448" spans="2:16" x14ac:dyDescent="0.25">
      <c r="B448" s="90">
        <v>1907</v>
      </c>
      <c r="C448" s="91">
        <v>2.5505893372606891E-2</v>
      </c>
      <c r="D448" s="92">
        <v>64</v>
      </c>
      <c r="G448" s="5"/>
      <c r="H448" s="5"/>
      <c r="L448" s="7"/>
      <c r="M448" s="7"/>
      <c r="O448" s="5"/>
      <c r="P448" s="5"/>
    </row>
    <row r="449" spans="2:16" x14ac:dyDescent="0.25">
      <c r="B449" s="90">
        <v>1973</v>
      </c>
      <c r="C449" s="91">
        <v>9.6725923317332652E-2</v>
      </c>
      <c r="D449" s="92">
        <v>64</v>
      </c>
      <c r="G449" s="5"/>
      <c r="H449" s="5"/>
      <c r="L449" s="7"/>
      <c r="M449" s="7"/>
      <c r="O449" s="5"/>
      <c r="P449" s="5"/>
    </row>
    <row r="450" spans="2:16" x14ac:dyDescent="0.25">
      <c r="B450" s="90">
        <v>1839</v>
      </c>
      <c r="C450" s="91">
        <v>0.12162240989857243</v>
      </c>
      <c r="D450" s="92">
        <v>64</v>
      </c>
      <c r="G450" s="5"/>
      <c r="H450" s="5"/>
      <c r="L450" s="7"/>
      <c r="M450" s="7"/>
      <c r="O450" s="5"/>
      <c r="P450" s="5"/>
    </row>
    <row r="451" spans="2:16" x14ac:dyDescent="0.25">
      <c r="B451" s="90">
        <v>1800</v>
      </c>
      <c r="C451" s="91">
        <v>0.15627874914901962</v>
      </c>
      <c r="D451" s="92">
        <v>64</v>
      </c>
      <c r="G451" s="5"/>
      <c r="H451" s="5"/>
      <c r="L451" s="7"/>
      <c r="M451" s="7"/>
      <c r="O451" s="5"/>
      <c r="P451" s="5"/>
    </row>
    <row r="452" spans="2:16" x14ac:dyDescent="0.25">
      <c r="B452" s="90">
        <v>266</v>
      </c>
      <c r="C452" s="91">
        <v>0.12755259788676465</v>
      </c>
      <c r="D452" s="92">
        <v>65</v>
      </c>
      <c r="G452" s="5"/>
      <c r="H452" s="5"/>
      <c r="L452" s="7"/>
      <c r="M452" s="7"/>
      <c r="O452" s="5"/>
      <c r="P452" s="5"/>
    </row>
    <row r="453" spans="2:16" x14ac:dyDescent="0.25">
      <c r="B453" s="90">
        <v>327</v>
      </c>
      <c r="C453" s="91">
        <v>0.13808747845035474</v>
      </c>
      <c r="D453" s="92">
        <v>65</v>
      </c>
      <c r="G453" s="5"/>
      <c r="H453" s="5"/>
      <c r="L453" s="7"/>
      <c r="M453" s="7"/>
      <c r="O453" s="5"/>
      <c r="P453" s="5"/>
    </row>
    <row r="454" spans="2:16" x14ac:dyDescent="0.25">
      <c r="B454" s="90">
        <v>195</v>
      </c>
      <c r="C454" s="91">
        <v>0.86285790877393842</v>
      </c>
      <c r="D454" s="92">
        <v>65</v>
      </c>
      <c r="G454" s="5"/>
      <c r="H454" s="5"/>
      <c r="L454" s="7"/>
      <c r="M454" s="7"/>
      <c r="O454" s="5"/>
      <c r="P454" s="5"/>
    </row>
    <row r="455" spans="2:16" x14ac:dyDescent="0.25">
      <c r="B455" s="90">
        <v>614</v>
      </c>
      <c r="C455" s="91">
        <v>5.4146157093557301E-2</v>
      </c>
      <c r="D455" s="92">
        <v>66</v>
      </c>
      <c r="G455" s="5"/>
      <c r="H455" s="5"/>
      <c r="L455" s="7"/>
      <c r="M455" s="7"/>
      <c r="O455" s="5"/>
      <c r="P455" s="5"/>
    </row>
    <row r="456" spans="2:16" x14ac:dyDescent="0.25">
      <c r="B456" s="90">
        <v>558</v>
      </c>
      <c r="C456" s="91">
        <v>5.5749552411576309E-2</v>
      </c>
      <c r="D456" s="92">
        <v>66</v>
      </c>
      <c r="G456" s="5"/>
      <c r="H456" s="5"/>
      <c r="L456" s="7"/>
      <c r="M456" s="7"/>
      <c r="O456" s="5"/>
      <c r="P456" s="5"/>
    </row>
    <row r="457" spans="2:16" x14ac:dyDescent="0.25">
      <c r="B457" s="90">
        <v>669</v>
      </c>
      <c r="C457" s="91">
        <v>5.7685775856358035E-2</v>
      </c>
      <c r="D457" s="92">
        <v>66</v>
      </c>
      <c r="G457" s="5"/>
      <c r="H457" s="5"/>
      <c r="L457" s="7"/>
      <c r="M457" s="7"/>
      <c r="O457" s="5"/>
      <c r="P457" s="5"/>
    </row>
    <row r="458" spans="2:16" x14ac:dyDescent="0.25">
      <c r="B458" s="90">
        <v>501</v>
      </c>
      <c r="C458" s="91">
        <v>5.8492649081339332E-2</v>
      </c>
      <c r="D458" s="92">
        <v>66</v>
      </c>
      <c r="G458" s="5"/>
      <c r="H458" s="5"/>
      <c r="L458" s="7"/>
      <c r="M458" s="7"/>
      <c r="O458" s="5"/>
      <c r="P458" s="5"/>
    </row>
    <row r="459" spans="2:16" x14ac:dyDescent="0.25">
      <c r="B459" s="90">
        <v>1858</v>
      </c>
      <c r="C459" s="91">
        <v>6.4293023431755358E-2</v>
      </c>
      <c r="D459" s="92">
        <v>66</v>
      </c>
      <c r="G459" s="5"/>
      <c r="H459" s="5"/>
      <c r="L459" s="7"/>
      <c r="M459" s="7"/>
      <c r="O459" s="5"/>
      <c r="P459" s="5"/>
    </row>
    <row r="460" spans="2:16" x14ac:dyDescent="0.25">
      <c r="B460" s="90">
        <v>776</v>
      </c>
      <c r="C460" s="91">
        <v>6.7435912505972251E-2</v>
      </c>
      <c r="D460" s="92">
        <v>66</v>
      </c>
      <c r="G460" s="5"/>
      <c r="H460" s="5"/>
      <c r="L460" s="7"/>
      <c r="M460" s="7"/>
      <c r="O460" s="5"/>
      <c r="P460" s="5"/>
    </row>
    <row r="461" spans="2:16" x14ac:dyDescent="0.25">
      <c r="B461" s="90">
        <v>723</v>
      </c>
      <c r="C461" s="91">
        <v>6.9094456249008562E-2</v>
      </c>
      <c r="D461" s="92">
        <v>66</v>
      </c>
      <c r="G461" s="5"/>
      <c r="H461" s="5"/>
      <c r="L461" s="7"/>
      <c r="M461" s="7"/>
      <c r="O461" s="5"/>
      <c r="P461" s="5"/>
    </row>
    <row r="462" spans="2:16" x14ac:dyDescent="0.25">
      <c r="B462" s="90">
        <v>929</v>
      </c>
      <c r="C462" s="91">
        <v>7.5375826857768446E-2</v>
      </c>
      <c r="D462" s="92">
        <v>66</v>
      </c>
      <c r="G462" s="5"/>
      <c r="H462" s="5"/>
      <c r="L462" s="7"/>
      <c r="M462" s="7"/>
      <c r="O462" s="5"/>
      <c r="P462" s="5"/>
    </row>
    <row r="463" spans="2:16" x14ac:dyDescent="0.25">
      <c r="B463" s="90">
        <v>828</v>
      </c>
      <c r="C463" s="91">
        <v>8.4598210735622903E-2</v>
      </c>
      <c r="D463" s="92">
        <v>66</v>
      </c>
      <c r="G463" s="5"/>
      <c r="H463" s="5"/>
      <c r="L463" s="7"/>
      <c r="M463" s="7"/>
      <c r="O463" s="5"/>
      <c r="P463" s="5"/>
    </row>
    <row r="464" spans="2:16" x14ac:dyDescent="0.25">
      <c r="B464" s="90">
        <v>879</v>
      </c>
      <c r="C464" s="91">
        <v>9.1358157781472604E-2</v>
      </c>
      <c r="D464" s="92">
        <v>66</v>
      </c>
      <c r="G464" s="5"/>
      <c r="H464" s="5"/>
      <c r="L464" s="7"/>
      <c r="M464" s="7"/>
      <c r="O464" s="5"/>
      <c r="P464" s="5"/>
    </row>
    <row r="465" spans="2:16" x14ac:dyDescent="0.25">
      <c r="B465" s="90">
        <v>1679</v>
      </c>
      <c r="C465" s="91">
        <v>0.12502204040683174</v>
      </c>
      <c r="D465" s="92">
        <v>66</v>
      </c>
      <c r="G465" s="5"/>
      <c r="H465" s="5"/>
      <c r="L465" s="7"/>
      <c r="M465" s="7"/>
      <c r="O465" s="5"/>
      <c r="P465" s="5"/>
    </row>
    <row r="466" spans="2:16" x14ac:dyDescent="0.25">
      <c r="B466" s="90">
        <v>1710</v>
      </c>
      <c r="C466" s="91">
        <v>0.23223284805975863</v>
      </c>
      <c r="D466" s="92">
        <v>66</v>
      </c>
      <c r="G466" s="5"/>
      <c r="H466" s="5"/>
      <c r="L466" s="7"/>
      <c r="M466" s="7"/>
      <c r="O466" s="5"/>
      <c r="P466" s="5"/>
    </row>
    <row r="467" spans="2:16" x14ac:dyDescent="0.25">
      <c r="B467" s="90">
        <v>1953</v>
      </c>
      <c r="C467" s="91">
        <v>0.23951868506890905</v>
      </c>
      <c r="D467" s="92">
        <v>66</v>
      </c>
      <c r="G467" s="5"/>
      <c r="H467" s="5"/>
      <c r="L467" s="7"/>
      <c r="M467" s="7"/>
      <c r="O467" s="5"/>
      <c r="P467" s="5"/>
    </row>
    <row r="468" spans="2:16" x14ac:dyDescent="0.25">
      <c r="B468" s="90">
        <v>1668</v>
      </c>
      <c r="C468" s="91">
        <v>0.43822994865071296</v>
      </c>
      <c r="D468" s="92">
        <v>67</v>
      </c>
      <c r="G468" s="5"/>
      <c r="H468" s="5"/>
      <c r="L468" s="7"/>
      <c r="M468" s="7"/>
      <c r="O468" s="5"/>
      <c r="P468" s="5"/>
    </row>
    <row r="469" spans="2:16" x14ac:dyDescent="0.25">
      <c r="B469" s="90">
        <v>1699</v>
      </c>
      <c r="C469" s="91">
        <v>0.47643727636325506</v>
      </c>
      <c r="D469" s="92">
        <v>67</v>
      </c>
      <c r="G469" s="5"/>
      <c r="H469" s="5"/>
      <c r="L469" s="7"/>
      <c r="M469" s="7"/>
      <c r="O469" s="5"/>
      <c r="P469" s="5"/>
    </row>
    <row r="470" spans="2:16" x14ac:dyDescent="0.25">
      <c r="B470" s="90">
        <v>1656</v>
      </c>
      <c r="C470" s="91">
        <v>4.5637056480417493E-2</v>
      </c>
      <c r="D470" s="92">
        <v>68</v>
      </c>
      <c r="G470" s="5"/>
      <c r="H470" s="5"/>
      <c r="L470" s="7"/>
      <c r="M470" s="7"/>
      <c r="O470" s="5"/>
      <c r="P470" s="5"/>
    </row>
    <row r="471" spans="2:16" x14ac:dyDescent="0.25">
      <c r="B471" s="90">
        <v>443</v>
      </c>
      <c r="C471" s="91">
        <v>5.9797370020959972E-2</v>
      </c>
      <c r="D471" s="92">
        <v>68</v>
      </c>
      <c r="G471" s="5"/>
      <c r="H471" s="5"/>
      <c r="L471" s="7"/>
      <c r="M471" s="7"/>
      <c r="O471" s="5"/>
      <c r="P471" s="5"/>
    </row>
    <row r="472" spans="2:16" x14ac:dyDescent="0.25">
      <c r="B472" s="90">
        <v>1687</v>
      </c>
      <c r="C472" s="91">
        <v>6.3957826148714481E-2</v>
      </c>
      <c r="D472" s="92">
        <v>68</v>
      </c>
      <c r="G472" s="5"/>
      <c r="H472" s="5"/>
      <c r="L472" s="7"/>
      <c r="M472" s="7"/>
      <c r="O472" s="5"/>
      <c r="P472" s="5"/>
    </row>
    <row r="473" spans="2:16" x14ac:dyDescent="0.25">
      <c r="B473" s="90">
        <v>2129</v>
      </c>
      <c r="C473" s="91">
        <v>7.0805751509091852E-2</v>
      </c>
      <c r="D473" s="92">
        <v>68</v>
      </c>
      <c r="G473" s="5"/>
      <c r="H473" s="5"/>
      <c r="L473" s="7"/>
      <c r="M473" s="7"/>
      <c r="O473" s="5"/>
      <c r="P473" s="5"/>
    </row>
    <row r="474" spans="2:16" x14ac:dyDescent="0.25">
      <c r="B474" s="90">
        <v>1296</v>
      </c>
      <c r="C474" s="91">
        <v>0.11945643483891</v>
      </c>
      <c r="D474" s="92">
        <v>69</v>
      </c>
      <c r="G474" s="5"/>
      <c r="H474" s="5"/>
      <c r="L474" s="7"/>
      <c r="M474" s="7"/>
      <c r="O474" s="5"/>
      <c r="P474" s="5"/>
    </row>
    <row r="475" spans="2:16" x14ac:dyDescent="0.25">
      <c r="B475" s="90">
        <v>1838</v>
      </c>
      <c r="C475" s="91">
        <v>0.13501259961378975</v>
      </c>
      <c r="D475" s="92">
        <v>69</v>
      </c>
      <c r="G475" s="5"/>
      <c r="H475" s="5"/>
      <c r="L475" s="7"/>
      <c r="M475" s="7"/>
      <c r="O475" s="5"/>
      <c r="P475" s="5"/>
    </row>
    <row r="476" spans="2:16" x14ac:dyDescent="0.25">
      <c r="B476" s="90">
        <v>502</v>
      </c>
      <c r="C476" s="91">
        <v>3.412129358038607E-2</v>
      </c>
      <c r="D476" s="92">
        <v>70</v>
      </c>
      <c r="G476" s="5"/>
      <c r="H476" s="5"/>
      <c r="L476" s="7"/>
      <c r="M476" s="7"/>
      <c r="O476" s="5"/>
      <c r="P476" s="5"/>
    </row>
    <row r="477" spans="2:16" x14ac:dyDescent="0.25">
      <c r="B477" s="90">
        <v>444</v>
      </c>
      <c r="C477" s="91">
        <v>3.6851477144275835E-2</v>
      </c>
      <c r="D477" s="92">
        <v>70</v>
      </c>
      <c r="G477" s="5"/>
      <c r="H477" s="5"/>
      <c r="L477" s="7"/>
      <c r="M477" s="7"/>
      <c r="O477" s="5"/>
      <c r="P477" s="5"/>
    </row>
    <row r="478" spans="2:16" x14ac:dyDescent="0.25">
      <c r="B478" s="90">
        <v>1126</v>
      </c>
      <c r="C478" s="91">
        <v>0.13009416883610636</v>
      </c>
      <c r="D478" s="92">
        <v>70</v>
      </c>
      <c r="G478" s="5"/>
      <c r="H478" s="5"/>
      <c r="L478" s="7"/>
      <c r="M478" s="7"/>
      <c r="O478" s="5"/>
      <c r="P478" s="5"/>
    </row>
    <row r="479" spans="2:16" x14ac:dyDescent="0.25">
      <c r="B479" s="90">
        <v>1080</v>
      </c>
      <c r="C479" s="91">
        <v>0.13150397650249346</v>
      </c>
      <c r="D479" s="92">
        <v>70</v>
      </c>
      <c r="G479" s="5"/>
      <c r="H479" s="5"/>
      <c r="L479" s="7"/>
      <c r="M479" s="7"/>
      <c r="O479" s="5"/>
      <c r="P479" s="5"/>
    </row>
    <row r="480" spans="2:16" x14ac:dyDescent="0.25">
      <c r="B480" s="90">
        <v>1519</v>
      </c>
      <c r="C480" s="91">
        <v>0.18382982785713642</v>
      </c>
      <c r="D480" s="92">
        <v>70</v>
      </c>
      <c r="G480" s="5"/>
      <c r="H480" s="5"/>
      <c r="L480" s="7"/>
      <c r="M480" s="7"/>
      <c r="O480" s="5"/>
      <c r="P480" s="5"/>
    </row>
    <row r="481" spans="2:16" x14ac:dyDescent="0.25">
      <c r="B481" s="90">
        <v>1121</v>
      </c>
      <c r="C481" s="91">
        <v>0.18843372067566833</v>
      </c>
      <c r="D481" s="92">
        <v>70</v>
      </c>
      <c r="G481" s="5"/>
      <c r="H481" s="5"/>
      <c r="L481" s="7"/>
      <c r="M481" s="7"/>
      <c r="O481" s="5"/>
      <c r="P481" s="5"/>
    </row>
    <row r="482" spans="2:16" x14ac:dyDescent="0.25">
      <c r="B482" s="90">
        <v>1075</v>
      </c>
      <c r="C482" s="91">
        <v>0.19084405763617962</v>
      </c>
      <c r="D482" s="92">
        <v>70</v>
      </c>
      <c r="G482" s="5"/>
      <c r="H482" s="5"/>
      <c r="L482" s="7"/>
      <c r="M482" s="7"/>
      <c r="O482" s="5"/>
      <c r="P482" s="5"/>
    </row>
    <row r="483" spans="2:16" x14ac:dyDescent="0.25">
      <c r="B483" s="90">
        <v>1554</v>
      </c>
      <c r="C483" s="91">
        <v>0.20309938028858243</v>
      </c>
      <c r="D483" s="92">
        <v>70</v>
      </c>
      <c r="G483" s="5"/>
      <c r="H483" s="5"/>
      <c r="L483" s="7"/>
      <c r="M483" s="7"/>
      <c r="O483" s="5"/>
      <c r="P483" s="5"/>
    </row>
    <row r="484" spans="2:16" x14ac:dyDescent="0.25">
      <c r="B484" s="90">
        <v>1588</v>
      </c>
      <c r="C484" s="91">
        <v>0.24154233172408013</v>
      </c>
      <c r="D484" s="92">
        <v>70</v>
      </c>
      <c r="G484" s="5"/>
      <c r="H484" s="5"/>
      <c r="L484" s="7"/>
      <c r="M484" s="7"/>
      <c r="O484" s="5"/>
      <c r="P484" s="5"/>
    </row>
    <row r="485" spans="2:16" x14ac:dyDescent="0.25">
      <c r="B485" s="90">
        <v>1621</v>
      </c>
      <c r="C485" s="91">
        <v>0.25242331333175949</v>
      </c>
      <c r="D485" s="92">
        <v>70</v>
      </c>
      <c r="G485" s="5"/>
      <c r="H485" s="5"/>
      <c r="L485" s="7"/>
      <c r="M485" s="7"/>
      <c r="O485" s="5"/>
      <c r="P485" s="5"/>
    </row>
    <row r="486" spans="2:16" x14ac:dyDescent="0.25">
      <c r="B486" s="90">
        <v>1653</v>
      </c>
      <c r="C486" s="91">
        <v>0.25689701533571574</v>
      </c>
      <c r="D486" s="92">
        <v>70</v>
      </c>
      <c r="G486" s="5"/>
      <c r="H486" s="5"/>
      <c r="L486" s="7"/>
      <c r="M486" s="7"/>
      <c r="O486" s="5"/>
      <c r="P486" s="5"/>
    </row>
    <row r="487" spans="2:16" x14ac:dyDescent="0.25">
      <c r="B487" s="90">
        <v>1684</v>
      </c>
      <c r="C487" s="91">
        <v>0.27171262224325832</v>
      </c>
      <c r="D487" s="92">
        <v>70</v>
      </c>
      <c r="G487" s="5"/>
      <c r="H487" s="5"/>
      <c r="L487" s="7"/>
      <c r="M487" s="7"/>
      <c r="O487" s="5"/>
      <c r="P487" s="5"/>
    </row>
    <row r="488" spans="2:16" x14ac:dyDescent="0.25">
      <c r="B488" s="90">
        <v>392</v>
      </c>
      <c r="C488" s="91">
        <v>5.301900635351342E-2</v>
      </c>
      <c r="D488" s="92">
        <v>71</v>
      </c>
      <c r="G488" s="5"/>
      <c r="H488" s="5"/>
      <c r="L488" s="7"/>
      <c r="M488" s="7"/>
      <c r="O488" s="5"/>
      <c r="P488" s="5"/>
    </row>
    <row r="489" spans="2:16" x14ac:dyDescent="0.25">
      <c r="B489" s="90">
        <v>271</v>
      </c>
      <c r="C489" s="91">
        <v>5.3983093533944371E-2</v>
      </c>
      <c r="D489" s="92">
        <v>71</v>
      </c>
      <c r="G489" s="5"/>
      <c r="H489" s="5"/>
      <c r="L489" s="7"/>
      <c r="M489" s="7"/>
      <c r="O489" s="5"/>
      <c r="P489" s="5"/>
    </row>
    <row r="490" spans="2:16" x14ac:dyDescent="0.25">
      <c r="B490" s="90">
        <v>209</v>
      </c>
      <c r="C490" s="91">
        <v>5.6798156018191492E-2</v>
      </c>
      <c r="D490" s="92">
        <v>71</v>
      </c>
      <c r="G490" s="5"/>
      <c r="H490" s="5"/>
      <c r="L490" s="7"/>
      <c r="M490" s="7"/>
      <c r="O490" s="5"/>
      <c r="P490" s="5"/>
    </row>
    <row r="491" spans="2:16" x14ac:dyDescent="0.25">
      <c r="B491" s="90">
        <v>332</v>
      </c>
      <c r="C491" s="91">
        <v>5.7070946795904853E-2</v>
      </c>
      <c r="D491" s="92">
        <v>71</v>
      </c>
      <c r="G491" s="5"/>
      <c r="H491" s="5"/>
      <c r="L491" s="7"/>
      <c r="M491" s="7"/>
      <c r="O491" s="5"/>
      <c r="P491" s="5"/>
    </row>
    <row r="492" spans="2:16" x14ac:dyDescent="0.25">
      <c r="B492" s="90">
        <v>270</v>
      </c>
      <c r="C492" s="91">
        <v>6.4815034314817055E-2</v>
      </c>
      <c r="D492" s="92">
        <v>71</v>
      </c>
      <c r="G492" s="5"/>
      <c r="H492" s="5"/>
      <c r="L492" s="7"/>
      <c r="M492" s="7"/>
      <c r="O492" s="5"/>
      <c r="P492" s="5"/>
    </row>
    <row r="493" spans="2:16" x14ac:dyDescent="0.25">
      <c r="B493" s="90">
        <v>331</v>
      </c>
      <c r="C493" s="91">
        <v>7.4596370210214813E-2</v>
      </c>
      <c r="D493" s="92">
        <v>71</v>
      </c>
      <c r="G493" s="5"/>
      <c r="H493" s="5"/>
      <c r="L493" s="7"/>
      <c r="M493" s="7"/>
      <c r="O493" s="5"/>
      <c r="P493" s="5"/>
    </row>
    <row r="494" spans="2:16" x14ac:dyDescent="0.25">
      <c r="B494" s="90">
        <v>11</v>
      </c>
      <c r="C494" s="91">
        <v>0.18568687851971077</v>
      </c>
      <c r="D494" s="92">
        <v>71</v>
      </c>
      <c r="G494" s="5"/>
      <c r="H494" s="5"/>
      <c r="L494" s="7"/>
      <c r="M494" s="7"/>
      <c r="O494" s="5"/>
      <c r="P494" s="5"/>
    </row>
    <row r="495" spans="2:16" x14ac:dyDescent="0.25">
      <c r="B495" s="90">
        <v>2091</v>
      </c>
      <c r="C495" s="91">
        <v>0.18568687851971077</v>
      </c>
      <c r="D495" s="92">
        <v>71</v>
      </c>
      <c r="G495" s="5"/>
      <c r="H495" s="5"/>
      <c r="L495" s="7"/>
      <c r="M495" s="7"/>
      <c r="O495" s="5"/>
      <c r="P495" s="5"/>
    </row>
    <row r="496" spans="2:16" x14ac:dyDescent="0.25">
      <c r="B496" s="90">
        <v>1667</v>
      </c>
      <c r="C496" s="91">
        <v>0.42877824885765969</v>
      </c>
      <c r="D496" s="92">
        <v>71</v>
      </c>
      <c r="G496" s="5"/>
      <c r="H496" s="5"/>
      <c r="L496" s="7"/>
      <c r="M496" s="7"/>
      <c r="O496" s="5"/>
      <c r="P496" s="5"/>
    </row>
    <row r="497" spans="2:16" x14ac:dyDescent="0.25">
      <c r="B497" s="90">
        <v>1698</v>
      </c>
      <c r="C497" s="91">
        <v>0.46498599273882524</v>
      </c>
      <c r="D497" s="92">
        <v>71</v>
      </c>
      <c r="G497" s="5"/>
      <c r="H497" s="5"/>
      <c r="L497" s="7"/>
      <c r="M497" s="7"/>
      <c r="O497" s="5"/>
      <c r="P497" s="5"/>
    </row>
    <row r="498" spans="2:16" x14ac:dyDescent="0.25">
      <c r="B498" s="90">
        <v>1020</v>
      </c>
      <c r="C498" s="91">
        <v>0.63153395394555822</v>
      </c>
      <c r="D498" s="92">
        <v>71</v>
      </c>
      <c r="G498" s="5"/>
      <c r="H498" s="5"/>
      <c r="L498" s="7"/>
      <c r="M498" s="7"/>
      <c r="O498" s="5"/>
      <c r="P498" s="5"/>
    </row>
    <row r="499" spans="2:16" x14ac:dyDescent="0.25">
      <c r="B499" s="90">
        <v>972</v>
      </c>
      <c r="C499" s="91">
        <v>0.67274239546464032</v>
      </c>
      <c r="D499" s="92">
        <v>71</v>
      </c>
      <c r="G499" s="5"/>
      <c r="H499" s="5"/>
      <c r="L499" s="7"/>
      <c r="M499" s="7"/>
      <c r="O499" s="5"/>
      <c r="P499" s="5"/>
    </row>
    <row r="500" spans="2:16" x14ac:dyDescent="0.25">
      <c r="B500" s="90">
        <v>873</v>
      </c>
      <c r="C500" s="91">
        <v>0.69088590104717951</v>
      </c>
      <c r="D500" s="92">
        <v>71</v>
      </c>
      <c r="G500" s="5"/>
      <c r="H500" s="5"/>
      <c r="L500" s="7"/>
      <c r="M500" s="7"/>
      <c r="O500" s="5"/>
      <c r="P500" s="5"/>
    </row>
    <row r="501" spans="2:16" x14ac:dyDescent="0.25">
      <c r="B501" s="90">
        <v>923</v>
      </c>
      <c r="C501" s="91">
        <v>0.69214095434944356</v>
      </c>
      <c r="D501" s="92">
        <v>71</v>
      </c>
      <c r="G501" s="5"/>
      <c r="H501" s="5"/>
      <c r="L501" s="7"/>
      <c r="M501" s="7"/>
      <c r="O501" s="5"/>
      <c r="P501" s="5"/>
    </row>
    <row r="502" spans="2:16" x14ac:dyDescent="0.25">
      <c r="B502" s="90">
        <v>822</v>
      </c>
      <c r="C502" s="91">
        <v>0.71269667742446974</v>
      </c>
      <c r="D502" s="92">
        <v>71</v>
      </c>
      <c r="G502" s="5"/>
      <c r="H502" s="5"/>
      <c r="L502" s="7"/>
      <c r="M502" s="7"/>
      <c r="O502" s="5"/>
      <c r="P502" s="5"/>
    </row>
    <row r="503" spans="2:16" x14ac:dyDescent="0.25">
      <c r="B503" s="90">
        <v>770</v>
      </c>
      <c r="C503" s="91">
        <v>0.73520377577093221</v>
      </c>
      <c r="D503" s="92">
        <v>71</v>
      </c>
      <c r="G503" s="5"/>
      <c r="H503" s="5"/>
      <c r="L503" s="7"/>
      <c r="M503" s="7"/>
      <c r="O503" s="5"/>
      <c r="P503" s="5"/>
    </row>
    <row r="504" spans="2:16" x14ac:dyDescent="0.25">
      <c r="B504" s="90">
        <v>717</v>
      </c>
      <c r="C504" s="91">
        <v>0.73766513651653509</v>
      </c>
      <c r="D504" s="92">
        <v>71</v>
      </c>
      <c r="G504" s="5"/>
      <c r="H504" s="5"/>
      <c r="L504" s="7"/>
      <c r="M504" s="7"/>
      <c r="O504" s="5"/>
      <c r="P504" s="5"/>
    </row>
    <row r="505" spans="2:16" x14ac:dyDescent="0.25">
      <c r="B505" s="90">
        <v>1591</v>
      </c>
      <c r="C505" s="91">
        <v>3.3009349675620192E-2</v>
      </c>
      <c r="D505" s="92">
        <v>72</v>
      </c>
      <c r="G505" s="5"/>
      <c r="H505" s="5"/>
      <c r="L505" s="7"/>
      <c r="M505" s="7"/>
      <c r="O505" s="5"/>
      <c r="P505" s="5"/>
    </row>
    <row r="506" spans="2:16" x14ac:dyDescent="0.25">
      <c r="B506" s="90">
        <v>1208</v>
      </c>
      <c r="C506" s="91">
        <v>3.7202017491179129E-2</v>
      </c>
      <c r="D506" s="92">
        <v>72</v>
      </c>
      <c r="G506" s="5"/>
      <c r="H506" s="5"/>
      <c r="L506" s="7"/>
      <c r="M506" s="7"/>
      <c r="O506" s="5"/>
      <c r="P506" s="5"/>
    </row>
    <row r="507" spans="2:16" x14ac:dyDescent="0.25">
      <c r="B507" s="90">
        <v>1624</v>
      </c>
      <c r="C507" s="91">
        <v>3.8202248018019525E-2</v>
      </c>
      <c r="D507" s="92">
        <v>72</v>
      </c>
      <c r="G507" s="5"/>
      <c r="H507" s="5"/>
      <c r="L507" s="7"/>
      <c r="M507" s="7"/>
      <c r="O507" s="5"/>
      <c r="P507" s="5"/>
    </row>
    <row r="508" spans="2:16" x14ac:dyDescent="0.25">
      <c r="B508" s="90">
        <v>836</v>
      </c>
      <c r="C508" s="91">
        <v>5.3126459689571304E-2</v>
      </c>
      <c r="D508" s="92">
        <v>72</v>
      </c>
      <c r="G508" s="5"/>
      <c r="H508" s="5"/>
      <c r="L508" s="7"/>
      <c r="M508" s="7"/>
      <c r="O508" s="5"/>
      <c r="P508" s="5"/>
    </row>
    <row r="509" spans="2:16" x14ac:dyDescent="0.25">
      <c r="B509" s="90">
        <v>1164</v>
      </c>
      <c r="C509" s="91">
        <v>8.7960493036126186E-2</v>
      </c>
      <c r="D509" s="92">
        <v>72</v>
      </c>
      <c r="G509" s="5"/>
      <c r="H509" s="5"/>
      <c r="L509" s="7"/>
      <c r="M509" s="7"/>
      <c r="O509" s="5"/>
      <c r="P509" s="5"/>
    </row>
    <row r="510" spans="2:16" x14ac:dyDescent="0.25">
      <c r="B510" s="90">
        <v>76</v>
      </c>
      <c r="C510" s="91">
        <v>0.14266454873511702</v>
      </c>
      <c r="D510" s="92">
        <v>73</v>
      </c>
      <c r="G510" s="5"/>
      <c r="H510" s="5"/>
      <c r="L510" s="7"/>
      <c r="M510" s="7"/>
      <c r="O510" s="5"/>
      <c r="P510" s="5"/>
    </row>
    <row r="511" spans="2:16" x14ac:dyDescent="0.25">
      <c r="B511" s="90">
        <v>262</v>
      </c>
      <c r="C511" s="91">
        <v>0.20821011667854639</v>
      </c>
      <c r="D511" s="92">
        <v>73</v>
      </c>
      <c r="G511" s="5"/>
      <c r="H511" s="5"/>
      <c r="L511" s="7"/>
      <c r="M511" s="7"/>
      <c r="O511" s="5"/>
      <c r="P511" s="5"/>
    </row>
    <row r="512" spans="2:16" x14ac:dyDescent="0.25">
      <c r="B512" s="90">
        <v>2053</v>
      </c>
      <c r="C512" s="91">
        <v>0.61360094335989523</v>
      </c>
      <c r="D512" s="92">
        <v>73</v>
      </c>
      <c r="G512" s="5"/>
      <c r="H512" s="5"/>
      <c r="L512" s="7"/>
      <c r="M512" s="7"/>
      <c r="O512" s="5"/>
      <c r="P512" s="5"/>
    </row>
    <row r="513" spans="2:16" x14ac:dyDescent="0.25">
      <c r="B513" s="90">
        <v>1413</v>
      </c>
      <c r="C513" s="91">
        <v>4.1302702844607797E-2</v>
      </c>
      <c r="D513" s="92">
        <v>74</v>
      </c>
      <c r="G513" s="5"/>
      <c r="H513" s="5"/>
      <c r="L513" s="7"/>
      <c r="M513" s="7"/>
      <c r="O513" s="5"/>
      <c r="P513" s="5"/>
    </row>
    <row r="514" spans="2:16" x14ac:dyDescent="0.25">
      <c r="B514" s="90">
        <v>1806</v>
      </c>
      <c r="C514" s="91">
        <v>0.10094819801731814</v>
      </c>
      <c r="D514" s="92">
        <v>74</v>
      </c>
      <c r="G514" s="5"/>
      <c r="H514" s="5"/>
      <c r="L514" s="7"/>
      <c r="M514" s="7"/>
      <c r="O514" s="5"/>
      <c r="P514" s="5"/>
    </row>
    <row r="515" spans="2:16" x14ac:dyDescent="0.25">
      <c r="B515" s="90">
        <v>140</v>
      </c>
      <c r="C515" s="91">
        <v>0.15043352521065612</v>
      </c>
      <c r="D515" s="92">
        <v>74</v>
      </c>
      <c r="G515" s="5"/>
      <c r="H515" s="5"/>
      <c r="L515" s="7"/>
      <c r="M515" s="7"/>
      <c r="O515" s="5"/>
      <c r="P515" s="5"/>
    </row>
    <row r="516" spans="2:16" x14ac:dyDescent="0.25">
      <c r="B516" s="90">
        <v>1715</v>
      </c>
      <c r="C516" s="91">
        <v>0.208810339352689</v>
      </c>
      <c r="D516" s="92">
        <v>74</v>
      </c>
      <c r="G516" s="5"/>
      <c r="H516" s="5"/>
      <c r="L516" s="7"/>
      <c r="M516" s="7"/>
      <c r="O516" s="5"/>
      <c r="P516" s="5"/>
    </row>
    <row r="517" spans="2:16" x14ac:dyDescent="0.25">
      <c r="B517" s="90">
        <v>208</v>
      </c>
      <c r="C517" s="91">
        <v>7.1579550550990856E-2</v>
      </c>
      <c r="D517" s="92">
        <v>75</v>
      </c>
      <c r="G517" s="5"/>
      <c r="H517" s="5"/>
      <c r="L517" s="7"/>
      <c r="M517" s="7"/>
      <c r="O517" s="5"/>
      <c r="P517" s="5"/>
    </row>
    <row r="518" spans="2:16" x14ac:dyDescent="0.25">
      <c r="B518" s="90">
        <v>1481</v>
      </c>
      <c r="C518" s="91">
        <v>0.39193774557677463</v>
      </c>
      <c r="D518" s="92">
        <v>75</v>
      </c>
      <c r="G518" s="5"/>
      <c r="H518" s="5"/>
      <c r="L518" s="7"/>
      <c r="M518" s="7"/>
      <c r="O518" s="5"/>
      <c r="P518" s="5"/>
    </row>
    <row r="519" spans="2:16" x14ac:dyDescent="0.25">
      <c r="B519" s="90">
        <v>1557</v>
      </c>
      <c r="C519" s="91">
        <v>5.6119136480860199E-2</v>
      </c>
      <c r="D519" s="92">
        <v>76</v>
      </c>
      <c r="G519" s="5"/>
      <c r="H519" s="5"/>
      <c r="L519" s="7"/>
      <c r="M519" s="7"/>
      <c r="O519" s="5"/>
      <c r="P519" s="5"/>
    </row>
    <row r="520" spans="2:16" x14ac:dyDescent="0.25">
      <c r="B520" s="90">
        <v>1968</v>
      </c>
      <c r="C520" s="91">
        <v>6.8179290815707283E-2</v>
      </c>
      <c r="D520" s="92">
        <v>76</v>
      </c>
      <c r="G520" s="5"/>
      <c r="H520" s="5"/>
      <c r="L520" s="7"/>
      <c r="M520" s="7"/>
      <c r="O520" s="5"/>
      <c r="P520" s="5"/>
    </row>
    <row r="521" spans="2:16" x14ac:dyDescent="0.25">
      <c r="B521" s="90">
        <v>1522</v>
      </c>
      <c r="C521" s="91">
        <v>9.0513576883240798E-2</v>
      </c>
      <c r="D521" s="92">
        <v>76</v>
      </c>
      <c r="G521" s="5"/>
      <c r="H521" s="5"/>
      <c r="L521" s="7"/>
      <c r="M521" s="7"/>
      <c r="O521" s="5"/>
      <c r="P521" s="5"/>
    </row>
    <row r="522" spans="2:16" x14ac:dyDescent="0.25">
      <c r="B522" s="90">
        <v>1251</v>
      </c>
      <c r="C522" s="91">
        <v>9.648561369778208E-2</v>
      </c>
      <c r="D522" s="92">
        <v>76</v>
      </c>
      <c r="G522" s="5"/>
      <c r="H522" s="5"/>
      <c r="L522" s="7"/>
      <c r="M522" s="7"/>
      <c r="O522" s="5"/>
      <c r="P522" s="5"/>
    </row>
    <row r="523" spans="2:16" x14ac:dyDescent="0.25">
      <c r="B523" s="90">
        <v>1457</v>
      </c>
      <c r="C523" s="91">
        <v>3.7311243233383751E-2</v>
      </c>
      <c r="D523" s="92">
        <v>78</v>
      </c>
      <c r="G523" s="5"/>
      <c r="H523" s="5"/>
      <c r="L523" s="7"/>
      <c r="M523" s="7"/>
      <c r="O523" s="5"/>
      <c r="P523" s="5"/>
    </row>
    <row r="524" spans="2:16" x14ac:dyDescent="0.25">
      <c r="B524" s="90">
        <v>1889</v>
      </c>
      <c r="C524" s="91">
        <v>3.9308364697585585E-2</v>
      </c>
      <c r="D524" s="92">
        <v>78</v>
      </c>
      <c r="G524" s="5"/>
      <c r="H524" s="5"/>
      <c r="L524" s="7"/>
      <c r="M524" s="7"/>
      <c r="O524" s="5"/>
      <c r="P524" s="5"/>
    </row>
    <row r="525" spans="2:16" x14ac:dyDescent="0.25">
      <c r="B525" s="90">
        <v>1340</v>
      </c>
      <c r="C525" s="91">
        <v>8.1500845372881825E-2</v>
      </c>
      <c r="D525" s="92">
        <v>78</v>
      </c>
      <c r="G525" s="5"/>
      <c r="H525" s="5"/>
      <c r="L525" s="7"/>
      <c r="M525" s="7"/>
      <c r="O525" s="5"/>
      <c r="P525" s="5"/>
    </row>
    <row r="526" spans="2:16" x14ac:dyDescent="0.25">
      <c r="B526" s="90">
        <v>1379</v>
      </c>
      <c r="C526" s="91">
        <v>9.6497413824644385E-2</v>
      </c>
      <c r="D526" s="92">
        <v>78</v>
      </c>
      <c r="G526" s="5"/>
      <c r="H526" s="5"/>
      <c r="L526" s="7"/>
      <c r="M526" s="7"/>
      <c r="O526" s="5"/>
      <c r="P526" s="5"/>
    </row>
    <row r="527" spans="2:16" x14ac:dyDescent="0.25">
      <c r="B527" s="90">
        <v>1214</v>
      </c>
      <c r="C527" s="91">
        <v>9.8570118196281031E-2</v>
      </c>
      <c r="D527" s="92">
        <v>78</v>
      </c>
      <c r="G527" s="5"/>
      <c r="H527" s="5"/>
      <c r="L527" s="7"/>
      <c r="M527" s="7"/>
      <c r="O527" s="5"/>
      <c r="P527" s="5"/>
    </row>
    <row r="528" spans="2:16" x14ac:dyDescent="0.25">
      <c r="B528" s="90">
        <v>1298</v>
      </c>
      <c r="C528" s="91">
        <v>0.10549181087875747</v>
      </c>
      <c r="D528" s="92">
        <v>78</v>
      </c>
      <c r="G528" s="5"/>
      <c r="H528" s="5"/>
      <c r="L528" s="7"/>
      <c r="M528" s="7"/>
      <c r="O528" s="5"/>
      <c r="P528" s="5"/>
    </row>
    <row r="529" spans="2:16" x14ac:dyDescent="0.25">
      <c r="B529" s="90">
        <v>1256</v>
      </c>
      <c r="C529" s="91">
        <v>0.13044426084957417</v>
      </c>
      <c r="D529" s="92">
        <v>78</v>
      </c>
      <c r="G529" s="5"/>
      <c r="H529" s="5"/>
      <c r="L529" s="7"/>
      <c r="M529" s="7"/>
      <c r="O529" s="5"/>
      <c r="P529" s="5"/>
    </row>
    <row r="530" spans="2:16" x14ac:dyDescent="0.25">
      <c r="B530" s="90">
        <v>1169</v>
      </c>
      <c r="C530" s="91">
        <v>0.14227853245783173</v>
      </c>
      <c r="D530" s="92">
        <v>78</v>
      </c>
      <c r="G530" s="5"/>
      <c r="H530" s="5"/>
      <c r="L530" s="7"/>
      <c r="M530" s="7"/>
      <c r="O530" s="5"/>
      <c r="P530" s="5"/>
    </row>
    <row r="531" spans="2:16" x14ac:dyDescent="0.25">
      <c r="B531" s="90">
        <v>1026</v>
      </c>
      <c r="C531" s="91">
        <v>0.13185192067263785</v>
      </c>
      <c r="D531" s="92">
        <v>79</v>
      </c>
      <c r="G531" s="5"/>
      <c r="H531" s="5"/>
      <c r="L531" s="7"/>
      <c r="M531" s="7"/>
      <c r="O531" s="5"/>
      <c r="P531" s="5"/>
    </row>
    <row r="532" spans="2:16" x14ac:dyDescent="0.25">
      <c r="B532" s="90">
        <v>1840</v>
      </c>
      <c r="C532" s="91">
        <v>0.14045578431531069</v>
      </c>
      <c r="D532" s="92">
        <v>79</v>
      </c>
      <c r="G532" s="5"/>
      <c r="H532" s="5"/>
      <c r="L532" s="7"/>
      <c r="M532" s="7"/>
      <c r="O532" s="5"/>
      <c r="P532" s="5"/>
    </row>
    <row r="533" spans="2:16" x14ac:dyDescent="0.25">
      <c r="B533" s="90">
        <v>1119</v>
      </c>
      <c r="C533" s="91">
        <v>0.15738291681008687</v>
      </c>
      <c r="D533" s="92">
        <v>79</v>
      </c>
      <c r="G533" s="5"/>
      <c r="H533" s="5"/>
      <c r="L533" s="7"/>
      <c r="M533" s="7"/>
      <c r="O533" s="5"/>
      <c r="P533" s="5"/>
    </row>
    <row r="534" spans="2:16" x14ac:dyDescent="0.25">
      <c r="B534" s="90">
        <v>1073</v>
      </c>
      <c r="C534" s="91">
        <v>0.15830676881991845</v>
      </c>
      <c r="D534" s="92">
        <v>79</v>
      </c>
      <c r="G534" s="5"/>
      <c r="H534" s="5"/>
      <c r="L534" s="7"/>
      <c r="M534" s="7"/>
      <c r="O534" s="5"/>
      <c r="P534" s="5"/>
    </row>
    <row r="535" spans="2:16" x14ac:dyDescent="0.25">
      <c r="B535" s="90">
        <v>82</v>
      </c>
      <c r="C535" s="91">
        <v>5.8975387425131975E-2</v>
      </c>
      <c r="D535" s="92">
        <v>80</v>
      </c>
      <c r="G535" s="5"/>
      <c r="H535" s="5"/>
      <c r="L535" s="7"/>
      <c r="M535" s="7"/>
      <c r="O535" s="5"/>
      <c r="P535" s="5"/>
    </row>
    <row r="536" spans="2:16" x14ac:dyDescent="0.25">
      <c r="B536" s="90">
        <v>268</v>
      </c>
      <c r="C536" s="91">
        <v>0.17484598972778986</v>
      </c>
      <c r="D536" s="92">
        <v>80</v>
      </c>
      <c r="G536" s="5"/>
      <c r="H536" s="5"/>
      <c r="L536" s="7"/>
      <c r="M536" s="7"/>
      <c r="O536" s="5"/>
      <c r="P536" s="5"/>
    </row>
    <row r="537" spans="2:16" x14ac:dyDescent="0.25">
      <c r="B537" s="90">
        <v>1662</v>
      </c>
      <c r="C537" s="91">
        <v>0.18504629081221535</v>
      </c>
      <c r="D537" s="92">
        <v>80</v>
      </c>
      <c r="G537" s="5"/>
      <c r="H537" s="5"/>
      <c r="L537" s="7"/>
      <c r="M537" s="7"/>
      <c r="O537" s="5"/>
      <c r="P537" s="5"/>
    </row>
    <row r="538" spans="2:16" x14ac:dyDescent="0.25">
      <c r="B538" s="90">
        <v>329</v>
      </c>
      <c r="C538" s="91">
        <v>0.1850635231264024</v>
      </c>
      <c r="D538" s="92">
        <v>80</v>
      </c>
      <c r="G538" s="5"/>
      <c r="H538" s="5"/>
      <c r="L538" s="7"/>
      <c r="M538" s="7"/>
      <c r="O538" s="5"/>
      <c r="P538" s="5"/>
    </row>
    <row r="539" spans="2:16" x14ac:dyDescent="0.25">
      <c r="B539" s="90">
        <v>1693</v>
      </c>
      <c r="C539" s="91">
        <v>0.20387309440167434</v>
      </c>
      <c r="D539" s="92">
        <v>80</v>
      </c>
      <c r="G539" s="5"/>
      <c r="H539" s="5"/>
      <c r="L539" s="7"/>
      <c r="M539" s="7"/>
      <c r="O539" s="5"/>
      <c r="P539" s="5"/>
    </row>
    <row r="540" spans="2:16" x14ac:dyDescent="0.25">
      <c r="B540" s="90">
        <v>1865</v>
      </c>
      <c r="C540" s="91">
        <v>0.26028764701196194</v>
      </c>
      <c r="D540" s="92">
        <v>80</v>
      </c>
      <c r="G540" s="5"/>
      <c r="H540" s="5"/>
      <c r="L540" s="7"/>
      <c r="M540" s="7"/>
      <c r="O540" s="5"/>
      <c r="P540" s="5"/>
    </row>
    <row r="541" spans="2:16" x14ac:dyDescent="0.25">
      <c r="B541" s="90">
        <v>930</v>
      </c>
      <c r="C541" s="91">
        <v>4.6867979545099248E-2</v>
      </c>
      <c r="D541" s="92">
        <v>81</v>
      </c>
      <c r="G541" s="5"/>
      <c r="H541" s="5"/>
      <c r="L541" s="7"/>
      <c r="M541" s="7"/>
      <c r="O541" s="5"/>
      <c r="P541" s="5"/>
    </row>
    <row r="542" spans="2:16" x14ac:dyDescent="0.25">
      <c r="B542" s="90">
        <v>146</v>
      </c>
      <c r="C542" s="91">
        <v>6.1184584090968275E-2</v>
      </c>
      <c r="D542" s="92">
        <v>81</v>
      </c>
      <c r="G542" s="5"/>
      <c r="H542" s="5"/>
      <c r="L542" s="7"/>
      <c r="M542" s="7"/>
      <c r="O542" s="5"/>
      <c r="P542" s="5"/>
    </row>
    <row r="543" spans="2:16" x14ac:dyDescent="0.25">
      <c r="B543" s="90">
        <v>1450</v>
      </c>
      <c r="C543" s="91">
        <v>6.3577480465391467E-2</v>
      </c>
      <c r="D543" s="92">
        <v>81</v>
      </c>
      <c r="G543" s="5"/>
      <c r="H543" s="5"/>
      <c r="L543" s="7"/>
      <c r="M543" s="7"/>
      <c r="O543" s="5"/>
      <c r="P543" s="5"/>
    </row>
    <row r="544" spans="2:16" x14ac:dyDescent="0.25">
      <c r="B544" s="90">
        <v>1448</v>
      </c>
      <c r="C544" s="91">
        <v>9.7468351527757013E-2</v>
      </c>
      <c r="D544" s="92">
        <v>81</v>
      </c>
      <c r="G544" s="5"/>
      <c r="H544" s="5"/>
      <c r="L544" s="7"/>
      <c r="M544" s="7"/>
      <c r="O544" s="5"/>
      <c r="P544" s="5"/>
    </row>
    <row r="545" spans="2:16" x14ac:dyDescent="0.25">
      <c r="B545" s="90">
        <v>560</v>
      </c>
      <c r="C545" s="91">
        <v>0.10839903391607408</v>
      </c>
      <c r="D545" s="92">
        <v>81</v>
      </c>
      <c r="G545" s="5"/>
      <c r="H545" s="5"/>
      <c r="L545" s="7"/>
      <c r="M545" s="7"/>
      <c r="O545" s="5"/>
      <c r="P545" s="5"/>
    </row>
    <row r="546" spans="2:16" x14ac:dyDescent="0.25">
      <c r="B546" s="90">
        <v>671</v>
      </c>
      <c r="C546" s="91">
        <v>0.10864802679929086</v>
      </c>
      <c r="D546" s="92">
        <v>81</v>
      </c>
      <c r="G546" s="5"/>
      <c r="H546" s="5"/>
      <c r="L546" s="7"/>
      <c r="M546" s="7"/>
      <c r="O546" s="5"/>
      <c r="P546" s="5"/>
    </row>
    <row r="547" spans="2:16" x14ac:dyDescent="0.25">
      <c r="B547" s="90">
        <v>980</v>
      </c>
      <c r="C547" s="91">
        <v>0.11965019140610855</v>
      </c>
      <c r="D547" s="92">
        <v>81</v>
      </c>
      <c r="G547" s="5"/>
      <c r="H547" s="5"/>
      <c r="L547" s="7"/>
      <c r="M547" s="7"/>
      <c r="O547" s="5"/>
      <c r="P547" s="5"/>
    </row>
    <row r="548" spans="2:16" x14ac:dyDescent="0.25">
      <c r="B548" s="90">
        <v>386</v>
      </c>
      <c r="C548" s="91">
        <v>0.12172856289593037</v>
      </c>
      <c r="D548" s="92">
        <v>81</v>
      </c>
      <c r="G548" s="5"/>
      <c r="H548" s="5"/>
      <c r="L548" s="7"/>
      <c r="M548" s="7"/>
      <c r="O548" s="5"/>
      <c r="P548" s="5"/>
    </row>
    <row r="549" spans="2:16" x14ac:dyDescent="0.25">
      <c r="B549" s="90">
        <v>830</v>
      </c>
      <c r="C549" s="91">
        <v>0.13148573348026749</v>
      </c>
      <c r="D549" s="92">
        <v>81</v>
      </c>
      <c r="G549" s="5"/>
      <c r="H549" s="5"/>
      <c r="L549" s="7"/>
      <c r="M549" s="7"/>
      <c r="O549" s="5"/>
      <c r="P549" s="5"/>
    </row>
    <row r="550" spans="2:16" x14ac:dyDescent="0.25">
      <c r="B550" s="90">
        <v>881</v>
      </c>
      <c r="C550" s="91">
        <v>0.13565737642679809</v>
      </c>
      <c r="D550" s="92">
        <v>81</v>
      </c>
      <c r="G550" s="5"/>
      <c r="H550" s="5"/>
      <c r="L550" s="7"/>
      <c r="M550" s="7"/>
      <c r="O550" s="5"/>
      <c r="P550" s="5"/>
    </row>
    <row r="551" spans="2:16" x14ac:dyDescent="0.25">
      <c r="B551" s="90">
        <v>1028</v>
      </c>
      <c r="C551" s="91">
        <v>0.16455845838748129</v>
      </c>
      <c r="D551" s="92">
        <v>81</v>
      </c>
      <c r="G551" s="5"/>
      <c r="H551" s="5"/>
      <c r="L551" s="7"/>
      <c r="M551" s="7"/>
      <c r="O551" s="5"/>
      <c r="P551" s="5"/>
    </row>
    <row r="552" spans="2:16" x14ac:dyDescent="0.25">
      <c r="B552" s="90">
        <v>1207</v>
      </c>
      <c r="C552" s="91">
        <v>0.18564217101070413</v>
      </c>
      <c r="D552" s="92">
        <v>81</v>
      </c>
      <c r="G552" s="5"/>
      <c r="H552" s="5"/>
      <c r="L552" s="7"/>
      <c r="M552" s="7"/>
      <c r="O552" s="5"/>
      <c r="P552" s="5"/>
    </row>
    <row r="553" spans="2:16" x14ac:dyDescent="0.25">
      <c r="B553" s="90">
        <v>613</v>
      </c>
      <c r="C553" s="91">
        <v>0.19600782844347386</v>
      </c>
      <c r="D553" s="92">
        <v>81</v>
      </c>
      <c r="G553" s="5"/>
      <c r="H553" s="5"/>
      <c r="L553" s="7"/>
      <c r="M553" s="7"/>
      <c r="O553" s="5"/>
      <c r="P553" s="5"/>
    </row>
    <row r="554" spans="2:16" x14ac:dyDescent="0.25">
      <c r="B554" s="90">
        <v>557</v>
      </c>
      <c r="C554" s="91">
        <v>0.1973531712215657</v>
      </c>
      <c r="D554" s="92">
        <v>81</v>
      </c>
      <c r="G554" s="5"/>
      <c r="H554" s="5"/>
      <c r="L554" s="7"/>
      <c r="M554" s="7"/>
      <c r="O554" s="5"/>
      <c r="P554" s="5"/>
    </row>
    <row r="555" spans="2:16" x14ac:dyDescent="0.25">
      <c r="B555" s="90">
        <v>668</v>
      </c>
      <c r="C555" s="91">
        <v>0.19941668953186253</v>
      </c>
      <c r="D555" s="92">
        <v>81</v>
      </c>
      <c r="G555" s="5"/>
      <c r="H555" s="5"/>
      <c r="L555" s="7"/>
      <c r="M555" s="7"/>
      <c r="O555" s="5"/>
      <c r="P555" s="5"/>
    </row>
    <row r="556" spans="2:16" x14ac:dyDescent="0.25">
      <c r="B556" s="90">
        <v>500</v>
      </c>
      <c r="C556" s="91">
        <v>0.20249740631635205</v>
      </c>
      <c r="D556" s="92">
        <v>81</v>
      </c>
      <c r="G556" s="5"/>
      <c r="H556" s="5"/>
      <c r="L556" s="7"/>
      <c r="M556" s="7"/>
      <c r="O556" s="5"/>
      <c r="P556" s="5"/>
    </row>
    <row r="557" spans="2:16" x14ac:dyDescent="0.25">
      <c r="B557" s="90">
        <v>442</v>
      </c>
      <c r="C557" s="91">
        <v>0.20262285587963857</v>
      </c>
      <c r="D557" s="92">
        <v>81</v>
      </c>
      <c r="G557" s="5"/>
      <c r="H557" s="5"/>
      <c r="L557" s="7"/>
      <c r="M557" s="7"/>
      <c r="O557" s="5"/>
      <c r="P557" s="5"/>
    </row>
    <row r="558" spans="2:16" x14ac:dyDescent="0.25">
      <c r="B558" s="90">
        <v>383</v>
      </c>
      <c r="C558" s="91">
        <v>0.20661983933285932</v>
      </c>
      <c r="D558" s="92">
        <v>81</v>
      </c>
      <c r="G558" s="5"/>
      <c r="H558" s="5"/>
      <c r="L558" s="7"/>
      <c r="M558" s="7"/>
      <c r="O558" s="5"/>
      <c r="P558" s="5"/>
    </row>
    <row r="559" spans="2:16" x14ac:dyDescent="0.25">
      <c r="B559" s="90">
        <v>775</v>
      </c>
      <c r="C559" s="91">
        <v>0.21232269125813485</v>
      </c>
      <c r="D559" s="92">
        <v>81</v>
      </c>
      <c r="G559" s="5"/>
      <c r="H559" s="5"/>
      <c r="L559" s="7"/>
      <c r="M559" s="7"/>
      <c r="O559" s="5"/>
      <c r="P559" s="5"/>
    </row>
    <row r="560" spans="2:16" x14ac:dyDescent="0.25">
      <c r="B560" s="90">
        <v>722</v>
      </c>
      <c r="C560" s="91">
        <v>0.21357412235499407</v>
      </c>
      <c r="D560" s="92">
        <v>81</v>
      </c>
      <c r="G560" s="5"/>
      <c r="H560" s="5"/>
      <c r="L560" s="7"/>
      <c r="M560" s="7"/>
      <c r="O560" s="5"/>
      <c r="P560" s="5"/>
    </row>
    <row r="561" spans="2:16" x14ac:dyDescent="0.25">
      <c r="B561" s="90">
        <v>928</v>
      </c>
      <c r="C561" s="91">
        <v>0.22037728274819246</v>
      </c>
      <c r="D561" s="92">
        <v>81</v>
      </c>
      <c r="G561" s="5"/>
      <c r="H561" s="5"/>
      <c r="L561" s="7"/>
      <c r="M561" s="7"/>
      <c r="O561" s="5"/>
      <c r="P561" s="5"/>
    </row>
    <row r="562" spans="2:16" x14ac:dyDescent="0.25">
      <c r="B562" s="90">
        <v>878</v>
      </c>
      <c r="C562" s="91">
        <v>0.23883832387469517</v>
      </c>
      <c r="D562" s="92">
        <v>81</v>
      </c>
      <c r="G562" s="5"/>
      <c r="H562" s="5"/>
      <c r="L562" s="7"/>
      <c r="M562" s="7"/>
      <c r="O562" s="5"/>
      <c r="P562" s="5"/>
    </row>
    <row r="563" spans="2:16" x14ac:dyDescent="0.25">
      <c r="B563" s="90">
        <v>1604</v>
      </c>
      <c r="C563" s="91">
        <v>0.41375567462529983</v>
      </c>
      <c r="D563" s="92">
        <v>81</v>
      </c>
      <c r="G563" s="5"/>
      <c r="H563" s="5"/>
      <c r="L563" s="7"/>
      <c r="M563" s="7"/>
      <c r="O563" s="5"/>
      <c r="P563" s="5"/>
    </row>
    <row r="564" spans="2:16" x14ac:dyDescent="0.25">
      <c r="B564" s="90">
        <v>1615</v>
      </c>
      <c r="C564" s="91">
        <v>0.41454331181007609</v>
      </c>
      <c r="D564" s="92">
        <v>81</v>
      </c>
      <c r="G564" s="5"/>
      <c r="H564" s="5"/>
      <c r="L564" s="7"/>
      <c r="M564" s="7"/>
      <c r="O564" s="5"/>
      <c r="P564" s="5"/>
    </row>
    <row r="565" spans="2:16" x14ac:dyDescent="0.25">
      <c r="B565" s="90">
        <v>1637</v>
      </c>
      <c r="C565" s="91">
        <v>0.45098099308123929</v>
      </c>
      <c r="D565" s="92">
        <v>81</v>
      </c>
      <c r="G565" s="5"/>
      <c r="H565" s="5"/>
      <c r="L565" s="7"/>
      <c r="M565" s="7"/>
      <c r="O565" s="5"/>
      <c r="P565" s="5"/>
    </row>
    <row r="566" spans="2:16" x14ac:dyDescent="0.25">
      <c r="B566" s="90">
        <v>1669</v>
      </c>
      <c r="C566" s="91">
        <v>0.45500700649547043</v>
      </c>
      <c r="D566" s="92">
        <v>81</v>
      </c>
      <c r="G566" s="5"/>
      <c r="H566" s="5"/>
      <c r="L566" s="7"/>
      <c r="M566" s="7"/>
      <c r="O566" s="5"/>
      <c r="P566" s="5"/>
    </row>
    <row r="567" spans="2:16" x14ac:dyDescent="0.25">
      <c r="B567" s="90">
        <v>1648</v>
      </c>
      <c r="C567" s="91">
        <v>0.50734848895179063</v>
      </c>
      <c r="D567" s="92">
        <v>81</v>
      </c>
      <c r="G567" s="5"/>
      <c r="H567" s="5"/>
      <c r="L567" s="7"/>
      <c r="M567" s="7"/>
      <c r="O567" s="5"/>
      <c r="P567" s="5"/>
    </row>
    <row r="568" spans="2:16" x14ac:dyDescent="0.25">
      <c r="B568" s="90">
        <v>1908</v>
      </c>
      <c r="C568" s="91">
        <v>7.68250605142351E-3</v>
      </c>
      <c r="D568" s="92">
        <v>82</v>
      </c>
      <c r="G568" s="5"/>
      <c r="H568" s="5"/>
      <c r="L568" s="7"/>
      <c r="M568" s="7"/>
      <c r="O568" s="5"/>
      <c r="P568" s="5"/>
    </row>
    <row r="569" spans="2:16" x14ac:dyDescent="0.25">
      <c r="B569" s="90">
        <v>1972</v>
      </c>
      <c r="C569" s="91">
        <v>3.1671810843576287E-2</v>
      </c>
      <c r="D569" s="92">
        <v>82</v>
      </c>
      <c r="G569" s="5"/>
      <c r="H569" s="5"/>
      <c r="L569" s="7"/>
      <c r="M569" s="7"/>
      <c r="O569" s="5"/>
      <c r="P569" s="5"/>
    </row>
    <row r="570" spans="2:16" x14ac:dyDescent="0.25">
      <c r="B570" s="90">
        <v>1971</v>
      </c>
      <c r="C570" s="91">
        <v>4.7224065609977939E-2</v>
      </c>
      <c r="D570" s="92">
        <v>82</v>
      </c>
      <c r="G570" s="5"/>
      <c r="H570" s="5"/>
      <c r="L570" s="7"/>
      <c r="M570" s="7"/>
      <c r="O570" s="5"/>
      <c r="P570" s="5"/>
    </row>
    <row r="571" spans="2:16" x14ac:dyDescent="0.25">
      <c r="B571" s="90">
        <v>2142</v>
      </c>
      <c r="C571" s="91">
        <v>0.21134718658031204</v>
      </c>
      <c r="D571" s="92">
        <v>82</v>
      </c>
      <c r="G571" s="5"/>
      <c r="H571" s="5"/>
      <c r="L571" s="7"/>
      <c r="M571" s="7"/>
      <c r="O571" s="5"/>
      <c r="P571" s="5"/>
    </row>
    <row r="572" spans="2:16" x14ac:dyDescent="0.25">
      <c r="B572" s="90">
        <v>1067</v>
      </c>
      <c r="C572" s="91">
        <v>0.58986351048640395</v>
      </c>
      <c r="D572" s="92">
        <v>82</v>
      </c>
      <c r="G572" s="5"/>
      <c r="H572" s="5"/>
      <c r="L572" s="7"/>
      <c r="M572" s="7"/>
      <c r="O572" s="5"/>
      <c r="P572" s="5"/>
    </row>
    <row r="573" spans="2:16" x14ac:dyDescent="0.25">
      <c r="B573" s="90">
        <v>978</v>
      </c>
      <c r="C573" s="91">
        <v>8.4362638258274059E-2</v>
      </c>
      <c r="D573" s="92">
        <v>83</v>
      </c>
      <c r="G573" s="5"/>
      <c r="H573" s="5"/>
      <c r="L573" s="7"/>
      <c r="M573" s="7"/>
      <c r="O573" s="5"/>
      <c r="P573" s="5"/>
    </row>
    <row r="574" spans="2:16" x14ac:dyDescent="0.25">
      <c r="B574" s="90">
        <v>827</v>
      </c>
      <c r="C574" s="91">
        <v>0.23182400033003359</v>
      </c>
      <c r="D574" s="92">
        <v>83</v>
      </c>
      <c r="G574" s="5"/>
      <c r="H574" s="5"/>
      <c r="L574" s="7"/>
      <c r="M574" s="7"/>
      <c r="O574" s="5"/>
      <c r="P574" s="5"/>
    </row>
    <row r="575" spans="2:16" x14ac:dyDescent="0.25">
      <c r="B575" s="90">
        <v>977</v>
      </c>
      <c r="C575" s="91">
        <v>0.24041663622712472</v>
      </c>
      <c r="D575" s="92">
        <v>83</v>
      </c>
      <c r="G575" s="5"/>
      <c r="H575" s="5"/>
      <c r="L575" s="7"/>
      <c r="M575" s="7"/>
      <c r="O575" s="5"/>
      <c r="P575" s="5"/>
    </row>
    <row r="576" spans="2:16" x14ac:dyDescent="0.25">
      <c r="B576" s="90">
        <v>6</v>
      </c>
      <c r="C576" s="91">
        <v>3.798010497124793E-2</v>
      </c>
      <c r="D576" s="92">
        <v>84</v>
      </c>
      <c r="G576" s="5"/>
      <c r="H576" s="5"/>
      <c r="L576" s="7"/>
      <c r="M576" s="7"/>
      <c r="O576" s="5"/>
      <c r="P576" s="5"/>
    </row>
    <row r="577" spans="2:16" x14ac:dyDescent="0.25">
      <c r="B577" s="90">
        <v>2131</v>
      </c>
      <c r="C577" s="91">
        <v>3.798010497124793E-2</v>
      </c>
      <c r="D577" s="92">
        <v>84</v>
      </c>
      <c r="G577" s="5"/>
      <c r="H577" s="5"/>
      <c r="L577" s="7"/>
      <c r="M577" s="7"/>
      <c r="O577" s="5"/>
      <c r="P577" s="5"/>
    </row>
    <row r="578" spans="2:16" x14ac:dyDescent="0.25">
      <c r="B578" s="90">
        <v>1528</v>
      </c>
      <c r="C578" s="91">
        <v>6.2826651975679049E-2</v>
      </c>
      <c r="D578" s="92">
        <v>84</v>
      </c>
      <c r="G578" s="5"/>
      <c r="H578" s="5"/>
      <c r="L578" s="7"/>
      <c r="M578" s="7"/>
      <c r="O578" s="5"/>
      <c r="P578" s="5"/>
    </row>
    <row r="579" spans="2:16" x14ac:dyDescent="0.25">
      <c r="B579" s="90">
        <v>1833</v>
      </c>
      <c r="C579" s="91">
        <v>8.2580546648746589E-2</v>
      </c>
      <c r="D579" s="92">
        <v>84</v>
      </c>
      <c r="G579" s="5"/>
      <c r="H579" s="5"/>
      <c r="L579" s="7"/>
      <c r="M579" s="7"/>
      <c r="O579" s="5"/>
      <c r="P579" s="5"/>
    </row>
    <row r="580" spans="2:16" x14ac:dyDescent="0.25">
      <c r="B580" s="90">
        <v>1719</v>
      </c>
      <c r="C580" s="91">
        <v>0.13043815658680558</v>
      </c>
      <c r="D580" s="92">
        <v>84</v>
      </c>
      <c r="G580" s="5"/>
      <c r="H580" s="5"/>
      <c r="L580" s="7"/>
      <c r="M580" s="7"/>
      <c r="O580" s="5"/>
      <c r="P580" s="5"/>
    </row>
    <row r="581" spans="2:16" x14ac:dyDescent="0.25">
      <c r="B581" s="90">
        <v>1743</v>
      </c>
      <c r="C581" s="91">
        <v>0.14709597387489115</v>
      </c>
      <c r="D581" s="92">
        <v>84</v>
      </c>
      <c r="G581" s="5"/>
      <c r="H581" s="5"/>
      <c r="L581" s="7"/>
      <c r="M581" s="7"/>
      <c r="O581" s="5"/>
      <c r="P581" s="5"/>
    </row>
    <row r="582" spans="2:16" x14ac:dyDescent="0.25">
      <c r="B582" s="90">
        <v>323</v>
      </c>
      <c r="C582" s="91">
        <v>0.21948310048490782</v>
      </c>
      <c r="D582" s="92">
        <v>84</v>
      </c>
      <c r="G582" s="5"/>
      <c r="H582" s="5"/>
      <c r="L582" s="7"/>
      <c r="M582" s="7"/>
      <c r="O582" s="5"/>
      <c r="P582" s="5"/>
    </row>
    <row r="583" spans="2:16" x14ac:dyDescent="0.25">
      <c r="B583" s="90">
        <v>1682</v>
      </c>
      <c r="C583" s="91">
        <v>0.41171612464499396</v>
      </c>
      <c r="D583" s="92">
        <v>84</v>
      </c>
      <c r="G583" s="5"/>
      <c r="H583" s="5"/>
      <c r="L583" s="7"/>
      <c r="M583" s="7"/>
      <c r="O583" s="5"/>
      <c r="P583" s="5"/>
    </row>
    <row r="584" spans="2:16" x14ac:dyDescent="0.25">
      <c r="B584" s="90">
        <v>1651</v>
      </c>
      <c r="C584" s="91">
        <v>0.41198074384911176</v>
      </c>
      <c r="D584" s="92">
        <v>84</v>
      </c>
      <c r="G584" s="5"/>
      <c r="H584" s="5"/>
      <c r="L584" s="7"/>
      <c r="M584" s="7"/>
      <c r="O584" s="5"/>
      <c r="P584" s="5"/>
    </row>
    <row r="585" spans="2:16" x14ac:dyDescent="0.25">
      <c r="B585" s="90">
        <v>1913</v>
      </c>
      <c r="C585" s="91">
        <v>1.5453784736477738E-2</v>
      </c>
      <c r="D585" s="92">
        <v>86</v>
      </c>
      <c r="G585" s="5"/>
      <c r="H585" s="5"/>
      <c r="L585" s="7"/>
      <c r="M585" s="7"/>
      <c r="O585" s="5"/>
      <c r="P585" s="5"/>
    </row>
    <row r="586" spans="2:16" x14ac:dyDescent="0.25">
      <c r="B586" s="90">
        <v>1888</v>
      </c>
      <c r="C586" s="91">
        <v>1.7436272672534558E-2</v>
      </c>
      <c r="D586" s="92">
        <v>86</v>
      </c>
      <c r="G586" s="5"/>
      <c r="H586" s="5"/>
      <c r="L586" s="7"/>
      <c r="M586" s="7"/>
      <c r="O586" s="5"/>
      <c r="P586" s="5"/>
    </row>
    <row r="587" spans="2:16" x14ac:dyDescent="0.25">
      <c r="B587" s="90">
        <v>1974</v>
      </c>
      <c r="C587" s="91">
        <v>4.5251674939171704E-2</v>
      </c>
      <c r="D587" s="92">
        <v>86</v>
      </c>
      <c r="G587" s="5"/>
      <c r="H587" s="5"/>
      <c r="L587" s="7"/>
      <c r="M587" s="7"/>
      <c r="O587" s="5"/>
      <c r="P587" s="5"/>
    </row>
    <row r="588" spans="2:16" x14ac:dyDescent="0.25">
      <c r="B588" s="90">
        <v>1211</v>
      </c>
      <c r="C588" s="91">
        <v>7.8096641342924933E-2</v>
      </c>
      <c r="D588" s="92">
        <v>87</v>
      </c>
      <c r="G588" s="5"/>
      <c r="H588" s="5"/>
      <c r="L588" s="7"/>
      <c r="M588" s="7"/>
      <c r="O588" s="5"/>
      <c r="P588" s="5"/>
    </row>
    <row r="589" spans="2:16" x14ac:dyDescent="0.25">
      <c r="B589" s="90">
        <v>1254</v>
      </c>
      <c r="C589" s="91">
        <v>0.1466805224899248</v>
      </c>
      <c r="D589" s="92">
        <v>87</v>
      </c>
      <c r="G589" s="5"/>
      <c r="H589" s="5"/>
      <c r="L589" s="7"/>
      <c r="M589" s="7"/>
      <c r="O589" s="5"/>
      <c r="P589" s="5"/>
    </row>
    <row r="590" spans="2:16" x14ac:dyDescent="0.25">
      <c r="B590" s="90">
        <v>1279</v>
      </c>
      <c r="C590" s="91">
        <v>0.33968594215415371</v>
      </c>
      <c r="D590" s="92">
        <v>87</v>
      </c>
      <c r="G590" s="5"/>
      <c r="H590" s="5"/>
      <c r="L590" s="7"/>
      <c r="M590" s="7"/>
      <c r="O590" s="5"/>
      <c r="P590" s="5"/>
    </row>
    <row r="591" spans="2:16" x14ac:dyDescent="0.25">
      <c r="B591" s="90">
        <v>1362</v>
      </c>
      <c r="C591" s="91">
        <v>0.3422897650448502</v>
      </c>
      <c r="D591" s="92">
        <v>87</v>
      </c>
      <c r="G591" s="5"/>
      <c r="H591" s="5"/>
      <c r="L591" s="7"/>
      <c r="M591" s="7"/>
      <c r="O591" s="5"/>
      <c r="P591" s="5"/>
    </row>
    <row r="592" spans="2:16" x14ac:dyDescent="0.25">
      <c r="B592" s="90">
        <v>503</v>
      </c>
      <c r="C592" s="91">
        <v>0.1123514977915081</v>
      </c>
      <c r="D592" s="92">
        <v>88</v>
      </c>
      <c r="G592" s="5"/>
      <c r="H592" s="5"/>
      <c r="L592" s="7"/>
      <c r="M592" s="7"/>
      <c r="O592" s="5"/>
      <c r="P592" s="5"/>
    </row>
    <row r="593" spans="2:16" x14ac:dyDescent="0.25">
      <c r="B593" s="90">
        <v>445</v>
      </c>
      <c r="C593" s="91">
        <v>0.11682975057181744</v>
      </c>
      <c r="D593" s="92">
        <v>88</v>
      </c>
      <c r="G593" s="5"/>
      <c r="H593" s="5"/>
      <c r="L593" s="7"/>
      <c r="M593" s="7"/>
      <c r="O593" s="5"/>
      <c r="P593" s="5"/>
    </row>
    <row r="594" spans="2:16" x14ac:dyDescent="0.25">
      <c r="B594" s="90">
        <v>1771</v>
      </c>
      <c r="C594" s="91">
        <v>0.14232949817108942</v>
      </c>
      <c r="D594" s="92">
        <v>88</v>
      </c>
      <c r="G594" s="5"/>
      <c r="H594" s="5"/>
      <c r="L594" s="7"/>
      <c r="M594" s="7"/>
      <c r="O594" s="5"/>
      <c r="P594" s="5"/>
    </row>
    <row r="595" spans="2:16" x14ac:dyDescent="0.25">
      <c r="B595" s="90">
        <v>1483</v>
      </c>
      <c r="C595" s="91">
        <v>0.1597552191950492</v>
      </c>
      <c r="D595" s="92">
        <v>88</v>
      </c>
      <c r="G595" s="5"/>
      <c r="H595" s="5"/>
      <c r="L595" s="7"/>
      <c r="M595" s="7"/>
      <c r="O595" s="5"/>
      <c r="P595" s="5"/>
    </row>
    <row r="596" spans="2:16" x14ac:dyDescent="0.25">
      <c r="B596" s="90">
        <v>622</v>
      </c>
      <c r="C596" s="91">
        <v>4.7740617998789592E-2</v>
      </c>
      <c r="D596" s="92">
        <v>89</v>
      </c>
      <c r="G596" s="5"/>
      <c r="H596" s="5"/>
      <c r="L596" s="7"/>
      <c r="M596" s="7"/>
      <c r="O596" s="5"/>
      <c r="P596" s="5"/>
    </row>
    <row r="597" spans="2:16" x14ac:dyDescent="0.25">
      <c r="B597" s="90">
        <v>677</v>
      </c>
      <c r="C597" s="91">
        <v>4.7953468706335323E-2</v>
      </c>
      <c r="D597" s="92">
        <v>89</v>
      </c>
      <c r="G597" s="5"/>
      <c r="H597" s="5"/>
      <c r="L597" s="7"/>
      <c r="M597" s="7"/>
      <c r="O597" s="5"/>
      <c r="P597" s="5"/>
    </row>
    <row r="598" spans="2:16" x14ac:dyDescent="0.25">
      <c r="B598" s="90">
        <v>566</v>
      </c>
      <c r="C598" s="91">
        <v>4.800657690537713E-2</v>
      </c>
      <c r="D598" s="92">
        <v>89</v>
      </c>
      <c r="G598" s="5"/>
      <c r="H598" s="5"/>
      <c r="L598" s="7"/>
      <c r="M598" s="7"/>
      <c r="O598" s="5"/>
      <c r="P598" s="5"/>
    </row>
    <row r="599" spans="2:16" x14ac:dyDescent="0.25">
      <c r="B599" s="90">
        <v>784</v>
      </c>
      <c r="C599" s="91">
        <v>4.9321698903203481E-2</v>
      </c>
      <c r="D599" s="92">
        <v>89</v>
      </c>
      <c r="G599" s="5"/>
      <c r="H599" s="5"/>
      <c r="L599" s="7"/>
      <c r="M599" s="7"/>
      <c r="O599" s="5"/>
      <c r="P599" s="5"/>
    </row>
    <row r="600" spans="2:16" x14ac:dyDescent="0.25">
      <c r="B600" s="90">
        <v>731</v>
      </c>
      <c r="C600" s="91">
        <v>5.0729877741136353E-2</v>
      </c>
      <c r="D600" s="92">
        <v>89</v>
      </c>
      <c r="G600" s="5"/>
      <c r="H600" s="5"/>
      <c r="L600" s="7"/>
      <c r="M600" s="7"/>
      <c r="O600" s="5"/>
      <c r="P600" s="5"/>
    </row>
    <row r="601" spans="2:16" x14ac:dyDescent="0.25">
      <c r="B601" s="90">
        <v>1416</v>
      </c>
      <c r="C601" s="91">
        <v>9.0514591893079643E-2</v>
      </c>
      <c r="D601" s="92">
        <v>89</v>
      </c>
      <c r="G601" s="5"/>
      <c r="H601" s="5"/>
      <c r="L601" s="7"/>
      <c r="M601" s="7"/>
      <c r="O601" s="5"/>
      <c r="P601" s="5"/>
    </row>
    <row r="602" spans="2:16" x14ac:dyDescent="0.25">
      <c r="B602" s="90">
        <v>2119</v>
      </c>
      <c r="C602" s="91">
        <v>0.1657583732450999</v>
      </c>
      <c r="D602" s="92">
        <v>89</v>
      </c>
      <c r="G602" s="5"/>
      <c r="H602" s="5"/>
      <c r="L602" s="7"/>
      <c r="M602" s="7"/>
      <c r="O602" s="5"/>
      <c r="P602" s="5"/>
    </row>
    <row r="603" spans="2:16" x14ac:dyDescent="0.25">
      <c r="B603" s="90">
        <v>12</v>
      </c>
      <c r="C603" s="91">
        <v>0.19726079171188515</v>
      </c>
      <c r="D603" s="92">
        <v>89</v>
      </c>
      <c r="G603" s="5"/>
      <c r="H603" s="5"/>
      <c r="L603" s="7"/>
      <c r="M603" s="7"/>
      <c r="O603" s="5"/>
      <c r="P603" s="5"/>
    </row>
    <row r="604" spans="2:16" x14ac:dyDescent="0.25">
      <c r="B604" s="90">
        <v>2080</v>
      </c>
      <c r="C604" s="91">
        <v>0.19726079171188515</v>
      </c>
      <c r="D604" s="92">
        <v>89</v>
      </c>
      <c r="G604" s="5"/>
      <c r="H604" s="5"/>
      <c r="L604" s="7"/>
      <c r="M604" s="7"/>
      <c r="O604" s="5"/>
      <c r="P604" s="5"/>
    </row>
    <row r="605" spans="2:16" x14ac:dyDescent="0.25">
      <c r="B605" s="90">
        <v>1866</v>
      </c>
      <c r="C605" s="91">
        <v>0.23213020842563215</v>
      </c>
      <c r="D605" s="92">
        <v>89</v>
      </c>
      <c r="G605" s="5"/>
      <c r="H605" s="5"/>
      <c r="L605" s="7"/>
      <c r="M605" s="7"/>
      <c r="O605" s="5"/>
      <c r="P605" s="5"/>
    </row>
    <row r="606" spans="2:16" x14ac:dyDescent="0.25">
      <c r="B606" s="90">
        <v>1321</v>
      </c>
      <c r="C606" s="91">
        <v>0.30816735884263868</v>
      </c>
      <c r="D606" s="92">
        <v>89</v>
      </c>
      <c r="G606" s="5"/>
      <c r="H606" s="5"/>
      <c r="L606" s="7"/>
      <c r="M606" s="7"/>
      <c r="O606" s="5"/>
      <c r="P606" s="5"/>
    </row>
    <row r="607" spans="2:16" x14ac:dyDescent="0.25">
      <c r="B607" s="90">
        <v>1569</v>
      </c>
      <c r="C607" s="91">
        <v>0.32101103119356722</v>
      </c>
      <c r="D607" s="92">
        <v>89</v>
      </c>
      <c r="G607" s="5"/>
      <c r="H607" s="5"/>
      <c r="L607" s="7"/>
      <c r="M607" s="7"/>
      <c r="O607" s="5"/>
      <c r="P607" s="5"/>
    </row>
    <row r="608" spans="2:16" x14ac:dyDescent="0.25">
      <c r="B608" s="90">
        <v>1603</v>
      </c>
      <c r="C608" s="91">
        <v>0.40073116731529268</v>
      </c>
      <c r="D608" s="92">
        <v>89</v>
      </c>
      <c r="G608" s="5"/>
      <c r="H608" s="5"/>
      <c r="L608" s="7"/>
      <c r="M608" s="7"/>
      <c r="O608" s="5"/>
      <c r="P608" s="5"/>
    </row>
    <row r="609" spans="2:16" x14ac:dyDescent="0.25">
      <c r="B609" s="90">
        <v>1636</v>
      </c>
      <c r="C609" s="91">
        <v>0.43431799556185202</v>
      </c>
      <c r="D609" s="92">
        <v>89</v>
      </c>
      <c r="G609" s="5"/>
      <c r="H609" s="5"/>
      <c r="L609" s="7"/>
      <c r="M609" s="7"/>
      <c r="O609" s="5"/>
      <c r="P609" s="5"/>
    </row>
    <row r="610" spans="2:16" x14ac:dyDescent="0.25">
      <c r="B610" s="90">
        <v>1670</v>
      </c>
      <c r="C610" s="91">
        <v>0.44610503488785669</v>
      </c>
      <c r="D610" s="92">
        <v>89</v>
      </c>
      <c r="G610" s="5"/>
      <c r="H610" s="5"/>
      <c r="L610" s="7"/>
      <c r="M610" s="7"/>
      <c r="O610" s="5"/>
      <c r="P610" s="5"/>
    </row>
    <row r="611" spans="2:16" x14ac:dyDescent="0.25">
      <c r="B611" s="90">
        <v>1701</v>
      </c>
      <c r="C611" s="91">
        <v>0.49099916678750677</v>
      </c>
      <c r="D611" s="92">
        <v>89</v>
      </c>
      <c r="G611" s="5"/>
      <c r="H611" s="5"/>
      <c r="L611" s="7"/>
      <c r="M611" s="7"/>
      <c r="O611" s="5"/>
      <c r="P611" s="5"/>
    </row>
    <row r="612" spans="2:16" x14ac:dyDescent="0.25">
      <c r="B612" s="90">
        <v>1887</v>
      </c>
      <c r="C612" s="91">
        <v>5.1920339986742059E-2</v>
      </c>
      <c r="D612" s="92">
        <v>90</v>
      </c>
      <c r="G612" s="5"/>
      <c r="H612" s="5"/>
      <c r="L612" s="7"/>
      <c r="M612" s="7"/>
      <c r="O612" s="5"/>
      <c r="P612" s="5"/>
    </row>
    <row r="613" spans="2:16" x14ac:dyDescent="0.25">
      <c r="B613" s="90">
        <v>1970</v>
      </c>
      <c r="C613" s="91">
        <v>5.8339615377915655E-2</v>
      </c>
      <c r="D613" s="92">
        <v>90</v>
      </c>
      <c r="G613" s="5"/>
      <c r="H613" s="5"/>
      <c r="L613" s="7"/>
      <c r="M613" s="7"/>
      <c r="O613" s="5"/>
      <c r="P613" s="5"/>
    </row>
    <row r="614" spans="2:16" x14ac:dyDescent="0.25">
      <c r="B614" s="90">
        <v>985</v>
      </c>
      <c r="C614" s="91">
        <v>5.9073968301443402E-2</v>
      </c>
      <c r="D614" s="92">
        <v>90</v>
      </c>
      <c r="G614" s="5"/>
      <c r="H614" s="5"/>
      <c r="L614" s="7"/>
      <c r="M614" s="7"/>
      <c r="O614" s="5"/>
      <c r="P614" s="5"/>
    </row>
    <row r="615" spans="2:16" x14ac:dyDescent="0.25">
      <c r="B615" s="90">
        <v>936</v>
      </c>
      <c r="C615" s="91">
        <v>5.9629743557889303E-2</v>
      </c>
      <c r="D615" s="92">
        <v>90</v>
      </c>
      <c r="G615" s="5"/>
      <c r="H615" s="5"/>
      <c r="L615" s="7"/>
      <c r="M615" s="7"/>
      <c r="O615" s="5"/>
      <c r="P615" s="5"/>
    </row>
    <row r="616" spans="2:16" x14ac:dyDescent="0.25">
      <c r="B616" s="90">
        <v>886</v>
      </c>
      <c r="C616" s="91">
        <v>6.8469605094486408E-2</v>
      </c>
      <c r="D616" s="92">
        <v>90</v>
      </c>
      <c r="G616" s="5"/>
      <c r="H616" s="5"/>
      <c r="L616" s="7"/>
      <c r="M616" s="7"/>
      <c r="O616" s="5"/>
      <c r="P616" s="5"/>
    </row>
    <row r="617" spans="2:16" x14ac:dyDescent="0.25">
      <c r="B617" s="90">
        <v>1033</v>
      </c>
      <c r="C617" s="91">
        <v>0.10001401469251459</v>
      </c>
      <c r="D617" s="92">
        <v>90</v>
      </c>
      <c r="G617" s="5"/>
      <c r="H617" s="5"/>
      <c r="L617" s="7"/>
      <c r="M617" s="7"/>
      <c r="O617" s="5"/>
      <c r="P617" s="5"/>
    </row>
    <row r="618" spans="2:16" x14ac:dyDescent="0.25">
      <c r="B618" s="90">
        <v>203</v>
      </c>
      <c r="C618" s="91">
        <v>0.1358623646248347</v>
      </c>
      <c r="D618" s="92">
        <v>90</v>
      </c>
      <c r="G618" s="5"/>
      <c r="H618" s="5"/>
      <c r="L618" s="7"/>
      <c r="M618" s="7"/>
      <c r="O618" s="5"/>
      <c r="P618" s="5"/>
    </row>
    <row r="619" spans="2:16" x14ac:dyDescent="0.25">
      <c r="B619" s="90">
        <v>1852</v>
      </c>
      <c r="C619" s="91">
        <v>0.17863775281451422</v>
      </c>
      <c r="D619" s="92">
        <v>90</v>
      </c>
      <c r="G619" s="5"/>
      <c r="H619" s="5"/>
      <c r="L619" s="7"/>
      <c r="M619" s="7"/>
      <c r="O619" s="5"/>
      <c r="P619" s="5"/>
    </row>
    <row r="620" spans="2:16" x14ac:dyDescent="0.25">
      <c r="B620" s="90">
        <v>1921</v>
      </c>
      <c r="C620" s="91">
        <v>0.18697402415025755</v>
      </c>
      <c r="D620" s="92">
        <v>90</v>
      </c>
      <c r="G620" s="5"/>
      <c r="H620" s="5"/>
      <c r="L620" s="7"/>
      <c r="M620" s="7"/>
      <c r="O620" s="5"/>
      <c r="P620" s="5"/>
    </row>
    <row r="621" spans="2:16" x14ac:dyDescent="0.25">
      <c r="B621" s="90">
        <v>389</v>
      </c>
      <c r="C621" s="91">
        <v>0.16444779059993375</v>
      </c>
      <c r="D621" s="92">
        <v>91</v>
      </c>
      <c r="G621" s="5"/>
      <c r="H621" s="5"/>
      <c r="L621" s="7"/>
      <c r="M621" s="7"/>
      <c r="O621" s="5"/>
      <c r="P621" s="5"/>
    </row>
    <row r="622" spans="2:16" x14ac:dyDescent="0.25">
      <c r="B622" s="90">
        <v>1552</v>
      </c>
      <c r="C622" s="91">
        <v>0.40856917774511348</v>
      </c>
      <c r="D622" s="92">
        <v>91</v>
      </c>
      <c r="G622" s="5"/>
      <c r="H622" s="5"/>
      <c r="L622" s="7"/>
      <c r="M622" s="7"/>
      <c r="O622" s="5"/>
      <c r="P622" s="5"/>
    </row>
    <row r="623" spans="2:16" x14ac:dyDescent="0.25">
      <c r="B623" s="90">
        <v>1619</v>
      </c>
      <c r="C623" s="91">
        <v>0.41449437489487417</v>
      </c>
      <c r="D623" s="92">
        <v>91</v>
      </c>
      <c r="G623" s="5"/>
      <c r="H623" s="5"/>
      <c r="L623" s="7"/>
      <c r="M623" s="7"/>
      <c r="O623" s="5"/>
      <c r="P623" s="5"/>
    </row>
    <row r="624" spans="2:16" x14ac:dyDescent="0.25">
      <c r="B624" s="90">
        <v>1586</v>
      </c>
      <c r="C624" s="91">
        <v>0.42290550453668474</v>
      </c>
      <c r="D624" s="92">
        <v>91</v>
      </c>
      <c r="G624" s="5"/>
      <c r="H624" s="5"/>
      <c r="L624" s="7"/>
      <c r="M624" s="7"/>
      <c r="O624" s="5"/>
      <c r="P624" s="5"/>
    </row>
    <row r="625" spans="2:16" x14ac:dyDescent="0.25">
      <c r="B625" s="90">
        <v>1333</v>
      </c>
      <c r="C625" s="91">
        <v>0.18217178295835756</v>
      </c>
      <c r="D625" s="92">
        <v>92</v>
      </c>
      <c r="G625" s="5"/>
      <c r="H625" s="5"/>
      <c r="L625" s="7"/>
      <c r="M625" s="7"/>
      <c r="O625" s="5"/>
      <c r="P625" s="5"/>
    </row>
    <row r="626" spans="2:16" x14ac:dyDescent="0.25">
      <c r="B626" s="90">
        <v>1322</v>
      </c>
      <c r="C626" s="91">
        <v>0.31412699601838545</v>
      </c>
      <c r="D626" s="92">
        <v>92</v>
      </c>
      <c r="G626" s="5"/>
      <c r="H626" s="5"/>
      <c r="L626" s="7"/>
      <c r="M626" s="7"/>
      <c r="O626" s="5"/>
      <c r="P626" s="5"/>
    </row>
    <row r="627" spans="2:16" x14ac:dyDescent="0.25">
      <c r="B627" s="90">
        <v>1280</v>
      </c>
      <c r="C627" s="91">
        <v>0.34166286741827001</v>
      </c>
      <c r="D627" s="92">
        <v>92</v>
      </c>
      <c r="G627" s="5"/>
      <c r="H627" s="5"/>
      <c r="L627" s="7"/>
      <c r="M627" s="7"/>
      <c r="O627" s="5"/>
      <c r="P627" s="5"/>
    </row>
    <row r="628" spans="2:16" x14ac:dyDescent="0.25">
      <c r="B628" s="90">
        <v>1363</v>
      </c>
      <c r="C628" s="91">
        <v>0.35601597810817931</v>
      </c>
      <c r="D628" s="92">
        <v>92</v>
      </c>
      <c r="G628" s="5"/>
      <c r="H628" s="5"/>
      <c r="L628" s="7"/>
      <c r="M628" s="7"/>
      <c r="O628" s="5"/>
      <c r="P628" s="5"/>
    </row>
    <row r="629" spans="2:16" x14ac:dyDescent="0.25">
      <c r="B629" s="90">
        <v>1404</v>
      </c>
      <c r="C629" s="91">
        <v>0.3695731765935103</v>
      </c>
      <c r="D629" s="92">
        <v>92</v>
      </c>
      <c r="G629" s="5"/>
      <c r="H629" s="5"/>
      <c r="L629" s="7"/>
      <c r="M629" s="7"/>
      <c r="O629" s="5"/>
      <c r="P629" s="5"/>
    </row>
    <row r="630" spans="2:16" x14ac:dyDescent="0.25">
      <c r="B630" s="90">
        <v>1602</v>
      </c>
      <c r="C630" s="91">
        <v>0.39438572917711934</v>
      </c>
      <c r="D630" s="92">
        <v>93</v>
      </c>
      <c r="G630" s="5"/>
      <c r="H630" s="5"/>
      <c r="L630" s="7"/>
      <c r="M630" s="7"/>
      <c r="O630" s="5"/>
      <c r="P630" s="5"/>
    </row>
    <row r="631" spans="2:16" x14ac:dyDescent="0.25">
      <c r="B631" s="90">
        <v>1517</v>
      </c>
      <c r="C631" s="91">
        <v>0.40200807098787095</v>
      </c>
      <c r="D631" s="92">
        <v>93</v>
      </c>
      <c r="G631" s="5"/>
      <c r="H631" s="5"/>
      <c r="L631" s="7"/>
      <c r="M631" s="7"/>
      <c r="O631" s="5"/>
      <c r="P631" s="5"/>
    </row>
    <row r="632" spans="2:16" x14ac:dyDescent="0.25">
      <c r="B632" s="90">
        <v>1635</v>
      </c>
      <c r="C632" s="91">
        <v>0.42596182338542643</v>
      </c>
      <c r="D632" s="92">
        <v>93</v>
      </c>
      <c r="G632" s="5"/>
      <c r="H632" s="5"/>
      <c r="L632" s="7"/>
      <c r="M632" s="7"/>
      <c r="O632" s="5"/>
      <c r="P632" s="5"/>
    </row>
    <row r="633" spans="2:16" x14ac:dyDescent="0.25">
      <c r="B633" s="90">
        <v>1364</v>
      </c>
      <c r="C633" s="91">
        <v>0.54608502472083953</v>
      </c>
      <c r="D633" s="92">
        <v>93</v>
      </c>
      <c r="G633" s="5"/>
      <c r="H633" s="5"/>
      <c r="L633" s="7"/>
      <c r="M633" s="7"/>
      <c r="O633" s="5"/>
      <c r="P633" s="5"/>
    </row>
    <row r="634" spans="2:16" x14ac:dyDescent="0.25">
      <c r="B634" s="90">
        <v>1365</v>
      </c>
      <c r="C634" s="91">
        <v>0.62669037924258642</v>
      </c>
      <c r="D634" s="92">
        <v>93</v>
      </c>
      <c r="G634" s="5"/>
      <c r="H634" s="5"/>
      <c r="L634" s="7"/>
      <c r="M634" s="7"/>
      <c r="O634" s="5"/>
      <c r="P634" s="5"/>
    </row>
    <row r="635" spans="2:16" x14ac:dyDescent="0.25">
      <c r="B635" s="90">
        <v>1727</v>
      </c>
      <c r="C635" s="91">
        <v>3.2662597117554149E-2</v>
      </c>
      <c r="D635" s="92">
        <v>96</v>
      </c>
      <c r="G635" s="5"/>
      <c r="H635" s="5"/>
      <c r="L635" s="7"/>
      <c r="M635" s="7"/>
      <c r="O635" s="5"/>
      <c r="P635" s="5"/>
    </row>
    <row r="636" spans="2:16" x14ac:dyDescent="0.25">
      <c r="B636" s="90">
        <v>1922</v>
      </c>
      <c r="C636" s="91">
        <v>0.17844691103132804</v>
      </c>
      <c r="D636" s="92">
        <v>96</v>
      </c>
      <c r="G636" s="5"/>
      <c r="H636" s="5"/>
      <c r="L636" s="7"/>
      <c r="M636" s="7"/>
      <c r="O636" s="5"/>
      <c r="P636" s="5"/>
    </row>
    <row r="637" spans="2:16" x14ac:dyDescent="0.25">
      <c r="B637" s="90">
        <v>1031</v>
      </c>
      <c r="C637" s="91">
        <v>0.19936046566837873</v>
      </c>
      <c r="D637" s="92">
        <v>96</v>
      </c>
      <c r="G637" s="5"/>
      <c r="H637" s="5"/>
      <c r="L637" s="7"/>
      <c r="M637" s="7"/>
      <c r="O637" s="5"/>
      <c r="P637" s="5"/>
    </row>
    <row r="638" spans="2:16" x14ac:dyDescent="0.25">
      <c r="B638" s="90">
        <v>1124</v>
      </c>
      <c r="C638" s="91">
        <v>0.22517358964852852</v>
      </c>
      <c r="D638" s="92">
        <v>96</v>
      </c>
      <c r="G638" s="5"/>
      <c r="H638" s="5"/>
      <c r="L638" s="7"/>
      <c r="M638" s="7"/>
      <c r="O638" s="5"/>
      <c r="P638" s="5"/>
    </row>
    <row r="639" spans="2:16" x14ac:dyDescent="0.25">
      <c r="B639" s="90">
        <v>1419</v>
      </c>
      <c r="C639" s="91">
        <v>0.13801350744639085</v>
      </c>
      <c r="D639" s="92">
        <v>98</v>
      </c>
      <c r="G639" s="5"/>
      <c r="H639" s="5"/>
      <c r="L639" s="7"/>
      <c r="M639" s="7"/>
      <c r="O639" s="5"/>
      <c r="P639" s="5"/>
    </row>
    <row r="640" spans="2:16" x14ac:dyDescent="0.25">
      <c r="B640" s="90">
        <v>1380</v>
      </c>
      <c r="C640" s="91">
        <v>0.15005784093683983</v>
      </c>
      <c r="D640" s="92">
        <v>98</v>
      </c>
      <c r="G640" s="5"/>
      <c r="H640" s="5"/>
      <c r="L640" s="7"/>
      <c r="M640" s="7"/>
      <c r="O640" s="5"/>
      <c r="P640" s="5"/>
    </row>
    <row r="641" spans="2:16" x14ac:dyDescent="0.25">
      <c r="B641" s="90">
        <v>934</v>
      </c>
      <c r="C641" s="91">
        <v>0.15060951095836228</v>
      </c>
      <c r="D641" s="92">
        <v>98</v>
      </c>
      <c r="G641" s="5"/>
      <c r="H641" s="5"/>
      <c r="L641" s="7"/>
      <c r="M641" s="7"/>
      <c r="O641" s="5"/>
      <c r="P641" s="5"/>
    </row>
    <row r="642" spans="2:16" x14ac:dyDescent="0.25">
      <c r="B642" s="90">
        <v>983</v>
      </c>
      <c r="C642" s="91">
        <v>0.15085592702323702</v>
      </c>
      <c r="D642" s="92">
        <v>98</v>
      </c>
      <c r="G642" s="5"/>
      <c r="H642" s="5"/>
      <c r="L642" s="7"/>
      <c r="M642" s="7"/>
      <c r="O642" s="5"/>
      <c r="P642" s="5"/>
    </row>
    <row r="643" spans="2:16" x14ac:dyDescent="0.25">
      <c r="B643" s="90">
        <v>1299</v>
      </c>
      <c r="C643" s="91">
        <v>0.15351165779830689</v>
      </c>
      <c r="D643" s="92">
        <v>98</v>
      </c>
      <c r="G643" s="5"/>
      <c r="H643" s="5"/>
      <c r="L643" s="7"/>
      <c r="M643" s="7"/>
      <c r="O643" s="5"/>
      <c r="P643" s="5"/>
    </row>
    <row r="644" spans="2:16" x14ac:dyDescent="0.25">
      <c r="B644" s="90">
        <v>1597</v>
      </c>
      <c r="C644" s="91">
        <v>0.15404610164323107</v>
      </c>
      <c r="D644" s="92">
        <v>98</v>
      </c>
      <c r="G644" s="5"/>
      <c r="H644" s="5"/>
      <c r="L644" s="7"/>
      <c r="M644" s="7"/>
      <c r="O644" s="5"/>
      <c r="P644" s="5"/>
    </row>
    <row r="645" spans="2:16" x14ac:dyDescent="0.25">
      <c r="B645" s="90">
        <v>1170</v>
      </c>
      <c r="C645" s="91">
        <v>0.1601468797789436</v>
      </c>
      <c r="D645" s="92">
        <v>98</v>
      </c>
      <c r="G645" s="5"/>
      <c r="H645" s="5"/>
      <c r="L645" s="7"/>
      <c r="M645" s="7"/>
      <c r="O645" s="5"/>
      <c r="P645" s="5"/>
    </row>
    <row r="646" spans="2:16" x14ac:dyDescent="0.25">
      <c r="B646" s="90">
        <v>833</v>
      </c>
      <c r="C646" s="91">
        <v>0.16697435175547048</v>
      </c>
      <c r="D646" s="92">
        <v>98</v>
      </c>
      <c r="G646" s="5"/>
      <c r="H646" s="5"/>
      <c r="L646" s="7"/>
      <c r="M646" s="7"/>
      <c r="O646" s="5"/>
      <c r="P646" s="5"/>
    </row>
    <row r="647" spans="2:16" x14ac:dyDescent="0.25">
      <c r="B647" s="90">
        <v>884</v>
      </c>
      <c r="C647" s="91">
        <v>0.16989628828556325</v>
      </c>
      <c r="D647" s="92">
        <v>98</v>
      </c>
      <c r="G647" s="5"/>
      <c r="H647" s="5"/>
      <c r="L647" s="7"/>
      <c r="M647" s="7"/>
      <c r="O647" s="5"/>
      <c r="P647" s="5"/>
    </row>
    <row r="648" spans="2:16" x14ac:dyDescent="0.25">
      <c r="B648" s="90">
        <v>1630</v>
      </c>
      <c r="C648" s="91">
        <v>0.17447248049172259</v>
      </c>
      <c r="D648" s="92">
        <v>98</v>
      </c>
      <c r="G648" s="5"/>
      <c r="H648" s="5"/>
      <c r="L648" s="7"/>
      <c r="M648" s="7"/>
      <c r="O648" s="5"/>
      <c r="P648" s="5"/>
    </row>
    <row r="649" spans="2:16" x14ac:dyDescent="0.25">
      <c r="B649" s="90">
        <v>1078</v>
      </c>
      <c r="C649" s="91">
        <v>0.22760323067479038</v>
      </c>
      <c r="D649" s="92">
        <v>98</v>
      </c>
      <c r="G649" s="5"/>
      <c r="H649" s="5"/>
      <c r="L649" s="7"/>
      <c r="M649" s="7"/>
      <c r="O649" s="5"/>
      <c r="P649" s="5"/>
    </row>
    <row r="650" spans="2:16" x14ac:dyDescent="0.25">
      <c r="B650" s="90">
        <v>1163</v>
      </c>
      <c r="C650" s="91">
        <v>0.241123812830498</v>
      </c>
      <c r="D650" s="92">
        <v>98</v>
      </c>
      <c r="G650" s="5"/>
      <c r="H650" s="5"/>
      <c r="L650" s="7"/>
      <c r="M650" s="7"/>
      <c r="O650" s="5"/>
      <c r="P650" s="5"/>
    </row>
    <row r="651" spans="2:16" x14ac:dyDescent="0.25">
      <c r="B651" s="90">
        <v>1616</v>
      </c>
      <c r="C651" s="91">
        <v>0.29499385624004537</v>
      </c>
      <c r="D651" s="92">
        <v>98</v>
      </c>
      <c r="G651" s="5"/>
      <c r="H651" s="5"/>
      <c r="L651" s="7"/>
      <c r="M651" s="7"/>
      <c r="O651" s="5"/>
      <c r="P651" s="5"/>
    </row>
    <row r="652" spans="2:16" x14ac:dyDescent="0.25">
      <c r="B652" s="90">
        <v>1617</v>
      </c>
      <c r="C652" s="91">
        <v>0.32054017761791409</v>
      </c>
      <c r="D652" s="92">
        <v>98</v>
      </c>
      <c r="G652" s="5"/>
      <c r="H652" s="5"/>
      <c r="L652" s="7"/>
      <c r="M652" s="7"/>
      <c r="O652" s="5"/>
      <c r="P652" s="5"/>
    </row>
    <row r="653" spans="2:16" x14ac:dyDescent="0.25">
      <c r="B653" s="90">
        <v>1444</v>
      </c>
      <c r="C653" s="91">
        <v>0.37742969412095229</v>
      </c>
      <c r="D653" s="92">
        <v>98</v>
      </c>
      <c r="G653" s="5"/>
      <c r="H653" s="5"/>
      <c r="L653" s="7"/>
      <c r="M653" s="7"/>
      <c r="O653" s="5"/>
      <c r="P653" s="5"/>
    </row>
    <row r="654" spans="2:16" x14ac:dyDescent="0.25">
      <c r="B654" s="90">
        <v>778</v>
      </c>
      <c r="C654" s="91">
        <v>0.11634141035689693</v>
      </c>
      <c r="D654" s="92">
        <v>99</v>
      </c>
      <c r="G654" s="5"/>
      <c r="H654" s="5"/>
      <c r="L654" s="7"/>
      <c r="M654" s="7"/>
      <c r="O654" s="5"/>
      <c r="P654" s="5"/>
    </row>
    <row r="655" spans="2:16" x14ac:dyDescent="0.25">
      <c r="B655" s="90">
        <v>931</v>
      </c>
      <c r="C655" s="91">
        <v>0.11804174292501113</v>
      </c>
      <c r="D655" s="92">
        <v>99</v>
      </c>
      <c r="G655" s="5"/>
      <c r="H655" s="5"/>
      <c r="L655" s="7"/>
      <c r="M655" s="7"/>
      <c r="O655" s="5"/>
      <c r="P655" s="5"/>
    </row>
    <row r="656" spans="2:16" x14ac:dyDescent="0.25">
      <c r="B656" s="90">
        <v>725</v>
      </c>
      <c r="C656" s="91">
        <v>0.1190360667067738</v>
      </c>
      <c r="D656" s="92">
        <v>99</v>
      </c>
      <c r="G656" s="5"/>
      <c r="H656" s="5"/>
      <c r="L656" s="7"/>
      <c r="M656" s="7"/>
      <c r="O656" s="5"/>
      <c r="P656" s="5"/>
    </row>
    <row r="657" spans="2:16" x14ac:dyDescent="0.25">
      <c r="B657" s="90">
        <v>204</v>
      </c>
      <c r="C657" s="91">
        <v>0.13606249648584101</v>
      </c>
      <c r="D657" s="92">
        <v>99</v>
      </c>
      <c r="G657" s="5"/>
      <c r="H657" s="5"/>
      <c r="L657" s="7"/>
      <c r="M657" s="7"/>
      <c r="O657" s="5"/>
      <c r="P657" s="5"/>
    </row>
    <row r="658" spans="2:16" x14ac:dyDescent="0.25">
      <c r="B658" s="90">
        <v>1570</v>
      </c>
      <c r="C658" s="91">
        <v>0.3293320998289555</v>
      </c>
      <c r="D658" s="92">
        <v>99</v>
      </c>
      <c r="G658" s="5"/>
      <c r="H658" s="5"/>
      <c r="L658" s="7"/>
      <c r="M658" s="7"/>
      <c r="O658" s="5"/>
      <c r="P658" s="5"/>
    </row>
    <row r="659" spans="2:16" x14ac:dyDescent="0.25">
      <c r="B659" s="90">
        <v>1814</v>
      </c>
      <c r="C659" s="91">
        <v>4.6053222466704957E-2</v>
      </c>
      <c r="D659" s="92">
        <v>100</v>
      </c>
      <c r="G659" s="5"/>
      <c r="H659" s="5"/>
      <c r="L659" s="7"/>
      <c r="M659" s="7"/>
      <c r="O659" s="5"/>
      <c r="P659" s="5"/>
    </row>
    <row r="660" spans="2:16" x14ac:dyDescent="0.25">
      <c r="B660" s="90">
        <v>509</v>
      </c>
      <c r="C660" s="91">
        <v>4.9982163000096613E-2</v>
      </c>
      <c r="D660" s="92">
        <v>100</v>
      </c>
      <c r="G660" s="5"/>
      <c r="H660" s="5"/>
      <c r="L660" s="7"/>
      <c r="M660" s="7"/>
      <c r="O660" s="5"/>
      <c r="P660" s="5"/>
    </row>
    <row r="661" spans="2:16" x14ac:dyDescent="0.25">
      <c r="B661" s="90">
        <v>451</v>
      </c>
      <c r="C661" s="91">
        <v>5.194683545886003E-2</v>
      </c>
      <c r="D661" s="92">
        <v>100</v>
      </c>
      <c r="G661" s="5"/>
      <c r="H661" s="5"/>
      <c r="L661" s="7"/>
      <c r="M661" s="7"/>
      <c r="O661" s="5"/>
      <c r="P661" s="5"/>
    </row>
    <row r="662" spans="2:16" x14ac:dyDescent="0.25">
      <c r="B662" s="90">
        <v>391</v>
      </c>
      <c r="C662" s="91">
        <v>6.0524929420391116E-2</v>
      </c>
      <c r="D662" s="92">
        <v>100</v>
      </c>
      <c r="G662" s="5"/>
      <c r="H662" s="5"/>
      <c r="L662" s="7"/>
      <c r="M662" s="7"/>
      <c r="O662" s="5"/>
      <c r="P662" s="5"/>
    </row>
    <row r="663" spans="2:16" x14ac:dyDescent="0.25">
      <c r="B663" s="90">
        <v>1951</v>
      </c>
      <c r="C663" s="91">
        <v>6.6404138396645607E-2</v>
      </c>
      <c r="D663" s="92">
        <v>100</v>
      </c>
      <c r="G663" s="5"/>
      <c r="H663" s="5"/>
      <c r="L663" s="7"/>
      <c r="M663" s="7"/>
      <c r="O663" s="5"/>
      <c r="P663" s="5"/>
    </row>
    <row r="664" spans="2:16" x14ac:dyDescent="0.25">
      <c r="B664" s="90">
        <v>1926</v>
      </c>
      <c r="C664" s="91">
        <v>0.13993512471216096</v>
      </c>
      <c r="D664" s="92">
        <v>100</v>
      </c>
      <c r="G664" s="5"/>
      <c r="H664" s="5"/>
      <c r="L664" s="7"/>
      <c r="M664" s="7"/>
      <c r="O664" s="5"/>
      <c r="P664" s="5"/>
    </row>
    <row r="665" spans="2:16" x14ac:dyDescent="0.25">
      <c r="B665" s="90">
        <v>1257</v>
      </c>
      <c r="C665" s="91">
        <v>0.18016836875293918</v>
      </c>
      <c r="D665" s="92">
        <v>100</v>
      </c>
      <c r="G665" s="5"/>
      <c r="H665" s="5"/>
      <c r="L665" s="7"/>
      <c r="M665" s="7"/>
      <c r="O665" s="5"/>
      <c r="P665" s="5"/>
    </row>
    <row r="666" spans="2:16" x14ac:dyDescent="0.25">
      <c r="B666" s="90">
        <v>1581</v>
      </c>
      <c r="C666" s="91">
        <v>0.23205833893576744</v>
      </c>
      <c r="D666" s="92">
        <v>100</v>
      </c>
      <c r="G666" s="5"/>
      <c r="H666" s="5"/>
      <c r="L666" s="7"/>
      <c r="M666" s="7"/>
      <c r="O666" s="5"/>
      <c r="P666" s="5"/>
    </row>
    <row r="667" spans="2:16" x14ac:dyDescent="0.25">
      <c r="B667" s="90">
        <v>1357</v>
      </c>
      <c r="C667" s="91">
        <v>0.23584403059223558</v>
      </c>
      <c r="D667" s="92">
        <v>100</v>
      </c>
      <c r="G667" s="5"/>
      <c r="H667" s="5"/>
      <c r="L667" s="7"/>
      <c r="M667" s="7"/>
      <c r="O667" s="5"/>
      <c r="P667" s="5"/>
    </row>
    <row r="668" spans="2:16" x14ac:dyDescent="0.25">
      <c r="B668" s="90">
        <v>1356</v>
      </c>
      <c r="C668" s="91">
        <v>0.24362597555355825</v>
      </c>
      <c r="D668" s="92">
        <v>100</v>
      </c>
      <c r="G668" s="5"/>
      <c r="H668" s="5"/>
      <c r="L668" s="7"/>
      <c r="M668" s="7"/>
      <c r="O668" s="5"/>
      <c r="P668" s="5"/>
    </row>
    <row r="669" spans="2:16" x14ac:dyDescent="0.25">
      <c r="B669" s="90">
        <v>1358</v>
      </c>
      <c r="C669" s="91">
        <v>0.26595330235890313</v>
      </c>
      <c r="D669" s="92">
        <v>100</v>
      </c>
      <c r="G669" s="5"/>
      <c r="H669" s="5"/>
      <c r="L669" s="7"/>
      <c r="M669" s="7"/>
      <c r="O669" s="5"/>
      <c r="P669" s="5"/>
    </row>
    <row r="670" spans="2:16" x14ac:dyDescent="0.25">
      <c r="B670" s="90">
        <v>1359</v>
      </c>
      <c r="C670" s="91">
        <v>0.30763869049491765</v>
      </c>
      <c r="D670" s="92">
        <v>100</v>
      </c>
      <c r="G670" s="5"/>
      <c r="H670" s="5"/>
      <c r="L670" s="7"/>
      <c r="M670" s="7"/>
      <c r="O670" s="5"/>
      <c r="P670" s="5"/>
    </row>
    <row r="671" spans="2:16" x14ac:dyDescent="0.25">
      <c r="B671" s="90">
        <v>1360</v>
      </c>
      <c r="C671" s="91">
        <v>0.3277902982055324</v>
      </c>
      <c r="D671" s="92">
        <v>100</v>
      </c>
      <c r="G671" s="5"/>
      <c r="H671" s="5"/>
      <c r="L671" s="7"/>
      <c r="M671" s="7"/>
      <c r="O671" s="5"/>
      <c r="P671" s="5"/>
    </row>
    <row r="672" spans="2:16" x14ac:dyDescent="0.25">
      <c r="B672" s="90">
        <v>1113</v>
      </c>
      <c r="C672" s="91">
        <v>0.58427702312696106</v>
      </c>
      <c r="D672" s="92">
        <v>100</v>
      </c>
      <c r="G672" s="5"/>
      <c r="H672" s="5"/>
      <c r="L672" s="7"/>
      <c r="M672" s="7"/>
      <c r="O672" s="5"/>
      <c r="P672" s="5"/>
    </row>
    <row r="673" spans="2:16" x14ac:dyDescent="0.25">
      <c r="B673" s="90">
        <v>621</v>
      </c>
      <c r="C673" s="91">
        <v>5.5622045194741121E-2</v>
      </c>
      <c r="D673" s="92">
        <v>101</v>
      </c>
      <c r="G673" s="5"/>
      <c r="H673" s="5"/>
      <c r="L673" s="7"/>
      <c r="M673" s="7"/>
      <c r="O673" s="5"/>
      <c r="P673" s="5"/>
    </row>
    <row r="674" spans="2:16" x14ac:dyDescent="0.25">
      <c r="B674" s="90">
        <v>565</v>
      </c>
      <c r="C674" s="91">
        <v>5.6622332182742263E-2</v>
      </c>
      <c r="D674" s="92">
        <v>101</v>
      </c>
      <c r="G674" s="5"/>
      <c r="H674" s="5"/>
      <c r="L674" s="7"/>
      <c r="M674" s="7"/>
      <c r="O674" s="5"/>
      <c r="P674" s="5"/>
    </row>
    <row r="675" spans="2:16" x14ac:dyDescent="0.25">
      <c r="B675" s="90">
        <v>676</v>
      </c>
      <c r="C675" s="91">
        <v>5.6931434781111956E-2</v>
      </c>
      <c r="D675" s="92">
        <v>101</v>
      </c>
      <c r="G675" s="5"/>
      <c r="H675" s="5"/>
      <c r="L675" s="7"/>
      <c r="M675" s="7"/>
      <c r="O675" s="5"/>
      <c r="P675" s="5"/>
    </row>
    <row r="676" spans="2:16" x14ac:dyDescent="0.25">
      <c r="B676" s="90">
        <v>783</v>
      </c>
      <c r="C676" s="91">
        <v>5.949697196642012E-2</v>
      </c>
      <c r="D676" s="92">
        <v>101</v>
      </c>
      <c r="G676" s="5"/>
      <c r="H676" s="5"/>
      <c r="L676" s="7"/>
      <c r="M676" s="7"/>
      <c r="O676" s="5"/>
      <c r="P676" s="5"/>
    </row>
    <row r="677" spans="2:16" x14ac:dyDescent="0.25">
      <c r="B677" s="90">
        <v>730</v>
      </c>
      <c r="C677" s="91">
        <v>6.0579929749256523E-2</v>
      </c>
      <c r="D677" s="92">
        <v>101</v>
      </c>
      <c r="G677" s="5"/>
      <c r="H677" s="5"/>
      <c r="L677" s="7"/>
      <c r="M677" s="7"/>
      <c r="O677" s="5"/>
      <c r="P677" s="5"/>
    </row>
    <row r="678" spans="2:16" x14ac:dyDescent="0.25">
      <c r="B678" s="90">
        <v>835</v>
      </c>
      <c r="C678" s="91">
        <v>6.4328250776424345E-2</v>
      </c>
      <c r="D678" s="92">
        <v>101</v>
      </c>
      <c r="G678" s="5"/>
      <c r="H678" s="5"/>
      <c r="L678" s="7"/>
      <c r="M678" s="7"/>
      <c r="O678" s="5"/>
      <c r="P678" s="5"/>
    </row>
    <row r="679" spans="2:16" x14ac:dyDescent="0.25">
      <c r="B679" s="90">
        <v>1563</v>
      </c>
      <c r="C679" s="91">
        <v>9.4436929319809737E-2</v>
      </c>
      <c r="D679" s="92">
        <v>102</v>
      </c>
      <c r="G679" s="5"/>
      <c r="H679" s="5"/>
      <c r="L679" s="7"/>
      <c r="M679" s="7"/>
      <c r="O679" s="5"/>
      <c r="P679" s="5"/>
    </row>
    <row r="680" spans="2:16" x14ac:dyDescent="0.25">
      <c r="B680" s="90">
        <v>77</v>
      </c>
      <c r="C680" s="91">
        <v>0.14155393257839899</v>
      </c>
      <c r="D680" s="92">
        <v>102</v>
      </c>
      <c r="G680" s="5"/>
      <c r="H680" s="5"/>
      <c r="L680" s="7"/>
      <c r="M680" s="7"/>
      <c r="O680" s="5"/>
      <c r="P680" s="5"/>
    </row>
    <row r="681" spans="2:16" x14ac:dyDescent="0.25">
      <c r="B681" s="90">
        <v>1802</v>
      </c>
      <c r="C681" s="91">
        <v>0.16425443402392159</v>
      </c>
      <c r="D681" s="92">
        <v>102</v>
      </c>
      <c r="G681" s="5"/>
      <c r="H681" s="5"/>
      <c r="L681" s="7"/>
      <c r="M681" s="7"/>
      <c r="O681" s="5"/>
      <c r="P681" s="5"/>
    </row>
    <row r="682" spans="2:16" x14ac:dyDescent="0.25">
      <c r="B682" s="90">
        <v>2098</v>
      </c>
      <c r="C682" s="91">
        <v>0.19185549167849958</v>
      </c>
      <c r="D682" s="92">
        <v>102</v>
      </c>
      <c r="G682" s="5"/>
      <c r="H682" s="5"/>
      <c r="L682" s="7"/>
      <c r="M682" s="7"/>
      <c r="O682" s="5"/>
      <c r="P682" s="5"/>
    </row>
    <row r="683" spans="2:16" x14ac:dyDescent="0.25">
      <c r="B683" s="90">
        <v>1315</v>
      </c>
      <c r="C683" s="91">
        <v>0.19236146414662136</v>
      </c>
      <c r="D683" s="92">
        <v>102</v>
      </c>
      <c r="G683" s="5"/>
      <c r="H683" s="5"/>
      <c r="L683" s="7"/>
      <c r="M683" s="7"/>
      <c r="O683" s="5"/>
      <c r="P683" s="5"/>
    </row>
    <row r="684" spans="2:16" x14ac:dyDescent="0.25">
      <c r="B684" s="90">
        <v>1273</v>
      </c>
      <c r="C684" s="91">
        <v>0.21008573536160902</v>
      </c>
      <c r="D684" s="92">
        <v>102</v>
      </c>
      <c r="G684" s="5"/>
      <c r="H684" s="5"/>
      <c r="L684" s="7"/>
      <c r="M684" s="7"/>
      <c r="O684" s="5"/>
      <c r="P684" s="5"/>
    </row>
    <row r="685" spans="2:16" x14ac:dyDescent="0.25">
      <c r="B685" s="90">
        <v>1317</v>
      </c>
      <c r="C685" s="91">
        <v>0.21760410027130372</v>
      </c>
      <c r="D685" s="92">
        <v>102</v>
      </c>
      <c r="G685" s="5"/>
      <c r="H685" s="5"/>
      <c r="L685" s="7"/>
      <c r="M685" s="7"/>
      <c r="O685" s="5"/>
      <c r="P685" s="5"/>
    </row>
    <row r="686" spans="2:16" x14ac:dyDescent="0.25">
      <c r="B686" s="90">
        <v>1275</v>
      </c>
      <c r="C686" s="91">
        <v>0.23864412153326564</v>
      </c>
      <c r="D686" s="92">
        <v>102</v>
      </c>
      <c r="G686" s="5"/>
      <c r="H686" s="5"/>
      <c r="L686" s="7"/>
      <c r="M686" s="7"/>
      <c r="O686" s="5"/>
      <c r="P686" s="5"/>
    </row>
    <row r="687" spans="2:16" x14ac:dyDescent="0.25">
      <c r="B687" s="90">
        <v>1318</v>
      </c>
      <c r="C687" s="91">
        <v>0.26892357829209601</v>
      </c>
      <c r="D687" s="92">
        <v>102</v>
      </c>
      <c r="G687" s="5"/>
      <c r="H687" s="5"/>
      <c r="L687" s="7"/>
      <c r="M687" s="7"/>
      <c r="O687" s="5"/>
      <c r="P687" s="5"/>
    </row>
    <row r="688" spans="2:16" x14ac:dyDescent="0.25">
      <c r="B688" s="90">
        <v>1276</v>
      </c>
      <c r="C688" s="91">
        <v>0.29700430209966777</v>
      </c>
      <c r="D688" s="92">
        <v>102</v>
      </c>
      <c r="G688" s="5"/>
      <c r="H688" s="5"/>
      <c r="L688" s="7"/>
      <c r="M688" s="7"/>
      <c r="O688" s="5"/>
      <c r="P688" s="5"/>
    </row>
    <row r="689" spans="2:16" x14ac:dyDescent="0.25">
      <c r="B689" s="90">
        <v>1361</v>
      </c>
      <c r="C689" s="91">
        <v>0.33321292422440496</v>
      </c>
      <c r="D689" s="92">
        <v>102</v>
      </c>
      <c r="G689" s="5"/>
      <c r="H689" s="5"/>
      <c r="L689" s="7"/>
      <c r="M689" s="7"/>
      <c r="O689" s="5"/>
      <c r="P689" s="5"/>
    </row>
    <row r="690" spans="2:16" x14ac:dyDescent="0.25">
      <c r="B690" s="90">
        <v>1447</v>
      </c>
      <c r="C690" s="91">
        <v>5.5956800852373201E-2</v>
      </c>
      <c r="D690" s="92">
        <v>103</v>
      </c>
      <c r="G690" s="5"/>
      <c r="H690" s="5"/>
      <c r="L690" s="7"/>
      <c r="M690" s="7"/>
      <c r="O690" s="5"/>
      <c r="P690" s="5"/>
    </row>
    <row r="691" spans="2:16" x14ac:dyDescent="0.25">
      <c r="B691" s="90">
        <v>5</v>
      </c>
      <c r="C691" s="91">
        <v>6.771702470299612E-2</v>
      </c>
      <c r="D691" s="92">
        <v>103</v>
      </c>
      <c r="G691" s="5"/>
      <c r="H691" s="5"/>
      <c r="L691" s="7"/>
      <c r="M691" s="7"/>
      <c r="O691" s="5"/>
      <c r="P691" s="5"/>
    </row>
    <row r="692" spans="2:16" x14ac:dyDescent="0.25">
      <c r="B692" s="90">
        <v>2136</v>
      </c>
      <c r="C692" s="91">
        <v>6.771702470299612E-2</v>
      </c>
      <c r="D692" s="92">
        <v>103</v>
      </c>
      <c r="G692" s="5"/>
      <c r="H692" s="5"/>
      <c r="L692" s="7"/>
      <c r="M692" s="7"/>
      <c r="O692" s="5"/>
      <c r="P692" s="5"/>
    </row>
    <row r="693" spans="2:16" x14ac:dyDescent="0.25">
      <c r="B693" s="90">
        <v>81</v>
      </c>
      <c r="C693" s="91">
        <v>8.0224871863360026E-2</v>
      </c>
      <c r="D693" s="92">
        <v>103</v>
      </c>
      <c r="G693" s="5"/>
      <c r="H693" s="5"/>
      <c r="L693" s="7"/>
      <c r="M693" s="7"/>
      <c r="O693" s="5"/>
      <c r="P693" s="5"/>
    </row>
    <row r="694" spans="2:16" x14ac:dyDescent="0.25">
      <c r="B694" s="90">
        <v>1842</v>
      </c>
      <c r="C694" s="91">
        <v>9.7962812572444768E-2</v>
      </c>
      <c r="D694" s="92">
        <v>103</v>
      </c>
      <c r="G694" s="5"/>
      <c r="H694" s="5"/>
      <c r="L694" s="7"/>
      <c r="M694" s="7"/>
      <c r="O694" s="5"/>
      <c r="P694" s="5"/>
    </row>
    <row r="695" spans="2:16" x14ac:dyDescent="0.25">
      <c r="B695" s="90">
        <v>141</v>
      </c>
      <c r="C695" s="91">
        <v>0.14964875230791086</v>
      </c>
      <c r="D695" s="92">
        <v>103</v>
      </c>
      <c r="G695" s="5"/>
      <c r="H695" s="5"/>
      <c r="L695" s="7"/>
      <c r="M695" s="7"/>
      <c r="O695" s="5"/>
      <c r="P695" s="5"/>
    </row>
    <row r="696" spans="2:16" x14ac:dyDescent="0.25">
      <c r="B696" s="90">
        <v>206</v>
      </c>
      <c r="C696" s="91">
        <v>0.19031428533256989</v>
      </c>
      <c r="D696" s="92">
        <v>103</v>
      </c>
      <c r="G696" s="5"/>
      <c r="H696" s="5"/>
      <c r="L696" s="7"/>
      <c r="M696" s="7"/>
      <c r="O696" s="5"/>
      <c r="P696" s="5"/>
    </row>
    <row r="697" spans="2:16" x14ac:dyDescent="0.25">
      <c r="B697" s="90">
        <v>1892</v>
      </c>
      <c r="C697" s="91">
        <v>0.23737409466497561</v>
      </c>
      <c r="D697" s="92">
        <v>103</v>
      </c>
      <c r="G697" s="5"/>
      <c r="H697" s="5"/>
      <c r="L697" s="7"/>
      <c r="M697" s="7"/>
      <c r="O697" s="5"/>
      <c r="P697" s="5"/>
    </row>
    <row r="698" spans="2:16" x14ac:dyDescent="0.25">
      <c r="B698" s="90">
        <v>145</v>
      </c>
      <c r="C698" s="91">
        <v>8.7469633590981921E-2</v>
      </c>
      <c r="D698" s="92">
        <v>104</v>
      </c>
      <c r="G698" s="5"/>
      <c r="H698" s="5"/>
      <c r="L698" s="7"/>
      <c r="M698" s="7"/>
      <c r="O698" s="5"/>
      <c r="P698" s="5"/>
    </row>
    <row r="699" spans="2:16" x14ac:dyDescent="0.25">
      <c r="B699" s="90">
        <v>1808</v>
      </c>
      <c r="C699" s="91">
        <v>0.10490120897156441</v>
      </c>
      <c r="D699" s="92">
        <v>104</v>
      </c>
      <c r="G699" s="5"/>
      <c r="H699" s="5"/>
      <c r="L699" s="7"/>
      <c r="M699" s="7"/>
      <c r="O699" s="5"/>
      <c r="P699" s="5"/>
    </row>
    <row r="700" spans="2:16" x14ac:dyDescent="0.25">
      <c r="B700" s="90">
        <v>1274</v>
      </c>
      <c r="C700" s="91">
        <v>0.19711430519912088</v>
      </c>
      <c r="D700" s="92">
        <v>104</v>
      </c>
      <c r="G700" s="5"/>
      <c r="H700" s="5"/>
      <c r="L700" s="7"/>
      <c r="M700" s="7"/>
      <c r="O700" s="5"/>
      <c r="P700" s="5"/>
    </row>
    <row r="701" spans="2:16" x14ac:dyDescent="0.25">
      <c r="B701" s="90">
        <v>2133</v>
      </c>
      <c r="C701" s="91">
        <v>0.24009062709055184</v>
      </c>
      <c r="D701" s="92">
        <v>104</v>
      </c>
      <c r="G701" s="5"/>
      <c r="H701" s="5"/>
      <c r="L701" s="7"/>
      <c r="M701" s="7"/>
      <c r="O701" s="5"/>
      <c r="P701" s="5"/>
    </row>
    <row r="702" spans="2:16" x14ac:dyDescent="0.25">
      <c r="B702" s="90">
        <v>1319</v>
      </c>
      <c r="C702" s="91">
        <v>0.29410717993788627</v>
      </c>
      <c r="D702" s="92">
        <v>104</v>
      </c>
      <c r="G702" s="5"/>
      <c r="H702" s="5"/>
      <c r="L702" s="7"/>
      <c r="M702" s="7"/>
      <c r="O702" s="5"/>
      <c r="P702" s="5"/>
    </row>
    <row r="703" spans="2:16" x14ac:dyDescent="0.25">
      <c r="B703" s="90">
        <v>1320</v>
      </c>
      <c r="C703" s="91">
        <v>0.29778832620771056</v>
      </c>
      <c r="D703" s="92">
        <v>104</v>
      </c>
      <c r="G703" s="5"/>
      <c r="H703" s="5"/>
      <c r="L703" s="7"/>
      <c r="M703" s="7"/>
      <c r="O703" s="5"/>
      <c r="P703" s="5"/>
    </row>
    <row r="704" spans="2:16" x14ac:dyDescent="0.25">
      <c r="B704" s="90">
        <v>1277</v>
      </c>
      <c r="C704" s="91">
        <v>0.32586897579622376</v>
      </c>
      <c r="D704" s="92">
        <v>104</v>
      </c>
      <c r="G704" s="5"/>
      <c r="H704" s="5"/>
      <c r="L704" s="7"/>
      <c r="M704" s="7"/>
      <c r="O704" s="5"/>
      <c r="P704" s="5"/>
    </row>
    <row r="705" spans="2:16" x14ac:dyDescent="0.25">
      <c r="B705" s="90">
        <v>1278</v>
      </c>
      <c r="C705" s="91">
        <v>0.32864967426297531</v>
      </c>
      <c r="D705" s="92">
        <v>104</v>
      </c>
      <c r="G705" s="5"/>
      <c r="H705" s="5"/>
      <c r="L705" s="7"/>
      <c r="M705" s="7"/>
      <c r="O705" s="5"/>
      <c r="P705" s="5"/>
    </row>
    <row r="706" spans="2:16" x14ac:dyDescent="0.25">
      <c r="B706" s="90">
        <v>1167</v>
      </c>
      <c r="C706" s="91">
        <v>0.13399688632572815</v>
      </c>
      <c r="D706" s="92">
        <v>105</v>
      </c>
      <c r="G706" s="5"/>
      <c r="H706" s="5"/>
      <c r="L706" s="7"/>
      <c r="M706" s="7"/>
      <c r="O706" s="5"/>
      <c r="P706" s="5"/>
    </row>
    <row r="707" spans="2:16" x14ac:dyDescent="0.25">
      <c r="B707" s="90">
        <v>1402</v>
      </c>
      <c r="C707" s="91">
        <v>0.23789626607841519</v>
      </c>
      <c r="D707" s="92">
        <v>105</v>
      </c>
      <c r="G707" s="5"/>
      <c r="H707" s="5"/>
      <c r="L707" s="7"/>
      <c r="M707" s="7"/>
      <c r="O707" s="5"/>
      <c r="P707" s="5"/>
    </row>
    <row r="708" spans="2:16" x14ac:dyDescent="0.25">
      <c r="B708" s="90">
        <v>1192</v>
      </c>
      <c r="C708" s="91">
        <v>0.28313348991856824</v>
      </c>
      <c r="D708" s="92">
        <v>105</v>
      </c>
      <c r="G708" s="5"/>
      <c r="H708" s="5"/>
      <c r="L708" s="7"/>
      <c r="M708" s="7"/>
      <c r="O708" s="5"/>
      <c r="P708" s="5"/>
    </row>
    <row r="709" spans="2:16" x14ac:dyDescent="0.25">
      <c r="B709" s="90">
        <v>1236</v>
      </c>
      <c r="C709" s="91">
        <v>0.3247319799114462</v>
      </c>
      <c r="D709" s="92">
        <v>105</v>
      </c>
      <c r="G709" s="5"/>
      <c r="H709" s="5"/>
      <c r="L709" s="7"/>
      <c r="M709" s="7"/>
      <c r="O709" s="5"/>
      <c r="P709" s="5"/>
    </row>
    <row r="710" spans="2:16" x14ac:dyDescent="0.25">
      <c r="B710" s="90">
        <v>672</v>
      </c>
      <c r="C710" s="91">
        <v>0.11144527394322679</v>
      </c>
      <c r="D710" s="92">
        <v>106</v>
      </c>
      <c r="G710" s="5"/>
      <c r="H710" s="5"/>
      <c r="L710" s="7"/>
      <c r="M710" s="7"/>
      <c r="O710" s="5"/>
      <c r="P710" s="5"/>
    </row>
    <row r="711" spans="2:16" x14ac:dyDescent="0.25">
      <c r="B711" s="90">
        <v>1807</v>
      </c>
      <c r="C711" s="91">
        <v>0.13458018514239423</v>
      </c>
      <c r="D711" s="92">
        <v>106</v>
      </c>
      <c r="G711" s="5"/>
      <c r="H711" s="5"/>
      <c r="L711" s="7"/>
      <c r="M711" s="7"/>
      <c r="O711" s="5"/>
      <c r="P711" s="5"/>
    </row>
    <row r="712" spans="2:16" x14ac:dyDescent="0.25">
      <c r="B712" s="90">
        <v>1721</v>
      </c>
      <c r="C712" s="91">
        <v>0.13675740358604083</v>
      </c>
      <c r="D712" s="92">
        <v>106</v>
      </c>
      <c r="G712" s="5"/>
      <c r="H712" s="5"/>
      <c r="L712" s="7"/>
      <c r="M712" s="7"/>
      <c r="O712" s="5"/>
      <c r="P712" s="5"/>
    </row>
    <row r="713" spans="2:16" x14ac:dyDescent="0.25">
      <c r="B713" s="90">
        <v>831</v>
      </c>
      <c r="C713" s="91">
        <v>0.13745735554273608</v>
      </c>
      <c r="D713" s="92">
        <v>106</v>
      </c>
      <c r="G713" s="5"/>
      <c r="H713" s="5"/>
      <c r="L713" s="7"/>
      <c r="M713" s="7"/>
      <c r="O713" s="5"/>
      <c r="P713" s="5"/>
    </row>
    <row r="714" spans="2:16" x14ac:dyDescent="0.25">
      <c r="B714" s="90">
        <v>450</v>
      </c>
      <c r="C714" s="91">
        <v>5.9680912967459032E-2</v>
      </c>
      <c r="D714" s="92">
        <v>107</v>
      </c>
      <c r="G714" s="5"/>
      <c r="H714" s="5"/>
      <c r="L714" s="7"/>
      <c r="M714" s="7"/>
      <c r="O714" s="5"/>
      <c r="P714" s="5"/>
    </row>
    <row r="715" spans="2:16" x14ac:dyDescent="0.25">
      <c r="B715" s="90">
        <v>2076</v>
      </c>
      <c r="C715" s="91">
        <v>6.7111312410450874E-2</v>
      </c>
      <c r="D715" s="92">
        <v>107</v>
      </c>
      <c r="G715" s="5"/>
      <c r="H715" s="5"/>
      <c r="L715" s="7"/>
      <c r="M715" s="7"/>
      <c r="O715" s="5"/>
      <c r="P715" s="5"/>
    </row>
    <row r="716" spans="2:16" x14ac:dyDescent="0.25">
      <c r="B716" s="90">
        <v>2102</v>
      </c>
      <c r="C716" s="91">
        <v>0.2679484843459683</v>
      </c>
      <c r="D716" s="92">
        <v>107</v>
      </c>
      <c r="G716" s="5"/>
      <c r="H716" s="5"/>
      <c r="L716" s="7"/>
      <c r="M716" s="7"/>
      <c r="O716" s="5"/>
      <c r="P716" s="5"/>
    </row>
    <row r="717" spans="2:16" x14ac:dyDescent="0.25">
      <c r="B717" s="90">
        <v>2111</v>
      </c>
      <c r="C717" s="91">
        <v>0.27145106082022818</v>
      </c>
      <c r="D717" s="92">
        <v>107</v>
      </c>
      <c r="G717" s="5"/>
      <c r="H717" s="5"/>
      <c r="L717" s="7"/>
      <c r="M717" s="7"/>
      <c r="O717" s="5"/>
      <c r="P717" s="5"/>
    </row>
    <row r="718" spans="2:16" x14ac:dyDescent="0.25">
      <c r="B718" s="90">
        <v>1534</v>
      </c>
      <c r="C718" s="91">
        <v>0.27988347214759002</v>
      </c>
      <c r="D718" s="92">
        <v>107</v>
      </c>
      <c r="G718" s="5"/>
      <c r="H718" s="5"/>
      <c r="L718" s="7"/>
      <c r="M718" s="7"/>
      <c r="O718" s="5"/>
      <c r="P718" s="5"/>
    </row>
    <row r="719" spans="2:16" x14ac:dyDescent="0.25">
      <c r="B719" s="90">
        <v>1813</v>
      </c>
      <c r="C719" s="91">
        <v>3.8899371357863588E-2</v>
      </c>
      <c r="D719" s="92">
        <v>108</v>
      </c>
      <c r="G719" s="5"/>
      <c r="H719" s="5"/>
      <c r="L719" s="7"/>
      <c r="M719" s="7"/>
      <c r="O719" s="5"/>
      <c r="P719" s="5"/>
    </row>
    <row r="720" spans="2:16" x14ac:dyDescent="0.25">
      <c r="B720" s="90">
        <v>1950</v>
      </c>
      <c r="C720" s="91">
        <v>8.052635147084275E-2</v>
      </c>
      <c r="D720" s="92">
        <v>108</v>
      </c>
      <c r="G720" s="5"/>
      <c r="H720" s="5"/>
      <c r="L720" s="7"/>
      <c r="M720" s="7"/>
      <c r="O720" s="5"/>
      <c r="P720" s="5"/>
    </row>
    <row r="721" spans="2:16" x14ac:dyDescent="0.25">
      <c r="B721" s="90">
        <v>617</v>
      </c>
      <c r="C721" s="91">
        <v>0.10838033510723188</v>
      </c>
      <c r="D721" s="92">
        <v>108</v>
      </c>
      <c r="G721" s="5"/>
      <c r="H721" s="5"/>
      <c r="L721" s="7"/>
      <c r="M721" s="7"/>
      <c r="O721" s="5"/>
      <c r="P721" s="5"/>
    </row>
    <row r="722" spans="2:16" x14ac:dyDescent="0.25">
      <c r="B722" s="90">
        <v>561</v>
      </c>
      <c r="C722" s="91">
        <v>0.11054941256268358</v>
      </c>
      <c r="D722" s="92">
        <v>108</v>
      </c>
      <c r="G722" s="5"/>
      <c r="H722" s="5"/>
      <c r="L722" s="7"/>
      <c r="M722" s="7"/>
      <c r="O722" s="5"/>
      <c r="P722" s="5"/>
    </row>
    <row r="723" spans="2:16" x14ac:dyDescent="0.25">
      <c r="B723" s="90">
        <v>504</v>
      </c>
      <c r="C723" s="91">
        <v>0.11458497637985432</v>
      </c>
      <c r="D723" s="92">
        <v>108</v>
      </c>
      <c r="G723" s="5"/>
      <c r="H723" s="5"/>
      <c r="L723" s="7"/>
      <c r="M723" s="7"/>
      <c r="O723" s="5"/>
      <c r="P723" s="5"/>
    </row>
    <row r="724" spans="2:16" x14ac:dyDescent="0.25">
      <c r="B724" s="90">
        <v>446</v>
      </c>
      <c r="C724" s="91">
        <v>0.11769020513529282</v>
      </c>
      <c r="D724" s="92">
        <v>108</v>
      </c>
      <c r="G724" s="5"/>
      <c r="H724" s="5"/>
      <c r="L724" s="7"/>
      <c r="M724" s="7"/>
      <c r="O724" s="5"/>
      <c r="P724" s="5"/>
    </row>
    <row r="725" spans="2:16" x14ac:dyDescent="0.25">
      <c r="B725" s="90">
        <v>779</v>
      </c>
      <c r="C725" s="91">
        <v>0.12072394899996497</v>
      </c>
      <c r="D725" s="92">
        <v>108</v>
      </c>
      <c r="G725" s="5"/>
      <c r="H725" s="5"/>
      <c r="L725" s="7"/>
      <c r="M725" s="7"/>
      <c r="O725" s="5"/>
      <c r="P725" s="5"/>
    </row>
    <row r="726" spans="2:16" x14ac:dyDescent="0.25">
      <c r="B726" s="90">
        <v>387</v>
      </c>
      <c r="C726" s="91">
        <v>0.12228497709719588</v>
      </c>
      <c r="D726" s="92">
        <v>108</v>
      </c>
      <c r="G726" s="5"/>
      <c r="H726" s="5"/>
      <c r="L726" s="7"/>
      <c r="M726" s="7"/>
      <c r="O726" s="5"/>
      <c r="P726" s="5"/>
    </row>
    <row r="727" spans="2:16" x14ac:dyDescent="0.25">
      <c r="B727" s="90">
        <v>726</v>
      </c>
      <c r="C727" s="91">
        <v>0.12297099503972508</v>
      </c>
      <c r="D727" s="92">
        <v>108</v>
      </c>
      <c r="G727" s="5"/>
      <c r="H727" s="5"/>
      <c r="L727" s="7"/>
      <c r="M727" s="7"/>
      <c r="O727" s="5"/>
      <c r="P727" s="5"/>
    </row>
    <row r="728" spans="2:16" x14ac:dyDescent="0.25">
      <c r="B728" s="90">
        <v>1403</v>
      </c>
      <c r="C728" s="91">
        <v>0.24994928124623095</v>
      </c>
      <c r="D728" s="92">
        <v>108</v>
      </c>
      <c r="G728" s="5"/>
      <c r="H728" s="5"/>
      <c r="L728" s="7"/>
      <c r="M728" s="7"/>
      <c r="O728" s="5"/>
      <c r="P728" s="5"/>
    </row>
    <row r="729" spans="2:16" x14ac:dyDescent="0.25">
      <c r="B729" s="90">
        <v>131</v>
      </c>
      <c r="C729" s="91">
        <v>0.96512424147361142</v>
      </c>
      <c r="D729" s="92">
        <v>108</v>
      </c>
      <c r="G729" s="5"/>
      <c r="H729" s="5"/>
      <c r="L729" s="7"/>
      <c r="M729" s="7"/>
      <c r="O729" s="5"/>
      <c r="P729" s="5"/>
    </row>
    <row r="730" spans="2:16" x14ac:dyDescent="0.25">
      <c r="B730" s="90">
        <v>1815</v>
      </c>
      <c r="C730" s="91">
        <v>4.6228638317040049E-2</v>
      </c>
      <c r="D730" s="92">
        <v>109</v>
      </c>
      <c r="G730" s="5"/>
      <c r="H730" s="5"/>
      <c r="L730" s="7"/>
      <c r="M730" s="7"/>
      <c r="O730" s="5"/>
      <c r="P730" s="5"/>
    </row>
    <row r="731" spans="2:16" x14ac:dyDescent="0.25">
      <c r="B731" s="90">
        <v>619</v>
      </c>
      <c r="C731" s="91">
        <v>0.14371087595969301</v>
      </c>
      <c r="D731" s="92">
        <v>109</v>
      </c>
      <c r="G731" s="5"/>
      <c r="H731" s="5"/>
      <c r="L731" s="7"/>
      <c r="M731" s="7"/>
      <c r="O731" s="5"/>
      <c r="P731" s="5"/>
    </row>
    <row r="732" spans="2:16" x14ac:dyDescent="0.25">
      <c r="B732" s="90">
        <v>674</v>
      </c>
      <c r="C732" s="91">
        <v>0.14581838476860054</v>
      </c>
      <c r="D732" s="92">
        <v>109</v>
      </c>
      <c r="G732" s="5"/>
      <c r="H732" s="5"/>
      <c r="L732" s="7"/>
      <c r="M732" s="7"/>
      <c r="O732" s="5"/>
      <c r="P732" s="5"/>
    </row>
    <row r="733" spans="2:16" x14ac:dyDescent="0.25">
      <c r="B733" s="90">
        <v>563</v>
      </c>
      <c r="C733" s="91">
        <v>0.14685877136856873</v>
      </c>
      <c r="D733" s="92">
        <v>109</v>
      </c>
      <c r="G733" s="5"/>
      <c r="H733" s="5"/>
      <c r="L733" s="7"/>
      <c r="M733" s="7"/>
      <c r="O733" s="5"/>
      <c r="P733" s="5"/>
    </row>
    <row r="734" spans="2:16" x14ac:dyDescent="0.25">
      <c r="B734" s="90">
        <v>506</v>
      </c>
      <c r="C734" s="91">
        <v>0.15232708035744835</v>
      </c>
      <c r="D734" s="92">
        <v>109</v>
      </c>
      <c r="G734" s="5"/>
      <c r="H734" s="5"/>
      <c r="L734" s="7"/>
      <c r="M734" s="7"/>
      <c r="O734" s="5"/>
      <c r="P734" s="5"/>
    </row>
    <row r="735" spans="2:16" x14ac:dyDescent="0.25">
      <c r="B735" s="90">
        <v>781</v>
      </c>
      <c r="C735" s="91">
        <v>0.15273809204011668</v>
      </c>
      <c r="D735" s="92">
        <v>109</v>
      </c>
      <c r="G735" s="5"/>
      <c r="H735" s="5"/>
      <c r="L735" s="7"/>
      <c r="M735" s="7"/>
      <c r="O735" s="5"/>
      <c r="P735" s="5"/>
    </row>
    <row r="736" spans="2:16" x14ac:dyDescent="0.25">
      <c r="B736" s="90">
        <v>728</v>
      </c>
      <c r="C736" s="91">
        <v>0.15606633164654471</v>
      </c>
      <c r="D736" s="92">
        <v>109</v>
      </c>
      <c r="G736" s="5"/>
      <c r="H736" s="5"/>
      <c r="L736" s="7"/>
      <c r="M736" s="7"/>
      <c r="O736" s="5"/>
      <c r="P736" s="5"/>
    </row>
    <row r="737" spans="2:16" x14ac:dyDescent="0.25">
      <c r="B737" s="90">
        <v>448</v>
      </c>
      <c r="C737" s="91">
        <v>0.1588887806967596</v>
      </c>
      <c r="D737" s="92">
        <v>109</v>
      </c>
      <c r="G737" s="5"/>
      <c r="H737" s="5"/>
      <c r="L737" s="7"/>
      <c r="M737" s="7"/>
      <c r="O737" s="5"/>
      <c r="P737" s="5"/>
    </row>
    <row r="738" spans="2:16" x14ac:dyDescent="0.25">
      <c r="B738" s="90">
        <v>1237</v>
      </c>
      <c r="C738" s="91">
        <v>0.32567772723619703</v>
      </c>
      <c r="D738" s="92">
        <v>109</v>
      </c>
      <c r="G738" s="5"/>
      <c r="H738" s="5"/>
      <c r="L738" s="7"/>
      <c r="M738" s="7"/>
      <c r="O738" s="5"/>
      <c r="P738" s="5"/>
    </row>
    <row r="739" spans="2:16" x14ac:dyDescent="0.25">
      <c r="B739" s="90">
        <v>1841</v>
      </c>
      <c r="C739" s="91">
        <v>0.11494927353883855</v>
      </c>
      <c r="D739" s="92">
        <v>110</v>
      </c>
      <c r="G739" s="5"/>
      <c r="H739" s="5"/>
      <c r="L739" s="7"/>
      <c r="M739" s="7"/>
      <c r="O739" s="5"/>
      <c r="P739" s="5"/>
    </row>
    <row r="740" spans="2:16" x14ac:dyDescent="0.25">
      <c r="B740" s="90">
        <v>1446</v>
      </c>
      <c r="C740" s="91">
        <v>0.13009112268666234</v>
      </c>
      <c r="D740" s="92">
        <v>110</v>
      </c>
      <c r="G740" s="5"/>
      <c r="H740" s="5"/>
      <c r="L740" s="7"/>
      <c r="M740" s="7"/>
      <c r="O740" s="5"/>
      <c r="P740" s="5"/>
    </row>
    <row r="741" spans="2:16" x14ac:dyDescent="0.25">
      <c r="B741" s="90">
        <v>1645</v>
      </c>
      <c r="C741" s="91">
        <v>0.19018964392902549</v>
      </c>
      <c r="D741" s="92">
        <v>110</v>
      </c>
      <c r="G741" s="5"/>
      <c r="H741" s="5"/>
      <c r="L741" s="7"/>
      <c r="M741" s="7"/>
      <c r="O741" s="5"/>
      <c r="P741" s="5"/>
    </row>
    <row r="742" spans="2:16" x14ac:dyDescent="0.25">
      <c r="B742" s="90">
        <v>79</v>
      </c>
      <c r="C742" s="91">
        <v>0.20888201763654779</v>
      </c>
      <c r="D742" s="92">
        <v>110</v>
      </c>
      <c r="G742" s="5"/>
      <c r="H742" s="5"/>
      <c r="L742" s="7"/>
      <c r="M742" s="7"/>
      <c r="O742" s="5"/>
      <c r="P742" s="5"/>
    </row>
    <row r="743" spans="2:16" x14ac:dyDescent="0.25">
      <c r="B743" s="90">
        <v>315</v>
      </c>
      <c r="C743" s="91">
        <v>0.73687088738754969</v>
      </c>
      <c r="D743" s="92">
        <v>110</v>
      </c>
      <c r="G743" s="5"/>
      <c r="H743" s="5"/>
      <c r="L743" s="7"/>
      <c r="M743" s="7"/>
      <c r="O743" s="5"/>
      <c r="P743" s="5"/>
    </row>
    <row r="744" spans="2:16" x14ac:dyDescent="0.25">
      <c r="B744" s="90">
        <v>1678</v>
      </c>
      <c r="C744" s="91">
        <v>0.19977252720645511</v>
      </c>
      <c r="D744" s="92">
        <v>111</v>
      </c>
      <c r="G744" s="5"/>
      <c r="H744" s="5"/>
      <c r="L744" s="7"/>
      <c r="M744" s="7"/>
      <c r="O744" s="5"/>
      <c r="P744" s="5"/>
    </row>
    <row r="745" spans="2:16" x14ac:dyDescent="0.25">
      <c r="B745" s="90">
        <v>1767</v>
      </c>
      <c r="C745" s="91">
        <v>0.20481738222808654</v>
      </c>
      <c r="D745" s="92">
        <v>111</v>
      </c>
      <c r="G745" s="5"/>
      <c r="H745" s="5"/>
      <c r="L745" s="7"/>
      <c r="M745" s="7"/>
      <c r="O745" s="5"/>
      <c r="P745" s="5"/>
    </row>
    <row r="746" spans="2:16" x14ac:dyDescent="0.25">
      <c r="B746" s="90">
        <v>143</v>
      </c>
      <c r="C746" s="91">
        <v>0.21553774155199035</v>
      </c>
      <c r="D746" s="92">
        <v>111</v>
      </c>
      <c r="G746" s="5"/>
      <c r="H746" s="5"/>
      <c r="L746" s="7"/>
      <c r="M746" s="7"/>
      <c r="O746" s="5"/>
      <c r="P746" s="5"/>
    </row>
    <row r="747" spans="2:16" x14ac:dyDescent="0.25">
      <c r="B747" s="90">
        <v>1533</v>
      </c>
      <c r="C747" s="91">
        <v>0.2795197951057129</v>
      </c>
      <c r="D747" s="92">
        <v>111</v>
      </c>
      <c r="G747" s="5"/>
      <c r="H747" s="5"/>
      <c r="L747" s="7"/>
      <c r="M747" s="7"/>
      <c r="O747" s="5"/>
      <c r="P747" s="5"/>
    </row>
    <row r="748" spans="2:16" x14ac:dyDescent="0.25">
      <c r="B748" s="90">
        <v>1568</v>
      </c>
      <c r="C748" s="91">
        <v>0.31861077630393697</v>
      </c>
      <c r="D748" s="92">
        <v>111</v>
      </c>
      <c r="G748" s="5"/>
      <c r="H748" s="5"/>
      <c r="L748" s="7"/>
      <c r="M748" s="7"/>
      <c r="O748" s="5"/>
      <c r="P748" s="5"/>
    </row>
    <row r="749" spans="2:16" x14ac:dyDescent="0.25">
      <c r="B749" s="90">
        <v>317</v>
      </c>
      <c r="C749" s="91">
        <v>0.80519727930066531</v>
      </c>
      <c r="D749" s="92">
        <v>111</v>
      </c>
      <c r="G749" s="5"/>
      <c r="H749" s="5"/>
      <c r="L749" s="7"/>
      <c r="M749" s="7"/>
      <c r="O749" s="5"/>
      <c r="P749" s="5"/>
    </row>
    <row r="750" spans="2:16" x14ac:dyDescent="0.25">
      <c r="B750" s="90">
        <v>256</v>
      </c>
      <c r="C750" s="91">
        <v>0.81515228968081976</v>
      </c>
      <c r="D750" s="92">
        <v>111</v>
      </c>
      <c r="G750" s="5"/>
      <c r="H750" s="5"/>
      <c r="L750" s="7"/>
      <c r="M750" s="7"/>
      <c r="O750" s="5"/>
      <c r="P750" s="5"/>
    </row>
    <row r="751" spans="2:16" x14ac:dyDescent="0.25">
      <c r="B751" s="90">
        <v>1812</v>
      </c>
      <c r="C751" s="91">
        <v>4.4642695204286431E-2</v>
      </c>
      <c r="D751" s="92">
        <v>112</v>
      </c>
      <c r="G751" s="5"/>
      <c r="H751" s="5"/>
      <c r="L751" s="7"/>
      <c r="M751" s="7"/>
      <c r="O751" s="5"/>
      <c r="P751" s="5"/>
    </row>
    <row r="752" spans="2:16" x14ac:dyDescent="0.25">
      <c r="B752" s="90">
        <v>1369</v>
      </c>
      <c r="C752" s="91">
        <v>7.3032733217140211E-2</v>
      </c>
      <c r="D752" s="92">
        <v>112</v>
      </c>
      <c r="G752" s="5"/>
      <c r="H752" s="5"/>
      <c r="L752" s="7"/>
      <c r="M752" s="7"/>
      <c r="O752" s="5"/>
      <c r="P752" s="5"/>
    </row>
    <row r="753" spans="2:16" x14ac:dyDescent="0.25">
      <c r="B753" s="90">
        <v>1827</v>
      </c>
      <c r="C753" s="91">
        <v>0.19682845323304288</v>
      </c>
      <c r="D753" s="92">
        <v>112</v>
      </c>
      <c r="G753" s="5"/>
      <c r="H753" s="5"/>
      <c r="L753" s="7"/>
      <c r="M753" s="7"/>
      <c r="O753" s="5"/>
      <c r="P753" s="5"/>
    </row>
    <row r="754" spans="2:16" x14ac:dyDescent="0.25">
      <c r="B754" s="90">
        <v>1677</v>
      </c>
      <c r="C754" s="91">
        <v>0.33292030947961349</v>
      </c>
      <c r="D754" s="92">
        <v>113</v>
      </c>
      <c r="G754" s="5"/>
      <c r="H754" s="5"/>
      <c r="L754" s="7"/>
      <c r="M754" s="7"/>
      <c r="O754" s="5"/>
      <c r="P754" s="5"/>
    </row>
    <row r="755" spans="2:16" x14ac:dyDescent="0.25">
      <c r="B755" s="90">
        <v>1709</v>
      </c>
      <c r="C755" s="91">
        <v>0.4136746790215311</v>
      </c>
      <c r="D755" s="92">
        <v>113</v>
      </c>
      <c r="G755" s="5"/>
      <c r="H755" s="5"/>
      <c r="L755" s="7"/>
      <c r="M755" s="7"/>
      <c r="O755" s="5"/>
      <c r="P755" s="5"/>
    </row>
    <row r="756" spans="2:16" x14ac:dyDescent="0.25">
      <c r="B756" s="90">
        <v>1708</v>
      </c>
      <c r="C756" s="91">
        <v>0.6357931399692246</v>
      </c>
      <c r="D756" s="92">
        <v>113</v>
      </c>
      <c r="G756" s="5"/>
      <c r="H756" s="5"/>
      <c r="L756" s="7"/>
      <c r="M756" s="7"/>
      <c r="O756" s="5"/>
      <c r="P756" s="5"/>
    </row>
    <row r="757" spans="2:16" x14ac:dyDescent="0.25">
      <c r="B757" s="90">
        <v>1738</v>
      </c>
      <c r="C757" s="91">
        <v>0.71946770448037045</v>
      </c>
      <c r="D757" s="92">
        <v>113</v>
      </c>
      <c r="G757" s="5"/>
      <c r="H757" s="5"/>
      <c r="L757" s="7"/>
      <c r="M757" s="7"/>
      <c r="O757" s="5"/>
      <c r="P757" s="5"/>
    </row>
    <row r="758" spans="2:16" x14ac:dyDescent="0.25">
      <c r="B758" s="90">
        <v>1739</v>
      </c>
      <c r="C758" s="91">
        <v>0.89517813898996057</v>
      </c>
      <c r="D758" s="92">
        <v>113</v>
      </c>
      <c r="G758" s="5"/>
      <c r="H758" s="5"/>
      <c r="L758" s="7"/>
      <c r="M758" s="7"/>
      <c r="O758" s="5"/>
      <c r="P758" s="5"/>
    </row>
    <row r="759" spans="2:16" x14ac:dyDescent="0.25">
      <c r="B759" s="90">
        <v>269</v>
      </c>
      <c r="C759" s="91">
        <v>0.18182442999613957</v>
      </c>
      <c r="D759" s="92">
        <v>115</v>
      </c>
      <c r="G759" s="5"/>
      <c r="H759" s="5"/>
      <c r="L759" s="7"/>
      <c r="M759" s="7"/>
      <c r="O759" s="5"/>
      <c r="P759" s="5"/>
    </row>
    <row r="760" spans="2:16" x14ac:dyDescent="0.25">
      <c r="B760" s="90">
        <v>330</v>
      </c>
      <c r="C760" s="91">
        <v>0.19209301483754637</v>
      </c>
      <c r="D760" s="92">
        <v>115</v>
      </c>
      <c r="G760" s="5"/>
      <c r="H760" s="5"/>
      <c r="L760" s="7"/>
      <c r="M760" s="7"/>
      <c r="O760" s="5"/>
      <c r="P760" s="5"/>
    </row>
    <row r="761" spans="2:16" x14ac:dyDescent="0.25">
      <c r="B761" s="90">
        <v>981</v>
      </c>
      <c r="C761" s="91">
        <v>0.13311391770392156</v>
      </c>
      <c r="D761" s="92">
        <v>116</v>
      </c>
      <c r="G761" s="5"/>
      <c r="H761" s="5"/>
      <c r="L761" s="7"/>
      <c r="M761" s="7"/>
      <c r="O761" s="5"/>
      <c r="P761" s="5"/>
    </row>
    <row r="762" spans="2:16" x14ac:dyDescent="0.25">
      <c r="B762" s="90">
        <v>882</v>
      </c>
      <c r="C762" s="91">
        <v>0.14319014843110001</v>
      </c>
      <c r="D762" s="92">
        <v>116</v>
      </c>
      <c r="G762" s="5"/>
      <c r="H762" s="5"/>
      <c r="L762" s="7"/>
      <c r="M762" s="7"/>
      <c r="O762" s="5"/>
      <c r="P762" s="5"/>
    </row>
    <row r="763" spans="2:16" x14ac:dyDescent="0.25">
      <c r="B763" s="90">
        <v>1029</v>
      </c>
      <c r="C763" s="91">
        <v>0.18378250821848208</v>
      </c>
      <c r="D763" s="92">
        <v>116</v>
      </c>
      <c r="G763" s="5"/>
      <c r="H763" s="5"/>
      <c r="L763" s="7"/>
      <c r="M763" s="7"/>
      <c r="O763" s="5"/>
      <c r="P763" s="5"/>
    </row>
    <row r="764" spans="2:16" x14ac:dyDescent="0.25">
      <c r="B764" s="90">
        <v>1076</v>
      </c>
      <c r="C764" s="91">
        <v>0.21165363459906184</v>
      </c>
      <c r="D764" s="92">
        <v>116</v>
      </c>
      <c r="G764" s="5"/>
      <c r="H764" s="5"/>
      <c r="L764" s="7"/>
      <c r="M764" s="7"/>
      <c r="O764" s="5"/>
      <c r="P764" s="5"/>
    </row>
    <row r="765" spans="2:16" x14ac:dyDescent="0.25">
      <c r="B765" s="90">
        <v>73</v>
      </c>
      <c r="C765" s="91">
        <v>0.23331558866717805</v>
      </c>
      <c r="D765" s="92">
        <v>116</v>
      </c>
      <c r="G765" s="5"/>
      <c r="H765" s="5"/>
      <c r="L765" s="7"/>
      <c r="M765" s="7"/>
      <c r="O765" s="5"/>
      <c r="P765" s="5"/>
    </row>
    <row r="766" spans="2:16" x14ac:dyDescent="0.25">
      <c r="B766" s="90">
        <v>2027</v>
      </c>
      <c r="C766" s="91">
        <v>0.21088101311057861</v>
      </c>
      <c r="D766" s="92">
        <v>117</v>
      </c>
      <c r="G766" s="5"/>
      <c r="H766" s="5"/>
      <c r="L766" s="7"/>
      <c r="M766" s="7"/>
      <c r="O766" s="5"/>
      <c r="P766" s="5"/>
    </row>
    <row r="767" spans="2:16" x14ac:dyDescent="0.25">
      <c r="B767" s="90">
        <v>200</v>
      </c>
      <c r="C767" s="91">
        <v>0.2258290981594453</v>
      </c>
      <c r="D767" s="92">
        <v>117</v>
      </c>
      <c r="G767" s="5"/>
      <c r="H767" s="5"/>
      <c r="L767" s="7"/>
      <c r="M767" s="7"/>
      <c r="O767" s="5"/>
      <c r="P767" s="5"/>
    </row>
    <row r="768" spans="2:16" x14ac:dyDescent="0.25">
      <c r="B768" s="90">
        <v>1125</v>
      </c>
      <c r="C768" s="91">
        <v>0.24399227605786034</v>
      </c>
      <c r="D768" s="92">
        <v>117</v>
      </c>
      <c r="G768" s="5"/>
      <c r="H768" s="5"/>
      <c r="L768" s="7"/>
      <c r="M768" s="7"/>
      <c r="O768" s="5"/>
      <c r="P768" s="5"/>
    </row>
    <row r="769" spans="2:16" x14ac:dyDescent="0.25">
      <c r="B769" s="90">
        <v>1079</v>
      </c>
      <c r="C769" s="91">
        <v>0.24555293392722111</v>
      </c>
      <c r="D769" s="92">
        <v>117</v>
      </c>
      <c r="G769" s="5"/>
      <c r="H769" s="5"/>
      <c r="L769" s="7"/>
      <c r="M769" s="7"/>
      <c r="O769" s="5"/>
      <c r="P769" s="5"/>
    </row>
    <row r="770" spans="2:16" x14ac:dyDescent="0.25">
      <c r="B770" s="90">
        <v>1766</v>
      </c>
      <c r="C770" s="91">
        <v>0.37463206708835028</v>
      </c>
      <c r="D770" s="92">
        <v>117</v>
      </c>
      <c r="G770" s="5"/>
      <c r="H770" s="5"/>
      <c r="L770" s="7"/>
      <c r="M770" s="7"/>
      <c r="O770" s="5"/>
      <c r="P770" s="5"/>
    </row>
    <row r="771" spans="2:16" x14ac:dyDescent="0.25">
      <c r="B771" s="90">
        <v>1794</v>
      </c>
      <c r="C771" s="91">
        <v>0.46144280997723974</v>
      </c>
      <c r="D771" s="92">
        <v>117</v>
      </c>
      <c r="G771" s="5"/>
      <c r="H771" s="5"/>
      <c r="L771" s="7"/>
      <c r="M771" s="7"/>
      <c r="O771" s="5"/>
      <c r="P771" s="5"/>
    </row>
    <row r="772" spans="2:16" x14ac:dyDescent="0.25">
      <c r="B772" s="90">
        <v>1608</v>
      </c>
      <c r="C772" s="91">
        <v>0.46419734154554326</v>
      </c>
      <c r="D772" s="92">
        <v>117</v>
      </c>
      <c r="G772" s="5"/>
      <c r="H772" s="5"/>
      <c r="L772" s="7"/>
      <c r="M772" s="7"/>
      <c r="O772" s="5"/>
      <c r="P772" s="5"/>
    </row>
    <row r="773" spans="2:16" x14ac:dyDescent="0.25">
      <c r="B773" s="90">
        <v>1644</v>
      </c>
      <c r="C773" s="91">
        <v>0.74513016853577663</v>
      </c>
      <c r="D773" s="92">
        <v>117</v>
      </c>
      <c r="G773" s="5"/>
      <c r="H773" s="5"/>
      <c r="L773" s="7"/>
      <c r="M773" s="7"/>
      <c r="O773" s="5"/>
      <c r="P773" s="5"/>
    </row>
    <row r="774" spans="2:16" x14ac:dyDescent="0.25">
      <c r="B774" s="90">
        <v>1737</v>
      </c>
      <c r="C774" s="91">
        <v>0.75957869674751188</v>
      </c>
      <c r="D774" s="92">
        <v>117</v>
      </c>
      <c r="G774" s="5"/>
      <c r="H774" s="5"/>
      <c r="L774" s="7"/>
      <c r="M774" s="7"/>
      <c r="O774" s="5"/>
      <c r="P774" s="5"/>
    </row>
    <row r="775" spans="2:16" x14ac:dyDescent="0.25">
      <c r="B775" s="90">
        <v>1704</v>
      </c>
      <c r="C775" s="91">
        <v>0.81449350666759057</v>
      </c>
      <c r="D775" s="92">
        <v>117</v>
      </c>
      <c r="G775" s="5"/>
      <c r="H775" s="5"/>
      <c r="L775" s="7"/>
      <c r="M775" s="7"/>
      <c r="O775" s="5"/>
      <c r="P775" s="5"/>
    </row>
    <row r="776" spans="2:16" x14ac:dyDescent="0.25">
      <c r="B776" s="90">
        <v>1674</v>
      </c>
      <c r="C776" s="91">
        <v>0.81812243515348226</v>
      </c>
      <c r="D776" s="92">
        <v>117</v>
      </c>
      <c r="G776" s="5"/>
      <c r="H776" s="5"/>
      <c r="L776" s="7"/>
      <c r="M776" s="7"/>
      <c r="O776" s="5"/>
      <c r="P776" s="5"/>
    </row>
    <row r="777" spans="2:16" x14ac:dyDescent="0.25">
      <c r="B777" s="90">
        <v>1675</v>
      </c>
      <c r="C777" s="91">
        <v>0.81936722637173387</v>
      </c>
      <c r="D777" s="92">
        <v>117</v>
      </c>
      <c r="G777" s="5"/>
      <c r="H777" s="5"/>
      <c r="L777" s="7"/>
      <c r="M777" s="7"/>
      <c r="O777" s="5"/>
      <c r="P777" s="5"/>
    </row>
    <row r="778" spans="2:16" x14ac:dyDescent="0.25">
      <c r="B778" s="90">
        <v>1676</v>
      </c>
      <c r="C778" s="91">
        <v>0.82068940868556417</v>
      </c>
      <c r="D778" s="92">
        <v>117</v>
      </c>
      <c r="G778" s="5"/>
      <c r="H778" s="5"/>
      <c r="L778" s="7"/>
      <c r="M778" s="7"/>
      <c r="O778" s="5"/>
      <c r="P778" s="5"/>
    </row>
    <row r="779" spans="2:16" x14ac:dyDescent="0.25">
      <c r="B779" s="90">
        <v>1705</v>
      </c>
      <c r="C779" s="91">
        <v>1.0757245913667619</v>
      </c>
      <c r="D779" s="92">
        <v>117</v>
      </c>
      <c r="G779" s="5"/>
      <c r="H779" s="5"/>
      <c r="L779" s="7"/>
      <c r="M779" s="7"/>
      <c r="O779" s="5"/>
      <c r="P779" s="5"/>
    </row>
    <row r="780" spans="2:16" x14ac:dyDescent="0.25">
      <c r="B780" s="90">
        <v>1706</v>
      </c>
      <c r="C780" s="91">
        <v>1.0881890220742723</v>
      </c>
      <c r="D780" s="92">
        <v>117</v>
      </c>
      <c r="G780" s="5"/>
      <c r="H780" s="5"/>
      <c r="L780" s="7"/>
      <c r="M780" s="7"/>
      <c r="O780" s="5"/>
      <c r="P780" s="5"/>
    </row>
    <row r="781" spans="2:16" x14ac:dyDescent="0.25">
      <c r="B781" s="90">
        <v>1707</v>
      </c>
      <c r="C781" s="91">
        <v>1.0967912782326317</v>
      </c>
      <c r="D781" s="92">
        <v>117</v>
      </c>
      <c r="G781" s="5"/>
      <c r="H781" s="5"/>
      <c r="L781" s="7"/>
      <c r="M781" s="7"/>
      <c r="O781" s="5"/>
      <c r="P781" s="5"/>
    </row>
    <row r="782" spans="2:16" x14ac:dyDescent="0.25">
      <c r="B782" s="90">
        <v>1886</v>
      </c>
      <c r="C782" s="91">
        <v>5.1361336708762861E-2</v>
      </c>
      <c r="D782" s="92">
        <v>118</v>
      </c>
      <c r="G782" s="5"/>
      <c r="H782" s="5"/>
      <c r="L782" s="7"/>
      <c r="M782" s="7"/>
      <c r="O782" s="5"/>
      <c r="P782" s="5"/>
    </row>
    <row r="783" spans="2:16" x14ac:dyDescent="0.25">
      <c r="B783" s="90">
        <v>1836</v>
      </c>
      <c r="C783" s="91">
        <v>5.7888819224273469E-2</v>
      </c>
      <c r="D783" s="92">
        <v>118</v>
      </c>
      <c r="G783" s="5"/>
      <c r="H783" s="5"/>
      <c r="L783" s="7"/>
      <c r="M783" s="7"/>
      <c r="O783" s="5"/>
      <c r="P783" s="5"/>
    </row>
    <row r="784" spans="2:16" x14ac:dyDescent="0.25">
      <c r="B784" s="90">
        <v>508</v>
      </c>
      <c r="C784" s="91">
        <v>5.8698108686207839E-2</v>
      </c>
      <c r="D784" s="92">
        <v>118</v>
      </c>
      <c r="G784" s="5"/>
      <c r="H784" s="5"/>
      <c r="L784" s="7"/>
      <c r="M784" s="7"/>
      <c r="O784" s="5"/>
      <c r="P784" s="5"/>
    </row>
    <row r="785" spans="2:16" x14ac:dyDescent="0.25">
      <c r="B785" s="90">
        <v>932</v>
      </c>
      <c r="C785" s="91">
        <v>0.12546985825946844</v>
      </c>
      <c r="D785" s="92">
        <v>118</v>
      </c>
      <c r="G785" s="5"/>
      <c r="H785" s="5"/>
      <c r="L785" s="7"/>
      <c r="M785" s="7"/>
      <c r="O785" s="5"/>
      <c r="P785" s="5"/>
    </row>
    <row r="786" spans="2:16" x14ac:dyDescent="0.25">
      <c r="B786" s="90">
        <v>2092</v>
      </c>
      <c r="C786" s="91">
        <v>0.16248678372344671</v>
      </c>
      <c r="D786" s="92">
        <v>118</v>
      </c>
      <c r="G786" s="5"/>
      <c r="H786" s="5"/>
      <c r="L786" s="7"/>
      <c r="M786" s="7"/>
      <c r="O786" s="5"/>
      <c r="P786" s="5"/>
    </row>
    <row r="787" spans="2:16" x14ac:dyDescent="0.25">
      <c r="B787" s="90">
        <v>2081</v>
      </c>
      <c r="C787" s="91">
        <v>0.17720250342327926</v>
      </c>
      <c r="D787" s="92">
        <v>118</v>
      </c>
      <c r="G787" s="5"/>
      <c r="H787" s="5"/>
      <c r="L787" s="7"/>
      <c r="M787" s="7"/>
      <c r="O787" s="5"/>
      <c r="P787" s="5"/>
    </row>
    <row r="788" spans="2:16" x14ac:dyDescent="0.25">
      <c r="B788" s="90">
        <v>17</v>
      </c>
      <c r="C788" s="91">
        <v>0.17798038666552773</v>
      </c>
      <c r="D788" s="92">
        <v>118</v>
      </c>
      <c r="G788" s="5"/>
      <c r="H788" s="5"/>
      <c r="L788" s="7"/>
      <c r="M788" s="7"/>
      <c r="O788" s="5"/>
      <c r="P788" s="5"/>
    </row>
    <row r="789" spans="2:16" x14ac:dyDescent="0.25">
      <c r="B789" s="90">
        <v>2010</v>
      </c>
      <c r="C789" s="91">
        <v>0.17798038666552773</v>
      </c>
      <c r="D789" s="92">
        <v>118</v>
      </c>
      <c r="G789" s="5"/>
      <c r="H789" s="5"/>
      <c r="L789" s="7"/>
      <c r="M789" s="7"/>
      <c r="O789" s="5"/>
      <c r="P789" s="5"/>
    </row>
    <row r="790" spans="2:16" x14ac:dyDescent="0.25">
      <c r="B790" s="90">
        <v>16</v>
      </c>
      <c r="C790" s="91">
        <v>0.18220193631957882</v>
      </c>
      <c r="D790" s="92">
        <v>118</v>
      </c>
      <c r="G790" s="5"/>
      <c r="H790" s="5"/>
      <c r="L790" s="7"/>
      <c r="M790" s="7"/>
      <c r="O790" s="5"/>
      <c r="P790" s="5"/>
    </row>
    <row r="791" spans="2:16" x14ac:dyDescent="0.25">
      <c r="B791" s="90">
        <v>2026</v>
      </c>
      <c r="C791" s="91">
        <v>0.18220193631957882</v>
      </c>
      <c r="D791" s="92">
        <v>118</v>
      </c>
      <c r="G791" s="5"/>
      <c r="H791" s="5"/>
      <c r="L791" s="7"/>
      <c r="M791" s="7"/>
      <c r="O791" s="5"/>
      <c r="P791" s="5"/>
    </row>
    <row r="792" spans="2:16" x14ac:dyDescent="0.25">
      <c r="B792" s="90">
        <v>2087</v>
      </c>
      <c r="C792" s="91">
        <v>0.20320996622172016</v>
      </c>
      <c r="D792" s="92">
        <v>118</v>
      </c>
      <c r="G792" s="5"/>
      <c r="H792" s="5"/>
      <c r="L792" s="7"/>
      <c r="M792" s="7"/>
      <c r="O792" s="5"/>
      <c r="P792" s="5"/>
    </row>
    <row r="793" spans="2:16" x14ac:dyDescent="0.25">
      <c r="B793" s="90">
        <v>1032</v>
      </c>
      <c r="C793" s="91">
        <v>0.21679116286913236</v>
      </c>
      <c r="D793" s="92">
        <v>118</v>
      </c>
      <c r="G793" s="5"/>
      <c r="H793" s="5"/>
      <c r="L793" s="7"/>
      <c r="M793" s="7"/>
      <c r="O793" s="5"/>
      <c r="P793" s="5"/>
    </row>
    <row r="794" spans="2:16" x14ac:dyDescent="0.25">
      <c r="B794" s="90">
        <v>1574</v>
      </c>
      <c r="C794" s="91">
        <v>0.28570610335058055</v>
      </c>
      <c r="D794" s="92">
        <v>118</v>
      </c>
      <c r="G794" s="5"/>
      <c r="H794" s="5"/>
      <c r="L794" s="7"/>
      <c r="M794" s="7"/>
      <c r="O794" s="5"/>
      <c r="P794" s="5"/>
    </row>
    <row r="795" spans="2:16" x14ac:dyDescent="0.25">
      <c r="B795" s="90">
        <v>2088</v>
      </c>
      <c r="C795" s="91">
        <v>0.39689701524638132</v>
      </c>
      <c r="D795" s="92">
        <v>118</v>
      </c>
      <c r="G795" s="5"/>
      <c r="H795" s="5"/>
      <c r="L795" s="7"/>
      <c r="M795" s="7"/>
      <c r="O795" s="5"/>
      <c r="P795" s="5"/>
    </row>
    <row r="796" spans="2:16" x14ac:dyDescent="0.25">
      <c r="B796" s="90">
        <v>2011</v>
      </c>
      <c r="C796" s="91">
        <v>0.2147181542501414</v>
      </c>
      <c r="D796" s="92">
        <v>119</v>
      </c>
      <c r="G796" s="5"/>
      <c r="H796" s="5"/>
      <c r="L796" s="7"/>
      <c r="M796" s="7"/>
      <c r="O796" s="5"/>
      <c r="P796" s="5"/>
    </row>
    <row r="797" spans="2:16" x14ac:dyDescent="0.25">
      <c r="B797" s="90">
        <v>1187</v>
      </c>
      <c r="C797" s="91">
        <v>0.21808863595071792</v>
      </c>
      <c r="D797" s="92">
        <v>119</v>
      </c>
      <c r="G797" s="5"/>
      <c r="H797" s="5"/>
      <c r="L797" s="7"/>
      <c r="M797" s="7"/>
      <c r="O797" s="5"/>
      <c r="P797" s="5"/>
    </row>
    <row r="798" spans="2:16" x14ac:dyDescent="0.25">
      <c r="B798" s="90">
        <v>1186</v>
      </c>
      <c r="C798" s="91">
        <v>0.22079324764212716</v>
      </c>
      <c r="D798" s="92">
        <v>119</v>
      </c>
      <c r="G798" s="5"/>
      <c r="H798" s="5"/>
      <c r="L798" s="7"/>
      <c r="M798" s="7"/>
      <c r="O798" s="5"/>
      <c r="P798" s="5"/>
    </row>
    <row r="799" spans="2:16" x14ac:dyDescent="0.25">
      <c r="B799" s="90">
        <v>1231</v>
      </c>
      <c r="C799" s="91">
        <v>0.2607332498395124</v>
      </c>
      <c r="D799" s="92">
        <v>119</v>
      </c>
      <c r="G799" s="5"/>
      <c r="H799" s="5"/>
      <c r="L799" s="7"/>
      <c r="M799" s="7"/>
      <c r="O799" s="5"/>
      <c r="P799" s="5"/>
    </row>
    <row r="800" spans="2:16" x14ac:dyDescent="0.25">
      <c r="B800" s="90">
        <v>1230</v>
      </c>
      <c r="C800" s="91">
        <v>0.26211610900846904</v>
      </c>
      <c r="D800" s="92">
        <v>119</v>
      </c>
      <c r="G800" s="5"/>
      <c r="H800" s="5"/>
      <c r="L800" s="7"/>
      <c r="M800" s="7"/>
      <c r="O800" s="5"/>
      <c r="P800" s="5"/>
    </row>
    <row r="801" spans="2:16" x14ac:dyDescent="0.25">
      <c r="B801" s="90">
        <v>1232</v>
      </c>
      <c r="C801" s="91">
        <v>0.2796351659857208</v>
      </c>
      <c r="D801" s="92">
        <v>119</v>
      </c>
      <c r="G801" s="5"/>
      <c r="H801" s="5"/>
      <c r="L801" s="7"/>
      <c r="M801" s="7"/>
      <c r="O801" s="5"/>
      <c r="P801" s="5"/>
    </row>
    <row r="802" spans="2:16" x14ac:dyDescent="0.25">
      <c r="B802" s="90">
        <v>1233</v>
      </c>
      <c r="C802" s="91">
        <v>0.30933313439479571</v>
      </c>
      <c r="D802" s="92">
        <v>119</v>
      </c>
      <c r="G802" s="5"/>
      <c r="H802" s="5"/>
      <c r="L802" s="7"/>
      <c r="M802" s="7"/>
      <c r="O802" s="5"/>
      <c r="P802" s="5"/>
    </row>
    <row r="803" spans="2:16" x14ac:dyDescent="0.25">
      <c r="B803" s="90">
        <v>1877</v>
      </c>
      <c r="C803" s="91">
        <v>0.19979636414807111</v>
      </c>
      <c r="D803" s="92">
        <v>120</v>
      </c>
      <c r="G803" s="5"/>
      <c r="H803" s="5"/>
      <c r="L803" s="7"/>
      <c r="M803" s="7"/>
      <c r="O803" s="5"/>
      <c r="P803" s="5"/>
    </row>
    <row r="804" spans="2:16" x14ac:dyDescent="0.25">
      <c r="B804" s="90">
        <v>1718</v>
      </c>
      <c r="C804" s="91">
        <v>0.23387904132775672</v>
      </c>
      <c r="D804" s="92">
        <v>120</v>
      </c>
      <c r="G804" s="5"/>
      <c r="H804" s="5"/>
      <c r="L804" s="7"/>
      <c r="M804" s="7"/>
      <c r="O804" s="5"/>
      <c r="P804" s="5"/>
    </row>
    <row r="805" spans="2:16" x14ac:dyDescent="0.25">
      <c r="B805" s="90">
        <v>1546</v>
      </c>
      <c r="C805" s="91">
        <v>0.1932358330413867</v>
      </c>
      <c r="D805" s="92">
        <v>121</v>
      </c>
      <c r="G805" s="5"/>
      <c r="H805" s="5"/>
      <c r="L805" s="7"/>
      <c r="M805" s="7"/>
      <c r="O805" s="5"/>
      <c r="P805" s="5"/>
    </row>
    <row r="806" spans="2:16" x14ac:dyDescent="0.25">
      <c r="B806" s="90">
        <v>1549</v>
      </c>
      <c r="C806" s="91">
        <v>0.20100838329331627</v>
      </c>
      <c r="D806" s="92">
        <v>121</v>
      </c>
      <c r="G806" s="5"/>
      <c r="H806" s="5"/>
      <c r="L806" s="7"/>
      <c r="M806" s="7"/>
      <c r="O806" s="5"/>
      <c r="P806" s="5"/>
    </row>
    <row r="807" spans="2:16" x14ac:dyDescent="0.25">
      <c r="B807" s="90">
        <v>1550</v>
      </c>
      <c r="C807" s="91">
        <v>0.23327907278015247</v>
      </c>
      <c r="D807" s="92">
        <v>121</v>
      </c>
      <c r="G807" s="5"/>
      <c r="H807" s="5"/>
      <c r="L807" s="7"/>
      <c r="M807" s="7"/>
      <c r="O807" s="5"/>
      <c r="P807" s="5"/>
    </row>
    <row r="808" spans="2:16" x14ac:dyDescent="0.25">
      <c r="B808" s="90">
        <v>1188</v>
      </c>
      <c r="C808" s="91">
        <v>0.23941096950690155</v>
      </c>
      <c r="D808" s="92">
        <v>121</v>
      </c>
      <c r="G808" s="5"/>
      <c r="H808" s="5"/>
      <c r="L808" s="7"/>
      <c r="M808" s="7"/>
      <c r="O808" s="5"/>
      <c r="P808" s="5"/>
    </row>
    <row r="809" spans="2:16" x14ac:dyDescent="0.25">
      <c r="B809" s="90">
        <v>1189</v>
      </c>
      <c r="C809" s="91">
        <v>0.27199829191798697</v>
      </c>
      <c r="D809" s="92">
        <v>121</v>
      </c>
      <c r="G809" s="5"/>
      <c r="H809" s="5"/>
      <c r="L809" s="7"/>
      <c r="M809" s="7"/>
      <c r="O809" s="5"/>
      <c r="P809" s="5"/>
    </row>
    <row r="810" spans="2:16" x14ac:dyDescent="0.25">
      <c r="B810" s="90">
        <v>1535</v>
      </c>
      <c r="C810" s="91">
        <v>0.28577087264546919</v>
      </c>
      <c r="D810" s="92">
        <v>121</v>
      </c>
      <c r="G810" s="5"/>
      <c r="H810" s="5"/>
      <c r="L810" s="7"/>
      <c r="M810" s="7"/>
      <c r="O810" s="5"/>
      <c r="P810" s="5"/>
    </row>
    <row r="811" spans="2:16" x14ac:dyDescent="0.25">
      <c r="B811" s="90">
        <v>1234</v>
      </c>
      <c r="C811" s="91">
        <v>0.31977213644627345</v>
      </c>
      <c r="D811" s="92">
        <v>121</v>
      </c>
      <c r="G811" s="5"/>
      <c r="H811" s="5"/>
      <c r="L811" s="7"/>
      <c r="M811" s="7"/>
      <c r="O811" s="5"/>
      <c r="P811" s="5"/>
    </row>
    <row r="812" spans="2:16" x14ac:dyDescent="0.25">
      <c r="B812" s="90">
        <v>1235</v>
      </c>
      <c r="C812" s="91">
        <v>0.32142570658966307</v>
      </c>
      <c r="D812" s="92">
        <v>121</v>
      </c>
      <c r="G812" s="5"/>
      <c r="H812" s="5"/>
      <c r="L812" s="7"/>
      <c r="M812" s="7"/>
      <c r="O812" s="5"/>
      <c r="P812" s="5"/>
    </row>
    <row r="813" spans="2:16" x14ac:dyDescent="0.25">
      <c r="B813" s="90">
        <v>1730</v>
      </c>
      <c r="C813" s="91">
        <v>5.2228978699022544E-2</v>
      </c>
      <c r="D813" s="92">
        <v>122</v>
      </c>
      <c r="G813" s="5"/>
      <c r="H813" s="5"/>
      <c r="L813" s="7"/>
      <c r="M813" s="7"/>
      <c r="O813" s="5"/>
      <c r="P813" s="5"/>
    </row>
    <row r="814" spans="2:16" x14ac:dyDescent="0.25">
      <c r="B814" s="90">
        <v>15</v>
      </c>
      <c r="C814" s="91">
        <v>7.8176014270867955E-2</v>
      </c>
      <c r="D814" s="92">
        <v>122</v>
      </c>
      <c r="G814" s="5"/>
      <c r="H814" s="5"/>
      <c r="L814" s="7"/>
      <c r="M814" s="7"/>
      <c r="O814" s="5"/>
      <c r="P814" s="5"/>
    </row>
    <row r="815" spans="2:16" x14ac:dyDescent="0.25">
      <c r="B815" s="90">
        <v>2041</v>
      </c>
      <c r="C815" s="91">
        <v>7.8176014270867955E-2</v>
      </c>
      <c r="D815" s="92">
        <v>122</v>
      </c>
      <c r="G815" s="5"/>
      <c r="H815" s="5"/>
      <c r="L815" s="7"/>
      <c r="M815" s="7"/>
      <c r="O815" s="5"/>
      <c r="P815" s="5"/>
    </row>
    <row r="816" spans="2:16" x14ac:dyDescent="0.25">
      <c r="B816" s="90">
        <v>14</v>
      </c>
      <c r="C816" s="91">
        <v>8.1761186769463312E-2</v>
      </c>
      <c r="D816" s="92">
        <v>122</v>
      </c>
      <c r="G816" s="5"/>
      <c r="H816" s="5"/>
      <c r="L816" s="7"/>
      <c r="M816" s="7"/>
      <c r="O816" s="5"/>
      <c r="P816" s="5"/>
    </row>
    <row r="817" spans="2:16" x14ac:dyDescent="0.25">
      <c r="B817" s="90">
        <v>2055</v>
      </c>
      <c r="C817" s="91">
        <v>8.1761186769463312E-2</v>
      </c>
      <c r="D817" s="92">
        <v>122</v>
      </c>
      <c r="G817" s="5"/>
      <c r="H817" s="5"/>
      <c r="L817" s="7"/>
      <c r="M817" s="7"/>
      <c r="O817" s="5"/>
      <c r="P817" s="5"/>
    </row>
    <row r="818" spans="2:16" x14ac:dyDescent="0.25">
      <c r="B818" s="90">
        <v>1891</v>
      </c>
      <c r="C818" s="91">
        <v>5.7813496475013881E-2</v>
      </c>
      <c r="D818" s="92">
        <v>123</v>
      </c>
      <c r="G818" s="5"/>
      <c r="H818" s="5"/>
      <c r="L818" s="7"/>
      <c r="M818" s="7"/>
      <c r="O818" s="5"/>
      <c r="P818" s="5"/>
    </row>
    <row r="819" spans="2:16" x14ac:dyDescent="0.25">
      <c r="B819" s="90">
        <v>1843</v>
      </c>
      <c r="C819" s="91">
        <v>0.18884734096763167</v>
      </c>
      <c r="D819" s="92">
        <v>123</v>
      </c>
      <c r="G819" s="5"/>
      <c r="H819" s="5"/>
      <c r="L819" s="7"/>
      <c r="M819" s="7"/>
      <c r="O819" s="5"/>
      <c r="P819" s="5"/>
    </row>
    <row r="820" spans="2:16" x14ac:dyDescent="0.25">
      <c r="B820" s="90">
        <v>1400</v>
      </c>
      <c r="C820" s="91">
        <v>0.22488819784226954</v>
      </c>
      <c r="D820" s="92">
        <v>123</v>
      </c>
      <c r="G820" s="5"/>
      <c r="H820" s="5"/>
      <c r="L820" s="7"/>
      <c r="M820" s="7"/>
      <c r="O820" s="5"/>
      <c r="P820" s="5"/>
    </row>
    <row r="821" spans="2:16" x14ac:dyDescent="0.25">
      <c r="B821" s="90">
        <v>1401</v>
      </c>
      <c r="C821" s="91">
        <v>0.2291459976225293</v>
      </c>
      <c r="D821" s="92">
        <v>123</v>
      </c>
      <c r="G821" s="5"/>
      <c r="H821" s="5"/>
      <c r="L821" s="7"/>
      <c r="M821" s="7"/>
      <c r="O821" s="5"/>
      <c r="P821" s="5"/>
    </row>
    <row r="822" spans="2:16" x14ac:dyDescent="0.25">
      <c r="B822" s="90">
        <v>1816</v>
      </c>
      <c r="C822" s="91">
        <v>3.9979984556746118E-2</v>
      </c>
      <c r="D822" s="92">
        <v>124</v>
      </c>
      <c r="G822" s="5"/>
      <c r="H822" s="5"/>
      <c r="L822" s="7"/>
      <c r="M822" s="7"/>
      <c r="O822" s="5"/>
      <c r="P822" s="5"/>
    </row>
    <row r="823" spans="2:16" x14ac:dyDescent="0.25">
      <c r="B823" s="90">
        <v>1732</v>
      </c>
      <c r="C823" s="91">
        <v>6.9070592012674958E-2</v>
      </c>
      <c r="D823" s="92">
        <v>124</v>
      </c>
      <c r="G823" s="5"/>
      <c r="H823" s="5"/>
      <c r="L823" s="7"/>
      <c r="M823" s="7"/>
      <c r="O823" s="5"/>
      <c r="P823" s="5"/>
    </row>
    <row r="824" spans="2:16" x14ac:dyDescent="0.25">
      <c r="B824" s="90">
        <v>1733</v>
      </c>
      <c r="C824" s="91">
        <v>7.8415221489409714E-2</v>
      </c>
      <c r="D824" s="92">
        <v>124</v>
      </c>
      <c r="G824" s="5"/>
      <c r="H824" s="5"/>
      <c r="L824" s="7"/>
      <c r="M824" s="7"/>
      <c r="O824" s="5"/>
      <c r="P824" s="5"/>
    </row>
    <row r="825" spans="2:16" x14ac:dyDescent="0.25">
      <c r="B825" s="90">
        <v>1817</v>
      </c>
      <c r="C825" s="91">
        <v>8.7478761306906794E-2</v>
      </c>
      <c r="D825" s="92">
        <v>124</v>
      </c>
      <c r="G825" s="5"/>
      <c r="H825" s="5"/>
      <c r="L825" s="7"/>
      <c r="M825" s="7"/>
      <c r="O825" s="5"/>
      <c r="P825" s="5"/>
    </row>
    <row r="826" spans="2:16" x14ac:dyDescent="0.25">
      <c r="B826" s="90">
        <v>1486</v>
      </c>
      <c r="C826" s="91">
        <v>0.1339793101129727</v>
      </c>
      <c r="D826" s="92">
        <v>124</v>
      </c>
      <c r="G826" s="5"/>
      <c r="H826" s="5"/>
      <c r="L826" s="7"/>
      <c r="M826" s="7"/>
      <c r="O826" s="5"/>
      <c r="P826" s="5"/>
    </row>
    <row r="827" spans="2:16" x14ac:dyDescent="0.25">
      <c r="B827" s="90">
        <v>2042</v>
      </c>
      <c r="C827" s="91">
        <v>8.2882840100473865E-2</v>
      </c>
      <c r="D827" s="92">
        <v>125</v>
      </c>
      <c r="G827" s="5"/>
      <c r="H827" s="5"/>
      <c r="L827" s="7"/>
      <c r="M827" s="7"/>
      <c r="O827" s="5"/>
      <c r="P827" s="5"/>
    </row>
    <row r="828" spans="2:16" x14ac:dyDescent="0.25">
      <c r="B828" s="90">
        <v>1867</v>
      </c>
      <c r="C828" s="91">
        <v>0.22483432371949508</v>
      </c>
      <c r="D828" s="92">
        <v>125</v>
      </c>
      <c r="G828" s="5"/>
      <c r="H828" s="5"/>
      <c r="L828" s="7"/>
      <c r="M828" s="7"/>
      <c r="O828" s="5"/>
      <c r="P828" s="5"/>
    </row>
    <row r="829" spans="2:16" x14ac:dyDescent="0.25">
      <c r="B829" s="90">
        <v>1671</v>
      </c>
      <c r="C829" s="91">
        <v>0.43600446505822932</v>
      </c>
      <c r="D829" s="92">
        <v>125</v>
      </c>
      <c r="G829" s="5"/>
      <c r="H829" s="5"/>
      <c r="L829" s="7"/>
      <c r="M829" s="7"/>
      <c r="O829" s="5"/>
      <c r="P829" s="5"/>
    </row>
    <row r="830" spans="2:16" x14ac:dyDescent="0.25">
      <c r="B830" s="90">
        <v>1702</v>
      </c>
      <c r="C830" s="91">
        <v>0.48407482566803905</v>
      </c>
      <c r="D830" s="92">
        <v>125</v>
      </c>
      <c r="G830" s="5"/>
      <c r="H830" s="5"/>
      <c r="L830" s="7"/>
      <c r="M830" s="7"/>
      <c r="O830" s="5"/>
      <c r="P830" s="5"/>
    </row>
    <row r="831" spans="2:16" x14ac:dyDescent="0.25">
      <c r="B831" s="90">
        <v>1640</v>
      </c>
      <c r="C831" s="91">
        <v>0.53378761423221999</v>
      </c>
      <c r="D831" s="92">
        <v>125</v>
      </c>
      <c r="G831" s="5"/>
      <c r="H831" s="5"/>
      <c r="L831" s="7"/>
      <c r="M831" s="7"/>
      <c r="O831" s="5"/>
      <c r="P831" s="5"/>
    </row>
    <row r="832" spans="2:16" x14ac:dyDescent="0.25">
      <c r="B832" s="90">
        <v>1672</v>
      </c>
      <c r="C832" s="91">
        <v>0.53816546504287521</v>
      </c>
      <c r="D832" s="92">
        <v>125</v>
      </c>
      <c r="G832" s="5"/>
      <c r="H832" s="5"/>
      <c r="L832" s="7"/>
      <c r="M832" s="7"/>
      <c r="O832" s="5"/>
      <c r="P832" s="5"/>
    </row>
    <row r="833" spans="2:16" x14ac:dyDescent="0.25">
      <c r="B833" s="90">
        <v>1703</v>
      </c>
      <c r="C833" s="91">
        <v>0.59774965431602234</v>
      </c>
      <c r="D833" s="92">
        <v>125</v>
      </c>
      <c r="G833" s="5"/>
      <c r="H833" s="5"/>
      <c r="L833" s="7"/>
      <c r="M833" s="7"/>
      <c r="O833" s="5"/>
      <c r="P833" s="5"/>
    </row>
    <row r="834" spans="2:16" x14ac:dyDescent="0.25">
      <c r="B834" s="90">
        <v>67</v>
      </c>
      <c r="C834" s="91">
        <v>0.98168500896452959</v>
      </c>
      <c r="D834" s="92">
        <v>125</v>
      </c>
      <c r="G834" s="5"/>
      <c r="H834" s="5"/>
      <c r="L834" s="7"/>
      <c r="M834" s="7"/>
      <c r="O834" s="5"/>
      <c r="P834" s="5"/>
    </row>
    <row r="835" spans="2:16" x14ac:dyDescent="0.25">
      <c r="B835" s="90">
        <v>1647</v>
      </c>
      <c r="C835" s="91">
        <v>3.4596284380510545E-2</v>
      </c>
      <c r="D835" s="92">
        <v>126</v>
      </c>
      <c r="G835" s="5"/>
      <c r="H835" s="5"/>
      <c r="L835" s="7"/>
      <c r="M835" s="7"/>
      <c r="O835" s="5"/>
      <c r="P835" s="5"/>
    </row>
    <row r="836" spans="2:16" x14ac:dyDescent="0.25">
      <c r="B836" s="90">
        <v>1492</v>
      </c>
      <c r="C836" s="91">
        <v>5.1373149255826478E-2</v>
      </c>
      <c r="D836" s="92">
        <v>128</v>
      </c>
      <c r="G836" s="5"/>
      <c r="H836" s="5"/>
      <c r="L836" s="7"/>
      <c r="M836" s="7"/>
      <c r="O836" s="5"/>
      <c r="P836" s="5"/>
    </row>
    <row r="837" spans="2:16" x14ac:dyDescent="0.25">
      <c r="B837" s="90">
        <v>1881</v>
      </c>
      <c r="C837" s="91">
        <v>0.14076075240246855</v>
      </c>
      <c r="D837" s="92">
        <v>128</v>
      </c>
      <c r="G837" s="5"/>
      <c r="H837" s="5"/>
      <c r="L837" s="7"/>
      <c r="M837" s="7"/>
      <c r="O837" s="5"/>
      <c r="P837" s="5"/>
    </row>
    <row r="838" spans="2:16" x14ac:dyDescent="0.25">
      <c r="B838" s="90">
        <v>1927</v>
      </c>
      <c r="C838" s="91">
        <v>0.16322252271439441</v>
      </c>
      <c r="D838" s="92">
        <v>128</v>
      </c>
      <c r="G838" s="5"/>
      <c r="H838" s="5"/>
      <c r="L838" s="7"/>
      <c r="M838" s="7"/>
      <c r="O838" s="5"/>
      <c r="P838" s="5"/>
    </row>
    <row r="839" spans="2:16" x14ac:dyDescent="0.25">
      <c r="B839" s="90">
        <v>1777</v>
      </c>
      <c r="C839" s="91">
        <v>0.18347946570273499</v>
      </c>
      <c r="D839" s="92">
        <v>128</v>
      </c>
      <c r="G839" s="5"/>
      <c r="H839" s="5"/>
      <c r="L839" s="7"/>
      <c r="M839" s="7"/>
      <c r="O839" s="5"/>
      <c r="P839" s="5"/>
    </row>
    <row r="840" spans="2:16" x14ac:dyDescent="0.25">
      <c r="B840" s="90">
        <v>1749</v>
      </c>
      <c r="C840" s="91">
        <v>0.19157136066036817</v>
      </c>
      <c r="D840" s="92">
        <v>128</v>
      </c>
      <c r="G840" s="5"/>
      <c r="H840" s="5"/>
      <c r="L840" s="7"/>
      <c r="M840" s="7"/>
      <c r="O840" s="5"/>
      <c r="P840" s="5"/>
    </row>
    <row r="841" spans="2:16" x14ac:dyDescent="0.25">
      <c r="B841" s="90">
        <v>1776</v>
      </c>
      <c r="C841" s="91">
        <v>0.21036981954636547</v>
      </c>
      <c r="D841" s="92">
        <v>128</v>
      </c>
      <c r="G841" s="5"/>
      <c r="H841" s="5"/>
      <c r="L841" s="7"/>
      <c r="M841" s="7"/>
      <c r="O841" s="5"/>
      <c r="P841" s="5"/>
    </row>
    <row r="842" spans="2:16" x14ac:dyDescent="0.25">
      <c r="B842" s="90">
        <v>1498</v>
      </c>
      <c r="C842" s="91">
        <v>0.22966823732032005</v>
      </c>
      <c r="D842" s="92">
        <v>128</v>
      </c>
      <c r="G842" s="5"/>
      <c r="H842" s="5"/>
      <c r="L842" s="7"/>
      <c r="M842" s="7"/>
      <c r="O842" s="5"/>
      <c r="P842" s="5"/>
    </row>
    <row r="843" spans="2:16" x14ac:dyDescent="0.25">
      <c r="B843" s="90">
        <v>137</v>
      </c>
      <c r="C843" s="91">
        <v>0.24168842517360334</v>
      </c>
      <c r="D843" s="92">
        <v>128</v>
      </c>
      <c r="G843" s="5"/>
      <c r="H843" s="5"/>
      <c r="L843" s="7"/>
      <c r="M843" s="7"/>
      <c r="O843" s="5"/>
      <c r="P843" s="5"/>
    </row>
    <row r="844" spans="2:16" x14ac:dyDescent="0.25">
      <c r="B844" s="90">
        <v>1329</v>
      </c>
      <c r="C844" s="91">
        <v>8.2206121695880374E-2</v>
      </c>
      <c r="D844" s="92">
        <v>129</v>
      </c>
      <c r="G844" s="5"/>
      <c r="H844" s="5"/>
      <c r="L844" s="7"/>
      <c r="M844" s="7"/>
      <c r="O844" s="5"/>
      <c r="P844" s="5"/>
    </row>
    <row r="845" spans="2:16" x14ac:dyDescent="0.25">
      <c r="B845" s="90">
        <v>1605</v>
      </c>
      <c r="C845" s="91">
        <v>0.39875337443721026</v>
      </c>
      <c r="D845" s="92">
        <v>129</v>
      </c>
      <c r="G845" s="5"/>
      <c r="H845" s="5"/>
      <c r="L845" s="7"/>
      <c r="M845" s="7"/>
      <c r="O845" s="5"/>
      <c r="P845" s="5"/>
    </row>
    <row r="846" spans="2:16" x14ac:dyDescent="0.25">
      <c r="B846" s="90">
        <v>1638</v>
      </c>
      <c r="C846" s="91">
        <v>0.44014941548353514</v>
      </c>
      <c r="D846" s="92">
        <v>129</v>
      </c>
      <c r="G846" s="5"/>
      <c r="H846" s="5"/>
      <c r="L846" s="7"/>
      <c r="M846" s="7"/>
      <c r="O846" s="5"/>
      <c r="P846" s="5"/>
    </row>
    <row r="847" spans="2:16" x14ac:dyDescent="0.25">
      <c r="B847" s="90">
        <v>1729</v>
      </c>
      <c r="C847" s="91">
        <v>5.2746784323114193E-2</v>
      </c>
      <c r="D847" s="92">
        <v>130</v>
      </c>
      <c r="G847" s="5"/>
      <c r="H847" s="5"/>
      <c r="L847" s="7"/>
      <c r="M847" s="7"/>
      <c r="O847" s="5"/>
      <c r="P847" s="5"/>
    </row>
    <row r="848" spans="2:16" x14ac:dyDescent="0.25">
      <c r="B848" s="90">
        <v>1731</v>
      </c>
      <c r="C848" s="91">
        <v>6.3747875901046691E-2</v>
      </c>
      <c r="D848" s="92">
        <v>131</v>
      </c>
      <c r="G848" s="5"/>
      <c r="H848" s="5"/>
      <c r="L848" s="7"/>
      <c r="M848" s="7"/>
      <c r="O848" s="5"/>
      <c r="P848" s="5"/>
    </row>
    <row r="849" spans="2:16" x14ac:dyDescent="0.25">
      <c r="B849" s="90">
        <v>1373</v>
      </c>
      <c r="C849" s="91">
        <v>0.23150362426722149</v>
      </c>
      <c r="D849" s="92">
        <v>131</v>
      </c>
      <c r="G849" s="5"/>
      <c r="H849" s="5"/>
      <c r="L849" s="7"/>
      <c r="M849" s="7"/>
      <c r="O849" s="5"/>
      <c r="P849" s="5"/>
    </row>
    <row r="850" spans="2:16" x14ac:dyDescent="0.25">
      <c r="B850" s="90">
        <v>869</v>
      </c>
      <c r="C850" s="91">
        <v>0.62734779296497767</v>
      </c>
      <c r="D850" s="92">
        <v>131</v>
      </c>
      <c r="G850" s="5"/>
      <c r="H850" s="5"/>
      <c r="L850" s="7"/>
      <c r="M850" s="7"/>
      <c r="O850" s="5"/>
      <c r="P850" s="5"/>
    </row>
    <row r="851" spans="2:16" x14ac:dyDescent="0.25">
      <c r="B851" s="90">
        <v>870</v>
      </c>
      <c r="C851" s="91">
        <v>0.64909459514999057</v>
      </c>
      <c r="D851" s="92">
        <v>131</v>
      </c>
      <c r="G851" s="5"/>
      <c r="H851" s="5"/>
      <c r="L851" s="7"/>
      <c r="M851" s="7"/>
      <c r="O851" s="5"/>
      <c r="P851" s="5"/>
    </row>
    <row r="852" spans="2:16" x14ac:dyDescent="0.25">
      <c r="B852" s="90">
        <v>1914</v>
      </c>
      <c r="C852" s="91">
        <v>8.0151405971844003E-2</v>
      </c>
      <c r="D852" s="92">
        <v>132</v>
      </c>
      <c r="G852" s="5"/>
      <c r="H852" s="5"/>
      <c r="L852" s="7"/>
      <c r="M852" s="7"/>
      <c r="O852" s="5"/>
      <c r="P852" s="5"/>
    </row>
    <row r="853" spans="2:16" x14ac:dyDescent="0.25">
      <c r="B853" s="90">
        <v>1722</v>
      </c>
      <c r="C853" s="91">
        <v>0.1703236571998874</v>
      </c>
      <c r="D853" s="92">
        <v>132</v>
      </c>
      <c r="G853" s="5"/>
      <c r="H853" s="5"/>
      <c r="L853" s="7"/>
      <c r="M853" s="7"/>
      <c r="O853" s="5"/>
      <c r="P853" s="5"/>
    </row>
    <row r="854" spans="2:16" x14ac:dyDescent="0.25">
      <c r="B854" s="90">
        <v>1748</v>
      </c>
      <c r="C854" s="91">
        <v>0.22083684804067039</v>
      </c>
      <c r="D854" s="92">
        <v>132</v>
      </c>
      <c r="G854" s="5"/>
      <c r="H854" s="5"/>
      <c r="L854" s="7"/>
      <c r="M854" s="7"/>
      <c r="O854" s="5"/>
      <c r="P854" s="5"/>
    </row>
    <row r="855" spans="2:16" x14ac:dyDescent="0.25">
      <c r="B855" s="90">
        <v>1778</v>
      </c>
      <c r="C855" s="91">
        <v>0.22254233454562034</v>
      </c>
      <c r="D855" s="92">
        <v>132</v>
      </c>
      <c r="G855" s="5"/>
      <c r="H855" s="5"/>
      <c r="L855" s="7"/>
      <c r="M855" s="7"/>
      <c r="O855" s="5"/>
      <c r="P855" s="5"/>
    </row>
    <row r="856" spans="2:16" x14ac:dyDescent="0.25">
      <c r="B856" s="90">
        <v>2056</v>
      </c>
      <c r="C856" s="91">
        <v>8.114068007855002E-2</v>
      </c>
      <c r="D856" s="92">
        <v>133</v>
      </c>
      <c r="G856" s="5"/>
      <c r="H856" s="5"/>
      <c r="L856" s="7"/>
      <c r="M856" s="7"/>
      <c r="O856" s="5"/>
      <c r="P856" s="5"/>
    </row>
    <row r="857" spans="2:16" x14ac:dyDescent="0.25">
      <c r="B857" s="90">
        <v>1497</v>
      </c>
      <c r="C857" s="91">
        <v>0.23178424897620931</v>
      </c>
      <c r="D857" s="92">
        <v>133</v>
      </c>
      <c r="G857" s="5"/>
      <c r="H857" s="5"/>
      <c r="L857" s="7"/>
      <c r="M857" s="7"/>
      <c r="O857" s="5"/>
      <c r="P857" s="5"/>
    </row>
    <row r="858" spans="2:16" x14ac:dyDescent="0.25">
      <c r="B858" s="90">
        <v>710</v>
      </c>
      <c r="C858" s="91">
        <v>0.57187257502959943</v>
      </c>
      <c r="D858" s="92">
        <v>133</v>
      </c>
      <c r="G858" s="5"/>
      <c r="H858" s="5"/>
      <c r="L858" s="7"/>
      <c r="M858" s="7"/>
      <c r="O858" s="5"/>
      <c r="P858" s="5"/>
    </row>
    <row r="859" spans="2:16" x14ac:dyDescent="0.25">
      <c r="B859" s="90">
        <v>1728</v>
      </c>
      <c r="C859" s="91">
        <v>5.1227924307225003E-2</v>
      </c>
      <c r="D859" s="92">
        <v>134</v>
      </c>
      <c r="G859" s="5"/>
      <c r="H859" s="5"/>
      <c r="L859" s="7"/>
      <c r="M859" s="7"/>
      <c r="O859" s="5"/>
      <c r="P859" s="5"/>
    </row>
    <row r="860" spans="2:16" x14ac:dyDescent="0.25">
      <c r="B860" s="90">
        <v>1845</v>
      </c>
      <c r="C860" s="91">
        <v>0.15510463961373033</v>
      </c>
      <c r="D860" s="92">
        <v>134</v>
      </c>
      <c r="G860" s="5"/>
      <c r="H860" s="5"/>
      <c r="L860" s="7"/>
      <c r="M860" s="7"/>
      <c r="O860" s="5"/>
      <c r="P860" s="5"/>
    </row>
    <row r="861" spans="2:16" x14ac:dyDescent="0.25">
      <c r="B861" s="90">
        <v>935</v>
      </c>
      <c r="C861" s="91">
        <v>0.16005115123445313</v>
      </c>
      <c r="D861" s="92">
        <v>134</v>
      </c>
      <c r="G861" s="5"/>
      <c r="H861" s="5"/>
      <c r="L861" s="7"/>
      <c r="M861" s="7"/>
      <c r="O861" s="5"/>
      <c r="P861" s="5"/>
    </row>
    <row r="862" spans="2:16" x14ac:dyDescent="0.25">
      <c r="B862" s="90">
        <v>984</v>
      </c>
      <c r="C862" s="91">
        <v>0.16431346310759953</v>
      </c>
      <c r="D862" s="92">
        <v>134</v>
      </c>
      <c r="G862" s="5"/>
      <c r="H862" s="5"/>
      <c r="L862" s="7"/>
      <c r="M862" s="7"/>
      <c r="O862" s="5"/>
      <c r="P862" s="5"/>
    </row>
    <row r="863" spans="2:16" x14ac:dyDescent="0.25">
      <c r="B863" s="90">
        <v>834</v>
      </c>
      <c r="C863" s="91">
        <v>0.17620829926424242</v>
      </c>
      <c r="D863" s="92">
        <v>134</v>
      </c>
      <c r="G863" s="5"/>
      <c r="H863" s="5"/>
      <c r="L863" s="7"/>
      <c r="M863" s="7"/>
      <c r="O863" s="5"/>
      <c r="P863" s="5"/>
    </row>
    <row r="864" spans="2:16" x14ac:dyDescent="0.25">
      <c r="B864" s="90">
        <v>885</v>
      </c>
      <c r="C864" s="91">
        <v>0.17961586715038824</v>
      </c>
      <c r="D864" s="92">
        <v>134</v>
      </c>
      <c r="G864" s="5"/>
      <c r="H864" s="5"/>
      <c r="L864" s="7"/>
      <c r="M864" s="7"/>
      <c r="O864" s="5"/>
      <c r="P864" s="5"/>
    </row>
    <row r="865" spans="2:16" x14ac:dyDescent="0.25">
      <c r="B865" s="90">
        <v>1122</v>
      </c>
      <c r="C865" s="91">
        <v>0.21046050583474996</v>
      </c>
      <c r="D865" s="92">
        <v>134</v>
      </c>
      <c r="G865" s="5"/>
      <c r="H865" s="5"/>
      <c r="L865" s="7"/>
      <c r="M865" s="7"/>
      <c r="O865" s="5"/>
      <c r="P865" s="5"/>
    </row>
    <row r="866" spans="2:16" x14ac:dyDescent="0.25">
      <c r="B866" s="90">
        <v>1801</v>
      </c>
      <c r="C866" s="91">
        <v>0.24662696700564846</v>
      </c>
      <c r="D866" s="92">
        <v>134</v>
      </c>
      <c r="G866" s="5"/>
      <c r="H866" s="5"/>
      <c r="L866" s="7"/>
      <c r="M866" s="7"/>
      <c r="O866" s="5"/>
      <c r="P866" s="5"/>
    </row>
    <row r="867" spans="2:16" x14ac:dyDescent="0.25">
      <c r="B867" s="90">
        <v>1876</v>
      </c>
      <c r="C867" s="91">
        <v>0.25670117078359933</v>
      </c>
      <c r="D867" s="92">
        <v>134</v>
      </c>
      <c r="G867" s="5"/>
      <c r="H867" s="5"/>
      <c r="L867" s="7"/>
      <c r="M867" s="7"/>
      <c r="O867" s="5"/>
      <c r="P867" s="5"/>
    </row>
    <row r="868" spans="2:16" x14ac:dyDescent="0.25">
      <c r="B868" s="90">
        <v>1775</v>
      </c>
      <c r="C868" s="91">
        <v>0.3098459780310665</v>
      </c>
      <c r="D868" s="92">
        <v>134</v>
      </c>
      <c r="G868" s="5"/>
      <c r="H868" s="5"/>
      <c r="L868" s="7"/>
      <c r="M868" s="7"/>
      <c r="O868" s="5"/>
      <c r="P868" s="5"/>
    </row>
    <row r="869" spans="2:16" x14ac:dyDescent="0.25">
      <c r="B869" s="90">
        <v>1747</v>
      </c>
      <c r="C869" s="91">
        <v>0.32658611766129897</v>
      </c>
      <c r="D869" s="92">
        <v>134</v>
      </c>
      <c r="G869" s="5"/>
      <c r="H869" s="5"/>
      <c r="L869" s="7"/>
      <c r="M869" s="7"/>
      <c r="O869" s="5"/>
      <c r="P869" s="5"/>
    </row>
    <row r="870" spans="2:16" x14ac:dyDescent="0.25">
      <c r="B870" s="90">
        <v>817</v>
      </c>
      <c r="C870" s="91">
        <v>0.59599613286258468</v>
      </c>
      <c r="D870" s="92">
        <v>134</v>
      </c>
      <c r="G870" s="5"/>
      <c r="H870" s="5"/>
      <c r="L870" s="7"/>
      <c r="M870" s="7"/>
      <c r="O870" s="5"/>
      <c r="P870" s="5"/>
    </row>
    <row r="871" spans="2:16" x14ac:dyDescent="0.25">
      <c r="B871" s="90">
        <v>818</v>
      </c>
      <c r="C871" s="91">
        <v>0.59862958778724717</v>
      </c>
      <c r="D871" s="92">
        <v>134</v>
      </c>
      <c r="G871" s="5"/>
      <c r="H871" s="5"/>
      <c r="L871" s="7"/>
      <c r="M871" s="7"/>
      <c r="O871" s="5"/>
      <c r="P871" s="5"/>
    </row>
    <row r="872" spans="2:16" x14ac:dyDescent="0.25">
      <c r="B872" s="90">
        <v>1504</v>
      </c>
      <c r="C872" s="91">
        <v>0.22442887118034749</v>
      </c>
      <c r="D872" s="92">
        <v>135</v>
      </c>
      <c r="G872" s="5"/>
      <c r="H872" s="5"/>
      <c r="L872" s="7"/>
      <c r="M872" s="7"/>
      <c r="O872" s="5"/>
      <c r="P872" s="5"/>
    </row>
    <row r="873" spans="2:16" x14ac:dyDescent="0.25">
      <c r="B873" s="90">
        <v>1292</v>
      </c>
      <c r="C873" s="91">
        <v>0.2535670864994386</v>
      </c>
      <c r="D873" s="92">
        <v>135</v>
      </c>
      <c r="G873" s="5"/>
      <c r="H873" s="5"/>
      <c r="L873" s="7"/>
      <c r="M873" s="7"/>
      <c r="O873" s="5"/>
      <c r="P873" s="5"/>
    </row>
    <row r="874" spans="2:16" x14ac:dyDescent="0.25">
      <c r="B874" s="90">
        <v>1542</v>
      </c>
      <c r="C874" s="91">
        <v>0.28652803831460427</v>
      </c>
      <c r="D874" s="92">
        <v>135</v>
      </c>
      <c r="G874" s="5"/>
      <c r="H874" s="5"/>
      <c r="L874" s="7"/>
      <c r="M874" s="7"/>
      <c r="O874" s="5"/>
      <c r="P874" s="5"/>
    </row>
    <row r="875" spans="2:16" x14ac:dyDescent="0.25">
      <c r="B875" s="90">
        <v>1541</v>
      </c>
      <c r="C875" s="91">
        <v>0.29899960817117965</v>
      </c>
      <c r="D875" s="92">
        <v>135</v>
      </c>
      <c r="G875" s="5"/>
      <c r="H875" s="5"/>
      <c r="L875" s="7"/>
      <c r="M875" s="7"/>
      <c r="O875" s="5"/>
      <c r="P875" s="5"/>
    </row>
    <row r="876" spans="2:16" x14ac:dyDescent="0.25">
      <c r="B876" s="90">
        <v>1201</v>
      </c>
      <c r="C876" s="91">
        <v>0.50154776714641947</v>
      </c>
      <c r="D876" s="92">
        <v>135</v>
      </c>
      <c r="G876" s="5"/>
      <c r="H876" s="5"/>
      <c r="L876" s="7"/>
      <c r="M876" s="7"/>
      <c r="O876" s="5"/>
      <c r="P876" s="5"/>
    </row>
    <row r="877" spans="2:16" x14ac:dyDescent="0.25">
      <c r="B877" s="90">
        <v>1611</v>
      </c>
      <c r="C877" s="91">
        <v>0.5782709618382208</v>
      </c>
      <c r="D877" s="92">
        <v>135</v>
      </c>
      <c r="G877" s="5"/>
      <c r="H877" s="5"/>
      <c r="L877" s="7"/>
      <c r="M877" s="7"/>
      <c r="O877" s="5"/>
      <c r="P877" s="5"/>
    </row>
    <row r="878" spans="2:16" x14ac:dyDescent="0.25">
      <c r="B878" s="90">
        <v>1610</v>
      </c>
      <c r="C878" s="91">
        <v>0.58452197265198547</v>
      </c>
      <c r="D878" s="92">
        <v>135</v>
      </c>
      <c r="G878" s="5"/>
      <c r="H878" s="5"/>
      <c r="L878" s="7"/>
      <c r="M878" s="7"/>
      <c r="O878" s="5"/>
      <c r="P878" s="5"/>
    </row>
    <row r="879" spans="2:16" x14ac:dyDescent="0.25">
      <c r="B879" s="90">
        <v>1609</v>
      </c>
      <c r="C879" s="91">
        <v>0.59347009016758046</v>
      </c>
      <c r="D879" s="92">
        <v>135</v>
      </c>
      <c r="G879" s="5"/>
      <c r="H879" s="5"/>
      <c r="L879" s="7"/>
      <c r="M879" s="7"/>
      <c r="O879" s="5"/>
      <c r="P879" s="5"/>
    </row>
    <row r="880" spans="2:16" x14ac:dyDescent="0.25">
      <c r="B880" s="90">
        <v>1673</v>
      </c>
      <c r="C880" s="91">
        <v>0.63600002428209557</v>
      </c>
      <c r="D880" s="92">
        <v>135</v>
      </c>
      <c r="G880" s="5"/>
      <c r="H880" s="5"/>
      <c r="L880" s="7"/>
      <c r="M880" s="7"/>
      <c r="O880" s="5"/>
      <c r="P880" s="5"/>
    </row>
    <row r="881" spans="2:16" x14ac:dyDescent="0.25">
      <c r="B881" s="90">
        <v>1643</v>
      </c>
      <c r="C881" s="91">
        <v>0.74697932832172198</v>
      </c>
      <c r="D881" s="92">
        <v>135</v>
      </c>
      <c r="G881" s="5"/>
      <c r="H881" s="5"/>
      <c r="L881" s="7"/>
      <c r="M881" s="7"/>
      <c r="O881" s="5"/>
      <c r="P881" s="5"/>
    </row>
    <row r="882" spans="2:16" x14ac:dyDescent="0.25">
      <c r="B882" s="90">
        <v>1642</v>
      </c>
      <c r="C882" s="91">
        <v>0.75129190528442913</v>
      </c>
      <c r="D882" s="92">
        <v>135</v>
      </c>
      <c r="G882" s="5"/>
      <c r="H882" s="5"/>
      <c r="L882" s="7"/>
      <c r="M882" s="7"/>
      <c r="O882" s="5"/>
      <c r="P882" s="5"/>
    </row>
    <row r="883" spans="2:16" x14ac:dyDescent="0.25">
      <c r="B883" s="90">
        <v>1861</v>
      </c>
      <c r="C883" s="91">
        <v>6.5885362337371856E-2</v>
      </c>
      <c r="D883" s="92">
        <v>136</v>
      </c>
      <c r="G883" s="5"/>
      <c r="H883" s="5"/>
      <c r="L883" s="7"/>
      <c r="M883" s="7"/>
      <c r="O883" s="5"/>
      <c r="P883" s="5"/>
    </row>
    <row r="884" spans="2:16" x14ac:dyDescent="0.25">
      <c r="B884" s="90">
        <v>1810</v>
      </c>
      <c r="C884" s="91">
        <v>0.11014028810426457</v>
      </c>
      <c r="D884" s="92">
        <v>136</v>
      </c>
      <c r="G884" s="5"/>
      <c r="H884" s="5"/>
      <c r="L884" s="7"/>
      <c r="M884" s="7"/>
      <c r="O884" s="5"/>
      <c r="P884" s="5"/>
    </row>
    <row r="885" spans="2:16" x14ac:dyDescent="0.25">
      <c r="B885" s="90">
        <v>1316</v>
      </c>
      <c r="C885" s="91">
        <v>0.18035890125131637</v>
      </c>
      <c r="D885" s="92">
        <v>136</v>
      </c>
      <c r="G885" s="5"/>
      <c r="H885" s="5"/>
      <c r="L885" s="7"/>
      <c r="M885" s="7"/>
      <c r="O885" s="5"/>
      <c r="P885" s="5"/>
    </row>
    <row r="886" spans="2:16" x14ac:dyDescent="0.25">
      <c r="B886" s="90">
        <v>1750</v>
      </c>
      <c r="C886" s="91">
        <v>0.23214837916271924</v>
      </c>
      <c r="D886" s="92">
        <v>136</v>
      </c>
      <c r="G886" s="5"/>
      <c r="H886" s="5"/>
      <c r="L886" s="7"/>
      <c r="M886" s="7"/>
      <c r="O886" s="5"/>
      <c r="P886" s="5"/>
    </row>
    <row r="887" spans="2:16" x14ac:dyDescent="0.25">
      <c r="B887" s="90">
        <v>1025</v>
      </c>
      <c r="C887" s="91">
        <v>0.2976448813661785</v>
      </c>
      <c r="D887" s="92">
        <v>136</v>
      </c>
      <c r="G887" s="5"/>
      <c r="H887" s="5"/>
      <c r="L887" s="7"/>
      <c r="M887" s="7"/>
      <c r="O887" s="5"/>
      <c r="P887" s="5"/>
    </row>
    <row r="888" spans="2:16" x14ac:dyDescent="0.25">
      <c r="B888" s="90">
        <v>1540</v>
      </c>
      <c r="C888" s="91">
        <v>0.31561997799649999</v>
      </c>
      <c r="D888" s="92">
        <v>136</v>
      </c>
      <c r="G888" s="5"/>
      <c r="H888" s="5"/>
      <c r="L888" s="7"/>
      <c r="M888" s="7"/>
      <c r="O888" s="5"/>
      <c r="P888" s="5"/>
    </row>
    <row r="889" spans="2:16" x14ac:dyDescent="0.25">
      <c r="B889" s="90">
        <v>2074</v>
      </c>
      <c r="C889" s="91">
        <v>5.8917646896845088E-2</v>
      </c>
      <c r="D889" s="92">
        <v>137</v>
      </c>
      <c r="G889" s="5"/>
      <c r="H889" s="5"/>
      <c r="L889" s="7"/>
      <c r="M889" s="7"/>
      <c r="O889" s="5"/>
      <c r="P889" s="5"/>
    </row>
    <row r="890" spans="2:16" x14ac:dyDescent="0.25">
      <c r="B890" s="90">
        <v>1479</v>
      </c>
      <c r="C890" s="91">
        <v>0.19826914968983822</v>
      </c>
      <c r="D890" s="92">
        <v>137</v>
      </c>
      <c r="G890" s="5"/>
      <c r="H890" s="5"/>
      <c r="L890" s="7"/>
      <c r="M890" s="7"/>
      <c r="O890" s="5"/>
      <c r="P890" s="5"/>
    </row>
    <row r="891" spans="2:16" x14ac:dyDescent="0.25">
      <c r="B891" s="90">
        <v>1539</v>
      </c>
      <c r="C891" s="91">
        <v>0.20399047988821417</v>
      </c>
      <c r="D891" s="92">
        <v>137</v>
      </c>
      <c r="G891" s="5"/>
      <c r="H891" s="5"/>
      <c r="L891" s="7"/>
      <c r="M891" s="7"/>
      <c r="O891" s="5"/>
      <c r="P891" s="5"/>
    </row>
    <row r="892" spans="2:16" x14ac:dyDescent="0.25">
      <c r="B892" s="90">
        <v>1331</v>
      </c>
      <c r="C892" s="91">
        <v>0.21714151922718061</v>
      </c>
      <c r="D892" s="92">
        <v>137</v>
      </c>
      <c r="G892" s="5"/>
      <c r="H892" s="5"/>
      <c r="L892" s="7"/>
      <c r="M892" s="7"/>
      <c r="O892" s="5"/>
      <c r="P892" s="5"/>
    </row>
    <row r="893" spans="2:16" x14ac:dyDescent="0.25">
      <c r="B893" s="90">
        <v>1641</v>
      </c>
      <c r="C893" s="91">
        <v>0.58838565587907277</v>
      </c>
      <c r="D893" s="92">
        <v>137</v>
      </c>
      <c r="G893" s="5"/>
      <c r="H893" s="5"/>
      <c r="L893" s="7"/>
      <c r="M893" s="7"/>
      <c r="O893" s="5"/>
      <c r="P893" s="5"/>
    </row>
    <row r="894" spans="2:16" x14ac:dyDescent="0.25">
      <c r="B894" s="90">
        <v>1412</v>
      </c>
      <c r="C894" s="91">
        <v>0.22457369854482412</v>
      </c>
      <c r="D894" s="92">
        <v>138</v>
      </c>
      <c r="G894" s="5"/>
      <c r="H894" s="5"/>
      <c r="L894" s="7"/>
      <c r="M894" s="7"/>
      <c r="O894" s="5"/>
      <c r="P894" s="5"/>
    </row>
    <row r="895" spans="2:16" x14ac:dyDescent="0.25">
      <c r="B895" s="90">
        <v>1934</v>
      </c>
      <c r="C895" s="91">
        <v>0.23897215083980883</v>
      </c>
      <c r="D895" s="92">
        <v>138</v>
      </c>
      <c r="G895" s="5"/>
      <c r="H895" s="5"/>
      <c r="L895" s="7"/>
      <c r="M895" s="7"/>
      <c r="O895" s="5"/>
      <c r="P895" s="5"/>
    </row>
    <row r="896" spans="2:16" x14ac:dyDescent="0.25">
      <c r="B896" s="90">
        <v>1577</v>
      </c>
      <c r="C896" s="91">
        <v>0.37592638366004327</v>
      </c>
      <c r="D896" s="92">
        <v>138</v>
      </c>
      <c r="G896" s="5"/>
      <c r="H896" s="5"/>
      <c r="L896" s="7"/>
      <c r="M896" s="7"/>
      <c r="O896" s="5"/>
      <c r="P896" s="5"/>
    </row>
    <row r="897" spans="2:16" x14ac:dyDescent="0.25">
      <c r="B897" s="90">
        <v>1576</v>
      </c>
      <c r="C897" s="91">
        <v>0.38662336196211688</v>
      </c>
      <c r="D897" s="92">
        <v>138</v>
      </c>
      <c r="G897" s="5"/>
      <c r="H897" s="5"/>
      <c r="L897" s="7"/>
      <c r="M897" s="7"/>
      <c r="O897" s="5"/>
      <c r="P897" s="5"/>
    </row>
    <row r="898" spans="2:16" x14ac:dyDescent="0.25">
      <c r="B898" s="90">
        <v>1575</v>
      </c>
      <c r="C898" s="91">
        <v>0.40141451485047341</v>
      </c>
      <c r="D898" s="92">
        <v>138</v>
      </c>
      <c r="G898" s="5"/>
      <c r="H898" s="5"/>
      <c r="L898" s="7"/>
      <c r="M898" s="7"/>
      <c r="O898" s="5"/>
      <c r="P898" s="5"/>
    </row>
    <row r="899" spans="2:16" x14ac:dyDescent="0.25">
      <c r="B899" s="90">
        <v>1096</v>
      </c>
      <c r="C899" s="91">
        <v>0.16730052312575039</v>
      </c>
      <c r="D899" s="92">
        <v>139</v>
      </c>
      <c r="G899" s="5"/>
      <c r="H899" s="5"/>
      <c r="L899" s="7"/>
      <c r="M899" s="7"/>
      <c r="O899" s="5"/>
      <c r="P899" s="5"/>
    </row>
    <row r="900" spans="2:16" x14ac:dyDescent="0.25">
      <c r="B900" s="90">
        <v>1095</v>
      </c>
      <c r="C900" s="91">
        <v>0.17312487506476437</v>
      </c>
      <c r="D900" s="92">
        <v>139</v>
      </c>
      <c r="G900" s="5"/>
      <c r="H900" s="5"/>
      <c r="L900" s="7"/>
      <c r="M900" s="7"/>
      <c r="O900" s="5"/>
      <c r="P900" s="5"/>
    </row>
    <row r="901" spans="2:16" x14ac:dyDescent="0.25">
      <c r="B901" s="90">
        <v>1441</v>
      </c>
      <c r="C901" s="91">
        <v>0.18767011000482203</v>
      </c>
      <c r="D901" s="92">
        <v>139</v>
      </c>
      <c r="G901" s="5"/>
      <c r="H901" s="5"/>
      <c r="L901" s="7"/>
      <c r="M901" s="7"/>
      <c r="O901" s="5"/>
      <c r="P901" s="5"/>
    </row>
    <row r="902" spans="2:16" x14ac:dyDescent="0.25">
      <c r="B902" s="90">
        <v>1191</v>
      </c>
      <c r="C902" s="91">
        <v>0.28207503313625248</v>
      </c>
      <c r="D902" s="92">
        <v>139</v>
      </c>
      <c r="G902" s="5"/>
      <c r="H902" s="5"/>
      <c r="L902" s="7"/>
      <c r="M902" s="7"/>
      <c r="O902" s="5"/>
      <c r="P902" s="5"/>
    </row>
    <row r="903" spans="2:16" x14ac:dyDescent="0.25">
      <c r="B903" s="90">
        <v>1190</v>
      </c>
      <c r="C903" s="91">
        <v>0.28238613051420591</v>
      </c>
      <c r="D903" s="92">
        <v>139</v>
      </c>
      <c r="G903" s="5"/>
      <c r="H903" s="5"/>
      <c r="L903" s="7"/>
      <c r="M903" s="7"/>
      <c r="O903" s="5"/>
      <c r="P903" s="5"/>
    </row>
    <row r="904" spans="2:16" x14ac:dyDescent="0.25">
      <c r="B904" s="90">
        <v>1835</v>
      </c>
      <c r="C904" s="91">
        <v>0.11646925608296366</v>
      </c>
      <c r="D904" s="92">
        <v>140</v>
      </c>
      <c r="G904" s="5"/>
      <c r="H904" s="5"/>
      <c r="L904" s="7"/>
      <c r="M904" s="7"/>
      <c r="O904" s="5"/>
      <c r="P904" s="5"/>
    </row>
    <row r="905" spans="2:16" x14ac:dyDescent="0.25">
      <c r="B905" s="90">
        <v>1726</v>
      </c>
      <c r="C905" s="91">
        <v>0.13727869479639088</v>
      </c>
      <c r="D905" s="92">
        <v>140</v>
      </c>
      <c r="G905" s="5"/>
      <c r="H905" s="5"/>
      <c r="L905" s="7"/>
      <c r="M905" s="7"/>
      <c r="O905" s="5"/>
      <c r="P905" s="5"/>
    </row>
    <row r="906" spans="2:16" x14ac:dyDescent="0.25">
      <c r="B906" s="90">
        <v>1724</v>
      </c>
      <c r="C906" s="91">
        <v>0.16595054405524223</v>
      </c>
      <c r="D906" s="92">
        <v>140</v>
      </c>
      <c r="G906" s="5"/>
      <c r="H906" s="5"/>
      <c r="L906" s="7"/>
      <c r="M906" s="7"/>
      <c r="O906" s="5"/>
      <c r="P906" s="5"/>
    </row>
    <row r="907" spans="2:16" x14ac:dyDescent="0.25">
      <c r="B907" s="90">
        <v>1931</v>
      </c>
      <c r="C907" s="91">
        <v>0.18502174349483225</v>
      </c>
      <c r="D907" s="92">
        <v>140</v>
      </c>
      <c r="G907" s="5"/>
      <c r="H907" s="5"/>
      <c r="L907" s="7"/>
      <c r="M907" s="7"/>
      <c r="O907" s="5"/>
      <c r="P907" s="5"/>
    </row>
    <row r="908" spans="2:16" x14ac:dyDescent="0.25">
      <c r="B908" s="90">
        <v>2007</v>
      </c>
      <c r="C908" s="91">
        <v>0.18671990731687571</v>
      </c>
      <c r="D908" s="92">
        <v>140</v>
      </c>
      <c r="G908" s="5"/>
      <c r="H908" s="5"/>
      <c r="L908" s="7"/>
      <c r="M908" s="7"/>
      <c r="O908" s="5"/>
      <c r="P908" s="5"/>
    </row>
    <row r="909" spans="2:16" x14ac:dyDescent="0.25">
      <c r="B909" s="90">
        <v>1399</v>
      </c>
      <c r="C909" s="91">
        <v>0.20319947498872348</v>
      </c>
      <c r="D909" s="92">
        <v>140</v>
      </c>
      <c r="G909" s="5"/>
      <c r="H909" s="5"/>
      <c r="L909" s="7"/>
      <c r="M909" s="7"/>
      <c r="O909" s="5"/>
      <c r="P909" s="5"/>
    </row>
    <row r="910" spans="2:16" x14ac:dyDescent="0.25">
      <c r="B910" s="90">
        <v>1442</v>
      </c>
      <c r="C910" s="91">
        <v>0.19816702954022614</v>
      </c>
      <c r="D910" s="92">
        <v>141</v>
      </c>
      <c r="G910" s="5"/>
      <c r="H910" s="5"/>
      <c r="L910" s="7"/>
      <c r="M910" s="7"/>
      <c r="O910" s="5"/>
      <c r="P910" s="5"/>
    </row>
    <row r="911" spans="2:16" x14ac:dyDescent="0.25">
      <c r="B911" s="90">
        <v>377</v>
      </c>
      <c r="C911" s="91">
        <v>0.78422541325960227</v>
      </c>
      <c r="D911" s="92">
        <v>141</v>
      </c>
      <c r="G911" s="5"/>
      <c r="H911" s="5"/>
      <c r="L911" s="7"/>
      <c r="M911" s="7"/>
      <c r="O911" s="5"/>
      <c r="P911" s="5"/>
    </row>
    <row r="912" spans="2:16" x14ac:dyDescent="0.25">
      <c r="B912" s="90">
        <v>1784</v>
      </c>
      <c r="C912" s="91">
        <v>0.15878857356964704</v>
      </c>
      <c r="D912" s="92">
        <v>142</v>
      </c>
      <c r="G912" s="5"/>
      <c r="H912" s="5"/>
      <c r="L912" s="7"/>
      <c r="M912" s="7"/>
      <c r="O912" s="5"/>
      <c r="P912" s="5"/>
    </row>
    <row r="913" spans="2:16" x14ac:dyDescent="0.25">
      <c r="B913" s="90">
        <v>1756</v>
      </c>
      <c r="C913" s="91">
        <v>0.16133031405043163</v>
      </c>
      <c r="D913" s="92">
        <v>142</v>
      </c>
      <c r="G913" s="5"/>
      <c r="H913" s="5"/>
      <c r="L913" s="7"/>
      <c r="M913" s="7"/>
      <c r="O913" s="5"/>
      <c r="P913" s="5"/>
    </row>
    <row r="914" spans="2:16" x14ac:dyDescent="0.25">
      <c r="B914" s="90">
        <v>2008</v>
      </c>
      <c r="C914" s="91">
        <v>0.18583132180562689</v>
      </c>
      <c r="D914" s="92">
        <v>142</v>
      </c>
      <c r="G914" s="5"/>
      <c r="H914" s="5"/>
      <c r="L914" s="7"/>
      <c r="M914" s="7"/>
      <c r="O914" s="5"/>
      <c r="P914" s="5"/>
    </row>
    <row r="915" spans="2:16" x14ac:dyDescent="0.25">
      <c r="B915" s="90">
        <v>207</v>
      </c>
      <c r="C915" s="91">
        <v>0.20089264269956408</v>
      </c>
      <c r="D915" s="92">
        <v>142</v>
      </c>
      <c r="G915" s="5"/>
      <c r="H915" s="5"/>
      <c r="L915" s="7"/>
      <c r="M915" s="7"/>
      <c r="O915" s="5"/>
      <c r="P915" s="5"/>
    </row>
    <row r="916" spans="2:16" x14ac:dyDescent="0.25">
      <c r="B916" s="90">
        <v>1101</v>
      </c>
      <c r="C916" s="91">
        <v>0.23065805201080158</v>
      </c>
      <c r="D916" s="92">
        <v>142</v>
      </c>
      <c r="G916" s="5"/>
      <c r="H916" s="5"/>
      <c r="L916" s="7"/>
      <c r="M916" s="7"/>
      <c r="O916" s="5"/>
      <c r="P916" s="5"/>
    </row>
    <row r="917" spans="2:16" x14ac:dyDescent="0.25">
      <c r="B917" s="90">
        <v>1147</v>
      </c>
      <c r="C917" s="91">
        <v>0.23231896622876802</v>
      </c>
      <c r="D917" s="92">
        <v>142</v>
      </c>
      <c r="G917" s="5"/>
      <c r="H917" s="5"/>
      <c r="L917" s="7"/>
      <c r="M917" s="7"/>
      <c r="O917" s="5"/>
      <c r="P917" s="5"/>
    </row>
    <row r="918" spans="2:16" x14ac:dyDescent="0.25">
      <c r="B918" s="90">
        <v>1885</v>
      </c>
      <c r="C918" s="91">
        <v>0.23991909523865806</v>
      </c>
      <c r="D918" s="92">
        <v>142</v>
      </c>
      <c r="G918" s="5"/>
      <c r="H918" s="5"/>
      <c r="L918" s="7"/>
      <c r="M918" s="7"/>
      <c r="O918" s="5"/>
      <c r="P918" s="5"/>
    </row>
    <row r="919" spans="2:16" x14ac:dyDescent="0.25">
      <c r="B919" s="90">
        <v>1783</v>
      </c>
      <c r="C919" s="91">
        <v>0.24310717968452589</v>
      </c>
      <c r="D919" s="92">
        <v>142</v>
      </c>
      <c r="G919" s="5"/>
      <c r="H919" s="5"/>
      <c r="L919" s="7"/>
      <c r="M919" s="7"/>
      <c r="O919" s="5"/>
      <c r="P919" s="5"/>
    </row>
    <row r="920" spans="2:16" x14ac:dyDescent="0.25">
      <c r="B920" s="90">
        <v>1779</v>
      </c>
      <c r="C920" s="91">
        <v>0.2562506488751759</v>
      </c>
      <c r="D920" s="92">
        <v>142</v>
      </c>
      <c r="G920" s="5"/>
      <c r="H920" s="5"/>
      <c r="L920" s="7"/>
      <c r="M920" s="7"/>
      <c r="O920" s="5"/>
      <c r="P920" s="5"/>
    </row>
    <row r="921" spans="2:16" x14ac:dyDescent="0.25">
      <c r="B921" s="90">
        <v>1755</v>
      </c>
      <c r="C921" s="91">
        <v>0.25986206016482627</v>
      </c>
      <c r="D921" s="92">
        <v>142</v>
      </c>
      <c r="G921" s="5"/>
      <c r="H921" s="5"/>
      <c r="L921" s="7"/>
      <c r="M921" s="7"/>
      <c r="O921" s="5"/>
      <c r="P921" s="5"/>
    </row>
    <row r="922" spans="2:16" x14ac:dyDescent="0.25">
      <c r="B922" s="90">
        <v>1751</v>
      </c>
      <c r="C922" s="91">
        <v>0.26980366199230632</v>
      </c>
      <c r="D922" s="92">
        <v>142</v>
      </c>
      <c r="G922" s="5"/>
      <c r="H922" s="5"/>
      <c r="L922" s="7"/>
      <c r="M922" s="7"/>
      <c r="O922" s="5"/>
      <c r="P922" s="5"/>
    </row>
    <row r="923" spans="2:16" x14ac:dyDescent="0.25">
      <c r="B923" s="90">
        <v>1370</v>
      </c>
      <c r="C923" s="91">
        <v>0.17450745979954219</v>
      </c>
      <c r="D923" s="92">
        <v>143</v>
      </c>
      <c r="G923" s="5"/>
      <c r="H923" s="5"/>
      <c r="L923" s="7"/>
      <c r="M923" s="7"/>
      <c r="O923" s="5"/>
      <c r="P923" s="5"/>
    </row>
    <row r="924" spans="2:16" x14ac:dyDescent="0.25">
      <c r="B924" s="90">
        <v>2141</v>
      </c>
      <c r="C924" s="91">
        <v>0.2216068925121838</v>
      </c>
      <c r="D924" s="92">
        <v>143</v>
      </c>
      <c r="G924" s="5"/>
      <c r="H924" s="5"/>
      <c r="L924" s="7"/>
      <c r="M924" s="7"/>
      <c r="O924" s="5"/>
      <c r="P924" s="5"/>
    </row>
    <row r="925" spans="2:16" x14ac:dyDescent="0.25">
      <c r="B925" s="90">
        <v>1499</v>
      </c>
      <c r="C925" s="91">
        <v>0.23293273436247108</v>
      </c>
      <c r="D925" s="92">
        <v>143</v>
      </c>
      <c r="G925" s="5"/>
      <c r="H925" s="5"/>
      <c r="L925" s="7"/>
      <c r="M925" s="7"/>
      <c r="O925" s="5"/>
      <c r="P925" s="5"/>
    </row>
    <row r="926" spans="2:16" x14ac:dyDescent="0.25">
      <c r="B926" s="90">
        <v>1537</v>
      </c>
      <c r="C926" s="91">
        <v>0.23833283726871346</v>
      </c>
      <c r="D926" s="92">
        <v>143</v>
      </c>
      <c r="G926" s="5"/>
      <c r="H926" s="5"/>
      <c r="L926" s="7"/>
      <c r="M926" s="7"/>
      <c r="O926" s="5"/>
      <c r="P926" s="5"/>
    </row>
    <row r="927" spans="2:16" x14ac:dyDescent="0.25">
      <c r="B927" s="90">
        <v>1193</v>
      </c>
      <c r="C927" s="91">
        <v>0.27730702650085959</v>
      </c>
      <c r="D927" s="92">
        <v>143</v>
      </c>
      <c r="G927" s="5"/>
      <c r="H927" s="5"/>
      <c r="L927" s="7"/>
      <c r="M927" s="7"/>
      <c r="O927" s="5"/>
      <c r="P927" s="5"/>
    </row>
    <row r="928" spans="2:16" x14ac:dyDescent="0.25">
      <c r="B928" s="90">
        <v>1572</v>
      </c>
      <c r="C928" s="91">
        <v>0.28778614507319056</v>
      </c>
      <c r="D928" s="92">
        <v>143</v>
      </c>
      <c r="G928" s="5"/>
      <c r="H928" s="5"/>
      <c r="L928" s="7"/>
      <c r="M928" s="7"/>
      <c r="O928" s="5"/>
      <c r="P928" s="5"/>
    </row>
    <row r="929" spans="2:16" x14ac:dyDescent="0.25">
      <c r="B929" s="90">
        <v>1538</v>
      </c>
      <c r="C929" s="91">
        <v>0.32669792914025109</v>
      </c>
      <c r="D929" s="92">
        <v>143</v>
      </c>
      <c r="G929" s="5"/>
      <c r="H929" s="5"/>
      <c r="L929" s="7"/>
      <c r="M929" s="7"/>
      <c r="O929" s="5"/>
      <c r="P929" s="5"/>
    </row>
    <row r="930" spans="2:16" x14ac:dyDescent="0.25">
      <c r="B930" s="90">
        <v>1573</v>
      </c>
      <c r="C930" s="91">
        <v>0.37881578259349236</v>
      </c>
      <c r="D930" s="92">
        <v>143</v>
      </c>
      <c r="G930" s="5"/>
      <c r="H930" s="5"/>
      <c r="L930" s="7"/>
      <c r="M930" s="7"/>
      <c r="O930" s="5"/>
      <c r="P930" s="5"/>
    </row>
    <row r="931" spans="2:16" x14ac:dyDescent="0.25">
      <c r="B931" s="90">
        <v>1639</v>
      </c>
      <c r="C931" s="91">
        <v>0.42929233892099872</v>
      </c>
      <c r="D931" s="92">
        <v>143</v>
      </c>
      <c r="G931" s="5"/>
      <c r="H931" s="5"/>
      <c r="L931" s="7"/>
      <c r="M931" s="7"/>
      <c r="O931" s="5"/>
      <c r="P931" s="5"/>
    </row>
    <row r="932" spans="2:16" x14ac:dyDescent="0.25">
      <c r="B932" s="90">
        <v>1607</v>
      </c>
      <c r="C932" s="91">
        <v>0.48072538215534</v>
      </c>
      <c r="D932" s="92">
        <v>143</v>
      </c>
      <c r="G932" s="5"/>
      <c r="H932" s="5"/>
      <c r="L932" s="7"/>
      <c r="M932" s="7"/>
      <c r="O932" s="5"/>
      <c r="P932" s="5"/>
    </row>
    <row r="933" spans="2:16" x14ac:dyDescent="0.25">
      <c r="B933" s="90">
        <v>2009</v>
      </c>
      <c r="C933" s="91">
        <v>0.11450503498773146</v>
      </c>
      <c r="D933" s="92">
        <v>144</v>
      </c>
      <c r="G933" s="5"/>
      <c r="H933" s="5"/>
      <c r="L933" s="7"/>
      <c r="M933" s="7"/>
      <c r="O933" s="5"/>
      <c r="P933" s="5"/>
    </row>
    <row r="934" spans="2:16" x14ac:dyDescent="0.25">
      <c r="B934" s="90">
        <v>1860</v>
      </c>
      <c r="C934" s="91">
        <v>0.12697146508629764</v>
      </c>
      <c r="D934" s="92">
        <v>144</v>
      </c>
      <c r="G934" s="5"/>
      <c r="H934" s="5"/>
      <c r="L934" s="7"/>
      <c r="M934" s="7"/>
      <c r="O934" s="5"/>
      <c r="P934" s="5"/>
    </row>
    <row r="935" spans="2:16" x14ac:dyDescent="0.25">
      <c r="B935" s="90">
        <v>1883</v>
      </c>
      <c r="C935" s="91">
        <v>0.16319819239679512</v>
      </c>
      <c r="D935" s="92">
        <v>144</v>
      </c>
      <c r="G935" s="5"/>
      <c r="H935" s="5"/>
      <c r="L935" s="7"/>
      <c r="M935" s="7"/>
      <c r="O935" s="5"/>
      <c r="P935" s="5"/>
    </row>
    <row r="936" spans="2:16" x14ac:dyDescent="0.25">
      <c r="B936" s="90">
        <v>390</v>
      </c>
      <c r="C936" s="91">
        <v>0.17197621907626548</v>
      </c>
      <c r="D936" s="92">
        <v>144</v>
      </c>
      <c r="G936" s="5"/>
      <c r="H936" s="5"/>
      <c r="L936" s="7"/>
      <c r="M936" s="7"/>
      <c r="O936" s="5"/>
      <c r="P936" s="5"/>
    </row>
    <row r="937" spans="2:16" x14ac:dyDescent="0.25">
      <c r="B937" s="90">
        <v>1501</v>
      </c>
      <c r="C937" s="91">
        <v>0.17891161271992162</v>
      </c>
      <c r="D937" s="92">
        <v>144</v>
      </c>
      <c r="G937" s="5"/>
      <c r="H937" s="5"/>
      <c r="L937" s="7"/>
      <c r="M937" s="7"/>
      <c r="O937" s="5"/>
      <c r="P937" s="5"/>
    </row>
    <row r="938" spans="2:16" x14ac:dyDescent="0.25">
      <c r="B938" s="90">
        <v>1928</v>
      </c>
      <c r="C938" s="91">
        <v>0.1795131055934065</v>
      </c>
      <c r="D938" s="92">
        <v>144</v>
      </c>
      <c r="G938" s="5"/>
      <c r="H938" s="5"/>
      <c r="L938" s="7"/>
      <c r="M938" s="7"/>
      <c r="O938" s="5"/>
      <c r="P938" s="5"/>
    </row>
    <row r="939" spans="2:16" x14ac:dyDescent="0.25">
      <c r="B939" s="90">
        <v>7</v>
      </c>
      <c r="C939" s="91">
        <v>0.19220242669914023</v>
      </c>
      <c r="D939" s="92">
        <v>144</v>
      </c>
      <c r="G939" s="5"/>
      <c r="H939" s="5"/>
      <c r="L939" s="7"/>
      <c r="M939" s="7"/>
      <c r="O939" s="5"/>
      <c r="P939" s="5"/>
    </row>
    <row r="940" spans="2:16" x14ac:dyDescent="0.25">
      <c r="B940" s="90">
        <v>2125</v>
      </c>
      <c r="C940" s="91">
        <v>0.19220242669914023</v>
      </c>
      <c r="D940" s="92">
        <v>144</v>
      </c>
      <c r="G940" s="5"/>
      <c r="H940" s="5"/>
      <c r="L940" s="7"/>
      <c r="M940" s="7"/>
      <c r="O940" s="5"/>
      <c r="P940" s="5"/>
    </row>
    <row r="941" spans="2:16" x14ac:dyDescent="0.25">
      <c r="B941" s="90">
        <v>1502</v>
      </c>
      <c r="C941" s="91">
        <v>0.26545113736654335</v>
      </c>
      <c r="D941" s="92">
        <v>144</v>
      </c>
      <c r="G941" s="5"/>
      <c r="H941" s="5"/>
      <c r="L941" s="7"/>
      <c r="M941" s="7"/>
      <c r="O941" s="5"/>
      <c r="P941" s="5"/>
    </row>
    <row r="942" spans="2:16" x14ac:dyDescent="0.25">
      <c r="B942" s="90">
        <v>1108</v>
      </c>
      <c r="C942" s="91">
        <v>0.39274263835820422</v>
      </c>
      <c r="D942" s="92">
        <v>144</v>
      </c>
      <c r="G942" s="5"/>
      <c r="H942" s="5"/>
      <c r="L942" s="7"/>
      <c r="M942" s="7"/>
      <c r="O942" s="5"/>
      <c r="P942" s="5"/>
    </row>
    <row r="943" spans="2:16" x14ac:dyDescent="0.25">
      <c r="B943" s="90">
        <v>675</v>
      </c>
      <c r="C943" s="91">
        <v>0.15361601348555221</v>
      </c>
      <c r="D943" s="92">
        <v>145</v>
      </c>
      <c r="G943" s="5"/>
      <c r="H943" s="5"/>
      <c r="L943" s="7"/>
      <c r="M943" s="7"/>
      <c r="O943" s="5"/>
      <c r="P943" s="5"/>
    </row>
    <row r="944" spans="2:16" x14ac:dyDescent="0.25">
      <c r="B944" s="90">
        <v>80</v>
      </c>
      <c r="C944" s="91">
        <v>0.22159473237186211</v>
      </c>
      <c r="D944" s="92">
        <v>145</v>
      </c>
      <c r="G944" s="5"/>
      <c r="H944" s="5"/>
      <c r="L944" s="7"/>
      <c r="M944" s="7"/>
      <c r="O944" s="5"/>
      <c r="P944" s="5"/>
    </row>
    <row r="945" spans="2:16" x14ac:dyDescent="0.25">
      <c r="B945" s="90">
        <v>1809</v>
      </c>
      <c r="C945" s="91">
        <v>0.16682518753825937</v>
      </c>
      <c r="D945" s="92">
        <v>146</v>
      </c>
      <c r="G945" s="5"/>
      <c r="H945" s="5"/>
      <c r="L945" s="7"/>
      <c r="M945" s="7"/>
      <c r="O945" s="5"/>
      <c r="P945" s="5"/>
    </row>
    <row r="946" spans="2:16" x14ac:dyDescent="0.25">
      <c r="B946" s="90">
        <v>1882</v>
      </c>
      <c r="C946" s="91">
        <v>0.1669584285324035</v>
      </c>
      <c r="D946" s="92">
        <v>146</v>
      </c>
      <c r="G946" s="5"/>
      <c r="H946" s="5"/>
      <c r="L946" s="7"/>
      <c r="M946" s="7"/>
      <c r="O946" s="5"/>
      <c r="P946" s="5"/>
    </row>
    <row r="947" spans="2:16" x14ac:dyDescent="0.25">
      <c r="B947" s="90">
        <v>144</v>
      </c>
      <c r="C947" s="91">
        <v>0.22807553605309994</v>
      </c>
      <c r="D947" s="92">
        <v>146</v>
      </c>
      <c r="G947" s="5"/>
      <c r="H947" s="5"/>
      <c r="L947" s="7"/>
      <c r="M947" s="7"/>
      <c r="O947" s="5"/>
      <c r="P947" s="5"/>
    </row>
    <row r="948" spans="2:16" x14ac:dyDescent="0.25">
      <c r="B948" s="90">
        <v>1933</v>
      </c>
      <c r="C948" s="91">
        <v>0.2689755272376575</v>
      </c>
      <c r="D948" s="92">
        <v>146</v>
      </c>
      <c r="G948" s="5"/>
      <c r="H948" s="5"/>
      <c r="L948" s="7"/>
      <c r="M948" s="7"/>
      <c r="O948" s="5"/>
      <c r="P948" s="5"/>
    </row>
    <row r="949" spans="2:16" x14ac:dyDescent="0.25">
      <c r="B949" s="90">
        <v>1327</v>
      </c>
      <c r="C949" s="91">
        <v>0.37798513211493701</v>
      </c>
      <c r="D949" s="92">
        <v>146</v>
      </c>
      <c r="G949" s="5"/>
      <c r="H949" s="5"/>
      <c r="L949" s="7"/>
      <c r="M949" s="7"/>
      <c r="O949" s="5"/>
      <c r="P949" s="5"/>
    </row>
    <row r="950" spans="2:16" x14ac:dyDescent="0.25">
      <c r="B950" s="90">
        <v>492</v>
      </c>
      <c r="C950" s="91">
        <v>0.61724846642310793</v>
      </c>
      <c r="D950" s="92">
        <v>146</v>
      </c>
      <c r="G950" s="5"/>
      <c r="H950" s="5"/>
      <c r="L950" s="7"/>
      <c r="M950" s="7"/>
      <c r="O950" s="5"/>
      <c r="P950" s="5"/>
    </row>
    <row r="951" spans="2:16" x14ac:dyDescent="0.25">
      <c r="B951" s="90">
        <v>373</v>
      </c>
      <c r="C951" s="91">
        <v>0.62150901834284378</v>
      </c>
      <c r="D951" s="92">
        <v>146</v>
      </c>
      <c r="G951" s="5"/>
      <c r="H951" s="5"/>
      <c r="L951" s="7"/>
      <c r="M951" s="7"/>
      <c r="O951" s="5"/>
      <c r="P951" s="5"/>
    </row>
    <row r="952" spans="2:16" x14ac:dyDescent="0.25">
      <c r="B952" s="90">
        <v>1408</v>
      </c>
      <c r="C952" s="91">
        <v>8.2910842708611598E-2</v>
      </c>
      <c r="D952" s="92">
        <v>147</v>
      </c>
      <c r="G952" s="5"/>
      <c r="H952" s="5"/>
      <c r="L952" s="7"/>
      <c r="M952" s="7"/>
      <c r="O952" s="5"/>
      <c r="P952" s="5"/>
    </row>
    <row r="953" spans="2:16" x14ac:dyDescent="0.25">
      <c r="B953" s="90">
        <v>1465</v>
      </c>
      <c r="C953" s="91">
        <v>0.20280765751699248</v>
      </c>
      <c r="D953" s="92">
        <v>147</v>
      </c>
      <c r="G953" s="5"/>
      <c r="H953" s="5"/>
      <c r="L953" s="7"/>
      <c r="M953" s="7"/>
      <c r="O953" s="5"/>
      <c r="P953" s="5"/>
    </row>
    <row r="954" spans="2:16" x14ac:dyDescent="0.25">
      <c r="B954" s="90">
        <v>312</v>
      </c>
      <c r="C954" s="91">
        <v>0.64544398566816119</v>
      </c>
      <c r="D954" s="92">
        <v>147</v>
      </c>
      <c r="G954" s="5"/>
      <c r="H954" s="5"/>
      <c r="L954" s="7"/>
      <c r="M954" s="7"/>
      <c r="O954" s="5"/>
      <c r="P954" s="5"/>
    </row>
    <row r="955" spans="2:16" x14ac:dyDescent="0.25">
      <c r="B955" s="90">
        <v>374</v>
      </c>
      <c r="C955" s="91">
        <v>0.67731788511464053</v>
      </c>
      <c r="D955" s="92">
        <v>147</v>
      </c>
      <c r="G955" s="5"/>
      <c r="H955" s="5"/>
      <c r="L955" s="7"/>
      <c r="M955" s="7"/>
      <c r="O955" s="5"/>
      <c r="P955" s="5"/>
    </row>
    <row r="956" spans="2:16" x14ac:dyDescent="0.25">
      <c r="B956" s="90">
        <v>375</v>
      </c>
      <c r="C956" s="91">
        <v>0.68290268339423288</v>
      </c>
      <c r="D956" s="92">
        <v>147</v>
      </c>
      <c r="G956" s="5"/>
      <c r="H956" s="5"/>
      <c r="L956" s="7"/>
      <c r="M956" s="7"/>
      <c r="O956" s="5"/>
      <c r="P956" s="5"/>
    </row>
    <row r="957" spans="2:16" x14ac:dyDescent="0.25">
      <c r="B957" s="90">
        <v>313</v>
      </c>
      <c r="C957" s="91">
        <v>0.69600378078460978</v>
      </c>
      <c r="D957" s="92">
        <v>147</v>
      </c>
      <c r="G957" s="5"/>
      <c r="H957" s="5"/>
      <c r="L957" s="7"/>
      <c r="M957" s="7"/>
      <c r="O957" s="5"/>
      <c r="P957" s="5"/>
    </row>
    <row r="958" spans="2:16" x14ac:dyDescent="0.25">
      <c r="B958" s="90">
        <v>1890</v>
      </c>
      <c r="C958" s="91">
        <v>5.4833574748522351E-2</v>
      </c>
      <c r="D958" s="92">
        <v>148</v>
      </c>
      <c r="G958" s="5"/>
      <c r="H958" s="5"/>
      <c r="L958" s="7"/>
      <c r="M958" s="7"/>
      <c r="O958" s="5"/>
      <c r="P958" s="5"/>
    </row>
    <row r="959" spans="2:16" x14ac:dyDescent="0.25">
      <c r="B959" s="90">
        <v>1932</v>
      </c>
      <c r="C959" s="91">
        <v>0.19085154665489212</v>
      </c>
      <c r="D959" s="92">
        <v>148</v>
      </c>
      <c r="G959" s="5"/>
      <c r="H959" s="5"/>
      <c r="L959" s="7"/>
      <c r="M959" s="7"/>
      <c r="O959" s="5"/>
      <c r="P959" s="5"/>
    </row>
    <row r="960" spans="2:16" x14ac:dyDescent="0.25">
      <c r="B960" s="90">
        <v>1062</v>
      </c>
      <c r="C960" s="91">
        <v>0.51461022252223765</v>
      </c>
      <c r="D960" s="92">
        <v>148</v>
      </c>
      <c r="G960" s="5"/>
      <c r="H960" s="5"/>
      <c r="L960" s="7"/>
      <c r="M960" s="7"/>
      <c r="O960" s="5"/>
      <c r="P960" s="5"/>
    </row>
    <row r="961" spans="2:16" x14ac:dyDescent="0.25">
      <c r="B961" s="90">
        <v>194</v>
      </c>
      <c r="C961" s="91">
        <v>0.88459109257331636</v>
      </c>
      <c r="D961" s="92">
        <v>148</v>
      </c>
      <c r="G961" s="5"/>
      <c r="H961" s="5"/>
      <c r="L961" s="7"/>
      <c r="M961" s="7"/>
      <c r="O961" s="5"/>
      <c r="P961" s="5"/>
    </row>
    <row r="962" spans="2:16" x14ac:dyDescent="0.25">
      <c r="B962" s="90">
        <v>1461</v>
      </c>
      <c r="C962" s="91">
        <v>0.175008646747562</v>
      </c>
      <c r="D962" s="92">
        <v>149</v>
      </c>
      <c r="G962" s="5"/>
      <c r="H962" s="5"/>
      <c r="L962" s="7"/>
      <c r="M962" s="7"/>
      <c r="O962" s="5"/>
      <c r="P962" s="5"/>
    </row>
    <row r="963" spans="2:16" x14ac:dyDescent="0.25">
      <c r="B963" s="90">
        <v>969</v>
      </c>
      <c r="C963" s="91">
        <v>0.51852136051471098</v>
      </c>
      <c r="D963" s="92">
        <v>149</v>
      </c>
      <c r="G963" s="5"/>
      <c r="H963" s="5"/>
      <c r="L963" s="7"/>
      <c r="M963" s="7"/>
      <c r="O963" s="5"/>
      <c r="P963" s="5"/>
    </row>
    <row r="964" spans="2:16" x14ac:dyDescent="0.25">
      <c r="B964" s="90">
        <v>1061</v>
      </c>
      <c r="C964" s="91">
        <v>0.5319581272406696</v>
      </c>
      <c r="D964" s="92">
        <v>149</v>
      </c>
      <c r="G964" s="5"/>
      <c r="H964" s="5"/>
      <c r="L964" s="7"/>
      <c r="M964" s="7"/>
      <c r="O964" s="5"/>
      <c r="P964" s="5"/>
    </row>
    <row r="965" spans="2:16" x14ac:dyDescent="0.25">
      <c r="B965" s="90">
        <v>868</v>
      </c>
      <c r="C965" s="91">
        <v>0.54088619779649849</v>
      </c>
      <c r="D965" s="92">
        <v>149</v>
      </c>
      <c r="G965" s="5"/>
      <c r="H965" s="5"/>
      <c r="L965" s="7"/>
      <c r="M965" s="7"/>
      <c r="O965" s="5"/>
      <c r="P965" s="5"/>
    </row>
    <row r="966" spans="2:16" x14ac:dyDescent="0.25">
      <c r="B966" s="90">
        <v>599</v>
      </c>
      <c r="C966" s="91">
        <v>0.55712640042110839</v>
      </c>
      <c r="D966" s="92">
        <v>149</v>
      </c>
      <c r="G966" s="5"/>
      <c r="H966" s="5"/>
      <c r="L966" s="7"/>
      <c r="M966" s="7"/>
      <c r="O966" s="5"/>
      <c r="P966" s="5"/>
    </row>
    <row r="967" spans="2:16" x14ac:dyDescent="0.25">
      <c r="B967" s="90">
        <v>656</v>
      </c>
      <c r="C967" s="91">
        <v>0.56766456259045683</v>
      </c>
      <c r="D967" s="92">
        <v>149</v>
      </c>
      <c r="G967" s="5"/>
      <c r="H967" s="5"/>
      <c r="L967" s="7"/>
      <c r="M967" s="7"/>
      <c r="O967" s="5"/>
      <c r="P967" s="5"/>
    </row>
    <row r="968" spans="2:16" x14ac:dyDescent="0.25">
      <c r="B968" s="90">
        <v>1725</v>
      </c>
      <c r="C968" s="91">
        <v>0.20292916375517045</v>
      </c>
      <c r="D968" s="92">
        <v>150</v>
      </c>
      <c r="G968" s="5"/>
      <c r="H968" s="5"/>
      <c r="L968" s="7"/>
      <c r="M968" s="7"/>
      <c r="O968" s="5"/>
      <c r="P968" s="5"/>
    </row>
    <row r="969" spans="2:16" x14ac:dyDescent="0.25">
      <c r="B969" s="90">
        <v>1781</v>
      </c>
      <c r="C969" s="91">
        <v>0.26131988939621165</v>
      </c>
      <c r="D969" s="92">
        <v>150</v>
      </c>
      <c r="G969" s="5"/>
      <c r="H969" s="5"/>
      <c r="L969" s="7"/>
      <c r="M969" s="7"/>
      <c r="O969" s="5"/>
      <c r="P969" s="5"/>
    </row>
    <row r="970" spans="2:16" x14ac:dyDescent="0.25">
      <c r="B970" s="90">
        <v>1753</v>
      </c>
      <c r="C970" s="91">
        <v>0.27607533786611049</v>
      </c>
      <c r="D970" s="92">
        <v>150</v>
      </c>
      <c r="G970" s="5"/>
      <c r="H970" s="5"/>
      <c r="L970" s="7"/>
      <c r="M970" s="7"/>
      <c r="O970" s="5"/>
      <c r="P970" s="5"/>
    </row>
    <row r="971" spans="2:16" x14ac:dyDescent="0.25">
      <c r="B971" s="90">
        <v>1884</v>
      </c>
      <c r="C971" s="91">
        <v>0.27976693481307247</v>
      </c>
      <c r="D971" s="92">
        <v>150</v>
      </c>
      <c r="G971" s="5"/>
      <c r="H971" s="5"/>
      <c r="L971" s="7"/>
      <c r="M971" s="7"/>
      <c r="O971" s="5"/>
      <c r="P971" s="5"/>
    </row>
    <row r="972" spans="2:16" x14ac:dyDescent="0.25">
      <c r="B972" s="90">
        <v>1930</v>
      </c>
      <c r="C972" s="91">
        <v>0.29690009019989527</v>
      </c>
      <c r="D972" s="92">
        <v>150</v>
      </c>
      <c r="G972" s="5"/>
      <c r="H972" s="5"/>
      <c r="L972" s="7"/>
      <c r="M972" s="7"/>
      <c r="O972" s="5"/>
      <c r="P972" s="5"/>
    </row>
    <row r="973" spans="2:16" x14ac:dyDescent="0.25">
      <c r="B973" s="90">
        <v>1782</v>
      </c>
      <c r="C973" s="91">
        <v>0.29850951662675795</v>
      </c>
      <c r="D973" s="92">
        <v>150</v>
      </c>
      <c r="G973" s="5"/>
      <c r="H973" s="5"/>
      <c r="L973" s="7"/>
      <c r="M973" s="7"/>
      <c r="O973" s="5"/>
      <c r="P973" s="5"/>
    </row>
    <row r="974" spans="2:16" x14ac:dyDescent="0.25">
      <c r="B974" s="90">
        <v>1929</v>
      </c>
      <c r="C974" s="91">
        <v>0.30995149321721649</v>
      </c>
      <c r="D974" s="92">
        <v>150</v>
      </c>
      <c r="G974" s="5"/>
      <c r="H974" s="5"/>
      <c r="L974" s="7"/>
      <c r="M974" s="7"/>
      <c r="O974" s="5"/>
      <c r="P974" s="5"/>
    </row>
    <row r="975" spans="2:16" x14ac:dyDescent="0.25">
      <c r="B975" s="90">
        <v>655</v>
      </c>
      <c r="C975" s="91">
        <v>0.56858844285690624</v>
      </c>
      <c r="D975" s="92">
        <v>150</v>
      </c>
      <c r="G975" s="5"/>
      <c r="H975" s="5"/>
      <c r="L975" s="7"/>
      <c r="M975" s="7"/>
      <c r="O975" s="5"/>
      <c r="P975" s="5"/>
    </row>
    <row r="976" spans="2:16" x14ac:dyDescent="0.25">
      <c r="B976" s="90">
        <v>711</v>
      </c>
      <c r="C976" s="91">
        <v>0.57145293058553015</v>
      </c>
      <c r="D976" s="92">
        <v>150</v>
      </c>
      <c r="G976" s="5"/>
      <c r="H976" s="5"/>
      <c r="L976" s="7"/>
      <c r="M976" s="7"/>
      <c r="O976" s="5"/>
      <c r="P976" s="5"/>
    </row>
    <row r="977" spans="2:16" x14ac:dyDescent="0.25">
      <c r="B977" s="90">
        <v>765</v>
      </c>
      <c r="C977" s="91">
        <v>0.57180623210483439</v>
      </c>
      <c r="D977" s="92">
        <v>150</v>
      </c>
      <c r="G977" s="5"/>
      <c r="H977" s="5"/>
      <c r="L977" s="7"/>
      <c r="M977" s="7"/>
      <c r="O977" s="5"/>
      <c r="P977" s="5"/>
    </row>
    <row r="978" spans="2:16" x14ac:dyDescent="0.25">
      <c r="B978" s="90">
        <v>1536</v>
      </c>
      <c r="C978" s="91">
        <v>0.26209850018981395</v>
      </c>
      <c r="D978" s="92">
        <v>151</v>
      </c>
      <c r="G978" s="5"/>
      <c r="H978" s="5"/>
      <c r="L978" s="7"/>
      <c r="M978" s="7"/>
      <c r="O978" s="5"/>
      <c r="P978" s="5"/>
    </row>
    <row r="979" spans="2:16" x14ac:dyDescent="0.25">
      <c r="B979" s="90">
        <v>764</v>
      </c>
      <c r="C979" s="91">
        <v>0.57116224857814279</v>
      </c>
      <c r="D979" s="92">
        <v>151</v>
      </c>
      <c r="G979" s="5"/>
      <c r="H979" s="5"/>
      <c r="L979" s="7"/>
      <c r="M979" s="7"/>
      <c r="O979" s="5"/>
      <c r="P979" s="5"/>
    </row>
    <row r="980" spans="2:16" x14ac:dyDescent="0.25">
      <c r="B980" s="90">
        <v>2135</v>
      </c>
      <c r="C980" s="91">
        <v>0.24616824027840756</v>
      </c>
      <c r="D980" s="92">
        <v>152</v>
      </c>
      <c r="G980" s="5"/>
      <c r="H980" s="5"/>
      <c r="L980" s="7"/>
      <c r="M980" s="7"/>
      <c r="O980" s="5"/>
      <c r="P980" s="5"/>
    </row>
    <row r="981" spans="2:16" x14ac:dyDescent="0.25">
      <c r="B981" s="90">
        <v>1205</v>
      </c>
      <c r="C981" s="91">
        <v>0.27657118917843193</v>
      </c>
      <c r="D981" s="92">
        <v>152</v>
      </c>
      <c r="G981" s="5"/>
      <c r="H981" s="5"/>
      <c r="L981" s="7"/>
      <c r="M981" s="7"/>
      <c r="O981" s="5"/>
      <c r="P981" s="5"/>
    </row>
    <row r="982" spans="2:16" x14ac:dyDescent="0.25">
      <c r="B982" s="90">
        <v>65</v>
      </c>
      <c r="C982" s="91">
        <v>0.81972942627407508</v>
      </c>
      <c r="D982" s="92">
        <v>152</v>
      </c>
      <c r="G982" s="5"/>
      <c r="H982" s="5"/>
      <c r="L982" s="7"/>
      <c r="M982" s="7"/>
      <c r="O982" s="5"/>
      <c r="P982" s="5"/>
    </row>
    <row r="983" spans="2:16" x14ac:dyDescent="0.25">
      <c r="B983" s="90">
        <v>66</v>
      </c>
      <c r="C983" s="91">
        <v>0.81972942627407508</v>
      </c>
      <c r="D983" s="92">
        <v>152</v>
      </c>
      <c r="G983" s="5"/>
      <c r="H983" s="5"/>
      <c r="L983" s="7"/>
      <c r="M983" s="7"/>
      <c r="O983" s="5"/>
      <c r="P983" s="5"/>
    </row>
    <row r="984" spans="2:16" x14ac:dyDescent="0.25">
      <c r="B984" s="90">
        <v>1503</v>
      </c>
      <c r="C984" s="91">
        <v>0.11336347387767631</v>
      </c>
      <c r="D984" s="92">
        <v>153</v>
      </c>
      <c r="G984" s="5"/>
      <c r="H984" s="5"/>
      <c r="L984" s="7"/>
      <c r="M984" s="7"/>
      <c r="O984" s="5"/>
      <c r="P984" s="5"/>
    </row>
    <row r="985" spans="2:16" x14ac:dyDescent="0.25">
      <c r="B985" s="90">
        <v>1506</v>
      </c>
      <c r="C985" s="91">
        <v>0.19134807275639643</v>
      </c>
      <c r="D985" s="92">
        <v>153</v>
      </c>
      <c r="G985" s="5"/>
      <c r="H985" s="5"/>
      <c r="L985" s="7"/>
      <c r="M985" s="7"/>
      <c r="O985" s="5"/>
      <c r="P985" s="5"/>
    </row>
    <row r="986" spans="2:16" x14ac:dyDescent="0.25">
      <c r="B986" s="90">
        <v>1505</v>
      </c>
      <c r="C986" s="91">
        <v>0.20563372168270277</v>
      </c>
      <c r="D986" s="92">
        <v>153</v>
      </c>
      <c r="G986" s="5"/>
      <c r="H986" s="5"/>
      <c r="L986" s="7"/>
      <c r="M986" s="7"/>
      <c r="O986" s="5"/>
      <c r="P986" s="5"/>
    </row>
    <row r="987" spans="2:16" x14ac:dyDescent="0.25">
      <c r="B987" s="90">
        <v>1734</v>
      </c>
      <c r="C987" s="91">
        <v>8.3276600577080528E-2</v>
      </c>
      <c r="D987" s="92">
        <v>154</v>
      </c>
      <c r="G987" s="5"/>
      <c r="H987" s="5"/>
      <c r="L987" s="7"/>
      <c r="M987" s="7"/>
      <c r="O987" s="5"/>
      <c r="P987" s="5"/>
    </row>
    <row r="988" spans="2:16" x14ac:dyDescent="0.25">
      <c r="B988" s="90">
        <v>1460</v>
      </c>
      <c r="C988" s="91">
        <v>0.18128358861753691</v>
      </c>
      <c r="D988" s="92">
        <v>154</v>
      </c>
      <c r="G988" s="5"/>
      <c r="H988" s="5"/>
      <c r="L988" s="7"/>
      <c r="M988" s="7"/>
      <c r="O988" s="5"/>
      <c r="P988" s="5"/>
    </row>
    <row r="989" spans="2:16" x14ac:dyDescent="0.25">
      <c r="B989" s="90">
        <v>347</v>
      </c>
      <c r="C989" s="91">
        <v>0.20958646146558524</v>
      </c>
      <c r="D989" s="92">
        <v>154</v>
      </c>
      <c r="G989" s="5"/>
      <c r="H989" s="5"/>
      <c r="L989" s="7"/>
      <c r="M989" s="7"/>
      <c r="O989" s="5"/>
      <c r="P989" s="5"/>
    </row>
    <row r="990" spans="2:16" x14ac:dyDescent="0.25">
      <c r="B990" s="90">
        <v>346</v>
      </c>
      <c r="C990" s="91">
        <v>0.21146930627020888</v>
      </c>
      <c r="D990" s="92">
        <v>154</v>
      </c>
      <c r="G990" s="5"/>
      <c r="H990" s="5"/>
      <c r="L990" s="7"/>
      <c r="M990" s="7"/>
      <c r="O990" s="5"/>
      <c r="P990" s="5"/>
    </row>
    <row r="991" spans="2:16" x14ac:dyDescent="0.25">
      <c r="B991" s="90">
        <v>286</v>
      </c>
      <c r="C991" s="91">
        <v>0.21708748280502577</v>
      </c>
      <c r="D991" s="92">
        <v>154</v>
      </c>
      <c r="G991" s="5"/>
      <c r="H991" s="5"/>
      <c r="L991" s="7"/>
      <c r="M991" s="7"/>
      <c r="O991" s="5"/>
      <c r="P991" s="5"/>
    </row>
    <row r="992" spans="2:16" x14ac:dyDescent="0.25">
      <c r="B992" s="90">
        <v>285</v>
      </c>
      <c r="C992" s="91">
        <v>0.21869018173374311</v>
      </c>
      <c r="D992" s="92">
        <v>154</v>
      </c>
      <c r="G992" s="5"/>
      <c r="H992" s="5"/>
      <c r="L992" s="7"/>
      <c r="M992" s="7"/>
      <c r="O992" s="5"/>
      <c r="P992" s="5"/>
    </row>
    <row r="993" spans="2:16" x14ac:dyDescent="0.25">
      <c r="B993" s="90">
        <v>287</v>
      </c>
      <c r="C993" s="91">
        <v>0.23342554854870279</v>
      </c>
      <c r="D993" s="92">
        <v>154</v>
      </c>
      <c r="G993" s="5"/>
      <c r="H993" s="5"/>
      <c r="L993" s="7"/>
      <c r="M993" s="7"/>
      <c r="O993" s="5"/>
      <c r="P993" s="5"/>
    </row>
    <row r="994" spans="2:16" x14ac:dyDescent="0.25">
      <c r="B994" s="90">
        <v>1396</v>
      </c>
      <c r="C994" s="91">
        <v>0.13083976122755836</v>
      </c>
      <c r="D994" s="92">
        <v>155</v>
      </c>
      <c r="G994" s="5"/>
      <c r="H994" s="5"/>
      <c r="L994" s="7"/>
      <c r="M994" s="7"/>
      <c r="O994" s="5"/>
      <c r="P994" s="5"/>
    </row>
    <row r="995" spans="2:16" x14ac:dyDescent="0.25">
      <c r="B995" s="90">
        <v>1510</v>
      </c>
      <c r="C995" s="91">
        <v>0.14173389280175386</v>
      </c>
      <c r="D995" s="92">
        <v>155</v>
      </c>
      <c r="G995" s="5"/>
      <c r="H995" s="5"/>
      <c r="L995" s="7"/>
      <c r="M995" s="7"/>
      <c r="O995" s="5"/>
      <c r="P995" s="5"/>
    </row>
    <row r="996" spans="2:16" x14ac:dyDescent="0.25">
      <c r="B996" s="90">
        <v>1476</v>
      </c>
      <c r="C996" s="91">
        <v>0.15111285531060592</v>
      </c>
      <c r="D996" s="92">
        <v>155</v>
      </c>
      <c r="G996" s="5"/>
      <c r="H996" s="5"/>
      <c r="L996" s="7"/>
      <c r="M996" s="7"/>
      <c r="O996" s="5"/>
      <c r="P996" s="5"/>
    </row>
    <row r="997" spans="2:16" x14ac:dyDescent="0.25">
      <c r="B997" s="90">
        <v>1548</v>
      </c>
      <c r="C997" s="91">
        <v>0.15114508307106633</v>
      </c>
      <c r="D997" s="92">
        <v>155</v>
      </c>
      <c r="G997" s="5"/>
      <c r="H997" s="5"/>
      <c r="L997" s="7"/>
      <c r="M997" s="7"/>
      <c r="O997" s="5"/>
      <c r="P997" s="5"/>
    </row>
    <row r="998" spans="2:16" x14ac:dyDescent="0.25">
      <c r="B998" s="90">
        <v>1583</v>
      </c>
      <c r="C998" s="91">
        <v>0.15401160929856106</v>
      </c>
      <c r="D998" s="92">
        <v>155</v>
      </c>
      <c r="G998" s="5"/>
      <c r="H998" s="5"/>
      <c r="L998" s="7"/>
      <c r="M998" s="7"/>
      <c r="O998" s="5"/>
      <c r="P998" s="5"/>
    </row>
    <row r="999" spans="2:16" x14ac:dyDescent="0.25">
      <c r="B999" s="90">
        <v>1513</v>
      </c>
      <c r="C999" s="91">
        <v>0.16932933426589869</v>
      </c>
      <c r="D999" s="92">
        <v>155</v>
      </c>
      <c r="G999" s="5"/>
      <c r="H999" s="5"/>
      <c r="L999" s="7"/>
      <c r="M999" s="7"/>
      <c r="O999" s="5"/>
      <c r="P999" s="5"/>
    </row>
    <row r="1000" spans="2:16" x14ac:dyDescent="0.25">
      <c r="B1000" s="90">
        <v>1515</v>
      </c>
      <c r="C1000" s="91">
        <v>0.18712803828959512</v>
      </c>
      <c r="D1000" s="92">
        <v>155</v>
      </c>
      <c r="G1000" s="5"/>
      <c r="H1000" s="5"/>
      <c r="L1000" s="7"/>
      <c r="M1000" s="7"/>
      <c r="O1000" s="5"/>
      <c r="P1000" s="5"/>
    </row>
    <row r="1001" spans="2:16" x14ac:dyDescent="0.25">
      <c r="B1001" s="90">
        <v>1584</v>
      </c>
      <c r="C1001" s="91">
        <v>0.19310230028945663</v>
      </c>
      <c r="D1001" s="92">
        <v>155</v>
      </c>
      <c r="G1001" s="5"/>
      <c r="H1001" s="5"/>
      <c r="L1001" s="7"/>
      <c r="M1001" s="7"/>
      <c r="O1001" s="5"/>
      <c r="P1001" s="5"/>
    </row>
    <row r="1002" spans="2:16" x14ac:dyDescent="0.25">
      <c r="B1002" s="90">
        <v>1514</v>
      </c>
      <c r="C1002" s="91">
        <v>0.19562316794841905</v>
      </c>
      <c r="D1002" s="92">
        <v>155</v>
      </c>
      <c r="G1002" s="5"/>
      <c r="H1002" s="5"/>
      <c r="L1002" s="7"/>
      <c r="M1002" s="7"/>
      <c r="O1002" s="5"/>
      <c r="P1002" s="5"/>
    </row>
    <row r="1003" spans="2:16" x14ac:dyDescent="0.25">
      <c r="B1003" s="90">
        <v>1049</v>
      </c>
      <c r="C1003" s="91">
        <v>0.20482164296465977</v>
      </c>
      <c r="D1003" s="92">
        <v>155</v>
      </c>
      <c r="G1003" s="5"/>
      <c r="H1003" s="5"/>
      <c r="L1003" s="7"/>
      <c r="M1003" s="7"/>
      <c r="O1003" s="5"/>
      <c r="P1003" s="5"/>
    </row>
    <row r="1004" spans="2:16" x14ac:dyDescent="0.25">
      <c r="B1004" s="90">
        <v>1048</v>
      </c>
      <c r="C1004" s="91">
        <v>0.21025888310299168</v>
      </c>
      <c r="D1004" s="92">
        <v>155</v>
      </c>
      <c r="G1004" s="5"/>
      <c r="H1004" s="5"/>
      <c r="L1004" s="7"/>
      <c r="M1004" s="7"/>
      <c r="O1004" s="5"/>
      <c r="P1004" s="5"/>
    </row>
    <row r="1005" spans="2:16" x14ac:dyDescent="0.25">
      <c r="B1005" s="90">
        <v>1001</v>
      </c>
      <c r="C1005" s="91">
        <v>0.24390201370223585</v>
      </c>
      <c r="D1005" s="92">
        <v>155</v>
      </c>
      <c r="G1005" s="5"/>
      <c r="H1005" s="5"/>
      <c r="L1005" s="7"/>
      <c r="M1005" s="7"/>
      <c r="O1005" s="5"/>
      <c r="P1005" s="5"/>
    </row>
    <row r="1006" spans="2:16" x14ac:dyDescent="0.25">
      <c r="B1006" s="90">
        <v>348</v>
      </c>
      <c r="C1006" s="91">
        <v>0.22611145732524995</v>
      </c>
      <c r="D1006" s="92">
        <v>156</v>
      </c>
      <c r="G1006" s="5"/>
      <c r="H1006" s="5"/>
      <c r="L1006" s="7"/>
      <c r="M1006" s="7"/>
      <c r="O1006" s="5"/>
      <c r="P1006" s="5"/>
    </row>
    <row r="1007" spans="2:16" x14ac:dyDescent="0.25">
      <c r="B1007" s="90">
        <v>350</v>
      </c>
      <c r="C1007" s="91">
        <v>0.24787669997039863</v>
      </c>
      <c r="D1007" s="92">
        <v>156</v>
      </c>
      <c r="G1007" s="5"/>
      <c r="H1007" s="5"/>
      <c r="L1007" s="7"/>
      <c r="M1007" s="7"/>
      <c r="O1007" s="5"/>
      <c r="P1007" s="5"/>
    </row>
    <row r="1008" spans="2:16" x14ac:dyDescent="0.25">
      <c r="B1008" s="90">
        <v>349</v>
      </c>
      <c r="C1008" s="91">
        <v>0.25186627879913215</v>
      </c>
      <c r="D1008" s="92">
        <v>156</v>
      </c>
      <c r="G1008" s="5"/>
      <c r="H1008" s="5"/>
      <c r="L1008" s="7"/>
      <c r="M1008" s="7"/>
      <c r="O1008" s="5"/>
      <c r="P1008" s="5"/>
    </row>
    <row r="1009" spans="2:16" x14ac:dyDescent="0.25">
      <c r="B1009" s="90">
        <v>289</v>
      </c>
      <c r="C1009" s="91">
        <v>0.255437376336903</v>
      </c>
      <c r="D1009" s="92">
        <v>156</v>
      </c>
      <c r="G1009" s="5"/>
      <c r="H1009" s="5"/>
      <c r="L1009" s="7"/>
      <c r="M1009" s="7"/>
      <c r="O1009" s="5"/>
      <c r="P1009" s="5"/>
    </row>
    <row r="1010" spans="2:16" x14ac:dyDescent="0.25">
      <c r="B1010" s="90">
        <v>288</v>
      </c>
      <c r="C1010" s="91">
        <v>0.25914960230057649</v>
      </c>
      <c r="D1010" s="92">
        <v>156</v>
      </c>
      <c r="G1010" s="5"/>
      <c r="H1010" s="5"/>
      <c r="L1010" s="7"/>
      <c r="M1010" s="7"/>
      <c r="O1010" s="5"/>
      <c r="P1010" s="5"/>
    </row>
    <row r="1011" spans="2:16" x14ac:dyDescent="0.25">
      <c r="B1011" s="90">
        <v>1398</v>
      </c>
      <c r="C1011" s="91">
        <v>0.15439696018728477</v>
      </c>
      <c r="D1011" s="92">
        <v>157</v>
      </c>
      <c r="G1011" s="5"/>
      <c r="H1011" s="5"/>
      <c r="L1011" s="7"/>
      <c r="M1011" s="7"/>
      <c r="O1011" s="5"/>
      <c r="P1011" s="5"/>
    </row>
    <row r="1012" spans="2:16" x14ac:dyDescent="0.25">
      <c r="B1012" s="90">
        <v>1142</v>
      </c>
      <c r="C1012" s="91">
        <v>0.16699640154509265</v>
      </c>
      <c r="D1012" s="92">
        <v>157</v>
      </c>
      <c r="G1012" s="5"/>
      <c r="H1012" s="5"/>
      <c r="L1012" s="7"/>
      <c r="M1012" s="7"/>
      <c r="O1012" s="5"/>
      <c r="P1012" s="5"/>
    </row>
    <row r="1013" spans="2:16" x14ac:dyDescent="0.25">
      <c r="B1013" s="90">
        <v>1141</v>
      </c>
      <c r="C1013" s="91">
        <v>0.17310430274205146</v>
      </c>
      <c r="D1013" s="92">
        <v>157</v>
      </c>
      <c r="G1013" s="5"/>
      <c r="H1013" s="5"/>
      <c r="L1013" s="7"/>
      <c r="M1013" s="7"/>
      <c r="O1013" s="5"/>
      <c r="P1013" s="5"/>
    </row>
    <row r="1014" spans="2:16" x14ac:dyDescent="0.25">
      <c r="B1014" s="90">
        <v>1439</v>
      </c>
      <c r="C1014" s="91">
        <v>0.17346543804120251</v>
      </c>
      <c r="D1014" s="92">
        <v>157</v>
      </c>
      <c r="G1014" s="5"/>
      <c r="H1014" s="5"/>
      <c r="L1014" s="7"/>
      <c r="M1014" s="7"/>
      <c r="O1014" s="5"/>
      <c r="P1014" s="5"/>
    </row>
    <row r="1015" spans="2:16" x14ac:dyDescent="0.25">
      <c r="B1015" s="90">
        <v>1440</v>
      </c>
      <c r="C1015" s="91">
        <v>0.17551767223664816</v>
      </c>
      <c r="D1015" s="92">
        <v>157</v>
      </c>
      <c r="G1015" s="5"/>
      <c r="H1015" s="5"/>
      <c r="L1015" s="7"/>
      <c r="M1015" s="7"/>
      <c r="O1015" s="5"/>
      <c r="P1015" s="5"/>
    </row>
    <row r="1016" spans="2:16" x14ac:dyDescent="0.25">
      <c r="B1016" s="90">
        <v>1097</v>
      </c>
      <c r="C1016" s="91">
        <v>0.19350082638877031</v>
      </c>
      <c r="D1016" s="92">
        <v>157</v>
      </c>
      <c r="G1016" s="5"/>
      <c r="H1016" s="5"/>
      <c r="L1016" s="7"/>
      <c r="M1016" s="7"/>
      <c r="O1016" s="5"/>
      <c r="P1016" s="5"/>
    </row>
    <row r="1017" spans="2:16" x14ac:dyDescent="0.25">
      <c r="B1017" s="90">
        <v>1143</v>
      </c>
      <c r="C1017" s="91">
        <v>0.19366202607149852</v>
      </c>
      <c r="D1017" s="92">
        <v>157</v>
      </c>
      <c r="G1017" s="5"/>
      <c r="H1017" s="5"/>
      <c r="L1017" s="7"/>
      <c r="M1017" s="7"/>
      <c r="O1017" s="5"/>
      <c r="P1017" s="5"/>
    </row>
    <row r="1018" spans="2:16" x14ac:dyDescent="0.25">
      <c r="B1018" s="90">
        <v>1098</v>
      </c>
      <c r="C1018" s="91">
        <v>0.23173775118044293</v>
      </c>
      <c r="D1018" s="92">
        <v>157</v>
      </c>
      <c r="G1018" s="5"/>
      <c r="H1018" s="5"/>
      <c r="L1018" s="7"/>
      <c r="M1018" s="7"/>
      <c r="O1018" s="5"/>
      <c r="P1018" s="5"/>
    </row>
    <row r="1019" spans="2:16" x14ac:dyDescent="0.25">
      <c r="B1019" s="90">
        <v>1144</v>
      </c>
      <c r="C1019" s="91">
        <v>0.23252525731527796</v>
      </c>
      <c r="D1019" s="92">
        <v>157</v>
      </c>
      <c r="G1019" s="5"/>
      <c r="H1019" s="5"/>
      <c r="L1019" s="7"/>
      <c r="M1019" s="7"/>
      <c r="O1019" s="5"/>
      <c r="P1019" s="5"/>
    </row>
    <row r="1020" spans="2:16" x14ac:dyDescent="0.25">
      <c r="B1020" s="90">
        <v>1099</v>
      </c>
      <c r="C1020" s="91">
        <v>0.24085341742557165</v>
      </c>
      <c r="D1020" s="92">
        <v>157</v>
      </c>
      <c r="G1020" s="5"/>
      <c r="H1020" s="5"/>
      <c r="L1020" s="7"/>
      <c r="M1020" s="7"/>
      <c r="O1020" s="5"/>
      <c r="P1020" s="5"/>
    </row>
    <row r="1021" spans="2:16" x14ac:dyDescent="0.25">
      <c r="B1021" s="90">
        <v>433</v>
      </c>
      <c r="C1021" s="91">
        <v>0.61327329859194502</v>
      </c>
      <c r="D1021" s="92">
        <v>157</v>
      </c>
      <c r="G1021" s="5"/>
      <c r="H1021" s="5"/>
      <c r="L1021" s="7"/>
      <c r="M1021" s="7"/>
      <c r="O1021" s="5"/>
      <c r="P1021" s="5"/>
    </row>
    <row r="1022" spans="2:16" x14ac:dyDescent="0.25">
      <c r="B1022" s="90">
        <v>2137</v>
      </c>
      <c r="C1022" s="91">
        <v>4.9442326096335032E-2</v>
      </c>
      <c r="D1022" s="92">
        <v>158</v>
      </c>
      <c r="G1022" s="5"/>
      <c r="H1022" s="5"/>
      <c r="L1022" s="7"/>
      <c r="M1022" s="7"/>
      <c r="O1022" s="5"/>
      <c r="P1022" s="5"/>
    </row>
    <row r="1023" spans="2:16" x14ac:dyDescent="0.25">
      <c r="B1023" s="90">
        <v>351</v>
      </c>
      <c r="C1023" s="91">
        <v>0.24066928017778511</v>
      </c>
      <c r="D1023" s="92">
        <v>158</v>
      </c>
      <c r="G1023" s="5"/>
      <c r="H1023" s="5"/>
      <c r="L1023" s="7"/>
      <c r="M1023" s="7"/>
      <c r="O1023" s="5"/>
      <c r="P1023" s="5"/>
    </row>
    <row r="1024" spans="2:16" x14ac:dyDescent="0.25">
      <c r="B1024" s="90">
        <v>290</v>
      </c>
      <c r="C1024" s="91">
        <v>0.24852749728693735</v>
      </c>
      <c r="D1024" s="92">
        <v>158</v>
      </c>
      <c r="G1024" s="5"/>
      <c r="H1024" s="5"/>
      <c r="L1024" s="7"/>
      <c r="M1024" s="7"/>
      <c r="O1024" s="5"/>
      <c r="P1024" s="5"/>
    </row>
    <row r="1025" spans="2:16" x14ac:dyDescent="0.25">
      <c r="B1025" s="90">
        <v>907</v>
      </c>
      <c r="C1025" s="91">
        <v>0.27347165420698005</v>
      </c>
      <c r="D1025" s="92">
        <v>158</v>
      </c>
      <c r="G1025" s="5"/>
      <c r="H1025" s="5"/>
      <c r="L1025" s="7"/>
      <c r="M1025" s="7"/>
      <c r="O1025" s="5"/>
      <c r="P1025" s="5"/>
    </row>
    <row r="1026" spans="2:16" x14ac:dyDescent="0.25">
      <c r="B1026" s="90">
        <v>856</v>
      </c>
      <c r="C1026" s="91">
        <v>0.2786911855249582</v>
      </c>
      <c r="D1026" s="92">
        <v>158</v>
      </c>
      <c r="G1026" s="5"/>
      <c r="H1026" s="5"/>
      <c r="L1026" s="7"/>
      <c r="M1026" s="7"/>
      <c r="O1026" s="5"/>
      <c r="P1026" s="5"/>
    </row>
    <row r="1027" spans="2:16" x14ac:dyDescent="0.25">
      <c r="B1027" s="90">
        <v>751</v>
      </c>
      <c r="C1027" s="91">
        <v>0.28009449381323637</v>
      </c>
      <c r="D1027" s="92">
        <v>158</v>
      </c>
      <c r="G1027" s="5"/>
      <c r="H1027" s="5"/>
      <c r="L1027" s="7"/>
      <c r="M1027" s="7"/>
      <c r="O1027" s="5"/>
      <c r="P1027" s="5"/>
    </row>
    <row r="1028" spans="2:16" x14ac:dyDescent="0.25">
      <c r="B1028" s="90">
        <v>697</v>
      </c>
      <c r="C1028" s="91">
        <v>0.28327248175169306</v>
      </c>
      <c r="D1028" s="92">
        <v>158</v>
      </c>
      <c r="G1028" s="5"/>
      <c r="H1028" s="5"/>
      <c r="L1028" s="7"/>
      <c r="M1028" s="7"/>
      <c r="O1028" s="5"/>
      <c r="P1028" s="5"/>
    </row>
    <row r="1029" spans="2:16" x14ac:dyDescent="0.25">
      <c r="B1029" s="90">
        <v>804</v>
      </c>
      <c r="C1029" s="91">
        <v>0.28614225107035918</v>
      </c>
      <c r="D1029" s="92">
        <v>158</v>
      </c>
      <c r="G1029" s="5"/>
      <c r="H1029" s="5"/>
      <c r="L1029" s="7"/>
      <c r="M1029" s="7"/>
      <c r="O1029" s="5"/>
      <c r="P1029" s="5"/>
    </row>
    <row r="1030" spans="2:16" x14ac:dyDescent="0.25">
      <c r="B1030" s="90">
        <v>1054</v>
      </c>
      <c r="C1030" s="91">
        <v>0.28637612681634883</v>
      </c>
      <c r="D1030" s="92">
        <v>158</v>
      </c>
      <c r="G1030" s="5"/>
      <c r="H1030" s="5"/>
      <c r="L1030" s="7"/>
      <c r="M1030" s="7"/>
      <c r="O1030" s="5"/>
      <c r="P1030" s="5"/>
    </row>
    <row r="1031" spans="2:16" x14ac:dyDescent="0.25">
      <c r="B1031" s="90">
        <v>957</v>
      </c>
      <c r="C1031" s="91">
        <v>0.28860773243022431</v>
      </c>
      <c r="D1031" s="92">
        <v>158</v>
      </c>
      <c r="G1031" s="5"/>
      <c r="H1031" s="5"/>
      <c r="L1031" s="7"/>
      <c r="M1031" s="7"/>
      <c r="O1031" s="5"/>
      <c r="P1031" s="5"/>
    </row>
    <row r="1032" spans="2:16" x14ac:dyDescent="0.25">
      <c r="B1032" s="90">
        <v>1006</v>
      </c>
      <c r="C1032" s="91">
        <v>0.32021655690846429</v>
      </c>
      <c r="D1032" s="92">
        <v>158</v>
      </c>
      <c r="G1032" s="5"/>
      <c r="H1032" s="5"/>
      <c r="L1032" s="7"/>
      <c r="M1032" s="7"/>
      <c r="O1032" s="5"/>
      <c r="P1032" s="5"/>
    </row>
    <row r="1033" spans="2:16" x14ac:dyDescent="0.25">
      <c r="B1033" s="90">
        <v>314</v>
      </c>
      <c r="C1033" s="91">
        <v>0.70113289239963095</v>
      </c>
      <c r="D1033" s="92">
        <v>158</v>
      </c>
      <c r="G1033" s="5"/>
      <c r="H1033" s="5"/>
      <c r="L1033" s="7"/>
      <c r="M1033" s="7"/>
      <c r="O1033" s="5"/>
      <c r="P1033" s="5"/>
    </row>
    <row r="1034" spans="2:16" x14ac:dyDescent="0.25">
      <c r="B1034" s="90">
        <v>2132</v>
      </c>
      <c r="C1034" s="91">
        <v>7.7107413418130433E-2</v>
      </c>
      <c r="D1034" s="92">
        <v>159</v>
      </c>
      <c r="G1034" s="5"/>
      <c r="H1034" s="5"/>
      <c r="L1034" s="7"/>
      <c r="M1034" s="7"/>
      <c r="O1034" s="5"/>
      <c r="P1034" s="5"/>
    </row>
    <row r="1035" spans="2:16" x14ac:dyDescent="0.25">
      <c r="B1035" s="90">
        <v>1371</v>
      </c>
      <c r="C1035" s="91">
        <v>0.25740741880302576</v>
      </c>
      <c r="D1035" s="92">
        <v>159</v>
      </c>
      <c r="G1035" s="5"/>
      <c r="H1035" s="5"/>
      <c r="L1035" s="7"/>
      <c r="M1035" s="7"/>
      <c r="O1035" s="5"/>
      <c r="P1035" s="5"/>
    </row>
    <row r="1036" spans="2:16" x14ac:dyDescent="0.25">
      <c r="B1036" s="90">
        <v>436</v>
      </c>
      <c r="C1036" s="91">
        <v>0.78140456732870989</v>
      </c>
      <c r="D1036" s="92">
        <v>159</v>
      </c>
      <c r="G1036" s="5"/>
      <c r="H1036" s="5"/>
      <c r="L1036" s="7"/>
      <c r="M1036" s="7"/>
      <c r="O1036" s="5"/>
      <c r="P1036" s="5"/>
    </row>
    <row r="1037" spans="2:16" x14ac:dyDescent="0.25">
      <c r="B1037" s="90">
        <v>1348</v>
      </c>
      <c r="C1037" s="91">
        <v>8.9858913852346123E-2</v>
      </c>
      <c r="D1037" s="92">
        <v>160</v>
      </c>
      <c r="G1037" s="5"/>
      <c r="H1037" s="5"/>
      <c r="L1037" s="7"/>
      <c r="M1037" s="7"/>
      <c r="O1037" s="5"/>
      <c r="P1037" s="5"/>
    </row>
    <row r="1038" spans="2:16" x14ac:dyDescent="0.25">
      <c r="B1038" s="90">
        <v>1462</v>
      </c>
      <c r="C1038" s="91">
        <v>0.17621614308443823</v>
      </c>
      <c r="D1038" s="92">
        <v>161</v>
      </c>
      <c r="G1038" s="5"/>
      <c r="H1038" s="5"/>
      <c r="L1038" s="7"/>
      <c r="M1038" s="7"/>
      <c r="O1038" s="5"/>
      <c r="P1038" s="5"/>
    </row>
    <row r="1039" spans="2:16" x14ac:dyDescent="0.25">
      <c r="B1039" s="90">
        <v>1606</v>
      </c>
      <c r="C1039" s="91">
        <v>0.38374596029970831</v>
      </c>
      <c r="D1039" s="92">
        <v>161</v>
      </c>
      <c r="G1039" s="5"/>
      <c r="H1039" s="5"/>
      <c r="L1039" s="7"/>
      <c r="M1039" s="7"/>
      <c r="O1039" s="5"/>
      <c r="P1039" s="5"/>
    </row>
    <row r="1040" spans="2:16" x14ac:dyDescent="0.25">
      <c r="B1040" s="90">
        <v>620</v>
      </c>
      <c r="C1040" s="91">
        <v>0.15153696617766554</v>
      </c>
      <c r="D1040" s="92">
        <v>162</v>
      </c>
      <c r="G1040" s="5"/>
      <c r="H1040" s="5"/>
      <c r="L1040" s="7"/>
      <c r="M1040" s="7"/>
      <c r="O1040" s="5"/>
      <c r="P1040" s="5"/>
    </row>
    <row r="1041" spans="2:16" x14ac:dyDescent="0.25">
      <c r="B1041" s="90">
        <v>564</v>
      </c>
      <c r="C1041" s="91">
        <v>0.15453805155296574</v>
      </c>
      <c r="D1041" s="92">
        <v>162</v>
      </c>
      <c r="G1041" s="5"/>
      <c r="H1041" s="5"/>
      <c r="L1041" s="7"/>
      <c r="M1041" s="7"/>
      <c r="O1041" s="5"/>
      <c r="P1041" s="5"/>
    </row>
    <row r="1042" spans="2:16" x14ac:dyDescent="0.25">
      <c r="B1042" s="90">
        <v>507</v>
      </c>
      <c r="C1042" s="91">
        <v>0.16048689430253837</v>
      </c>
      <c r="D1042" s="92">
        <v>162</v>
      </c>
      <c r="G1042" s="5"/>
      <c r="H1042" s="5"/>
      <c r="L1042" s="7"/>
      <c r="M1042" s="7"/>
      <c r="O1042" s="5"/>
      <c r="P1042" s="5"/>
    </row>
    <row r="1043" spans="2:16" x14ac:dyDescent="0.25">
      <c r="B1043" s="90">
        <v>782</v>
      </c>
      <c r="C1043" s="91">
        <v>0.16136735822917703</v>
      </c>
      <c r="D1043" s="92">
        <v>162</v>
      </c>
      <c r="G1043" s="5"/>
      <c r="H1043" s="5"/>
      <c r="L1043" s="7"/>
      <c r="M1043" s="7"/>
      <c r="O1043" s="5"/>
      <c r="P1043" s="5"/>
    </row>
    <row r="1044" spans="2:16" x14ac:dyDescent="0.25">
      <c r="B1044" s="90">
        <v>729</v>
      </c>
      <c r="C1044" s="91">
        <v>0.16448964970512914</v>
      </c>
      <c r="D1044" s="92">
        <v>162</v>
      </c>
      <c r="G1044" s="5"/>
      <c r="H1044" s="5"/>
      <c r="L1044" s="7"/>
      <c r="M1044" s="7"/>
      <c r="O1044" s="5"/>
      <c r="P1044" s="5"/>
    </row>
    <row r="1045" spans="2:16" x14ac:dyDescent="0.25">
      <c r="B1045" s="90">
        <v>449</v>
      </c>
      <c r="C1045" s="91">
        <v>0.16653263962091458</v>
      </c>
      <c r="D1045" s="92">
        <v>162</v>
      </c>
      <c r="G1045" s="5"/>
      <c r="H1045" s="5"/>
      <c r="L1045" s="7"/>
      <c r="M1045" s="7"/>
      <c r="O1045" s="5"/>
      <c r="P1045" s="5"/>
    </row>
    <row r="1046" spans="2:16" x14ac:dyDescent="0.25">
      <c r="B1046" s="90">
        <v>1868</v>
      </c>
      <c r="C1046" s="91">
        <v>0.35937540370493271</v>
      </c>
      <c r="D1046" s="92">
        <v>162</v>
      </c>
      <c r="G1046" s="5"/>
      <c r="H1046" s="5"/>
      <c r="L1046" s="7"/>
      <c r="M1046" s="7"/>
      <c r="O1046" s="5"/>
      <c r="P1046" s="5"/>
    </row>
    <row r="1047" spans="2:16" x14ac:dyDescent="0.25">
      <c r="B1047" s="90">
        <v>260</v>
      </c>
      <c r="C1047" s="91">
        <v>0.39793805867494259</v>
      </c>
      <c r="D1047" s="92">
        <v>162</v>
      </c>
      <c r="G1047" s="5"/>
      <c r="H1047" s="5"/>
      <c r="L1047" s="7"/>
      <c r="M1047" s="7"/>
      <c r="O1047" s="5"/>
      <c r="P1047" s="5"/>
    </row>
    <row r="1048" spans="2:16" x14ac:dyDescent="0.25">
      <c r="B1048" s="90">
        <v>1464</v>
      </c>
      <c r="C1048" s="91">
        <v>0.11335805160090628</v>
      </c>
      <c r="D1048" s="92">
        <v>163</v>
      </c>
      <c r="G1048" s="5"/>
      <c r="H1048" s="5"/>
      <c r="L1048" s="7"/>
      <c r="M1048" s="7"/>
      <c r="O1048" s="5"/>
      <c r="P1048" s="5"/>
    </row>
    <row r="1049" spans="2:16" x14ac:dyDescent="0.25">
      <c r="B1049" s="90">
        <v>434</v>
      </c>
      <c r="C1049" s="91">
        <v>0.63899565913132306</v>
      </c>
      <c r="D1049" s="92">
        <v>163</v>
      </c>
      <c r="G1049" s="5"/>
      <c r="H1049" s="5"/>
      <c r="L1049" s="7"/>
      <c r="M1049" s="7"/>
      <c r="O1049" s="5"/>
      <c r="P1049" s="5"/>
    </row>
    <row r="1050" spans="2:16" x14ac:dyDescent="0.25">
      <c r="B1050" s="90">
        <v>129</v>
      </c>
      <c r="C1050" s="91">
        <v>0.80214956975896401</v>
      </c>
      <c r="D1050" s="92">
        <v>163</v>
      </c>
      <c r="G1050" s="5"/>
      <c r="H1050" s="5"/>
      <c r="L1050" s="7"/>
      <c r="M1050" s="7"/>
      <c r="O1050" s="5"/>
      <c r="P1050" s="5"/>
    </row>
    <row r="1051" spans="2:16" x14ac:dyDescent="0.25">
      <c r="B1051" s="90">
        <v>1612</v>
      </c>
      <c r="C1051" s="91">
        <v>5.0841116329549574E-2</v>
      </c>
      <c r="D1051" s="92">
        <v>164</v>
      </c>
      <c r="G1051" s="5"/>
      <c r="H1051" s="5"/>
      <c r="L1051" s="7"/>
      <c r="M1051" s="7"/>
      <c r="O1051" s="5"/>
      <c r="P1051" s="5"/>
    </row>
    <row r="1052" spans="2:16" x14ac:dyDescent="0.25">
      <c r="B1052" s="90">
        <v>1646</v>
      </c>
      <c r="C1052" s="91">
        <v>6.4471755773887196E-2</v>
      </c>
      <c r="D1052" s="92">
        <v>164</v>
      </c>
      <c r="G1052" s="5"/>
      <c r="H1052" s="5"/>
      <c r="L1052" s="7"/>
      <c r="M1052" s="7"/>
      <c r="O1052" s="5"/>
      <c r="P1052" s="5"/>
    </row>
    <row r="1053" spans="2:16" x14ac:dyDescent="0.25">
      <c r="B1053" s="90">
        <v>1367</v>
      </c>
      <c r="C1053" s="91">
        <v>0.34340231124230991</v>
      </c>
      <c r="D1053" s="92">
        <v>164</v>
      </c>
      <c r="G1053" s="5"/>
      <c r="H1053" s="5"/>
      <c r="L1053" s="7"/>
      <c r="M1053" s="7"/>
      <c r="O1053" s="5"/>
      <c r="P1053" s="5"/>
    </row>
    <row r="1054" spans="2:16" x14ac:dyDescent="0.25">
      <c r="B1054" s="90">
        <v>489</v>
      </c>
      <c r="C1054" s="91">
        <v>0.58478315288807603</v>
      </c>
      <c r="D1054" s="92">
        <v>164</v>
      </c>
      <c r="G1054" s="5"/>
      <c r="H1054" s="5"/>
      <c r="L1054" s="7"/>
      <c r="M1054" s="7"/>
      <c r="O1054" s="5"/>
      <c r="P1054" s="5"/>
    </row>
    <row r="1055" spans="2:16" x14ac:dyDescent="0.25">
      <c r="B1055" s="90">
        <v>431</v>
      </c>
      <c r="C1055" s="91">
        <v>0.59849754616477602</v>
      </c>
      <c r="D1055" s="92">
        <v>164</v>
      </c>
      <c r="G1055" s="5"/>
      <c r="H1055" s="5"/>
      <c r="L1055" s="7"/>
      <c r="M1055" s="7"/>
      <c r="O1055" s="5"/>
      <c r="P1055" s="5"/>
    </row>
    <row r="1056" spans="2:16" x14ac:dyDescent="0.25">
      <c r="B1056" s="90">
        <v>432</v>
      </c>
      <c r="C1056" s="91">
        <v>0.60599538171261536</v>
      </c>
      <c r="D1056" s="92">
        <v>164</v>
      </c>
      <c r="G1056" s="5"/>
      <c r="H1056" s="5"/>
      <c r="L1056" s="7"/>
      <c r="M1056" s="7"/>
      <c r="O1056" s="5"/>
      <c r="P1056" s="5"/>
    </row>
    <row r="1057" spans="2:16" x14ac:dyDescent="0.25">
      <c r="B1057" s="90">
        <v>372</v>
      </c>
      <c r="C1057" s="91">
        <v>0.60800973148449422</v>
      </c>
      <c r="D1057" s="92">
        <v>164</v>
      </c>
      <c r="G1057" s="5"/>
      <c r="H1057" s="5"/>
      <c r="L1057" s="7"/>
      <c r="M1057" s="7"/>
      <c r="O1057" s="5"/>
      <c r="P1057" s="5"/>
    </row>
    <row r="1058" spans="2:16" x14ac:dyDescent="0.25">
      <c r="B1058" s="90">
        <v>64</v>
      </c>
      <c r="C1058" s="91">
        <v>0.80216155949119061</v>
      </c>
      <c r="D1058" s="92">
        <v>164</v>
      </c>
      <c r="G1058" s="5"/>
      <c r="H1058" s="5"/>
      <c r="L1058" s="7"/>
      <c r="M1058" s="7"/>
      <c r="O1058" s="5"/>
      <c r="P1058" s="5"/>
    </row>
    <row r="1059" spans="2:16" x14ac:dyDescent="0.25">
      <c r="B1059" s="90">
        <v>130</v>
      </c>
      <c r="C1059" s="91">
        <v>0.80216155949119061</v>
      </c>
      <c r="D1059" s="92">
        <v>164</v>
      </c>
      <c r="G1059" s="5"/>
      <c r="H1059" s="5"/>
      <c r="L1059" s="7"/>
      <c r="M1059" s="7"/>
      <c r="O1059" s="5"/>
      <c r="P1059" s="5"/>
    </row>
    <row r="1060" spans="2:16" x14ac:dyDescent="0.25">
      <c r="B1060" s="90">
        <v>1455</v>
      </c>
      <c r="C1060" s="91">
        <v>6.1990286909412329E-2</v>
      </c>
      <c r="D1060" s="92">
        <v>165</v>
      </c>
      <c r="G1060" s="5"/>
      <c r="H1060" s="5"/>
      <c r="L1060" s="7"/>
      <c r="M1060" s="7"/>
      <c r="O1060" s="5"/>
      <c r="P1060" s="5"/>
    </row>
    <row r="1061" spans="2:16" x14ac:dyDescent="0.25">
      <c r="B1061" s="90">
        <v>1288</v>
      </c>
      <c r="C1061" s="91">
        <v>7.1007719685595272E-2</v>
      </c>
      <c r="D1061" s="92">
        <v>165</v>
      </c>
      <c r="G1061" s="5"/>
      <c r="H1061" s="5"/>
      <c r="L1061" s="7"/>
      <c r="M1061" s="7"/>
      <c r="O1061" s="5"/>
      <c r="P1061" s="5"/>
    </row>
    <row r="1062" spans="2:16" x14ac:dyDescent="0.25">
      <c r="B1062" s="90">
        <v>1330</v>
      </c>
      <c r="C1062" s="91">
        <v>0.13857554124643467</v>
      </c>
      <c r="D1062" s="92">
        <v>165</v>
      </c>
      <c r="G1062" s="5"/>
      <c r="H1062" s="5"/>
      <c r="L1062" s="7"/>
      <c r="M1062" s="7"/>
      <c r="O1062" s="5"/>
      <c r="P1062" s="5"/>
    </row>
    <row r="1063" spans="2:16" x14ac:dyDescent="0.25">
      <c r="B1063" s="90">
        <v>1449</v>
      </c>
      <c r="C1063" s="91">
        <v>0.20230806603822349</v>
      </c>
      <c r="D1063" s="92">
        <v>165</v>
      </c>
      <c r="G1063" s="5"/>
      <c r="H1063" s="5"/>
      <c r="L1063" s="7"/>
      <c r="M1063" s="7"/>
      <c r="O1063" s="5"/>
      <c r="P1063" s="5"/>
    </row>
    <row r="1064" spans="2:16" x14ac:dyDescent="0.25">
      <c r="B1064" s="90">
        <v>968</v>
      </c>
      <c r="C1064" s="91">
        <v>0.40856445835657584</v>
      </c>
      <c r="D1064" s="92">
        <v>165</v>
      </c>
      <c r="G1064" s="5"/>
      <c r="H1064" s="5"/>
      <c r="L1064" s="7"/>
      <c r="M1064" s="7"/>
      <c r="O1064" s="5"/>
      <c r="P1064" s="5"/>
    </row>
    <row r="1065" spans="2:16" x14ac:dyDescent="0.25">
      <c r="B1065" s="90">
        <v>309</v>
      </c>
      <c r="C1065" s="91">
        <v>0.5958078009237705</v>
      </c>
      <c r="D1065" s="92">
        <v>165</v>
      </c>
      <c r="G1065" s="5"/>
      <c r="H1065" s="5"/>
      <c r="L1065" s="7"/>
      <c r="M1065" s="7"/>
      <c r="O1065" s="5"/>
      <c r="P1065" s="5"/>
    </row>
    <row r="1066" spans="2:16" x14ac:dyDescent="0.25">
      <c r="B1066" s="90">
        <v>490</v>
      </c>
      <c r="C1066" s="91">
        <v>0.60427143696501573</v>
      </c>
      <c r="D1066" s="92">
        <v>165</v>
      </c>
      <c r="G1066" s="5"/>
      <c r="H1066" s="5"/>
      <c r="L1066" s="7"/>
      <c r="M1066" s="7"/>
      <c r="O1066" s="5"/>
      <c r="P1066" s="5"/>
    </row>
    <row r="1067" spans="2:16" x14ac:dyDescent="0.25">
      <c r="B1067" s="90">
        <v>605</v>
      </c>
      <c r="C1067" s="91">
        <v>0.60635407593631196</v>
      </c>
      <c r="D1067" s="92">
        <v>165</v>
      </c>
      <c r="G1067" s="5"/>
      <c r="H1067" s="5"/>
      <c r="L1067" s="7"/>
      <c r="M1067" s="7"/>
      <c r="O1067" s="5"/>
      <c r="P1067" s="5"/>
    </row>
    <row r="1068" spans="2:16" x14ac:dyDescent="0.25">
      <c r="B1068" s="90">
        <v>491</v>
      </c>
      <c r="C1068" s="91">
        <v>0.61308847654284959</v>
      </c>
      <c r="D1068" s="92">
        <v>165</v>
      </c>
      <c r="G1068" s="5"/>
      <c r="H1068" s="5"/>
      <c r="L1068" s="7"/>
      <c r="M1068" s="7"/>
      <c r="O1068" s="5"/>
      <c r="P1068" s="5"/>
    </row>
    <row r="1069" spans="2:16" x14ac:dyDescent="0.25">
      <c r="B1069" s="90">
        <v>310</v>
      </c>
      <c r="C1069" s="91">
        <v>0.61719561913169518</v>
      </c>
      <c r="D1069" s="92">
        <v>165</v>
      </c>
      <c r="G1069" s="5"/>
      <c r="H1069" s="5"/>
      <c r="L1069" s="7"/>
      <c r="M1069" s="7"/>
      <c r="O1069" s="5"/>
      <c r="P1069" s="5"/>
    </row>
    <row r="1070" spans="2:16" x14ac:dyDescent="0.25">
      <c r="B1070" s="90">
        <v>660</v>
      </c>
      <c r="C1070" s="91">
        <v>0.6173451546615264</v>
      </c>
      <c r="D1070" s="92">
        <v>165</v>
      </c>
      <c r="G1070" s="5"/>
      <c r="H1070" s="5"/>
      <c r="L1070" s="7"/>
      <c r="M1070" s="7"/>
      <c r="O1070" s="5"/>
      <c r="P1070" s="5"/>
    </row>
    <row r="1071" spans="2:16" x14ac:dyDescent="0.25">
      <c r="B1071" s="90">
        <v>548</v>
      </c>
      <c r="C1071" s="91">
        <v>0.61736449864755927</v>
      </c>
      <c r="D1071" s="92">
        <v>165</v>
      </c>
      <c r="G1071" s="5"/>
      <c r="H1071" s="5"/>
      <c r="L1071" s="7"/>
      <c r="M1071" s="7"/>
      <c r="O1071" s="5"/>
      <c r="P1071" s="5"/>
    </row>
    <row r="1072" spans="2:16" x14ac:dyDescent="0.25">
      <c r="B1072" s="90">
        <v>549</v>
      </c>
      <c r="C1072" s="91">
        <v>0.62559130858384127</v>
      </c>
      <c r="D1072" s="92">
        <v>165</v>
      </c>
      <c r="G1072" s="5"/>
      <c r="H1072" s="5"/>
      <c r="L1072" s="7"/>
      <c r="M1072" s="7"/>
      <c r="O1072" s="5"/>
      <c r="P1072" s="5"/>
    </row>
    <row r="1073" spans="2:16" x14ac:dyDescent="0.25">
      <c r="B1073" s="90">
        <v>311</v>
      </c>
      <c r="C1073" s="91">
        <v>0.62890542181025544</v>
      </c>
      <c r="D1073" s="92">
        <v>165</v>
      </c>
      <c r="G1073" s="5"/>
      <c r="H1073" s="5"/>
      <c r="L1073" s="7"/>
      <c r="M1073" s="7"/>
      <c r="O1073" s="5"/>
      <c r="P1073" s="5"/>
    </row>
    <row r="1074" spans="2:16" x14ac:dyDescent="0.25">
      <c r="B1074" s="90">
        <v>922</v>
      </c>
      <c r="C1074" s="91">
        <v>0.65294002319739031</v>
      </c>
      <c r="D1074" s="92">
        <v>165</v>
      </c>
      <c r="G1074" s="5"/>
      <c r="H1074" s="5"/>
      <c r="L1074" s="7"/>
      <c r="M1074" s="7"/>
      <c r="O1074" s="5"/>
      <c r="P1074" s="5"/>
    </row>
    <row r="1075" spans="2:16" x14ac:dyDescent="0.25">
      <c r="B1075" s="90">
        <v>1000</v>
      </c>
      <c r="C1075" s="91">
        <v>0.24676887414013515</v>
      </c>
      <c r="D1075" s="92">
        <v>166</v>
      </c>
      <c r="G1075" s="5"/>
      <c r="H1075" s="5"/>
      <c r="L1075" s="7"/>
      <c r="M1075" s="7"/>
      <c r="O1075" s="5"/>
      <c r="P1075" s="5"/>
    </row>
    <row r="1076" spans="2:16" x14ac:dyDescent="0.25">
      <c r="B1076" s="90">
        <v>1002</v>
      </c>
      <c r="C1076" s="91">
        <v>0.2688359990272684</v>
      </c>
      <c r="D1076" s="92">
        <v>166</v>
      </c>
      <c r="G1076" s="5"/>
      <c r="H1076" s="5"/>
      <c r="L1076" s="7"/>
      <c r="M1076" s="7"/>
      <c r="O1076" s="5"/>
      <c r="P1076" s="5"/>
    </row>
    <row r="1077" spans="2:16" x14ac:dyDescent="0.25">
      <c r="B1077" s="90">
        <v>867</v>
      </c>
      <c r="C1077" s="91">
        <v>0.4246192866260432</v>
      </c>
      <c r="D1077" s="92">
        <v>166</v>
      </c>
      <c r="G1077" s="5"/>
      <c r="H1077" s="5"/>
      <c r="L1077" s="7"/>
      <c r="M1077" s="7"/>
      <c r="O1077" s="5"/>
      <c r="P1077" s="5"/>
    </row>
    <row r="1078" spans="2:16" x14ac:dyDescent="0.25">
      <c r="B1078" s="90">
        <v>1017</v>
      </c>
      <c r="C1078" s="91">
        <v>0.45690453217450266</v>
      </c>
      <c r="D1078" s="92">
        <v>166</v>
      </c>
      <c r="G1078" s="5"/>
      <c r="H1078" s="5"/>
      <c r="L1078" s="7"/>
      <c r="M1078" s="7"/>
      <c r="O1078" s="5"/>
      <c r="P1078" s="5"/>
    </row>
    <row r="1079" spans="2:16" x14ac:dyDescent="0.25">
      <c r="B1079" s="90">
        <v>1754</v>
      </c>
      <c r="C1079" s="91">
        <v>0.32011687488496965</v>
      </c>
      <c r="D1079" s="92">
        <v>167</v>
      </c>
      <c r="G1079" s="5"/>
      <c r="H1079" s="5"/>
      <c r="L1079" s="7"/>
      <c r="M1079" s="7"/>
      <c r="O1079" s="5"/>
      <c r="P1079" s="5"/>
    </row>
    <row r="1080" spans="2:16" x14ac:dyDescent="0.25">
      <c r="B1080" s="90">
        <v>1013</v>
      </c>
      <c r="C1080" s="91">
        <v>0.51900941112495991</v>
      </c>
      <c r="D1080" s="92">
        <v>167</v>
      </c>
      <c r="G1080" s="5"/>
      <c r="H1080" s="5"/>
      <c r="L1080" s="7"/>
      <c r="M1080" s="7"/>
      <c r="O1080" s="5"/>
      <c r="P1080" s="5"/>
    </row>
    <row r="1081" spans="2:16" x14ac:dyDescent="0.25">
      <c r="B1081" s="90">
        <v>542</v>
      </c>
      <c r="C1081" s="91">
        <v>0.54975968754577154</v>
      </c>
      <c r="D1081" s="92">
        <v>167</v>
      </c>
      <c r="G1081" s="5"/>
      <c r="H1081" s="5"/>
      <c r="L1081" s="7"/>
      <c r="M1081" s="7"/>
      <c r="O1081" s="5"/>
      <c r="P1081" s="5"/>
    </row>
    <row r="1082" spans="2:16" x14ac:dyDescent="0.25">
      <c r="B1082" s="90">
        <v>600</v>
      </c>
      <c r="C1082" s="91">
        <v>0.55604556263322169</v>
      </c>
      <c r="D1082" s="92">
        <v>167</v>
      </c>
      <c r="G1082" s="5"/>
      <c r="H1082" s="5"/>
      <c r="L1082" s="7"/>
      <c r="M1082" s="7"/>
      <c r="O1082" s="5"/>
      <c r="P1082" s="5"/>
    </row>
    <row r="1083" spans="2:16" x14ac:dyDescent="0.25">
      <c r="B1083" s="90">
        <v>1384</v>
      </c>
      <c r="C1083" s="91">
        <v>6.2374937157309129E-2</v>
      </c>
      <c r="D1083" s="92">
        <v>168</v>
      </c>
      <c r="G1083" s="5"/>
      <c r="H1083" s="5"/>
      <c r="L1083" s="7"/>
      <c r="M1083" s="7"/>
      <c r="O1083" s="5"/>
      <c r="P1083" s="5"/>
    </row>
    <row r="1084" spans="2:16" x14ac:dyDescent="0.25">
      <c r="B1084" s="90">
        <v>1712</v>
      </c>
      <c r="C1084" s="91">
        <v>6.9955542270544124E-2</v>
      </c>
      <c r="D1084" s="92">
        <v>168</v>
      </c>
      <c r="G1084" s="5"/>
      <c r="H1084" s="5"/>
      <c r="L1084" s="7"/>
      <c r="M1084" s="7"/>
      <c r="O1084" s="5"/>
      <c r="P1084" s="5"/>
    </row>
    <row r="1085" spans="2:16" x14ac:dyDescent="0.25">
      <c r="B1085" s="90">
        <v>1050</v>
      </c>
      <c r="C1085" s="91">
        <v>0.23326160211541269</v>
      </c>
      <c r="D1085" s="92">
        <v>168</v>
      </c>
      <c r="G1085" s="5"/>
      <c r="H1085" s="5"/>
      <c r="L1085" s="7"/>
      <c r="M1085" s="7"/>
      <c r="O1085" s="5"/>
      <c r="P1085" s="5"/>
    </row>
    <row r="1086" spans="2:16" x14ac:dyDescent="0.25">
      <c r="B1086" s="90">
        <v>1145</v>
      </c>
      <c r="C1086" s="91">
        <v>0.24234051555279534</v>
      </c>
      <c r="D1086" s="92">
        <v>168</v>
      </c>
      <c r="G1086" s="5"/>
      <c r="H1086" s="5"/>
      <c r="L1086" s="7"/>
      <c r="M1086" s="7"/>
      <c r="O1086" s="5"/>
      <c r="P1086" s="5"/>
    </row>
    <row r="1087" spans="2:16" x14ac:dyDescent="0.25">
      <c r="B1087" s="90">
        <v>1051</v>
      </c>
      <c r="C1087" s="91">
        <v>0.27602818187233091</v>
      </c>
      <c r="D1087" s="92">
        <v>168</v>
      </c>
      <c r="G1087" s="5"/>
      <c r="H1087" s="5"/>
      <c r="L1087" s="7"/>
      <c r="M1087" s="7"/>
      <c r="O1087" s="5"/>
      <c r="P1087" s="5"/>
    </row>
    <row r="1088" spans="2:16" x14ac:dyDescent="0.25">
      <c r="B1088" s="90">
        <v>1053</v>
      </c>
      <c r="C1088" s="91">
        <v>0.2865520271050902</v>
      </c>
      <c r="D1088" s="92">
        <v>168</v>
      </c>
      <c r="G1088" s="5"/>
      <c r="H1088" s="5"/>
      <c r="L1088" s="7"/>
      <c r="M1088" s="7"/>
      <c r="O1088" s="5"/>
      <c r="P1088" s="5"/>
    </row>
    <row r="1089" spans="2:16" x14ac:dyDescent="0.25">
      <c r="B1089" s="90">
        <v>1052</v>
      </c>
      <c r="C1089" s="91">
        <v>0.28945195343530328</v>
      </c>
      <c r="D1089" s="92">
        <v>168</v>
      </c>
      <c r="G1089" s="5"/>
      <c r="H1089" s="5"/>
      <c r="L1089" s="7"/>
      <c r="M1089" s="7"/>
      <c r="O1089" s="5"/>
      <c r="P1089" s="5"/>
    </row>
    <row r="1090" spans="2:16" x14ac:dyDescent="0.25">
      <c r="B1090" s="90">
        <v>1406</v>
      </c>
      <c r="C1090" s="91">
        <v>0.32913442826068051</v>
      </c>
      <c r="D1090" s="92">
        <v>168</v>
      </c>
      <c r="G1090" s="5"/>
      <c r="H1090" s="5"/>
      <c r="L1090" s="7"/>
      <c r="M1090" s="7"/>
      <c r="O1090" s="5"/>
      <c r="P1090" s="5"/>
    </row>
    <row r="1091" spans="2:16" x14ac:dyDescent="0.25">
      <c r="B1091" s="90">
        <v>1463</v>
      </c>
      <c r="C1091" s="91">
        <v>0.14434731253340483</v>
      </c>
      <c r="D1091" s="92">
        <v>169</v>
      </c>
      <c r="G1091" s="5"/>
      <c r="H1091" s="5"/>
      <c r="L1091" s="7"/>
      <c r="M1091" s="7"/>
      <c r="O1091" s="5"/>
      <c r="P1091" s="5"/>
    </row>
    <row r="1092" spans="2:16" x14ac:dyDescent="0.25">
      <c r="B1092" s="90">
        <v>1500</v>
      </c>
      <c r="C1092" s="91">
        <v>0.20605209367617039</v>
      </c>
      <c r="D1092" s="92">
        <v>169</v>
      </c>
      <c r="G1092" s="5"/>
      <c r="H1092" s="5"/>
      <c r="L1092" s="7"/>
      <c r="M1092" s="7"/>
      <c r="O1092" s="5"/>
      <c r="P1092" s="5"/>
    </row>
    <row r="1093" spans="2:16" x14ac:dyDescent="0.25">
      <c r="B1093" s="90">
        <v>529</v>
      </c>
      <c r="C1093" s="91">
        <v>0.27758174915966216</v>
      </c>
      <c r="D1093" s="92">
        <v>169</v>
      </c>
      <c r="G1093" s="5"/>
      <c r="H1093" s="5"/>
      <c r="L1093" s="7"/>
      <c r="M1093" s="7"/>
      <c r="O1093" s="5"/>
      <c r="P1093" s="5"/>
    </row>
    <row r="1094" spans="2:16" x14ac:dyDescent="0.25">
      <c r="B1094" s="90">
        <v>586</v>
      </c>
      <c r="C1094" s="91">
        <v>0.27939336369157441</v>
      </c>
      <c r="D1094" s="92">
        <v>169</v>
      </c>
      <c r="G1094" s="5"/>
      <c r="H1094" s="5"/>
      <c r="L1094" s="7"/>
      <c r="M1094" s="7"/>
      <c r="O1094" s="5"/>
      <c r="P1094" s="5"/>
    </row>
    <row r="1095" spans="2:16" x14ac:dyDescent="0.25">
      <c r="B1095" s="90">
        <v>642</v>
      </c>
      <c r="C1095" s="91">
        <v>0.28460725740736248</v>
      </c>
      <c r="D1095" s="92">
        <v>169</v>
      </c>
      <c r="G1095" s="5"/>
      <c r="H1095" s="5"/>
      <c r="L1095" s="7"/>
      <c r="M1095" s="7"/>
      <c r="O1095" s="5"/>
      <c r="P1095" s="5"/>
    </row>
    <row r="1096" spans="2:16" x14ac:dyDescent="0.25">
      <c r="B1096" s="90">
        <v>1571</v>
      </c>
      <c r="C1096" s="91">
        <v>0.30852712124958659</v>
      </c>
      <c r="D1096" s="92">
        <v>169</v>
      </c>
      <c r="G1096" s="5"/>
      <c r="H1096" s="5"/>
      <c r="L1096" s="7"/>
      <c r="M1096" s="7"/>
      <c r="O1096" s="5"/>
      <c r="P1096" s="5"/>
    </row>
    <row r="1097" spans="2:16" x14ac:dyDescent="0.25">
      <c r="B1097" s="90">
        <v>816</v>
      </c>
      <c r="C1097" s="91">
        <v>0.53725840882439813</v>
      </c>
      <c r="D1097" s="92">
        <v>169</v>
      </c>
      <c r="G1097" s="5"/>
      <c r="H1097" s="5"/>
      <c r="L1097" s="7"/>
      <c r="M1097" s="7"/>
      <c r="O1097" s="5"/>
      <c r="P1097" s="5"/>
    </row>
    <row r="1098" spans="2:16" x14ac:dyDescent="0.25">
      <c r="B1098" s="90">
        <v>1844</v>
      </c>
      <c r="C1098" s="91">
        <v>7.7683355671698262E-2</v>
      </c>
      <c r="D1098" s="92">
        <v>170</v>
      </c>
      <c r="G1098" s="5"/>
      <c r="H1098" s="5"/>
      <c r="L1098" s="7"/>
      <c r="M1098" s="7"/>
      <c r="O1098" s="5"/>
      <c r="P1098" s="5"/>
    </row>
    <row r="1099" spans="2:16" x14ac:dyDescent="0.25">
      <c r="B1099" s="90">
        <v>1410</v>
      </c>
      <c r="C1099" s="91">
        <v>0.23515173712413984</v>
      </c>
      <c r="D1099" s="92">
        <v>170</v>
      </c>
      <c r="G1099" s="5"/>
      <c r="H1099" s="5"/>
      <c r="L1099" s="7"/>
      <c r="M1099" s="7"/>
      <c r="O1099" s="5"/>
      <c r="P1099" s="5"/>
    </row>
    <row r="1100" spans="2:16" x14ac:dyDescent="0.25">
      <c r="B1100" s="90">
        <v>1100</v>
      </c>
      <c r="C1100" s="91">
        <v>0.2355573247439906</v>
      </c>
      <c r="D1100" s="92">
        <v>170</v>
      </c>
      <c r="G1100" s="5"/>
      <c r="H1100" s="5"/>
      <c r="L1100" s="7"/>
      <c r="M1100" s="7"/>
      <c r="O1100" s="5"/>
      <c r="P1100" s="5"/>
    </row>
    <row r="1101" spans="2:16" x14ac:dyDescent="0.25">
      <c r="B1101" s="90">
        <v>1146</v>
      </c>
      <c r="C1101" s="91">
        <v>0.23710368088968647</v>
      </c>
      <c r="D1101" s="92">
        <v>170</v>
      </c>
      <c r="G1101" s="5"/>
      <c r="H1101" s="5"/>
      <c r="L1101" s="7"/>
      <c r="M1101" s="7"/>
      <c r="O1101" s="5"/>
      <c r="P1101" s="5"/>
    </row>
    <row r="1102" spans="2:16" x14ac:dyDescent="0.25">
      <c r="B1102" s="90">
        <v>1716</v>
      </c>
      <c r="C1102" s="91">
        <v>0.26300566249687529</v>
      </c>
      <c r="D1102" s="92">
        <v>170</v>
      </c>
      <c r="G1102" s="5"/>
      <c r="H1102" s="5"/>
      <c r="L1102" s="7"/>
      <c r="M1102" s="7"/>
      <c r="O1102" s="5"/>
      <c r="P1102" s="5"/>
    </row>
    <row r="1103" spans="2:16" x14ac:dyDescent="0.25">
      <c r="B1103" s="90">
        <v>1290</v>
      </c>
      <c r="C1103" s="91">
        <v>0.28530610641562948</v>
      </c>
      <c r="D1103" s="92">
        <v>170</v>
      </c>
      <c r="G1103" s="5"/>
      <c r="H1103" s="5"/>
      <c r="L1103" s="7"/>
      <c r="M1103" s="7"/>
      <c r="O1103" s="5"/>
      <c r="P1103" s="5"/>
    </row>
    <row r="1104" spans="2:16" x14ac:dyDescent="0.25">
      <c r="B1104" s="90">
        <v>1780</v>
      </c>
      <c r="C1104" s="91">
        <v>0.29959674268706338</v>
      </c>
      <c r="D1104" s="92">
        <v>170</v>
      </c>
      <c r="G1104" s="5"/>
      <c r="H1104" s="5"/>
      <c r="L1104" s="7"/>
      <c r="M1104" s="7"/>
      <c r="O1104" s="5"/>
      <c r="P1104" s="5"/>
    </row>
    <row r="1105" spans="2:16" x14ac:dyDescent="0.25">
      <c r="B1105" s="90">
        <v>654</v>
      </c>
      <c r="C1105" s="91">
        <v>0.51904678669927862</v>
      </c>
      <c r="D1105" s="92">
        <v>170</v>
      </c>
      <c r="G1105" s="5"/>
      <c r="H1105" s="5"/>
      <c r="L1105" s="7"/>
      <c r="M1105" s="7"/>
      <c r="O1105" s="5"/>
      <c r="P1105" s="5"/>
    </row>
    <row r="1106" spans="2:16" x14ac:dyDescent="0.25">
      <c r="B1106" s="90">
        <v>763</v>
      </c>
      <c r="C1106" s="91">
        <v>0.51982163143784843</v>
      </c>
      <c r="D1106" s="92">
        <v>170</v>
      </c>
      <c r="G1106" s="5"/>
      <c r="H1106" s="5"/>
      <c r="L1106" s="7"/>
      <c r="M1106" s="7"/>
      <c r="O1106" s="5"/>
      <c r="P1106" s="5"/>
    </row>
    <row r="1107" spans="2:16" x14ac:dyDescent="0.25">
      <c r="B1107" s="90">
        <v>709</v>
      </c>
      <c r="C1107" s="91">
        <v>0.52194790727659979</v>
      </c>
      <c r="D1107" s="92">
        <v>170</v>
      </c>
      <c r="G1107" s="5"/>
      <c r="H1107" s="5"/>
      <c r="L1107" s="7"/>
      <c r="M1107" s="7"/>
      <c r="O1107" s="5"/>
      <c r="P1107" s="5"/>
    </row>
    <row r="1108" spans="2:16" x14ac:dyDescent="0.25">
      <c r="B1108" s="90">
        <v>1118</v>
      </c>
      <c r="C1108" s="91">
        <v>0.32094648897488298</v>
      </c>
      <c r="D1108" s="92">
        <v>171</v>
      </c>
      <c r="G1108" s="5"/>
      <c r="H1108" s="5"/>
      <c r="L1108" s="7"/>
      <c r="M1108" s="7"/>
      <c r="O1108" s="5"/>
      <c r="P1108" s="5"/>
    </row>
    <row r="1109" spans="2:16" x14ac:dyDescent="0.25">
      <c r="B1109" s="90">
        <v>1072</v>
      </c>
      <c r="C1109" s="91">
        <v>0.32109329825889343</v>
      </c>
      <c r="D1109" s="92">
        <v>171</v>
      </c>
      <c r="G1109" s="5"/>
      <c r="H1109" s="5"/>
      <c r="L1109" s="7"/>
      <c r="M1109" s="7"/>
      <c r="O1109" s="5"/>
      <c r="P1109" s="5"/>
    </row>
    <row r="1110" spans="2:16" x14ac:dyDescent="0.25">
      <c r="B1110" s="90">
        <v>1383</v>
      </c>
      <c r="C1110" s="91">
        <v>6.6030777704808918E-2</v>
      </c>
      <c r="D1110" s="92">
        <v>172</v>
      </c>
      <c r="G1110" s="5"/>
      <c r="H1110" s="5"/>
      <c r="L1110" s="7"/>
      <c r="M1110" s="7"/>
      <c r="O1110" s="5"/>
      <c r="P1110" s="5"/>
    </row>
    <row r="1111" spans="2:16" x14ac:dyDescent="0.25">
      <c r="B1111" s="90">
        <v>224</v>
      </c>
      <c r="C1111" s="91">
        <v>0.22404231089532045</v>
      </c>
      <c r="D1111" s="92">
        <v>172</v>
      </c>
      <c r="G1111" s="5"/>
      <c r="H1111" s="5"/>
      <c r="L1111" s="7"/>
      <c r="M1111" s="7"/>
      <c r="O1111" s="5"/>
      <c r="P1111" s="5"/>
    </row>
    <row r="1112" spans="2:16" x14ac:dyDescent="0.25">
      <c r="B1112" s="90">
        <v>952</v>
      </c>
      <c r="C1112" s="91">
        <v>0.23514922983289177</v>
      </c>
      <c r="D1112" s="92">
        <v>172</v>
      </c>
      <c r="G1112" s="5"/>
      <c r="H1112" s="5"/>
      <c r="L1112" s="7"/>
      <c r="M1112" s="7"/>
      <c r="O1112" s="5"/>
      <c r="P1112" s="5"/>
    </row>
    <row r="1113" spans="2:16" x14ac:dyDescent="0.25">
      <c r="B1113" s="90">
        <v>951</v>
      </c>
      <c r="C1113" s="91">
        <v>0.2367596520371672</v>
      </c>
      <c r="D1113" s="92">
        <v>172</v>
      </c>
      <c r="G1113" s="5"/>
      <c r="H1113" s="5"/>
      <c r="L1113" s="7"/>
      <c r="M1113" s="7"/>
      <c r="O1113" s="5"/>
      <c r="P1113" s="5"/>
    </row>
    <row r="1114" spans="2:16" x14ac:dyDescent="0.25">
      <c r="B1114" s="90">
        <v>1735</v>
      </c>
      <c r="C1114" s="91">
        <v>0.70218591667078467</v>
      </c>
      <c r="D1114" s="92">
        <v>172</v>
      </c>
      <c r="G1114" s="5"/>
      <c r="H1114" s="5"/>
      <c r="L1114" s="7"/>
      <c r="M1114" s="7"/>
      <c r="O1114" s="5"/>
      <c r="P1114" s="5"/>
    </row>
    <row r="1115" spans="2:16" x14ac:dyDescent="0.25">
      <c r="B1115" s="90">
        <v>1547</v>
      </c>
      <c r="C1115" s="91">
        <v>0.10483596200818834</v>
      </c>
      <c r="D1115" s="92">
        <v>173</v>
      </c>
      <c r="G1115" s="5"/>
      <c r="H1115" s="5"/>
      <c r="L1115" s="7"/>
      <c r="M1115" s="7"/>
      <c r="O1115" s="5"/>
      <c r="P1115" s="5"/>
    </row>
    <row r="1116" spans="2:16" x14ac:dyDescent="0.25">
      <c r="B1116" s="90">
        <v>1582</v>
      </c>
      <c r="C1116" s="91">
        <v>0.11221348314273538</v>
      </c>
      <c r="D1116" s="92">
        <v>173</v>
      </c>
      <c r="G1116" s="5"/>
      <c r="H1116" s="5"/>
      <c r="L1116" s="7"/>
      <c r="M1116" s="7"/>
      <c r="O1116" s="5"/>
      <c r="P1116" s="5"/>
    </row>
    <row r="1117" spans="2:16" x14ac:dyDescent="0.25">
      <c r="B1117" s="90">
        <v>1397</v>
      </c>
      <c r="C1117" s="91">
        <v>0.11639361292870565</v>
      </c>
      <c r="D1117" s="92">
        <v>173</v>
      </c>
      <c r="G1117" s="5"/>
      <c r="H1117" s="5"/>
      <c r="L1117" s="7"/>
      <c r="M1117" s="7"/>
      <c r="O1117" s="5"/>
      <c r="P1117" s="5"/>
    </row>
    <row r="1118" spans="2:16" x14ac:dyDescent="0.25">
      <c r="B1118" s="90">
        <v>1157</v>
      </c>
      <c r="C1118" s="91">
        <v>0.49160209848341063</v>
      </c>
      <c r="D1118" s="92">
        <v>173</v>
      </c>
      <c r="G1118" s="5"/>
      <c r="H1118" s="5"/>
      <c r="L1118" s="7"/>
      <c r="M1118" s="7"/>
      <c r="O1118" s="5"/>
      <c r="P1118" s="5"/>
    </row>
    <row r="1119" spans="2:16" x14ac:dyDescent="0.25">
      <c r="B1119" s="90">
        <v>1869</v>
      </c>
      <c r="C1119" s="91">
        <v>0.14486225898209848</v>
      </c>
      <c r="D1119" s="92">
        <v>174</v>
      </c>
      <c r="G1119" s="5"/>
      <c r="H1119" s="5"/>
      <c r="L1119" s="7"/>
      <c r="M1119" s="7"/>
      <c r="O1119" s="5"/>
      <c r="P1119" s="5"/>
    </row>
    <row r="1120" spans="2:16" x14ac:dyDescent="0.25">
      <c r="B1120" s="90">
        <v>226</v>
      </c>
      <c r="C1120" s="91">
        <v>0.27346215612621572</v>
      </c>
      <c r="D1120" s="92">
        <v>174</v>
      </c>
      <c r="G1120" s="5"/>
      <c r="H1120" s="5"/>
      <c r="L1120" s="7"/>
      <c r="M1120" s="7"/>
      <c r="O1120" s="5"/>
      <c r="P1120" s="5"/>
    </row>
    <row r="1121" spans="2:16" x14ac:dyDescent="0.25">
      <c r="B1121" s="90">
        <v>551</v>
      </c>
      <c r="C1121" s="91">
        <v>0.74990119260812049</v>
      </c>
      <c r="D1121" s="92">
        <v>174</v>
      </c>
      <c r="G1121" s="5"/>
      <c r="H1121" s="5"/>
      <c r="L1121" s="7"/>
      <c r="M1121" s="7"/>
      <c r="O1121" s="5"/>
      <c r="P1121" s="5"/>
    </row>
    <row r="1122" spans="2:16" x14ac:dyDescent="0.25">
      <c r="B1122" s="90">
        <v>102</v>
      </c>
      <c r="C1122" s="91">
        <v>0.22226307020884728</v>
      </c>
      <c r="D1122" s="92">
        <v>175</v>
      </c>
      <c r="G1122" s="5"/>
      <c r="H1122" s="5"/>
      <c r="L1122" s="7"/>
      <c r="M1122" s="7"/>
      <c r="O1122" s="5"/>
      <c r="P1122" s="5"/>
    </row>
    <row r="1123" spans="2:16" x14ac:dyDescent="0.25">
      <c r="B1123" s="90">
        <v>352</v>
      </c>
      <c r="C1123" s="91">
        <v>0.23211099627267906</v>
      </c>
      <c r="D1123" s="92">
        <v>175</v>
      </c>
      <c r="G1123" s="5"/>
      <c r="H1123" s="5"/>
      <c r="L1123" s="7"/>
      <c r="M1123" s="7"/>
      <c r="O1123" s="5"/>
      <c r="P1123" s="5"/>
    </row>
    <row r="1124" spans="2:16" x14ac:dyDescent="0.25">
      <c r="B1124" s="90">
        <v>291</v>
      </c>
      <c r="C1124" s="91">
        <v>0.24028387650948047</v>
      </c>
      <c r="D1124" s="92">
        <v>175</v>
      </c>
      <c r="G1124" s="5"/>
      <c r="H1124" s="5"/>
      <c r="L1124" s="7"/>
      <c r="M1124" s="7"/>
      <c r="O1124" s="5"/>
      <c r="P1124" s="5"/>
    </row>
    <row r="1125" spans="2:16" x14ac:dyDescent="0.25">
      <c r="B1125" s="90">
        <v>412</v>
      </c>
      <c r="C1125" s="91">
        <v>0.25667832280683289</v>
      </c>
      <c r="D1125" s="92">
        <v>175</v>
      </c>
      <c r="G1125" s="5"/>
      <c r="H1125" s="5"/>
      <c r="L1125" s="7"/>
      <c r="M1125" s="7"/>
      <c r="O1125" s="5"/>
      <c r="P1125" s="5"/>
    </row>
    <row r="1126" spans="2:16" x14ac:dyDescent="0.25">
      <c r="B1126" s="90">
        <v>471</v>
      </c>
      <c r="C1126" s="91">
        <v>0.26352267765917359</v>
      </c>
      <c r="D1126" s="92">
        <v>175</v>
      </c>
      <c r="G1126" s="5"/>
      <c r="H1126" s="5"/>
      <c r="L1126" s="7"/>
      <c r="M1126" s="7"/>
      <c r="O1126" s="5"/>
      <c r="P1126" s="5"/>
    </row>
    <row r="1127" spans="2:16" x14ac:dyDescent="0.25">
      <c r="B1127" s="90">
        <v>1283</v>
      </c>
      <c r="C1127" s="91">
        <v>0.29572401418744343</v>
      </c>
      <c r="D1127" s="92">
        <v>175</v>
      </c>
      <c r="G1127" s="5"/>
      <c r="H1127" s="5"/>
      <c r="L1127" s="7"/>
      <c r="M1127" s="7"/>
      <c r="O1127" s="5"/>
      <c r="P1127" s="5"/>
    </row>
    <row r="1128" spans="2:16" x14ac:dyDescent="0.25">
      <c r="B1128" s="90">
        <v>371</v>
      </c>
      <c r="C1128" s="91">
        <v>0.59739358956900646</v>
      </c>
      <c r="D1128" s="92">
        <v>175</v>
      </c>
      <c r="G1128" s="5"/>
      <c r="H1128" s="5"/>
      <c r="L1128" s="7"/>
      <c r="M1128" s="7"/>
      <c r="O1128" s="5"/>
      <c r="P1128" s="5"/>
    </row>
    <row r="1129" spans="2:16" x14ac:dyDescent="0.25">
      <c r="B1129" s="90">
        <v>1409</v>
      </c>
      <c r="C1129" s="91">
        <v>0.15180427208327973</v>
      </c>
      <c r="D1129" s="92">
        <v>176</v>
      </c>
      <c r="G1129" s="5"/>
      <c r="H1129" s="5"/>
      <c r="L1129" s="7"/>
      <c r="M1129" s="7"/>
      <c r="O1129" s="5"/>
      <c r="P1129" s="5"/>
    </row>
    <row r="1130" spans="2:16" x14ac:dyDescent="0.25">
      <c r="B1130" s="90">
        <v>1204</v>
      </c>
      <c r="C1130" s="91">
        <v>0.19568906641690464</v>
      </c>
      <c r="D1130" s="92">
        <v>176</v>
      </c>
      <c r="G1130" s="5"/>
      <c r="H1130" s="5"/>
      <c r="L1130" s="7"/>
      <c r="M1130" s="7"/>
      <c r="O1130" s="5"/>
      <c r="P1130" s="5"/>
    </row>
    <row r="1131" spans="2:16" x14ac:dyDescent="0.25">
      <c r="B1131" s="90">
        <v>166</v>
      </c>
      <c r="C1131" s="91">
        <v>0.21774489563543875</v>
      </c>
      <c r="D1131" s="92">
        <v>176</v>
      </c>
      <c r="G1131" s="5"/>
      <c r="H1131" s="5"/>
      <c r="L1131" s="7"/>
      <c r="M1131" s="7"/>
      <c r="O1131" s="5"/>
      <c r="P1131" s="5"/>
    </row>
    <row r="1132" spans="2:16" x14ac:dyDescent="0.25">
      <c r="B1132" s="90">
        <v>1197</v>
      </c>
      <c r="C1132" s="91">
        <v>0.25709274055241815</v>
      </c>
      <c r="D1132" s="92">
        <v>176</v>
      </c>
      <c r="G1132" s="5"/>
      <c r="H1132" s="5"/>
      <c r="L1132" s="7"/>
      <c r="M1132" s="7"/>
      <c r="O1132" s="5"/>
      <c r="P1132" s="5"/>
    </row>
    <row r="1133" spans="2:16" x14ac:dyDescent="0.25">
      <c r="B1133" s="90">
        <v>1240</v>
      </c>
      <c r="C1133" s="91">
        <v>0.31634276855693499</v>
      </c>
      <c r="D1133" s="92">
        <v>176</v>
      </c>
      <c r="G1133" s="5"/>
      <c r="H1133" s="5"/>
      <c r="L1133" s="7"/>
      <c r="M1133" s="7"/>
      <c r="O1133" s="5"/>
      <c r="P1133" s="5"/>
    </row>
    <row r="1134" spans="2:16" x14ac:dyDescent="0.25">
      <c r="B1134" s="90">
        <v>1241</v>
      </c>
      <c r="C1134" s="91">
        <v>0.34307559213890737</v>
      </c>
      <c r="D1134" s="92">
        <v>176</v>
      </c>
      <c r="G1134" s="5"/>
      <c r="H1134" s="5"/>
      <c r="L1134" s="7"/>
      <c r="M1134" s="7"/>
      <c r="O1134" s="5"/>
      <c r="P1134" s="5"/>
    </row>
    <row r="1135" spans="2:16" x14ac:dyDescent="0.25">
      <c r="B1135" s="90">
        <v>1284</v>
      </c>
      <c r="C1135" s="91">
        <v>0.35755992211885723</v>
      </c>
      <c r="D1135" s="92">
        <v>176</v>
      </c>
      <c r="G1135" s="5"/>
      <c r="H1135" s="5"/>
      <c r="L1135" s="7"/>
      <c r="M1135" s="7"/>
      <c r="O1135" s="5"/>
      <c r="P1135" s="5"/>
    </row>
    <row r="1136" spans="2:16" x14ac:dyDescent="0.25">
      <c r="B1136" s="90">
        <v>604</v>
      </c>
      <c r="C1136" s="91">
        <v>0.59699468756217788</v>
      </c>
      <c r="D1136" s="92">
        <v>176</v>
      </c>
      <c r="G1136" s="5"/>
      <c r="H1136" s="5"/>
      <c r="L1136" s="7"/>
      <c r="M1136" s="7"/>
      <c r="O1136" s="5"/>
      <c r="P1136" s="5"/>
    </row>
    <row r="1137" spans="2:16" x14ac:dyDescent="0.25">
      <c r="B1137" s="90">
        <v>547</v>
      </c>
      <c r="C1137" s="91">
        <v>0.59713149401361476</v>
      </c>
      <c r="D1137" s="92">
        <v>176</v>
      </c>
      <c r="G1137" s="5"/>
      <c r="H1137" s="5"/>
      <c r="L1137" s="7"/>
      <c r="M1137" s="7"/>
      <c r="O1137" s="5"/>
      <c r="P1137" s="5"/>
    </row>
    <row r="1138" spans="2:16" x14ac:dyDescent="0.25">
      <c r="B1138" s="90">
        <v>253</v>
      </c>
      <c r="C1138" s="91">
        <v>0.65777750913795563</v>
      </c>
      <c r="D1138" s="92">
        <v>176</v>
      </c>
      <c r="G1138" s="5"/>
      <c r="H1138" s="5"/>
      <c r="L1138" s="7"/>
      <c r="M1138" s="7"/>
      <c r="O1138" s="5"/>
      <c r="P1138" s="5"/>
    </row>
    <row r="1139" spans="2:16" x14ac:dyDescent="0.25">
      <c r="B1139" s="90">
        <v>908</v>
      </c>
      <c r="C1139" s="91">
        <v>0.26345106309066602</v>
      </c>
      <c r="D1139" s="92">
        <v>177</v>
      </c>
      <c r="G1139" s="5"/>
      <c r="H1139" s="5"/>
      <c r="L1139" s="7"/>
      <c r="M1139" s="7"/>
      <c r="O1139" s="5"/>
      <c r="P1139" s="5"/>
    </row>
    <row r="1140" spans="2:16" x14ac:dyDescent="0.25">
      <c r="B1140" s="90">
        <v>958</v>
      </c>
      <c r="C1140" s="91">
        <v>0.28061973409871654</v>
      </c>
      <c r="D1140" s="92">
        <v>177</v>
      </c>
      <c r="G1140" s="5"/>
      <c r="H1140" s="5"/>
      <c r="L1140" s="7"/>
      <c r="M1140" s="7"/>
      <c r="O1140" s="5"/>
      <c r="P1140" s="5"/>
    </row>
    <row r="1141" spans="2:16" x14ac:dyDescent="0.25">
      <c r="B1141" s="90">
        <v>975</v>
      </c>
      <c r="C1141" s="91">
        <v>0.37213331255960758</v>
      </c>
      <c r="D1141" s="92">
        <v>177</v>
      </c>
      <c r="G1141" s="5"/>
      <c r="H1141" s="5"/>
      <c r="L1141" s="7"/>
      <c r="M1141" s="7"/>
      <c r="O1141" s="5"/>
      <c r="P1141" s="5"/>
    </row>
    <row r="1142" spans="2:16" x14ac:dyDescent="0.25">
      <c r="B1142" s="90">
        <v>1385</v>
      </c>
      <c r="C1142" s="91">
        <v>6.2466289746647807E-2</v>
      </c>
      <c r="D1142" s="92">
        <v>178</v>
      </c>
      <c r="G1142" s="5"/>
      <c r="H1142" s="5"/>
      <c r="L1142" s="7"/>
      <c r="M1142" s="7"/>
      <c r="O1142" s="5"/>
      <c r="P1142" s="5"/>
    </row>
    <row r="1143" spans="2:16" x14ac:dyDescent="0.25">
      <c r="B1143" s="90">
        <v>1345</v>
      </c>
      <c r="C1143" s="91">
        <v>8.1492658535689211E-2</v>
      </c>
      <c r="D1143" s="92">
        <v>178</v>
      </c>
      <c r="G1143" s="5"/>
      <c r="H1143" s="5"/>
      <c r="L1143" s="7"/>
      <c r="M1143" s="7"/>
      <c r="O1143" s="5"/>
      <c r="P1143" s="5"/>
    </row>
    <row r="1144" spans="2:16" x14ac:dyDescent="0.25">
      <c r="B1144" s="90">
        <v>1424</v>
      </c>
      <c r="C1144" s="91">
        <v>9.4433022364745822E-2</v>
      </c>
      <c r="D1144" s="92">
        <v>178</v>
      </c>
      <c r="G1144" s="5"/>
      <c r="H1144" s="5"/>
      <c r="L1144" s="7"/>
      <c r="M1144" s="7"/>
      <c r="O1144" s="5"/>
      <c r="P1144" s="5"/>
    </row>
    <row r="1145" spans="2:16" x14ac:dyDescent="0.25">
      <c r="B1145" s="90">
        <v>1323</v>
      </c>
      <c r="C1145" s="91">
        <v>0.26834348608624459</v>
      </c>
      <c r="D1145" s="92">
        <v>178</v>
      </c>
      <c r="G1145" s="5"/>
      <c r="H1145" s="5"/>
      <c r="L1145" s="7"/>
      <c r="M1145" s="7"/>
      <c r="O1145" s="5"/>
      <c r="P1145" s="5"/>
    </row>
    <row r="1146" spans="2:16" x14ac:dyDescent="0.25">
      <c r="B1146" s="90">
        <v>259</v>
      </c>
      <c r="C1146" s="91">
        <v>0.2980704831553429</v>
      </c>
      <c r="D1146" s="92">
        <v>179</v>
      </c>
      <c r="G1146" s="5"/>
      <c r="H1146" s="5"/>
      <c r="L1146" s="7"/>
      <c r="M1146" s="7"/>
      <c r="O1146" s="5"/>
      <c r="P1146" s="5"/>
    </row>
    <row r="1147" spans="2:16" x14ac:dyDescent="0.25">
      <c r="B1147" s="90">
        <v>1199</v>
      </c>
      <c r="C1147" s="91">
        <v>0.3661530211495253</v>
      </c>
      <c r="D1147" s="92">
        <v>179</v>
      </c>
      <c r="G1147" s="5"/>
      <c r="H1147" s="5"/>
      <c r="L1147" s="7"/>
      <c r="M1147" s="7"/>
      <c r="O1147" s="5"/>
      <c r="P1147" s="5"/>
    </row>
    <row r="1148" spans="2:16" x14ac:dyDescent="0.25">
      <c r="B1148" s="90">
        <v>248</v>
      </c>
      <c r="C1148" s="91">
        <v>0.60963551420408368</v>
      </c>
      <c r="D1148" s="92">
        <v>179</v>
      </c>
      <c r="G1148" s="5"/>
      <c r="H1148" s="5"/>
      <c r="L1148" s="7"/>
      <c r="M1148" s="7"/>
      <c r="O1148" s="5"/>
      <c r="P1148" s="5"/>
    </row>
    <row r="1149" spans="2:16" x14ac:dyDescent="0.25">
      <c r="B1149" s="90">
        <v>249</v>
      </c>
      <c r="C1149" s="91">
        <v>0.61800280863286805</v>
      </c>
      <c r="D1149" s="92">
        <v>179</v>
      </c>
      <c r="G1149" s="5"/>
      <c r="H1149" s="5"/>
      <c r="L1149" s="7"/>
      <c r="M1149" s="7"/>
      <c r="O1149" s="5"/>
      <c r="P1149" s="5"/>
    </row>
    <row r="1150" spans="2:16" x14ac:dyDescent="0.25">
      <c r="B1150" s="90">
        <v>1762</v>
      </c>
      <c r="C1150" s="91">
        <v>0.10500886183066194</v>
      </c>
      <c r="D1150" s="92">
        <v>180</v>
      </c>
      <c r="G1150" s="5"/>
      <c r="H1150" s="5"/>
      <c r="L1150" s="7"/>
      <c r="M1150" s="7"/>
      <c r="O1150" s="5"/>
      <c r="P1150" s="5"/>
    </row>
    <row r="1151" spans="2:16" x14ac:dyDescent="0.25">
      <c r="B1151" s="90">
        <v>1790</v>
      </c>
      <c r="C1151" s="91">
        <v>0.12051567108981653</v>
      </c>
      <c r="D1151" s="92">
        <v>180</v>
      </c>
      <c r="G1151" s="5"/>
      <c r="H1151" s="5"/>
      <c r="L1151" s="7"/>
      <c r="M1151" s="7"/>
      <c r="O1151" s="5"/>
      <c r="P1151" s="5"/>
    </row>
    <row r="1152" spans="2:16" x14ac:dyDescent="0.25">
      <c r="B1152" s="90">
        <v>1772</v>
      </c>
      <c r="C1152" s="91">
        <v>0.28564877719487791</v>
      </c>
      <c r="D1152" s="92">
        <v>180</v>
      </c>
      <c r="G1152" s="5"/>
      <c r="H1152" s="5"/>
      <c r="L1152" s="7"/>
      <c r="M1152" s="7"/>
      <c r="O1152" s="5"/>
      <c r="P1152" s="5"/>
    </row>
    <row r="1153" spans="2:16" x14ac:dyDescent="0.25">
      <c r="B1153" s="90">
        <v>1744</v>
      </c>
      <c r="C1153" s="91">
        <v>0.29684810929797778</v>
      </c>
      <c r="D1153" s="92">
        <v>180</v>
      </c>
      <c r="G1153" s="5"/>
      <c r="H1153" s="5"/>
      <c r="L1153" s="7"/>
      <c r="M1153" s="7"/>
      <c r="O1153" s="5"/>
      <c r="P1153" s="5"/>
    </row>
    <row r="1154" spans="2:16" x14ac:dyDescent="0.25">
      <c r="B1154" s="90">
        <v>1154</v>
      </c>
      <c r="C1154" s="91">
        <v>0.37307434399638517</v>
      </c>
      <c r="D1154" s="92">
        <v>180</v>
      </c>
      <c r="G1154" s="5"/>
      <c r="H1154" s="5"/>
      <c r="L1154" s="7"/>
      <c r="M1154" s="7"/>
      <c r="O1154" s="5"/>
      <c r="P1154" s="5"/>
    </row>
    <row r="1155" spans="2:16" x14ac:dyDescent="0.25">
      <c r="B1155" s="90">
        <v>666</v>
      </c>
      <c r="C1155" s="91">
        <v>0.36460773143104785</v>
      </c>
      <c r="D1155" s="92">
        <v>181</v>
      </c>
      <c r="G1155" s="5"/>
      <c r="H1155" s="5"/>
      <c r="L1155" s="7"/>
      <c r="M1155" s="7"/>
      <c r="O1155" s="5"/>
      <c r="P1155" s="5"/>
    </row>
    <row r="1156" spans="2:16" x14ac:dyDescent="0.25">
      <c r="B1156" s="90">
        <v>773</v>
      </c>
      <c r="C1156" s="91">
        <v>0.37362328775408393</v>
      </c>
      <c r="D1156" s="92">
        <v>181</v>
      </c>
      <c r="G1156" s="5"/>
      <c r="H1156" s="5"/>
      <c r="L1156" s="7"/>
      <c r="M1156" s="7"/>
      <c r="O1156" s="5"/>
      <c r="P1156" s="5"/>
    </row>
    <row r="1157" spans="2:16" x14ac:dyDescent="0.25">
      <c r="B1157" s="90">
        <v>250</v>
      </c>
      <c r="C1157" s="91">
        <v>0.62820495034124102</v>
      </c>
      <c r="D1157" s="92">
        <v>181</v>
      </c>
      <c r="G1157" s="5"/>
      <c r="H1157" s="5"/>
      <c r="L1157" s="7"/>
      <c r="M1157" s="7"/>
      <c r="O1157" s="5"/>
      <c r="P1157" s="5"/>
    </row>
    <row r="1158" spans="2:16" x14ac:dyDescent="0.25">
      <c r="B1158" s="90">
        <v>607</v>
      </c>
      <c r="C1158" s="91">
        <v>0.74534235686023231</v>
      </c>
      <c r="D1158" s="92">
        <v>181</v>
      </c>
      <c r="G1158" s="5"/>
      <c r="H1158" s="5"/>
      <c r="L1158" s="7"/>
      <c r="M1158" s="7"/>
      <c r="O1158" s="5"/>
      <c r="P1158" s="5"/>
    </row>
    <row r="1159" spans="2:16" x14ac:dyDescent="0.25">
      <c r="B1159" s="90">
        <v>1787</v>
      </c>
      <c r="C1159" s="91">
        <v>0.181030254041324</v>
      </c>
      <c r="D1159" s="92">
        <v>182</v>
      </c>
      <c r="G1159" s="5"/>
      <c r="H1159" s="5"/>
      <c r="L1159" s="7"/>
      <c r="M1159" s="7"/>
      <c r="O1159" s="5"/>
      <c r="P1159" s="5"/>
    </row>
    <row r="1160" spans="2:16" x14ac:dyDescent="0.25">
      <c r="B1160" s="90">
        <v>1759</v>
      </c>
      <c r="C1160" s="91">
        <v>0.18107162643394026</v>
      </c>
      <c r="D1160" s="92">
        <v>182</v>
      </c>
      <c r="G1160" s="5"/>
      <c r="H1160" s="5"/>
      <c r="L1160" s="7"/>
      <c r="M1160" s="7"/>
      <c r="O1160" s="5"/>
      <c r="P1160" s="5"/>
    </row>
    <row r="1161" spans="2:16" x14ac:dyDescent="0.25">
      <c r="B1161" s="90">
        <v>1789</v>
      </c>
      <c r="C1161" s="91">
        <v>0.21757861813099177</v>
      </c>
      <c r="D1161" s="92">
        <v>182</v>
      </c>
      <c r="G1161" s="5"/>
      <c r="H1161" s="5"/>
      <c r="L1161" s="7"/>
      <c r="M1161" s="7"/>
      <c r="O1161" s="5"/>
      <c r="P1161" s="5"/>
    </row>
    <row r="1162" spans="2:16" x14ac:dyDescent="0.25">
      <c r="B1162" s="90">
        <v>1761</v>
      </c>
      <c r="C1162" s="91">
        <v>0.22046378602151551</v>
      </c>
      <c r="D1162" s="92">
        <v>182</v>
      </c>
      <c r="G1162" s="5"/>
      <c r="H1162" s="5"/>
      <c r="L1162" s="7"/>
      <c r="M1162" s="7"/>
      <c r="O1162" s="5"/>
      <c r="P1162" s="5"/>
    </row>
    <row r="1163" spans="2:16" x14ac:dyDescent="0.25">
      <c r="B1163" s="90">
        <v>914</v>
      </c>
      <c r="C1163" s="91">
        <v>0.44227618786804213</v>
      </c>
      <c r="D1163" s="92">
        <v>182</v>
      </c>
      <c r="G1163" s="5"/>
      <c r="H1163" s="5"/>
      <c r="L1163" s="7"/>
      <c r="M1163" s="7"/>
      <c r="O1163" s="5"/>
      <c r="P1163" s="5"/>
    </row>
    <row r="1164" spans="2:16" x14ac:dyDescent="0.25">
      <c r="B1164" s="90">
        <v>2127</v>
      </c>
      <c r="C1164" s="91">
        <v>0.45020276959892636</v>
      </c>
      <c r="D1164" s="92">
        <v>182</v>
      </c>
      <c r="G1164" s="5"/>
      <c r="H1164" s="5"/>
      <c r="L1164" s="7"/>
      <c r="M1164" s="7"/>
      <c r="O1164" s="5"/>
      <c r="P1164" s="5"/>
    </row>
    <row r="1165" spans="2:16" x14ac:dyDescent="0.25">
      <c r="B1165" s="90">
        <v>964</v>
      </c>
      <c r="C1165" s="91">
        <v>0.45561721243769371</v>
      </c>
      <c r="D1165" s="92">
        <v>182</v>
      </c>
      <c r="G1165" s="5"/>
      <c r="H1165" s="5"/>
      <c r="L1165" s="7"/>
      <c r="M1165" s="7"/>
      <c r="O1165" s="5"/>
      <c r="P1165" s="5"/>
    </row>
    <row r="1166" spans="2:16" x14ac:dyDescent="0.25">
      <c r="B1166" s="90">
        <v>1014</v>
      </c>
      <c r="C1166" s="91">
        <v>0.50402194797172473</v>
      </c>
      <c r="D1166" s="92">
        <v>182</v>
      </c>
      <c r="G1166" s="5"/>
      <c r="H1166" s="5"/>
      <c r="L1166" s="7"/>
      <c r="M1166" s="7"/>
      <c r="O1166" s="5"/>
      <c r="P1166" s="5"/>
    </row>
    <row r="1167" spans="2:16" x14ac:dyDescent="0.25">
      <c r="B1167" s="90">
        <v>1203</v>
      </c>
      <c r="C1167" s="91">
        <v>6.8813506766778221E-2</v>
      </c>
      <c r="D1167" s="92">
        <v>183</v>
      </c>
      <c r="G1167" s="5"/>
      <c r="H1167" s="5"/>
      <c r="L1167" s="7"/>
      <c r="M1167" s="7"/>
      <c r="O1167" s="5"/>
      <c r="P1167" s="5"/>
    </row>
    <row r="1168" spans="2:16" x14ac:dyDescent="0.25">
      <c r="B1168" s="90">
        <v>1246</v>
      </c>
      <c r="C1168" s="91">
        <v>7.4245215391825492E-2</v>
      </c>
      <c r="D1168" s="92">
        <v>183</v>
      </c>
      <c r="G1168" s="5"/>
      <c r="H1168" s="5"/>
      <c r="L1168" s="7"/>
      <c r="M1168" s="7"/>
      <c r="O1168" s="5"/>
      <c r="P1168" s="5"/>
    </row>
    <row r="1169" spans="2:16" x14ac:dyDescent="0.25">
      <c r="B1169" s="90">
        <v>1159</v>
      </c>
      <c r="C1169" s="91">
        <v>9.0810217242475844E-2</v>
      </c>
      <c r="D1169" s="92">
        <v>183</v>
      </c>
      <c r="G1169" s="5"/>
      <c r="H1169" s="5"/>
      <c r="L1169" s="7"/>
      <c r="M1169" s="7"/>
      <c r="O1169" s="5"/>
      <c r="P1169" s="5"/>
    </row>
    <row r="1170" spans="2:16" x14ac:dyDescent="0.25">
      <c r="B1170" s="90">
        <v>902</v>
      </c>
      <c r="C1170" s="91">
        <v>0.22242809433560162</v>
      </c>
      <c r="D1170" s="92">
        <v>183</v>
      </c>
      <c r="G1170" s="5"/>
      <c r="H1170" s="5"/>
      <c r="L1170" s="7"/>
      <c r="M1170" s="7"/>
      <c r="O1170" s="5"/>
      <c r="P1170" s="5"/>
    </row>
    <row r="1171" spans="2:16" x14ac:dyDescent="0.25">
      <c r="B1171" s="90">
        <v>901</v>
      </c>
      <c r="C1171" s="91">
        <v>0.22461618744253709</v>
      </c>
      <c r="D1171" s="92">
        <v>183</v>
      </c>
      <c r="G1171" s="5"/>
      <c r="H1171" s="5"/>
      <c r="L1171" s="7"/>
      <c r="M1171" s="7"/>
      <c r="O1171" s="5"/>
      <c r="P1171" s="5"/>
    </row>
    <row r="1172" spans="2:16" x14ac:dyDescent="0.25">
      <c r="B1172" s="90">
        <v>407</v>
      </c>
      <c r="C1172" s="91">
        <v>0.22644152991892597</v>
      </c>
      <c r="D1172" s="92">
        <v>183</v>
      </c>
      <c r="G1172" s="5"/>
      <c r="H1172" s="5"/>
      <c r="L1172" s="7"/>
      <c r="M1172" s="7"/>
      <c r="O1172" s="5"/>
      <c r="P1172" s="5"/>
    </row>
    <row r="1173" spans="2:16" x14ac:dyDescent="0.25">
      <c r="B1173" s="90">
        <v>223</v>
      </c>
      <c r="C1173" s="91">
        <v>0.22730608496423699</v>
      </c>
      <c r="D1173" s="92">
        <v>183</v>
      </c>
      <c r="G1173" s="5"/>
      <c r="H1173" s="5"/>
      <c r="L1173" s="7"/>
      <c r="M1173" s="7"/>
      <c r="O1173" s="5"/>
      <c r="P1173" s="5"/>
    </row>
    <row r="1174" spans="2:16" x14ac:dyDescent="0.25">
      <c r="B1174" s="90">
        <v>851</v>
      </c>
      <c r="C1174" s="91">
        <v>0.22811031642102308</v>
      </c>
      <c r="D1174" s="92">
        <v>183</v>
      </c>
      <c r="G1174" s="5"/>
      <c r="H1174" s="5"/>
      <c r="L1174" s="7"/>
      <c r="M1174" s="7"/>
      <c r="O1174" s="5"/>
      <c r="P1174" s="5"/>
    </row>
    <row r="1175" spans="2:16" x14ac:dyDescent="0.25">
      <c r="B1175" s="90">
        <v>406</v>
      </c>
      <c r="C1175" s="91">
        <v>0.22814017901912498</v>
      </c>
      <c r="D1175" s="92">
        <v>183</v>
      </c>
      <c r="G1175" s="5"/>
      <c r="H1175" s="5"/>
      <c r="L1175" s="7"/>
      <c r="M1175" s="7"/>
      <c r="O1175" s="5"/>
      <c r="P1175" s="5"/>
    </row>
    <row r="1176" spans="2:16" x14ac:dyDescent="0.25">
      <c r="B1176" s="90">
        <v>850</v>
      </c>
      <c r="C1176" s="91">
        <v>0.23022631890531298</v>
      </c>
      <c r="D1176" s="92">
        <v>183</v>
      </c>
      <c r="G1176" s="5"/>
      <c r="H1176" s="5"/>
      <c r="L1176" s="7"/>
      <c r="M1176" s="7"/>
      <c r="O1176" s="5"/>
      <c r="P1176" s="5"/>
    </row>
    <row r="1177" spans="2:16" x14ac:dyDescent="0.25">
      <c r="B1177" s="90">
        <v>746</v>
      </c>
      <c r="C1177" s="91">
        <v>0.23510211963305083</v>
      </c>
      <c r="D1177" s="92">
        <v>183</v>
      </c>
      <c r="G1177" s="5"/>
      <c r="H1177" s="5"/>
      <c r="L1177" s="7"/>
      <c r="M1177" s="7"/>
      <c r="O1177" s="5"/>
      <c r="P1177" s="5"/>
    </row>
    <row r="1178" spans="2:16" x14ac:dyDescent="0.25">
      <c r="B1178" s="90">
        <v>745</v>
      </c>
      <c r="C1178" s="91">
        <v>0.23679301103094486</v>
      </c>
      <c r="D1178" s="92">
        <v>183</v>
      </c>
      <c r="G1178" s="5"/>
      <c r="H1178" s="5"/>
      <c r="L1178" s="7"/>
      <c r="M1178" s="7"/>
      <c r="O1178" s="5"/>
      <c r="P1178" s="5"/>
    </row>
    <row r="1179" spans="2:16" x14ac:dyDescent="0.25">
      <c r="B1179" s="90">
        <v>799</v>
      </c>
      <c r="C1179" s="91">
        <v>0.23845332205919467</v>
      </c>
      <c r="D1179" s="92">
        <v>183</v>
      </c>
      <c r="G1179" s="5"/>
      <c r="H1179" s="5"/>
      <c r="L1179" s="7"/>
      <c r="M1179" s="7"/>
      <c r="O1179" s="5"/>
      <c r="P1179" s="5"/>
    </row>
    <row r="1180" spans="2:16" x14ac:dyDescent="0.25">
      <c r="B1180" s="90">
        <v>524</v>
      </c>
      <c r="C1180" s="91">
        <v>0.23845474410336664</v>
      </c>
      <c r="D1180" s="92">
        <v>183</v>
      </c>
      <c r="G1180" s="5"/>
      <c r="H1180" s="5"/>
      <c r="L1180" s="7"/>
      <c r="M1180" s="7"/>
      <c r="O1180" s="5"/>
      <c r="P1180" s="5"/>
    </row>
    <row r="1181" spans="2:16" x14ac:dyDescent="0.25">
      <c r="B1181" s="90">
        <v>581</v>
      </c>
      <c r="C1181" s="91">
        <v>0.23979987831387495</v>
      </c>
      <c r="D1181" s="92">
        <v>183</v>
      </c>
      <c r="G1181" s="5"/>
      <c r="H1181" s="5"/>
      <c r="L1181" s="7"/>
      <c r="M1181" s="7"/>
      <c r="O1181" s="5"/>
      <c r="P1181" s="5"/>
    </row>
    <row r="1182" spans="2:16" x14ac:dyDescent="0.25">
      <c r="B1182" s="90">
        <v>798</v>
      </c>
      <c r="C1182" s="91">
        <v>0.24012437012063581</v>
      </c>
      <c r="D1182" s="92">
        <v>183</v>
      </c>
      <c r="G1182" s="5"/>
      <c r="H1182" s="5"/>
      <c r="L1182" s="7"/>
      <c r="M1182" s="7"/>
      <c r="O1182" s="5"/>
      <c r="P1182" s="5"/>
    </row>
    <row r="1183" spans="2:16" x14ac:dyDescent="0.25">
      <c r="B1183" s="90">
        <v>692</v>
      </c>
      <c r="C1183" s="91">
        <v>0.24063395564816303</v>
      </c>
      <c r="D1183" s="92">
        <v>183</v>
      </c>
      <c r="G1183" s="5"/>
      <c r="H1183" s="5"/>
      <c r="L1183" s="7"/>
      <c r="M1183" s="7"/>
      <c r="O1183" s="5"/>
      <c r="P1183" s="5"/>
    </row>
    <row r="1184" spans="2:16" x14ac:dyDescent="0.25">
      <c r="B1184" s="90">
        <v>580</v>
      </c>
      <c r="C1184" s="91">
        <v>0.24110572600334002</v>
      </c>
      <c r="D1184" s="92">
        <v>183</v>
      </c>
      <c r="G1184" s="5"/>
      <c r="H1184" s="5"/>
      <c r="L1184" s="7"/>
      <c r="M1184" s="7"/>
      <c r="O1184" s="5"/>
      <c r="P1184" s="5"/>
    </row>
    <row r="1185" spans="2:16" x14ac:dyDescent="0.25">
      <c r="B1185" s="90">
        <v>691</v>
      </c>
      <c r="C1185" s="91">
        <v>0.24187481785365594</v>
      </c>
      <c r="D1185" s="92">
        <v>183</v>
      </c>
      <c r="G1185" s="5"/>
      <c r="H1185" s="5"/>
      <c r="L1185" s="7"/>
      <c r="M1185" s="7"/>
      <c r="O1185" s="5"/>
      <c r="P1185" s="5"/>
    </row>
    <row r="1186" spans="2:16" x14ac:dyDescent="0.25">
      <c r="B1186" s="90">
        <v>637</v>
      </c>
      <c r="C1186" s="91">
        <v>0.24283788533089901</v>
      </c>
      <c r="D1186" s="92">
        <v>183</v>
      </c>
      <c r="G1186" s="5"/>
      <c r="H1186" s="5"/>
      <c r="L1186" s="7"/>
      <c r="M1186" s="7"/>
      <c r="O1186" s="5"/>
      <c r="P1186" s="5"/>
    </row>
    <row r="1187" spans="2:16" x14ac:dyDescent="0.25">
      <c r="B1187" s="90">
        <v>903</v>
      </c>
      <c r="C1187" s="91">
        <v>0.24320220522112734</v>
      </c>
      <c r="D1187" s="92">
        <v>183</v>
      </c>
      <c r="G1187" s="5"/>
      <c r="H1187" s="5"/>
      <c r="L1187" s="7"/>
      <c r="M1187" s="7"/>
      <c r="O1187" s="5"/>
      <c r="P1187" s="5"/>
    </row>
    <row r="1188" spans="2:16" x14ac:dyDescent="0.25">
      <c r="B1188" s="90">
        <v>225</v>
      </c>
      <c r="C1188" s="91">
        <v>0.24361139598574799</v>
      </c>
      <c r="D1188" s="92">
        <v>183</v>
      </c>
      <c r="G1188" s="5"/>
      <c r="H1188" s="5"/>
      <c r="L1188" s="7"/>
      <c r="M1188" s="7"/>
      <c r="O1188" s="5"/>
      <c r="P1188" s="5"/>
    </row>
    <row r="1189" spans="2:16" x14ac:dyDescent="0.25">
      <c r="B1189" s="90">
        <v>408</v>
      </c>
      <c r="C1189" s="91">
        <v>0.24399836683315868</v>
      </c>
      <c r="D1189" s="92">
        <v>183</v>
      </c>
      <c r="G1189" s="5"/>
      <c r="H1189" s="5"/>
      <c r="L1189" s="7"/>
      <c r="M1189" s="7"/>
      <c r="O1189" s="5"/>
      <c r="P1189" s="5"/>
    </row>
    <row r="1190" spans="2:16" x14ac:dyDescent="0.25">
      <c r="B1190" s="90">
        <v>636</v>
      </c>
      <c r="C1190" s="91">
        <v>0.24410762712274026</v>
      </c>
      <c r="D1190" s="92">
        <v>183</v>
      </c>
      <c r="G1190" s="5"/>
      <c r="H1190" s="5"/>
      <c r="L1190" s="7"/>
      <c r="M1190" s="7"/>
      <c r="O1190" s="5"/>
      <c r="P1190" s="5"/>
    </row>
    <row r="1191" spans="2:16" x14ac:dyDescent="0.25">
      <c r="B1191" s="90">
        <v>852</v>
      </c>
      <c r="C1191" s="91">
        <v>0.24906820777682315</v>
      </c>
      <c r="D1191" s="92">
        <v>183</v>
      </c>
      <c r="G1191" s="5"/>
      <c r="H1191" s="5"/>
      <c r="L1191" s="7"/>
      <c r="M1191" s="7"/>
      <c r="O1191" s="5"/>
      <c r="P1191" s="5"/>
    </row>
    <row r="1192" spans="2:16" x14ac:dyDescent="0.25">
      <c r="B1192" s="90">
        <v>747</v>
      </c>
      <c r="C1192" s="91">
        <v>0.2547843283266874</v>
      </c>
      <c r="D1192" s="92">
        <v>183</v>
      </c>
      <c r="G1192" s="5"/>
      <c r="H1192" s="5"/>
      <c r="L1192" s="7"/>
      <c r="M1192" s="7"/>
      <c r="O1192" s="5"/>
      <c r="P1192" s="5"/>
    </row>
    <row r="1193" spans="2:16" x14ac:dyDescent="0.25">
      <c r="B1193" s="90">
        <v>953</v>
      </c>
      <c r="C1193" s="91">
        <v>0.25536534405624722</v>
      </c>
      <c r="D1193" s="92">
        <v>183</v>
      </c>
      <c r="G1193" s="5"/>
      <c r="H1193" s="5"/>
      <c r="L1193" s="7"/>
      <c r="M1193" s="7"/>
      <c r="O1193" s="5"/>
      <c r="P1193" s="5"/>
    </row>
    <row r="1194" spans="2:16" x14ac:dyDescent="0.25">
      <c r="B1194" s="90">
        <v>582</v>
      </c>
      <c r="C1194" s="91">
        <v>0.25818855734939672</v>
      </c>
      <c r="D1194" s="92">
        <v>183</v>
      </c>
      <c r="G1194" s="5"/>
      <c r="H1194" s="5"/>
      <c r="L1194" s="7"/>
      <c r="M1194" s="7"/>
      <c r="O1194" s="5"/>
      <c r="P1194" s="5"/>
    </row>
    <row r="1195" spans="2:16" x14ac:dyDescent="0.25">
      <c r="B1195" s="90">
        <v>800</v>
      </c>
      <c r="C1195" s="91">
        <v>0.25852600057216157</v>
      </c>
      <c r="D1195" s="92">
        <v>183</v>
      </c>
      <c r="G1195" s="5"/>
      <c r="H1195" s="5"/>
      <c r="L1195" s="7"/>
      <c r="M1195" s="7"/>
      <c r="O1195" s="5"/>
      <c r="P1195" s="5"/>
    </row>
    <row r="1196" spans="2:16" x14ac:dyDescent="0.25">
      <c r="B1196" s="90">
        <v>693</v>
      </c>
      <c r="C1196" s="91">
        <v>0.2593521452291071</v>
      </c>
      <c r="D1196" s="92">
        <v>183</v>
      </c>
      <c r="G1196" s="5"/>
      <c r="H1196" s="5"/>
      <c r="L1196" s="7"/>
      <c r="M1196" s="7"/>
      <c r="O1196" s="5"/>
      <c r="P1196" s="5"/>
    </row>
    <row r="1197" spans="2:16" x14ac:dyDescent="0.25">
      <c r="B1197" s="90">
        <v>638</v>
      </c>
      <c r="C1197" s="91">
        <v>0.26152742736245937</v>
      </c>
      <c r="D1197" s="92">
        <v>183</v>
      </c>
      <c r="G1197" s="5"/>
      <c r="H1197" s="5"/>
      <c r="L1197" s="7"/>
      <c r="M1197" s="7"/>
      <c r="O1197" s="5"/>
      <c r="P1197" s="5"/>
    </row>
    <row r="1198" spans="2:16" x14ac:dyDescent="0.25">
      <c r="B1198" s="90">
        <v>1003</v>
      </c>
      <c r="C1198" s="91">
        <v>0.30768955080501914</v>
      </c>
      <c r="D1198" s="92">
        <v>183</v>
      </c>
      <c r="G1198" s="5"/>
      <c r="H1198" s="5"/>
      <c r="L1198" s="7"/>
      <c r="M1198" s="7"/>
      <c r="O1198" s="5"/>
      <c r="P1198" s="5"/>
    </row>
    <row r="1199" spans="2:16" x14ac:dyDescent="0.25">
      <c r="B1199" s="90">
        <v>611</v>
      </c>
      <c r="C1199" s="91">
        <v>0.36293364997576982</v>
      </c>
      <c r="D1199" s="92">
        <v>183</v>
      </c>
      <c r="G1199" s="5"/>
      <c r="H1199" s="5"/>
      <c r="L1199" s="7"/>
      <c r="M1199" s="7"/>
      <c r="O1199" s="5"/>
      <c r="P1199" s="5"/>
    </row>
    <row r="1200" spans="2:16" x14ac:dyDescent="0.25">
      <c r="B1200" s="90">
        <v>555</v>
      </c>
      <c r="C1200" s="91">
        <v>0.36605516109573055</v>
      </c>
      <c r="D1200" s="92">
        <v>183</v>
      </c>
      <c r="G1200" s="5"/>
      <c r="H1200" s="5"/>
      <c r="L1200" s="7"/>
      <c r="M1200" s="7"/>
      <c r="O1200" s="5"/>
      <c r="P1200" s="5"/>
    </row>
    <row r="1201" spans="2:16" x14ac:dyDescent="0.25">
      <c r="B1201" s="90">
        <v>498</v>
      </c>
      <c r="C1201" s="91">
        <v>0.37446280283703492</v>
      </c>
      <c r="D1201" s="92">
        <v>183</v>
      </c>
      <c r="G1201" s="5"/>
      <c r="H1201" s="5"/>
      <c r="L1201" s="7"/>
      <c r="M1201" s="7"/>
      <c r="O1201" s="5"/>
      <c r="P1201" s="5"/>
    </row>
    <row r="1202" spans="2:16" x14ac:dyDescent="0.25">
      <c r="B1202" s="90">
        <v>440</v>
      </c>
      <c r="C1202" s="91">
        <v>0.38080310983163979</v>
      </c>
      <c r="D1202" s="92">
        <v>183</v>
      </c>
      <c r="G1202" s="5"/>
      <c r="H1202" s="5"/>
      <c r="L1202" s="7"/>
      <c r="M1202" s="7"/>
      <c r="O1202" s="5"/>
      <c r="P1202" s="5"/>
    </row>
    <row r="1203" spans="2:16" x14ac:dyDescent="0.25">
      <c r="B1203" s="90">
        <v>381</v>
      </c>
      <c r="C1203" s="91">
        <v>0.38670092434576686</v>
      </c>
      <c r="D1203" s="92">
        <v>183</v>
      </c>
      <c r="G1203" s="5"/>
      <c r="H1203" s="5"/>
      <c r="L1203" s="7"/>
      <c r="M1203" s="7"/>
      <c r="O1203" s="5"/>
      <c r="P1203" s="5"/>
    </row>
    <row r="1204" spans="2:16" x14ac:dyDescent="0.25">
      <c r="B1204" s="90">
        <v>967</v>
      </c>
      <c r="C1204" s="91">
        <v>0.40964313728226143</v>
      </c>
      <c r="D1204" s="92">
        <v>183</v>
      </c>
      <c r="G1204" s="5"/>
      <c r="H1204" s="5"/>
      <c r="L1204" s="7"/>
      <c r="M1204" s="7"/>
      <c r="O1204" s="5"/>
      <c r="P1204" s="5"/>
    </row>
    <row r="1205" spans="2:16" x14ac:dyDescent="0.25">
      <c r="B1205" s="90">
        <v>427</v>
      </c>
      <c r="C1205" s="91">
        <v>0.52869038475931796</v>
      </c>
      <c r="D1205" s="92">
        <v>183</v>
      </c>
      <c r="G1205" s="5"/>
      <c r="H1205" s="5"/>
      <c r="L1205" s="7"/>
      <c r="M1205" s="7"/>
      <c r="O1205" s="5"/>
      <c r="P1205" s="5"/>
    </row>
    <row r="1206" spans="2:16" x14ac:dyDescent="0.25">
      <c r="B1206" s="90">
        <v>1064</v>
      </c>
      <c r="C1206" s="91">
        <v>0.52922743312863341</v>
      </c>
      <c r="D1206" s="92">
        <v>183</v>
      </c>
      <c r="G1206" s="5"/>
      <c r="H1206" s="5"/>
      <c r="L1206" s="7"/>
      <c r="M1206" s="7"/>
      <c r="O1206" s="5"/>
      <c r="P1206" s="5"/>
    </row>
    <row r="1207" spans="2:16" x14ac:dyDescent="0.25">
      <c r="B1207" s="90">
        <v>306</v>
      </c>
      <c r="C1207" s="91">
        <v>0.53161357668089304</v>
      </c>
      <c r="D1207" s="92">
        <v>183</v>
      </c>
      <c r="G1207" s="5"/>
      <c r="H1207" s="5"/>
      <c r="L1207" s="7"/>
      <c r="M1207" s="7"/>
      <c r="O1207" s="5"/>
      <c r="P1207" s="5"/>
    </row>
    <row r="1208" spans="2:16" x14ac:dyDescent="0.25">
      <c r="B1208" s="90">
        <v>486</v>
      </c>
      <c r="C1208" s="91">
        <v>0.53309816877886718</v>
      </c>
      <c r="D1208" s="92">
        <v>183</v>
      </c>
      <c r="G1208" s="5"/>
      <c r="H1208" s="5"/>
      <c r="L1208" s="7"/>
      <c r="M1208" s="7"/>
      <c r="O1208" s="5"/>
      <c r="P1208" s="5"/>
    </row>
    <row r="1209" spans="2:16" x14ac:dyDescent="0.25">
      <c r="B1209" s="90">
        <v>544</v>
      </c>
      <c r="C1209" s="91">
        <v>0.54174970710208814</v>
      </c>
      <c r="D1209" s="92">
        <v>183</v>
      </c>
      <c r="G1209" s="5"/>
      <c r="H1209" s="5"/>
      <c r="L1209" s="7"/>
      <c r="M1209" s="7"/>
      <c r="O1209" s="5"/>
      <c r="P1209" s="5"/>
    </row>
    <row r="1210" spans="2:16" x14ac:dyDescent="0.25">
      <c r="B1210" s="90">
        <v>766</v>
      </c>
      <c r="C1210" s="91">
        <v>0.54270843777700717</v>
      </c>
      <c r="D1210" s="92">
        <v>183</v>
      </c>
      <c r="G1210" s="5"/>
      <c r="H1210" s="5"/>
      <c r="L1210" s="7"/>
      <c r="M1210" s="7"/>
      <c r="O1210" s="5"/>
      <c r="P1210" s="5"/>
    </row>
    <row r="1211" spans="2:16" x14ac:dyDescent="0.25">
      <c r="B1211" s="90">
        <v>601</v>
      </c>
      <c r="C1211" s="91">
        <v>0.54640812947393091</v>
      </c>
      <c r="D1211" s="92">
        <v>183</v>
      </c>
      <c r="G1211" s="5"/>
      <c r="H1211" s="5"/>
      <c r="L1211" s="7"/>
      <c r="M1211" s="7"/>
      <c r="O1211" s="5"/>
      <c r="P1211" s="5"/>
    </row>
    <row r="1212" spans="2:16" x14ac:dyDescent="0.25">
      <c r="B1212" s="90">
        <v>657</v>
      </c>
      <c r="C1212" s="91">
        <v>0.55390650613483483</v>
      </c>
      <c r="D1212" s="92">
        <v>183</v>
      </c>
      <c r="G1212" s="5"/>
      <c r="H1212" s="5"/>
      <c r="L1212" s="7"/>
      <c r="M1212" s="7"/>
      <c r="O1212" s="5"/>
      <c r="P1212" s="5"/>
    </row>
    <row r="1213" spans="2:16" x14ac:dyDescent="0.25">
      <c r="B1213" s="90">
        <v>712</v>
      </c>
      <c r="C1213" s="91">
        <v>0.55479713327254587</v>
      </c>
      <c r="D1213" s="92">
        <v>183</v>
      </c>
      <c r="G1213" s="5"/>
      <c r="H1213" s="5"/>
      <c r="L1213" s="7"/>
      <c r="M1213" s="7"/>
      <c r="O1213" s="5"/>
      <c r="P1213" s="5"/>
    </row>
    <row r="1214" spans="2:16" x14ac:dyDescent="0.25">
      <c r="B1214" s="90">
        <v>819</v>
      </c>
      <c r="C1214" s="91">
        <v>0.55634749594884358</v>
      </c>
      <c r="D1214" s="92">
        <v>183</v>
      </c>
      <c r="G1214" s="5"/>
      <c r="H1214" s="5"/>
      <c r="L1214" s="7"/>
      <c r="M1214" s="7"/>
      <c r="O1214" s="5"/>
      <c r="P1214" s="5"/>
    </row>
    <row r="1215" spans="2:16" x14ac:dyDescent="0.25">
      <c r="B1215" s="90">
        <v>428</v>
      </c>
      <c r="C1215" s="91">
        <v>0.56692257481611019</v>
      </c>
      <c r="D1215" s="92">
        <v>183</v>
      </c>
      <c r="G1215" s="5"/>
      <c r="H1215" s="5"/>
      <c r="L1215" s="7"/>
      <c r="M1215" s="7"/>
      <c r="O1215" s="5"/>
      <c r="P1215" s="5"/>
    </row>
    <row r="1216" spans="2:16" x14ac:dyDescent="0.25">
      <c r="B1216" s="90">
        <v>767</v>
      </c>
      <c r="C1216" s="91">
        <v>0.57154803735522242</v>
      </c>
      <c r="D1216" s="92">
        <v>183</v>
      </c>
      <c r="G1216" s="5"/>
      <c r="H1216" s="5"/>
      <c r="L1216" s="7"/>
      <c r="M1216" s="7"/>
      <c r="O1216" s="5"/>
      <c r="P1216" s="5"/>
    </row>
    <row r="1217" spans="2:16" x14ac:dyDescent="0.25">
      <c r="B1217" s="90">
        <v>487</v>
      </c>
      <c r="C1217" s="91">
        <v>0.57243108698519829</v>
      </c>
      <c r="D1217" s="92">
        <v>183</v>
      </c>
      <c r="G1217" s="5"/>
      <c r="H1217" s="5"/>
      <c r="L1217" s="7"/>
      <c r="M1217" s="7"/>
      <c r="O1217" s="5"/>
      <c r="P1217" s="5"/>
    </row>
    <row r="1218" spans="2:16" x14ac:dyDescent="0.25">
      <c r="B1218" s="90">
        <v>429</v>
      </c>
      <c r="C1218" s="91">
        <v>0.57303676816835691</v>
      </c>
      <c r="D1218" s="92">
        <v>183</v>
      </c>
      <c r="G1218" s="5"/>
      <c r="H1218" s="5"/>
      <c r="L1218" s="7"/>
      <c r="M1218" s="7"/>
      <c r="O1218" s="5"/>
      <c r="P1218" s="5"/>
    </row>
    <row r="1219" spans="2:16" x14ac:dyDescent="0.25">
      <c r="B1219" s="90">
        <v>307</v>
      </c>
      <c r="C1219" s="91">
        <v>0.57440386566945856</v>
      </c>
      <c r="D1219" s="92">
        <v>183</v>
      </c>
      <c r="G1219" s="5"/>
      <c r="H1219" s="5"/>
      <c r="L1219" s="7"/>
      <c r="M1219" s="7"/>
      <c r="O1219" s="5"/>
      <c r="P1219" s="5"/>
    </row>
    <row r="1220" spans="2:16" x14ac:dyDescent="0.25">
      <c r="B1220" s="90">
        <v>488</v>
      </c>
      <c r="C1220" s="91">
        <v>0.57867359487325343</v>
      </c>
      <c r="D1220" s="92">
        <v>183</v>
      </c>
      <c r="G1220" s="5"/>
      <c r="H1220" s="5"/>
      <c r="L1220" s="7"/>
      <c r="M1220" s="7"/>
      <c r="O1220" s="5"/>
      <c r="P1220" s="5"/>
    </row>
    <row r="1221" spans="2:16" x14ac:dyDescent="0.25">
      <c r="B1221" s="90">
        <v>308</v>
      </c>
      <c r="C1221" s="91">
        <v>0.5819873453260046</v>
      </c>
      <c r="D1221" s="92">
        <v>183</v>
      </c>
      <c r="G1221" s="5"/>
      <c r="H1221" s="5"/>
      <c r="L1221" s="7"/>
      <c r="M1221" s="7"/>
      <c r="O1221" s="5"/>
      <c r="P1221" s="5"/>
    </row>
    <row r="1222" spans="2:16" x14ac:dyDescent="0.25">
      <c r="B1222" s="90">
        <v>545</v>
      </c>
      <c r="C1222" s="91">
        <v>0.5852199110126689</v>
      </c>
      <c r="D1222" s="92">
        <v>183</v>
      </c>
      <c r="G1222" s="5"/>
      <c r="H1222" s="5"/>
      <c r="L1222" s="7"/>
      <c r="M1222" s="7"/>
      <c r="O1222" s="5"/>
      <c r="P1222" s="5"/>
    </row>
    <row r="1223" spans="2:16" x14ac:dyDescent="0.25">
      <c r="B1223" s="90">
        <v>602</v>
      </c>
      <c r="C1223" s="91">
        <v>0.58665097605100336</v>
      </c>
      <c r="D1223" s="92">
        <v>183</v>
      </c>
      <c r="G1223" s="5"/>
      <c r="H1223" s="5"/>
      <c r="L1223" s="7"/>
      <c r="M1223" s="7"/>
      <c r="O1223" s="5"/>
      <c r="P1223" s="5"/>
    </row>
    <row r="1224" spans="2:16" x14ac:dyDescent="0.25">
      <c r="B1224" s="90">
        <v>546</v>
      </c>
      <c r="C1224" s="91">
        <v>0.59201766525598043</v>
      </c>
      <c r="D1224" s="92">
        <v>183</v>
      </c>
      <c r="G1224" s="5"/>
      <c r="H1224" s="5"/>
      <c r="L1224" s="7"/>
      <c r="M1224" s="7"/>
      <c r="O1224" s="5"/>
      <c r="P1224" s="5"/>
    </row>
    <row r="1225" spans="2:16" x14ac:dyDescent="0.25">
      <c r="B1225" s="90">
        <v>603</v>
      </c>
      <c r="C1225" s="91">
        <v>0.59341593426954808</v>
      </c>
      <c r="D1225" s="92">
        <v>183</v>
      </c>
      <c r="G1225" s="5"/>
      <c r="H1225" s="5"/>
      <c r="L1225" s="7"/>
      <c r="M1225" s="7"/>
      <c r="O1225" s="5"/>
      <c r="P1225" s="5"/>
    </row>
    <row r="1226" spans="2:16" x14ac:dyDescent="0.25">
      <c r="B1226" s="90">
        <v>658</v>
      </c>
      <c r="C1226" s="91">
        <v>0.60293485311264872</v>
      </c>
      <c r="D1226" s="92">
        <v>183</v>
      </c>
      <c r="G1226" s="5"/>
      <c r="H1226" s="5"/>
      <c r="L1226" s="7"/>
      <c r="M1226" s="7"/>
      <c r="O1226" s="5"/>
      <c r="P1226" s="5"/>
    </row>
    <row r="1227" spans="2:16" x14ac:dyDescent="0.25">
      <c r="B1227" s="90">
        <v>713</v>
      </c>
      <c r="C1227" s="91">
        <v>0.60759202809312729</v>
      </c>
      <c r="D1227" s="92">
        <v>183</v>
      </c>
      <c r="G1227" s="5"/>
      <c r="H1227" s="5"/>
      <c r="L1227" s="7"/>
      <c r="M1227" s="7"/>
      <c r="O1227" s="5"/>
      <c r="P1227" s="5"/>
    </row>
    <row r="1228" spans="2:16" x14ac:dyDescent="0.25">
      <c r="B1228" s="90">
        <v>659</v>
      </c>
      <c r="C1228" s="91">
        <v>0.61221511618513957</v>
      </c>
      <c r="D1228" s="92">
        <v>183</v>
      </c>
      <c r="G1228" s="5"/>
      <c r="H1228" s="5"/>
      <c r="L1228" s="7"/>
      <c r="M1228" s="7"/>
      <c r="O1228" s="5"/>
      <c r="P1228" s="5"/>
    </row>
    <row r="1229" spans="2:16" x14ac:dyDescent="0.25">
      <c r="B1229" s="90">
        <v>714</v>
      </c>
      <c r="C1229" s="91">
        <v>0.63170714525168514</v>
      </c>
      <c r="D1229" s="92">
        <v>183</v>
      </c>
      <c r="G1229" s="5"/>
      <c r="H1229" s="5"/>
      <c r="L1229" s="7"/>
      <c r="M1229" s="7"/>
      <c r="O1229" s="5"/>
      <c r="P1229" s="5"/>
    </row>
    <row r="1230" spans="2:16" x14ac:dyDescent="0.25">
      <c r="B1230" s="90">
        <v>254</v>
      </c>
      <c r="C1230" s="91">
        <v>0.66784110462837154</v>
      </c>
      <c r="D1230" s="92">
        <v>183</v>
      </c>
      <c r="G1230" s="5"/>
      <c r="H1230" s="5"/>
      <c r="L1230" s="7"/>
      <c r="M1230" s="7"/>
      <c r="O1230" s="5"/>
      <c r="P1230" s="5"/>
    </row>
    <row r="1231" spans="2:16" x14ac:dyDescent="0.25">
      <c r="B1231" s="90">
        <v>1289</v>
      </c>
      <c r="C1231" s="91">
        <v>0.19883071100951866</v>
      </c>
      <c r="D1231" s="92">
        <v>184</v>
      </c>
      <c r="G1231" s="5"/>
      <c r="H1231" s="5"/>
      <c r="L1231" s="7"/>
      <c r="M1231" s="7"/>
      <c r="O1231" s="5"/>
      <c r="P1231" s="5"/>
    </row>
    <row r="1232" spans="2:16" x14ac:dyDescent="0.25">
      <c r="B1232" s="90">
        <v>1160</v>
      </c>
      <c r="C1232" s="91">
        <v>0.25364344879738998</v>
      </c>
      <c r="D1232" s="92">
        <v>184</v>
      </c>
      <c r="G1232" s="5"/>
      <c r="H1232" s="5"/>
      <c r="L1232" s="7"/>
      <c r="M1232" s="7"/>
      <c r="O1232" s="5"/>
      <c r="P1232" s="5"/>
    </row>
    <row r="1233" spans="2:16" x14ac:dyDescent="0.25">
      <c r="B1233" s="90">
        <v>321</v>
      </c>
      <c r="C1233" s="91">
        <v>0.40913881481172898</v>
      </c>
      <c r="D1233" s="92">
        <v>184</v>
      </c>
      <c r="G1233" s="5"/>
      <c r="H1233" s="5"/>
      <c r="L1233" s="7"/>
      <c r="M1233" s="7"/>
      <c r="O1233" s="5"/>
      <c r="P1233" s="5"/>
    </row>
    <row r="1234" spans="2:16" x14ac:dyDescent="0.25">
      <c r="B1234" s="90">
        <v>128</v>
      </c>
      <c r="C1234" s="91">
        <v>0.72697738177228011</v>
      </c>
      <c r="D1234" s="92">
        <v>184</v>
      </c>
      <c r="G1234" s="5"/>
      <c r="H1234" s="5"/>
      <c r="L1234" s="7"/>
      <c r="M1234" s="7"/>
      <c r="O1234" s="5"/>
      <c r="P1234" s="5"/>
    </row>
    <row r="1235" spans="2:16" x14ac:dyDescent="0.25">
      <c r="B1235" s="90">
        <v>1741</v>
      </c>
      <c r="C1235" s="91">
        <v>2.5858615045306954E-2</v>
      </c>
      <c r="D1235" s="92">
        <v>185</v>
      </c>
      <c r="G1235" s="5"/>
      <c r="H1235" s="5"/>
      <c r="L1235" s="7"/>
      <c r="M1235" s="7"/>
      <c r="O1235" s="5"/>
      <c r="P1235" s="5"/>
    </row>
    <row r="1236" spans="2:16" x14ac:dyDescent="0.25">
      <c r="B1236" s="90">
        <v>97</v>
      </c>
      <c r="C1236" s="91">
        <v>0.21652314239322001</v>
      </c>
      <c r="D1236" s="92">
        <v>185</v>
      </c>
      <c r="G1236" s="5"/>
      <c r="H1236" s="5"/>
      <c r="L1236" s="7"/>
      <c r="M1236" s="7"/>
      <c r="O1236" s="5"/>
      <c r="P1236" s="5"/>
    </row>
    <row r="1237" spans="2:16" x14ac:dyDescent="0.25">
      <c r="B1237" s="90">
        <v>100</v>
      </c>
      <c r="C1237" s="91">
        <v>0.24992860592848642</v>
      </c>
      <c r="D1237" s="92">
        <v>185</v>
      </c>
      <c r="G1237" s="5"/>
      <c r="H1237" s="5"/>
      <c r="L1237" s="7"/>
      <c r="M1237" s="7"/>
      <c r="O1237" s="5"/>
      <c r="P1237" s="5"/>
    </row>
    <row r="1238" spans="2:16" x14ac:dyDescent="0.25">
      <c r="B1238" s="90">
        <v>99</v>
      </c>
      <c r="C1238" s="91">
        <v>0.26111584162656198</v>
      </c>
      <c r="D1238" s="92">
        <v>185</v>
      </c>
      <c r="G1238" s="5"/>
      <c r="H1238" s="5"/>
      <c r="L1238" s="7"/>
      <c r="M1238" s="7"/>
      <c r="O1238" s="5"/>
      <c r="P1238" s="5"/>
    </row>
    <row r="1239" spans="2:16" x14ac:dyDescent="0.25">
      <c r="B1239" s="90">
        <v>610</v>
      </c>
      <c r="C1239" s="91">
        <v>0.26923046442987997</v>
      </c>
      <c r="D1239" s="92">
        <v>185</v>
      </c>
      <c r="G1239" s="5"/>
      <c r="H1239" s="5"/>
      <c r="L1239" s="7"/>
      <c r="M1239" s="7"/>
      <c r="O1239" s="5"/>
      <c r="P1239" s="5"/>
    </row>
    <row r="1240" spans="2:16" x14ac:dyDescent="0.25">
      <c r="B1240" s="90">
        <v>410</v>
      </c>
      <c r="C1240" s="91">
        <v>0.2700183159537819</v>
      </c>
      <c r="D1240" s="92">
        <v>185</v>
      </c>
      <c r="G1240" s="5"/>
      <c r="H1240" s="5"/>
      <c r="L1240" s="7"/>
      <c r="M1240" s="7"/>
      <c r="O1240" s="5"/>
      <c r="P1240" s="5"/>
    </row>
    <row r="1241" spans="2:16" x14ac:dyDescent="0.25">
      <c r="B1241" s="90">
        <v>665</v>
      </c>
      <c r="C1241" s="91">
        <v>0.27137829976567418</v>
      </c>
      <c r="D1241" s="92">
        <v>185</v>
      </c>
      <c r="G1241" s="5"/>
      <c r="H1241" s="5"/>
      <c r="L1241" s="7"/>
      <c r="M1241" s="7"/>
      <c r="O1241" s="5"/>
      <c r="P1241" s="5"/>
    </row>
    <row r="1242" spans="2:16" x14ac:dyDescent="0.25">
      <c r="B1242" s="90">
        <v>409</v>
      </c>
      <c r="C1242" s="91">
        <v>0.27153595630108507</v>
      </c>
      <c r="D1242" s="92">
        <v>185</v>
      </c>
      <c r="G1242" s="5"/>
      <c r="H1242" s="5"/>
      <c r="L1242" s="7"/>
      <c r="M1242" s="7"/>
      <c r="O1242" s="5"/>
      <c r="P1242" s="5"/>
    </row>
    <row r="1243" spans="2:16" x14ac:dyDescent="0.25">
      <c r="B1243" s="90">
        <v>554</v>
      </c>
      <c r="C1243" s="91">
        <v>0.27197525592909755</v>
      </c>
      <c r="D1243" s="92">
        <v>185</v>
      </c>
      <c r="G1243" s="5"/>
      <c r="H1243" s="5"/>
      <c r="L1243" s="7"/>
      <c r="M1243" s="7"/>
      <c r="O1243" s="5"/>
      <c r="P1243" s="5"/>
    </row>
    <row r="1244" spans="2:16" x14ac:dyDescent="0.25">
      <c r="B1244" s="90">
        <v>904</v>
      </c>
      <c r="C1244" s="91">
        <v>0.27532471610081133</v>
      </c>
      <c r="D1244" s="92">
        <v>185</v>
      </c>
      <c r="G1244" s="5"/>
      <c r="H1244" s="5"/>
      <c r="L1244" s="7"/>
      <c r="M1244" s="7"/>
      <c r="O1244" s="5"/>
      <c r="P1244" s="5"/>
    </row>
    <row r="1245" spans="2:16" x14ac:dyDescent="0.25">
      <c r="B1245" s="90">
        <v>906</v>
      </c>
      <c r="C1245" s="91">
        <v>0.27679129126236557</v>
      </c>
      <c r="D1245" s="92">
        <v>185</v>
      </c>
      <c r="G1245" s="5"/>
      <c r="H1245" s="5"/>
      <c r="L1245" s="7"/>
      <c r="M1245" s="7"/>
      <c r="O1245" s="5"/>
      <c r="P1245" s="5"/>
    </row>
    <row r="1246" spans="2:16" x14ac:dyDescent="0.25">
      <c r="B1246" s="90">
        <v>497</v>
      </c>
      <c r="C1246" s="91">
        <v>0.27848944770118567</v>
      </c>
      <c r="D1246" s="92">
        <v>185</v>
      </c>
      <c r="G1246" s="5"/>
      <c r="H1246" s="5"/>
      <c r="L1246" s="7"/>
      <c r="M1246" s="7"/>
      <c r="O1246" s="5"/>
      <c r="P1246" s="5"/>
    </row>
    <row r="1247" spans="2:16" x14ac:dyDescent="0.25">
      <c r="B1247" s="90">
        <v>905</v>
      </c>
      <c r="C1247" s="91">
        <v>0.28040453006865373</v>
      </c>
      <c r="D1247" s="92">
        <v>185</v>
      </c>
      <c r="G1247" s="5"/>
      <c r="H1247" s="5"/>
      <c r="L1247" s="7"/>
      <c r="M1247" s="7"/>
      <c r="O1247" s="5"/>
      <c r="P1247" s="5"/>
    </row>
    <row r="1248" spans="2:16" x14ac:dyDescent="0.25">
      <c r="B1248" s="90">
        <v>853</v>
      </c>
      <c r="C1248" s="91">
        <v>0.28155761906941967</v>
      </c>
      <c r="D1248" s="92">
        <v>185</v>
      </c>
      <c r="G1248" s="5"/>
      <c r="H1248" s="5"/>
      <c r="L1248" s="7"/>
      <c r="M1248" s="7"/>
      <c r="O1248" s="5"/>
      <c r="P1248" s="5"/>
    </row>
    <row r="1249" spans="2:16" x14ac:dyDescent="0.25">
      <c r="B1249" s="90">
        <v>855</v>
      </c>
      <c r="C1249" s="91">
        <v>0.28234129051519008</v>
      </c>
      <c r="D1249" s="92">
        <v>185</v>
      </c>
      <c r="G1249" s="5"/>
      <c r="H1249" s="5"/>
      <c r="L1249" s="7"/>
      <c r="M1249" s="7"/>
      <c r="O1249" s="5"/>
      <c r="P1249" s="5"/>
    </row>
    <row r="1250" spans="2:16" x14ac:dyDescent="0.25">
      <c r="B1250" s="90">
        <v>439</v>
      </c>
      <c r="C1250" s="91">
        <v>0.28369478161142858</v>
      </c>
      <c r="D1250" s="92">
        <v>185</v>
      </c>
      <c r="G1250" s="5"/>
      <c r="H1250" s="5"/>
      <c r="L1250" s="7"/>
      <c r="M1250" s="7"/>
      <c r="O1250" s="5"/>
      <c r="P1250" s="5"/>
    </row>
    <row r="1251" spans="2:16" x14ac:dyDescent="0.25">
      <c r="B1251" s="90">
        <v>585</v>
      </c>
      <c r="C1251" s="91">
        <v>0.28436682124276647</v>
      </c>
      <c r="D1251" s="92">
        <v>185</v>
      </c>
      <c r="G1251" s="5"/>
      <c r="H1251" s="5"/>
      <c r="L1251" s="7"/>
      <c r="M1251" s="7"/>
      <c r="O1251" s="5"/>
      <c r="P1251" s="5"/>
    </row>
    <row r="1252" spans="2:16" x14ac:dyDescent="0.25">
      <c r="B1252" s="90">
        <v>750</v>
      </c>
      <c r="C1252" s="91">
        <v>0.28445604748319619</v>
      </c>
      <c r="D1252" s="92">
        <v>185</v>
      </c>
      <c r="G1252" s="5"/>
      <c r="H1252" s="5"/>
      <c r="L1252" s="7"/>
      <c r="M1252" s="7"/>
      <c r="O1252" s="5"/>
      <c r="P1252" s="5"/>
    </row>
    <row r="1253" spans="2:16" x14ac:dyDescent="0.25">
      <c r="B1253" s="90">
        <v>748</v>
      </c>
      <c r="C1253" s="91">
        <v>0.28562918682449101</v>
      </c>
      <c r="D1253" s="92">
        <v>185</v>
      </c>
      <c r="G1253" s="5"/>
      <c r="H1253" s="5"/>
      <c r="L1253" s="7"/>
      <c r="M1253" s="7"/>
      <c r="O1253" s="5"/>
      <c r="P1253" s="5"/>
    </row>
    <row r="1254" spans="2:16" x14ac:dyDescent="0.25">
      <c r="B1254" s="90">
        <v>854</v>
      </c>
      <c r="C1254" s="91">
        <v>0.28625735641390337</v>
      </c>
      <c r="D1254" s="92">
        <v>185</v>
      </c>
      <c r="G1254" s="5"/>
      <c r="H1254" s="5"/>
      <c r="L1254" s="7"/>
      <c r="M1254" s="7"/>
      <c r="O1254" s="5"/>
      <c r="P1254" s="5"/>
    </row>
    <row r="1255" spans="2:16" x14ac:dyDescent="0.25">
      <c r="B1255" s="90">
        <v>954</v>
      </c>
      <c r="C1255" s="91">
        <v>0.2871196382686847</v>
      </c>
      <c r="D1255" s="92">
        <v>185</v>
      </c>
      <c r="G1255" s="5"/>
      <c r="H1255" s="5"/>
      <c r="L1255" s="7"/>
      <c r="M1255" s="7"/>
      <c r="O1255" s="5"/>
      <c r="P1255" s="5"/>
    </row>
    <row r="1256" spans="2:16" x14ac:dyDescent="0.25">
      <c r="B1256" s="90">
        <v>583</v>
      </c>
      <c r="C1256" s="91">
        <v>0.28731980437014415</v>
      </c>
      <c r="D1256" s="92">
        <v>185</v>
      </c>
      <c r="G1256" s="5"/>
      <c r="H1256" s="5"/>
      <c r="L1256" s="7"/>
      <c r="M1256" s="7"/>
      <c r="O1256" s="5"/>
      <c r="P1256" s="5"/>
    </row>
    <row r="1257" spans="2:16" x14ac:dyDescent="0.25">
      <c r="B1257" s="90">
        <v>696</v>
      </c>
      <c r="C1257" s="91">
        <v>0.28755581490460635</v>
      </c>
      <c r="D1257" s="92">
        <v>185</v>
      </c>
      <c r="G1257" s="5"/>
      <c r="H1257" s="5"/>
      <c r="L1257" s="7"/>
      <c r="M1257" s="7"/>
      <c r="O1257" s="5"/>
      <c r="P1257" s="5"/>
    </row>
    <row r="1258" spans="2:16" x14ac:dyDescent="0.25">
      <c r="B1258" s="90">
        <v>749</v>
      </c>
      <c r="C1258" s="91">
        <v>0.28871781676939867</v>
      </c>
      <c r="D1258" s="92">
        <v>185</v>
      </c>
      <c r="G1258" s="5"/>
      <c r="H1258" s="5"/>
      <c r="L1258" s="7"/>
      <c r="M1258" s="7"/>
      <c r="O1258" s="5"/>
      <c r="P1258" s="5"/>
    </row>
    <row r="1259" spans="2:16" x14ac:dyDescent="0.25">
      <c r="B1259" s="90">
        <v>584</v>
      </c>
      <c r="C1259" s="91">
        <v>0.28890304597166661</v>
      </c>
      <c r="D1259" s="92">
        <v>185</v>
      </c>
      <c r="G1259" s="5"/>
      <c r="H1259" s="5"/>
      <c r="L1259" s="7"/>
      <c r="M1259" s="7"/>
      <c r="O1259" s="5"/>
      <c r="P1259" s="5"/>
    </row>
    <row r="1260" spans="2:16" x14ac:dyDescent="0.25">
      <c r="B1260" s="90">
        <v>694</v>
      </c>
      <c r="C1260" s="91">
        <v>0.28903326715648392</v>
      </c>
      <c r="D1260" s="92">
        <v>185</v>
      </c>
      <c r="G1260" s="5"/>
      <c r="H1260" s="5"/>
      <c r="L1260" s="7"/>
      <c r="M1260" s="7"/>
      <c r="O1260" s="5"/>
      <c r="P1260" s="5"/>
    </row>
    <row r="1261" spans="2:16" x14ac:dyDescent="0.25">
      <c r="B1261" s="90">
        <v>641</v>
      </c>
      <c r="C1261" s="91">
        <v>0.28916579522150565</v>
      </c>
      <c r="D1261" s="92">
        <v>185</v>
      </c>
      <c r="G1261" s="5"/>
      <c r="H1261" s="5"/>
      <c r="L1261" s="7"/>
      <c r="M1261" s="7"/>
      <c r="O1261" s="5"/>
      <c r="P1261" s="5"/>
    </row>
    <row r="1262" spans="2:16" x14ac:dyDescent="0.25">
      <c r="B1262" s="90">
        <v>803</v>
      </c>
      <c r="C1262" s="91">
        <v>0.28999595054402438</v>
      </c>
      <c r="D1262" s="92">
        <v>185</v>
      </c>
      <c r="G1262" s="5"/>
      <c r="H1262" s="5"/>
      <c r="L1262" s="7"/>
      <c r="M1262" s="7"/>
      <c r="O1262" s="5"/>
      <c r="P1262" s="5"/>
    </row>
    <row r="1263" spans="2:16" x14ac:dyDescent="0.25">
      <c r="B1263" s="90">
        <v>801</v>
      </c>
      <c r="C1263" s="91">
        <v>0.29003485925388051</v>
      </c>
      <c r="D1263" s="92">
        <v>185</v>
      </c>
      <c r="G1263" s="5"/>
      <c r="H1263" s="5"/>
      <c r="L1263" s="7"/>
      <c r="M1263" s="7"/>
      <c r="O1263" s="5"/>
      <c r="P1263" s="5"/>
    </row>
    <row r="1264" spans="2:16" x14ac:dyDescent="0.25">
      <c r="B1264" s="90">
        <v>956</v>
      </c>
      <c r="C1264" s="91">
        <v>0.29063285999839872</v>
      </c>
      <c r="D1264" s="92">
        <v>185</v>
      </c>
      <c r="G1264" s="5"/>
      <c r="H1264" s="5"/>
      <c r="L1264" s="7"/>
      <c r="M1264" s="7"/>
      <c r="O1264" s="5"/>
      <c r="P1264" s="5"/>
    </row>
    <row r="1265" spans="2:16" x14ac:dyDescent="0.25">
      <c r="B1265" s="90">
        <v>639</v>
      </c>
      <c r="C1265" s="91">
        <v>0.29117723135998852</v>
      </c>
      <c r="D1265" s="92">
        <v>185</v>
      </c>
      <c r="G1265" s="5"/>
      <c r="H1265" s="5"/>
      <c r="L1265" s="7"/>
      <c r="M1265" s="7"/>
      <c r="O1265" s="5"/>
      <c r="P1265" s="5"/>
    </row>
    <row r="1266" spans="2:16" x14ac:dyDescent="0.25">
      <c r="B1266" s="90">
        <v>695</v>
      </c>
      <c r="C1266" s="91">
        <v>0.29159134588273539</v>
      </c>
      <c r="D1266" s="92">
        <v>185</v>
      </c>
      <c r="G1266" s="5"/>
      <c r="H1266" s="5"/>
      <c r="L1266" s="7"/>
      <c r="M1266" s="7"/>
      <c r="O1266" s="5"/>
      <c r="P1266" s="5"/>
    </row>
    <row r="1267" spans="2:16" x14ac:dyDescent="0.25">
      <c r="B1267" s="90">
        <v>955</v>
      </c>
      <c r="C1267" s="91">
        <v>0.29317100324391365</v>
      </c>
      <c r="D1267" s="92">
        <v>185</v>
      </c>
      <c r="G1267" s="5"/>
      <c r="H1267" s="5"/>
      <c r="L1267" s="7"/>
      <c r="M1267" s="7"/>
      <c r="O1267" s="5"/>
      <c r="P1267" s="5"/>
    </row>
    <row r="1268" spans="2:16" x14ac:dyDescent="0.25">
      <c r="B1268" s="90">
        <v>640</v>
      </c>
      <c r="C1268" s="91">
        <v>0.29341876289296132</v>
      </c>
      <c r="D1268" s="92">
        <v>185</v>
      </c>
      <c r="G1268" s="5"/>
      <c r="H1268" s="5"/>
      <c r="L1268" s="7"/>
      <c r="M1268" s="7"/>
      <c r="O1268" s="5"/>
      <c r="P1268" s="5"/>
    </row>
    <row r="1269" spans="2:16" x14ac:dyDescent="0.25">
      <c r="B1269" s="90">
        <v>802</v>
      </c>
      <c r="C1269" s="91">
        <v>0.29392537010311492</v>
      </c>
      <c r="D1269" s="92">
        <v>185</v>
      </c>
      <c r="G1269" s="5"/>
      <c r="H1269" s="5"/>
      <c r="L1269" s="7"/>
      <c r="M1269" s="7"/>
      <c r="O1269" s="5"/>
      <c r="P1269" s="5"/>
    </row>
    <row r="1270" spans="2:16" x14ac:dyDescent="0.25">
      <c r="B1270" s="90">
        <v>1005</v>
      </c>
      <c r="C1270" s="91">
        <v>0.31885029768293993</v>
      </c>
      <c r="D1270" s="92">
        <v>185</v>
      </c>
      <c r="G1270" s="5"/>
      <c r="H1270" s="5"/>
      <c r="L1270" s="7"/>
      <c r="M1270" s="7"/>
      <c r="O1270" s="5"/>
      <c r="P1270" s="5"/>
    </row>
    <row r="1271" spans="2:16" x14ac:dyDescent="0.25">
      <c r="B1271" s="90">
        <v>1004</v>
      </c>
      <c r="C1271" s="91">
        <v>0.31988259177386269</v>
      </c>
      <c r="D1271" s="92">
        <v>185</v>
      </c>
      <c r="G1271" s="5"/>
      <c r="H1271" s="5"/>
      <c r="L1271" s="7"/>
      <c r="M1271" s="7"/>
      <c r="O1271" s="5"/>
      <c r="P1271" s="5"/>
    </row>
    <row r="1272" spans="2:16" x14ac:dyDescent="0.25">
      <c r="B1272" s="90">
        <v>815</v>
      </c>
      <c r="C1272" s="91">
        <v>0.44649544557753407</v>
      </c>
      <c r="D1272" s="92">
        <v>185</v>
      </c>
      <c r="G1272" s="5"/>
      <c r="H1272" s="5"/>
      <c r="L1272" s="7"/>
      <c r="M1272" s="7"/>
      <c r="O1272" s="5"/>
      <c r="P1272" s="5"/>
    </row>
    <row r="1273" spans="2:16" x14ac:dyDescent="0.25">
      <c r="B1273" s="90">
        <v>484</v>
      </c>
      <c r="C1273" s="91">
        <v>0.5285327291923112</v>
      </c>
      <c r="D1273" s="92">
        <v>185</v>
      </c>
      <c r="G1273" s="5"/>
      <c r="H1273" s="5"/>
      <c r="L1273" s="7"/>
      <c r="M1273" s="7"/>
      <c r="O1273" s="5"/>
      <c r="P1273" s="5"/>
    </row>
    <row r="1274" spans="2:16" x14ac:dyDescent="0.25">
      <c r="B1274" s="90">
        <v>543</v>
      </c>
      <c r="C1274" s="91">
        <v>0.54858581993934519</v>
      </c>
      <c r="D1274" s="92">
        <v>185</v>
      </c>
      <c r="G1274" s="5"/>
      <c r="H1274" s="5"/>
      <c r="L1274" s="7"/>
      <c r="M1274" s="7"/>
      <c r="O1274" s="5"/>
      <c r="P1274" s="5"/>
    </row>
    <row r="1275" spans="2:16" x14ac:dyDescent="0.25">
      <c r="B1275" s="90">
        <v>192</v>
      </c>
      <c r="C1275" s="91">
        <v>0.72788395124616068</v>
      </c>
      <c r="D1275" s="92">
        <v>185</v>
      </c>
      <c r="G1275" s="5"/>
      <c r="H1275" s="5"/>
      <c r="L1275" s="7"/>
      <c r="M1275" s="7"/>
      <c r="O1275" s="5"/>
      <c r="P1275" s="5"/>
    </row>
    <row r="1276" spans="2:16" x14ac:dyDescent="0.25">
      <c r="B1276" s="90">
        <v>1303</v>
      </c>
      <c r="C1276" s="91">
        <v>5.9075747598067996E-2</v>
      </c>
      <c r="D1276" s="92">
        <v>186</v>
      </c>
      <c r="G1276" s="5"/>
      <c r="H1276" s="5"/>
      <c r="L1276" s="7"/>
      <c r="M1276" s="7"/>
      <c r="O1276" s="5"/>
      <c r="P1276" s="5"/>
    </row>
    <row r="1277" spans="2:16" x14ac:dyDescent="0.25">
      <c r="B1277" s="90">
        <v>1346</v>
      </c>
      <c r="C1277" s="91">
        <v>7.833551099697178E-2</v>
      </c>
      <c r="D1277" s="92">
        <v>186</v>
      </c>
      <c r="G1277" s="5"/>
      <c r="H1277" s="5"/>
      <c r="L1277" s="7"/>
      <c r="M1277" s="7"/>
      <c r="O1277" s="5"/>
      <c r="P1277" s="5"/>
    </row>
    <row r="1278" spans="2:16" x14ac:dyDescent="0.25">
      <c r="B1278" s="90">
        <v>1344</v>
      </c>
      <c r="C1278" s="91">
        <v>8.1349181437134988E-2</v>
      </c>
      <c r="D1278" s="92">
        <v>186</v>
      </c>
      <c r="G1278" s="5"/>
      <c r="H1278" s="5"/>
      <c r="L1278" s="7"/>
      <c r="M1278" s="7"/>
      <c r="O1278" s="5"/>
      <c r="P1278" s="5"/>
    </row>
    <row r="1279" spans="2:16" x14ac:dyDescent="0.25">
      <c r="B1279" s="90">
        <v>1425</v>
      </c>
      <c r="C1279" s="91">
        <v>8.8741343945241691E-2</v>
      </c>
      <c r="D1279" s="92">
        <v>186</v>
      </c>
      <c r="G1279" s="5"/>
      <c r="H1279" s="5"/>
      <c r="L1279" s="7"/>
      <c r="M1279" s="7"/>
      <c r="O1279" s="5"/>
      <c r="P1279" s="5"/>
    </row>
    <row r="1280" spans="2:16" x14ac:dyDescent="0.25">
      <c r="B1280" s="90">
        <v>1423</v>
      </c>
      <c r="C1280" s="91">
        <v>9.1889605817896625E-2</v>
      </c>
      <c r="D1280" s="92">
        <v>186</v>
      </c>
      <c r="G1280" s="5"/>
      <c r="H1280" s="5"/>
      <c r="L1280" s="7"/>
      <c r="M1280" s="7"/>
      <c r="O1280" s="5"/>
      <c r="P1280" s="5"/>
    </row>
    <row r="1281" spans="2:16" x14ac:dyDescent="0.25">
      <c r="B1281" s="90">
        <v>161</v>
      </c>
      <c r="C1281" s="91">
        <v>0.21086179223616452</v>
      </c>
      <c r="D1281" s="92">
        <v>186</v>
      </c>
      <c r="G1281" s="5"/>
      <c r="H1281" s="5"/>
      <c r="L1281" s="7"/>
      <c r="M1281" s="7"/>
      <c r="O1281" s="5"/>
      <c r="P1281" s="5"/>
    </row>
    <row r="1282" spans="2:16" x14ac:dyDescent="0.25">
      <c r="B1282" s="90">
        <v>1723</v>
      </c>
      <c r="C1282" s="91">
        <v>0.21314078254770896</v>
      </c>
      <c r="D1282" s="92">
        <v>186</v>
      </c>
      <c r="G1282" s="5"/>
      <c r="H1282" s="5"/>
      <c r="L1282" s="7"/>
      <c r="M1282" s="7"/>
      <c r="O1282" s="5"/>
      <c r="P1282" s="5"/>
    </row>
    <row r="1283" spans="2:16" x14ac:dyDescent="0.25">
      <c r="B1283" s="90">
        <v>164</v>
      </c>
      <c r="C1283" s="91">
        <v>0.24555313534892531</v>
      </c>
      <c r="D1283" s="92">
        <v>186</v>
      </c>
      <c r="G1283" s="5"/>
      <c r="H1283" s="5"/>
      <c r="L1283" s="7"/>
      <c r="M1283" s="7"/>
      <c r="O1283" s="5"/>
      <c r="P1283" s="5"/>
    </row>
    <row r="1284" spans="2:16" x14ac:dyDescent="0.25">
      <c r="B1284" s="90">
        <v>163</v>
      </c>
      <c r="C1284" s="91">
        <v>0.2564586793238075</v>
      </c>
      <c r="D1284" s="92">
        <v>186</v>
      </c>
      <c r="G1284" s="5"/>
      <c r="H1284" s="5"/>
      <c r="L1284" s="7"/>
      <c r="M1284" s="7"/>
      <c r="O1284" s="5"/>
      <c r="P1284" s="5"/>
    </row>
    <row r="1285" spans="2:16" x14ac:dyDescent="0.25">
      <c r="B1285" s="90">
        <v>762</v>
      </c>
      <c r="C1285" s="91">
        <v>0.43593748242114705</v>
      </c>
      <c r="D1285" s="92">
        <v>186</v>
      </c>
      <c r="G1285" s="5"/>
      <c r="H1285" s="5"/>
      <c r="L1285" s="7"/>
      <c r="M1285" s="7"/>
      <c r="O1285" s="5"/>
      <c r="P1285" s="5"/>
    </row>
    <row r="1286" spans="2:16" x14ac:dyDescent="0.25">
      <c r="B1286" s="90">
        <v>2099</v>
      </c>
      <c r="C1286" s="91">
        <v>0.124716194283087</v>
      </c>
      <c r="D1286" s="92">
        <v>187</v>
      </c>
      <c r="G1286" s="5"/>
      <c r="H1286" s="5"/>
      <c r="L1286" s="7"/>
      <c r="M1286" s="7"/>
      <c r="O1286" s="5"/>
      <c r="P1286" s="5"/>
    </row>
    <row r="1287" spans="2:16" x14ac:dyDescent="0.25">
      <c r="B1287" s="90">
        <v>101</v>
      </c>
      <c r="C1287" s="91">
        <v>0.23721182751752345</v>
      </c>
      <c r="D1287" s="92">
        <v>187</v>
      </c>
      <c r="G1287" s="5"/>
      <c r="H1287" s="5"/>
      <c r="L1287" s="7"/>
      <c r="M1287" s="7"/>
      <c r="O1287" s="5"/>
      <c r="P1287" s="5"/>
    </row>
    <row r="1288" spans="2:16" x14ac:dyDescent="0.25">
      <c r="B1288" s="90">
        <v>411</v>
      </c>
      <c r="C1288" s="91">
        <v>0.2638338123638585</v>
      </c>
      <c r="D1288" s="92">
        <v>187</v>
      </c>
      <c r="G1288" s="5"/>
      <c r="H1288" s="5"/>
      <c r="L1288" s="7"/>
      <c r="M1288" s="7"/>
      <c r="O1288" s="5"/>
      <c r="P1288" s="5"/>
    </row>
    <row r="1289" spans="2:16" x14ac:dyDescent="0.25">
      <c r="B1289" s="90">
        <v>320</v>
      </c>
      <c r="C1289" s="91">
        <v>0.30870687821140819</v>
      </c>
      <c r="D1289" s="92">
        <v>187</v>
      </c>
      <c r="G1289" s="5"/>
      <c r="H1289" s="5"/>
      <c r="L1289" s="7"/>
      <c r="M1289" s="7"/>
      <c r="O1289" s="5"/>
      <c r="P1289" s="5"/>
    </row>
    <row r="1290" spans="2:16" x14ac:dyDescent="0.25">
      <c r="B1290" s="90">
        <v>597</v>
      </c>
      <c r="C1290" s="91">
        <v>0.43475533569549762</v>
      </c>
      <c r="D1290" s="92">
        <v>187</v>
      </c>
      <c r="G1290" s="5"/>
      <c r="H1290" s="5"/>
      <c r="L1290" s="7"/>
      <c r="M1290" s="7"/>
      <c r="O1290" s="5"/>
      <c r="P1290" s="5"/>
    </row>
    <row r="1291" spans="2:16" x14ac:dyDescent="0.25">
      <c r="B1291" s="90">
        <v>653</v>
      </c>
      <c r="C1291" s="91">
        <v>0.4426618201835042</v>
      </c>
      <c r="D1291" s="92">
        <v>187</v>
      </c>
      <c r="G1291" s="5"/>
      <c r="H1291" s="5"/>
      <c r="L1291" s="7"/>
      <c r="M1291" s="7"/>
      <c r="O1291" s="5"/>
      <c r="P1291" s="5"/>
    </row>
    <row r="1292" spans="2:16" x14ac:dyDescent="0.25">
      <c r="B1292" s="90">
        <v>708</v>
      </c>
      <c r="C1292" s="91">
        <v>0.44546215256478916</v>
      </c>
      <c r="D1292" s="92">
        <v>187</v>
      </c>
      <c r="G1292" s="5"/>
      <c r="H1292" s="5"/>
      <c r="L1292" s="7"/>
      <c r="M1292" s="7"/>
      <c r="O1292" s="5"/>
      <c r="P1292" s="5"/>
    </row>
    <row r="1293" spans="2:16" x14ac:dyDescent="0.25">
      <c r="B1293" s="90">
        <v>598</v>
      </c>
      <c r="C1293" s="91">
        <v>0.50937612656245868</v>
      </c>
      <c r="D1293" s="92">
        <v>187</v>
      </c>
      <c r="G1293" s="5"/>
      <c r="H1293" s="5"/>
      <c r="L1293" s="7"/>
      <c r="M1293" s="7"/>
      <c r="O1293" s="5"/>
      <c r="P1293" s="5"/>
    </row>
    <row r="1294" spans="2:16" x14ac:dyDescent="0.25">
      <c r="B1294" s="90">
        <v>251</v>
      </c>
      <c r="C1294" s="91">
        <v>0.65272898571141236</v>
      </c>
      <c r="D1294" s="92">
        <v>187</v>
      </c>
      <c r="G1294" s="5"/>
      <c r="H1294" s="5"/>
      <c r="L1294" s="7"/>
      <c r="M1294" s="7"/>
      <c r="O1294" s="5"/>
      <c r="P1294" s="5"/>
    </row>
    <row r="1295" spans="2:16" x14ac:dyDescent="0.25">
      <c r="B1295" s="90">
        <v>1613</v>
      </c>
      <c r="C1295" s="91">
        <v>4.8747629654772862E-2</v>
      </c>
      <c r="D1295" s="92">
        <v>188</v>
      </c>
      <c r="G1295" s="5"/>
      <c r="H1295" s="5"/>
      <c r="L1295" s="7"/>
      <c r="M1295" s="7"/>
      <c r="O1295" s="5"/>
      <c r="P1295" s="5"/>
    </row>
    <row r="1296" spans="2:16" x14ac:dyDescent="0.25">
      <c r="B1296" s="90">
        <v>1469</v>
      </c>
      <c r="C1296" s="91">
        <v>8.7192521730853678E-2</v>
      </c>
      <c r="D1296" s="92">
        <v>188</v>
      </c>
      <c r="G1296" s="5"/>
      <c r="H1296" s="5"/>
      <c r="L1296" s="7"/>
      <c r="M1296" s="7"/>
      <c r="O1296" s="5"/>
      <c r="P1296" s="5"/>
    </row>
    <row r="1297" spans="2:16" x14ac:dyDescent="0.25">
      <c r="B1297" s="90">
        <v>1468</v>
      </c>
      <c r="C1297" s="91">
        <v>0.10444693963623752</v>
      </c>
      <c r="D1297" s="92">
        <v>188</v>
      </c>
      <c r="G1297" s="5"/>
      <c r="H1297" s="5"/>
      <c r="L1297" s="7"/>
      <c r="M1297" s="7"/>
      <c r="O1297" s="5"/>
      <c r="P1297" s="5"/>
    </row>
    <row r="1298" spans="2:16" x14ac:dyDescent="0.25">
      <c r="B1298" s="90">
        <v>1148</v>
      </c>
      <c r="C1298" s="91">
        <v>0.2112867899167129</v>
      </c>
      <c r="D1298" s="92">
        <v>188</v>
      </c>
      <c r="G1298" s="5"/>
      <c r="H1298" s="5"/>
      <c r="L1298" s="7"/>
      <c r="M1298" s="7"/>
      <c r="O1298" s="5"/>
      <c r="P1298" s="5"/>
    </row>
    <row r="1299" spans="2:16" x14ac:dyDescent="0.25">
      <c r="B1299" s="90">
        <v>165</v>
      </c>
      <c r="C1299" s="91">
        <v>0.23271390980627105</v>
      </c>
      <c r="D1299" s="92">
        <v>188</v>
      </c>
      <c r="G1299" s="5"/>
      <c r="H1299" s="5"/>
      <c r="L1299" s="7"/>
      <c r="M1299" s="7"/>
      <c r="O1299" s="5"/>
      <c r="P1299" s="5"/>
    </row>
    <row r="1300" spans="2:16" x14ac:dyDescent="0.25">
      <c r="B1300" s="90">
        <v>857</v>
      </c>
      <c r="C1300" s="91">
        <v>0.26804260531725954</v>
      </c>
      <c r="D1300" s="92">
        <v>188</v>
      </c>
      <c r="G1300" s="5"/>
      <c r="H1300" s="5"/>
      <c r="L1300" s="7"/>
      <c r="M1300" s="7"/>
      <c r="O1300" s="5"/>
      <c r="P1300" s="5"/>
    </row>
    <row r="1301" spans="2:16" x14ac:dyDescent="0.25">
      <c r="B1301" s="90">
        <v>698</v>
      </c>
      <c r="C1301" s="91">
        <v>0.27237592228867447</v>
      </c>
      <c r="D1301" s="92">
        <v>188</v>
      </c>
      <c r="G1301" s="5"/>
      <c r="H1301" s="5"/>
      <c r="L1301" s="7"/>
      <c r="M1301" s="7"/>
      <c r="O1301" s="5"/>
      <c r="P1301" s="5"/>
    </row>
    <row r="1302" spans="2:16" x14ac:dyDescent="0.25">
      <c r="B1302" s="90">
        <v>1055</v>
      </c>
      <c r="C1302" s="91">
        <v>0.27476207270088038</v>
      </c>
      <c r="D1302" s="92">
        <v>188</v>
      </c>
      <c r="G1302" s="5"/>
      <c r="H1302" s="5"/>
      <c r="L1302" s="7"/>
      <c r="M1302" s="7"/>
      <c r="O1302" s="5"/>
      <c r="P1302" s="5"/>
    </row>
    <row r="1303" spans="2:16" x14ac:dyDescent="0.25">
      <c r="B1303" s="90">
        <v>805</v>
      </c>
      <c r="C1303" s="91">
        <v>0.27528735155751427</v>
      </c>
      <c r="D1303" s="92">
        <v>188</v>
      </c>
      <c r="G1303" s="5"/>
      <c r="H1303" s="5"/>
      <c r="L1303" s="7"/>
      <c r="M1303" s="7"/>
      <c r="O1303" s="5"/>
      <c r="P1303" s="5"/>
    </row>
    <row r="1304" spans="2:16" x14ac:dyDescent="0.25">
      <c r="B1304" s="90">
        <v>1007</v>
      </c>
      <c r="C1304" s="91">
        <v>0.3141982396986307</v>
      </c>
      <c r="D1304" s="92">
        <v>188</v>
      </c>
      <c r="G1304" s="5"/>
      <c r="H1304" s="5"/>
      <c r="L1304" s="7"/>
      <c r="M1304" s="7"/>
      <c r="O1304" s="5"/>
      <c r="P1304" s="5"/>
    </row>
    <row r="1305" spans="2:16" x14ac:dyDescent="0.25">
      <c r="B1305" s="90">
        <v>1161</v>
      </c>
      <c r="C1305" s="91">
        <v>0.33942432260755506</v>
      </c>
      <c r="D1305" s="92">
        <v>188</v>
      </c>
      <c r="G1305" s="5"/>
      <c r="H1305" s="5"/>
      <c r="L1305" s="7"/>
      <c r="M1305" s="7"/>
      <c r="O1305" s="5"/>
      <c r="P1305" s="5"/>
    </row>
    <row r="1306" spans="2:16" x14ac:dyDescent="0.25">
      <c r="B1306" s="90">
        <v>1773</v>
      </c>
      <c r="C1306" s="91">
        <v>0.34104110187564585</v>
      </c>
      <c r="D1306" s="92">
        <v>188</v>
      </c>
      <c r="G1306" s="5"/>
      <c r="H1306" s="5"/>
      <c r="L1306" s="7"/>
      <c r="M1306" s="7"/>
      <c r="O1306" s="5"/>
      <c r="P1306" s="5"/>
    </row>
    <row r="1307" spans="2:16" x14ac:dyDescent="0.25">
      <c r="B1307" s="90">
        <v>1717</v>
      </c>
      <c r="C1307" s="91">
        <v>0.343659986033644</v>
      </c>
      <c r="D1307" s="92">
        <v>188</v>
      </c>
      <c r="G1307" s="5"/>
      <c r="H1307" s="5"/>
      <c r="L1307" s="7"/>
      <c r="M1307" s="7"/>
      <c r="O1307" s="5"/>
      <c r="P1307" s="5"/>
    </row>
    <row r="1308" spans="2:16" x14ac:dyDescent="0.25">
      <c r="B1308" s="90">
        <v>1745</v>
      </c>
      <c r="C1308" s="91">
        <v>0.3547842959851133</v>
      </c>
      <c r="D1308" s="92">
        <v>188</v>
      </c>
      <c r="G1308" s="5"/>
      <c r="H1308" s="5"/>
      <c r="L1308" s="7"/>
      <c r="M1308" s="7"/>
      <c r="O1308" s="5"/>
      <c r="P1308" s="5"/>
    </row>
    <row r="1309" spans="2:16" x14ac:dyDescent="0.25">
      <c r="B1309" s="90">
        <v>380</v>
      </c>
      <c r="C1309" s="91">
        <v>0.28900837459684903</v>
      </c>
      <c r="D1309" s="92">
        <v>189</v>
      </c>
      <c r="G1309" s="5"/>
      <c r="H1309" s="5"/>
      <c r="L1309" s="7"/>
      <c r="M1309" s="7"/>
      <c r="O1309" s="5"/>
      <c r="P1309" s="5"/>
    </row>
    <row r="1310" spans="2:16" x14ac:dyDescent="0.25">
      <c r="B1310" s="90">
        <v>252</v>
      </c>
      <c r="C1310" s="91">
        <v>0.65511813843867073</v>
      </c>
      <c r="D1310" s="92">
        <v>189</v>
      </c>
      <c r="G1310" s="5"/>
      <c r="H1310" s="5"/>
      <c r="L1310" s="7"/>
      <c r="M1310" s="7"/>
      <c r="O1310" s="5"/>
      <c r="P1310" s="5"/>
    </row>
    <row r="1311" spans="2:16" x14ac:dyDescent="0.25">
      <c r="B1311" s="90">
        <v>1352</v>
      </c>
      <c r="C1311" s="91">
        <v>5.1766415562041201E-2</v>
      </c>
      <c r="D1311" s="92">
        <v>190</v>
      </c>
      <c r="G1311" s="5"/>
      <c r="H1311" s="5"/>
      <c r="L1311" s="7"/>
      <c r="M1311" s="7"/>
      <c r="O1311" s="5"/>
      <c r="P1311" s="5"/>
    </row>
    <row r="1312" spans="2:16" x14ac:dyDescent="0.25">
      <c r="B1312" s="90">
        <v>1302</v>
      </c>
      <c r="C1312" s="91">
        <v>6.1513580059396333E-2</v>
      </c>
      <c r="D1312" s="92">
        <v>190</v>
      </c>
      <c r="G1312" s="5"/>
      <c r="H1312" s="5"/>
      <c r="L1312" s="7"/>
      <c r="M1312" s="7"/>
      <c r="O1312" s="5"/>
      <c r="P1312" s="5"/>
    </row>
    <row r="1313" spans="2:16" x14ac:dyDescent="0.25">
      <c r="B1313" s="90">
        <v>1260</v>
      </c>
      <c r="C1313" s="91">
        <v>6.8429299961502599E-2</v>
      </c>
      <c r="D1313" s="92">
        <v>190</v>
      </c>
      <c r="G1313" s="5"/>
      <c r="H1313" s="5"/>
      <c r="L1313" s="7"/>
      <c r="M1313" s="7"/>
      <c r="O1313" s="5"/>
      <c r="P1313" s="5"/>
    </row>
    <row r="1314" spans="2:16" x14ac:dyDescent="0.25">
      <c r="B1314" s="90">
        <v>1343</v>
      </c>
      <c r="C1314" s="91">
        <v>8.3045192128332501E-2</v>
      </c>
      <c r="D1314" s="92">
        <v>190</v>
      </c>
      <c r="G1314" s="5"/>
      <c r="H1314" s="5"/>
      <c r="L1314" s="7"/>
      <c r="M1314" s="7"/>
      <c r="O1314" s="5"/>
      <c r="P1314" s="5"/>
    </row>
    <row r="1315" spans="2:16" x14ac:dyDescent="0.25">
      <c r="B1315" s="90">
        <v>1422</v>
      </c>
      <c r="C1315" s="91">
        <v>0.10249075541097685</v>
      </c>
      <c r="D1315" s="92">
        <v>190</v>
      </c>
      <c r="G1315" s="5"/>
      <c r="H1315" s="5"/>
      <c r="L1315" s="7"/>
      <c r="M1315" s="7"/>
      <c r="O1315" s="5"/>
      <c r="P1315" s="5"/>
    </row>
    <row r="1316" spans="2:16" x14ac:dyDescent="0.25">
      <c r="B1316" s="90">
        <v>1786</v>
      </c>
      <c r="C1316" s="91">
        <v>0.18407856442652681</v>
      </c>
      <c r="D1316" s="92">
        <v>190</v>
      </c>
      <c r="G1316" s="5"/>
      <c r="H1316" s="5"/>
      <c r="L1316" s="7"/>
      <c r="M1316" s="7"/>
      <c r="O1316" s="5"/>
      <c r="P1316" s="5"/>
    </row>
    <row r="1317" spans="2:16" x14ac:dyDescent="0.25">
      <c r="B1317" s="90">
        <v>1758</v>
      </c>
      <c r="C1317" s="91">
        <v>0.18648255595666385</v>
      </c>
      <c r="D1317" s="92">
        <v>190</v>
      </c>
      <c r="G1317" s="5"/>
      <c r="H1317" s="5"/>
      <c r="L1317" s="7"/>
      <c r="M1317" s="7"/>
      <c r="O1317" s="5"/>
      <c r="P1317" s="5"/>
    </row>
    <row r="1318" spans="2:16" x14ac:dyDescent="0.25">
      <c r="B1318" s="90">
        <v>1788</v>
      </c>
      <c r="C1318" s="91">
        <v>0.19596780892745103</v>
      </c>
      <c r="D1318" s="92">
        <v>190</v>
      </c>
      <c r="G1318" s="5"/>
      <c r="H1318" s="5"/>
      <c r="L1318" s="7"/>
      <c r="M1318" s="7"/>
      <c r="O1318" s="5"/>
      <c r="P1318" s="5"/>
    </row>
    <row r="1319" spans="2:16" x14ac:dyDescent="0.25">
      <c r="B1319" s="90">
        <v>1760</v>
      </c>
      <c r="C1319" s="91">
        <v>0.19972582504292702</v>
      </c>
      <c r="D1319" s="92">
        <v>190</v>
      </c>
      <c r="G1319" s="5"/>
      <c r="H1319" s="5"/>
      <c r="L1319" s="7"/>
      <c r="M1319" s="7"/>
      <c r="O1319" s="5"/>
      <c r="P1319" s="5"/>
    </row>
    <row r="1320" spans="2:16" x14ac:dyDescent="0.25">
      <c r="B1320" s="90">
        <v>1792</v>
      </c>
      <c r="C1320" s="91">
        <v>0.22324493243748689</v>
      </c>
      <c r="D1320" s="92">
        <v>190</v>
      </c>
      <c r="G1320" s="5"/>
      <c r="H1320" s="5"/>
      <c r="L1320" s="7"/>
      <c r="M1320" s="7"/>
      <c r="O1320" s="5"/>
      <c r="P1320" s="5"/>
    </row>
    <row r="1321" spans="2:16" x14ac:dyDescent="0.25">
      <c r="B1321" s="90">
        <v>466</v>
      </c>
      <c r="C1321" s="91">
        <v>0.23120338397219053</v>
      </c>
      <c r="D1321" s="92">
        <v>190</v>
      </c>
      <c r="G1321" s="5"/>
      <c r="H1321" s="5"/>
      <c r="L1321" s="7"/>
      <c r="M1321" s="7"/>
      <c r="O1321" s="5"/>
      <c r="P1321" s="5"/>
    </row>
    <row r="1322" spans="2:16" x14ac:dyDescent="0.25">
      <c r="B1322" s="90">
        <v>465</v>
      </c>
      <c r="C1322" s="91">
        <v>0.23282708876138625</v>
      </c>
      <c r="D1322" s="92">
        <v>190</v>
      </c>
      <c r="G1322" s="5"/>
      <c r="H1322" s="5"/>
      <c r="L1322" s="7"/>
      <c r="M1322" s="7"/>
      <c r="O1322" s="5"/>
      <c r="P1322" s="5"/>
    </row>
    <row r="1323" spans="2:16" x14ac:dyDescent="0.25">
      <c r="B1323" s="90">
        <v>98</v>
      </c>
      <c r="C1323" s="91">
        <v>0.23421573207879276</v>
      </c>
      <c r="D1323" s="92">
        <v>190</v>
      </c>
      <c r="G1323" s="5"/>
      <c r="H1323" s="5"/>
      <c r="L1323" s="7"/>
      <c r="M1323" s="7"/>
      <c r="O1323" s="5"/>
      <c r="P1323" s="5"/>
    </row>
    <row r="1324" spans="2:16" x14ac:dyDescent="0.25">
      <c r="B1324" s="90">
        <v>523</v>
      </c>
      <c r="C1324" s="91">
        <v>0.24008576536531134</v>
      </c>
      <c r="D1324" s="92">
        <v>190</v>
      </c>
      <c r="G1324" s="5"/>
      <c r="H1324" s="5"/>
      <c r="L1324" s="7"/>
      <c r="M1324" s="7"/>
      <c r="O1324" s="5"/>
      <c r="P1324" s="5"/>
    </row>
    <row r="1325" spans="2:16" x14ac:dyDescent="0.25">
      <c r="B1325" s="90">
        <v>467</v>
      </c>
      <c r="C1325" s="91">
        <v>0.24901914048618412</v>
      </c>
      <c r="D1325" s="92">
        <v>190</v>
      </c>
      <c r="G1325" s="5"/>
      <c r="H1325" s="5"/>
      <c r="L1325" s="7"/>
      <c r="M1325" s="7"/>
      <c r="O1325" s="5"/>
      <c r="P1325" s="5"/>
    </row>
    <row r="1326" spans="2:16" x14ac:dyDescent="0.25">
      <c r="B1326" s="90">
        <v>525</v>
      </c>
      <c r="C1326" s="91">
        <v>0.25738545251752187</v>
      </c>
      <c r="D1326" s="92">
        <v>190</v>
      </c>
      <c r="G1326" s="5"/>
      <c r="H1326" s="5"/>
      <c r="L1326" s="7"/>
      <c r="M1326" s="7"/>
      <c r="O1326" s="5"/>
      <c r="P1326" s="5"/>
    </row>
    <row r="1327" spans="2:16" x14ac:dyDescent="0.25">
      <c r="B1327" s="90">
        <v>1764</v>
      </c>
      <c r="C1327" s="91">
        <v>0.28442344673379005</v>
      </c>
      <c r="D1327" s="92">
        <v>190</v>
      </c>
      <c r="G1327" s="5"/>
      <c r="H1327" s="5"/>
      <c r="L1327" s="7"/>
      <c r="M1327" s="7"/>
      <c r="O1327" s="5"/>
      <c r="P1327" s="5"/>
    </row>
    <row r="1328" spans="2:16" x14ac:dyDescent="0.25">
      <c r="B1328" s="90">
        <v>1250</v>
      </c>
      <c r="C1328" s="91">
        <v>0.29541767645873396</v>
      </c>
      <c r="D1328" s="92">
        <v>190</v>
      </c>
      <c r="G1328" s="5"/>
      <c r="H1328" s="5"/>
      <c r="L1328" s="7"/>
      <c r="M1328" s="7"/>
      <c r="O1328" s="5"/>
      <c r="P1328" s="5"/>
    </row>
    <row r="1329" spans="2:16" x14ac:dyDescent="0.25">
      <c r="B1329" s="90">
        <v>1736</v>
      </c>
      <c r="C1329" s="91">
        <v>0.74211192488509725</v>
      </c>
      <c r="D1329" s="92">
        <v>190</v>
      </c>
      <c r="G1329" s="5"/>
      <c r="H1329" s="5"/>
      <c r="L1329" s="7"/>
      <c r="M1329" s="7"/>
      <c r="O1329" s="5"/>
      <c r="P1329" s="5"/>
    </row>
    <row r="1330" spans="2:16" x14ac:dyDescent="0.25">
      <c r="B1330" s="90">
        <v>1473</v>
      </c>
      <c r="C1330" s="91">
        <v>9.0375788394175705E-2</v>
      </c>
      <c r="D1330" s="92">
        <v>191</v>
      </c>
      <c r="G1330" s="5"/>
      <c r="H1330" s="5"/>
      <c r="L1330" s="7"/>
      <c r="M1330" s="7"/>
      <c r="O1330" s="5"/>
      <c r="P1330" s="5"/>
    </row>
    <row r="1331" spans="2:16" x14ac:dyDescent="0.25">
      <c r="B1331" s="90">
        <v>1819</v>
      </c>
      <c r="C1331" s="91">
        <v>0.11377259784117366</v>
      </c>
      <c r="D1331" s="92">
        <v>191</v>
      </c>
      <c r="G1331" s="5"/>
      <c r="H1331" s="5"/>
      <c r="L1331" s="7"/>
      <c r="M1331" s="7"/>
      <c r="O1331" s="5"/>
      <c r="P1331" s="5"/>
    </row>
    <row r="1332" spans="2:16" x14ac:dyDescent="0.25">
      <c r="B1332" s="90">
        <v>1512</v>
      </c>
      <c r="C1332" s="91">
        <v>0.11567094898443042</v>
      </c>
      <c r="D1332" s="92">
        <v>191</v>
      </c>
      <c r="G1332" s="5"/>
      <c r="H1332" s="5"/>
      <c r="L1332" s="7"/>
      <c r="M1332" s="7"/>
      <c r="O1332" s="5"/>
      <c r="P1332" s="5"/>
    </row>
    <row r="1333" spans="2:16" x14ac:dyDescent="0.25">
      <c r="B1333" s="90">
        <v>162</v>
      </c>
      <c r="C1333" s="91">
        <v>0.22907535606584051</v>
      </c>
      <c r="D1333" s="92">
        <v>191</v>
      </c>
      <c r="G1333" s="5"/>
      <c r="H1333" s="5"/>
      <c r="L1333" s="7"/>
      <c r="M1333" s="7"/>
      <c r="O1333" s="5"/>
      <c r="P1333" s="5"/>
    </row>
    <row r="1334" spans="2:16" x14ac:dyDescent="0.25">
      <c r="B1334" s="90">
        <v>1247</v>
      </c>
      <c r="C1334" s="91">
        <v>0.23496032955588486</v>
      </c>
      <c r="D1334" s="92">
        <v>191</v>
      </c>
      <c r="G1334" s="5"/>
      <c r="H1334" s="5"/>
      <c r="L1334" s="7"/>
      <c r="M1334" s="7"/>
      <c r="O1334" s="5"/>
      <c r="P1334" s="5"/>
    </row>
    <row r="1335" spans="2:16" x14ac:dyDescent="0.25">
      <c r="B1335" s="90">
        <v>925</v>
      </c>
      <c r="C1335" s="91">
        <v>0.27591649931861162</v>
      </c>
      <c r="D1335" s="92">
        <v>191</v>
      </c>
      <c r="G1335" s="5"/>
      <c r="H1335" s="5"/>
      <c r="L1335" s="7"/>
      <c r="M1335" s="7"/>
      <c r="O1335" s="5"/>
      <c r="P1335" s="5"/>
    </row>
    <row r="1336" spans="2:16" x14ac:dyDescent="0.25">
      <c r="B1336" s="90">
        <v>974</v>
      </c>
      <c r="C1336" s="91">
        <v>0.27962330910303823</v>
      </c>
      <c r="D1336" s="92">
        <v>191</v>
      </c>
      <c r="G1336" s="5"/>
      <c r="H1336" s="5"/>
      <c r="L1336" s="7"/>
      <c r="M1336" s="7"/>
      <c r="O1336" s="5"/>
      <c r="P1336" s="5"/>
    </row>
    <row r="1337" spans="2:16" x14ac:dyDescent="0.25">
      <c r="B1337" s="90">
        <v>875</v>
      </c>
      <c r="C1337" s="91">
        <v>0.29565652865324688</v>
      </c>
      <c r="D1337" s="92">
        <v>191</v>
      </c>
      <c r="G1337" s="5"/>
      <c r="H1337" s="5"/>
      <c r="L1337" s="7"/>
      <c r="M1337" s="7"/>
      <c r="O1337" s="5"/>
      <c r="P1337" s="5"/>
    </row>
    <row r="1338" spans="2:16" x14ac:dyDescent="0.25">
      <c r="B1338" s="90">
        <v>1022</v>
      </c>
      <c r="C1338" s="91">
        <v>0.32319376710976044</v>
      </c>
      <c r="D1338" s="92">
        <v>191</v>
      </c>
      <c r="G1338" s="5"/>
      <c r="H1338" s="5"/>
      <c r="L1338" s="7"/>
      <c r="M1338" s="7"/>
      <c r="O1338" s="5"/>
      <c r="P1338" s="5"/>
    </row>
    <row r="1339" spans="2:16" x14ac:dyDescent="0.25">
      <c r="B1339" s="90">
        <v>1757</v>
      </c>
      <c r="C1339" s="91">
        <v>0.17915180621003701</v>
      </c>
      <c r="D1339" s="92">
        <v>192</v>
      </c>
      <c r="G1339" s="5"/>
      <c r="H1339" s="5"/>
      <c r="L1339" s="7"/>
      <c r="M1339" s="7"/>
      <c r="O1339" s="5"/>
      <c r="P1339" s="5"/>
    </row>
    <row r="1340" spans="2:16" x14ac:dyDescent="0.25">
      <c r="B1340" s="90">
        <v>1785</v>
      </c>
      <c r="C1340" s="91">
        <v>0.18014437192380894</v>
      </c>
      <c r="D1340" s="92">
        <v>192</v>
      </c>
      <c r="G1340" s="5"/>
      <c r="H1340" s="5"/>
      <c r="L1340" s="7"/>
      <c r="M1340" s="7"/>
      <c r="O1340" s="5"/>
      <c r="P1340" s="5"/>
    </row>
    <row r="1341" spans="2:16" x14ac:dyDescent="0.25">
      <c r="B1341" s="90">
        <v>96</v>
      </c>
      <c r="C1341" s="91">
        <v>0.22025958822000513</v>
      </c>
      <c r="D1341" s="92">
        <v>192</v>
      </c>
      <c r="G1341" s="5"/>
      <c r="H1341" s="5"/>
      <c r="L1341" s="7"/>
      <c r="M1341" s="7"/>
      <c r="O1341" s="5"/>
      <c r="P1341" s="5"/>
    </row>
    <row r="1342" spans="2:16" x14ac:dyDescent="0.25">
      <c r="B1342" s="90">
        <v>227</v>
      </c>
      <c r="C1342" s="91">
        <v>0.2681677113137908</v>
      </c>
      <c r="D1342" s="92">
        <v>192</v>
      </c>
      <c r="G1342" s="5"/>
      <c r="H1342" s="5"/>
      <c r="L1342" s="7"/>
      <c r="M1342" s="7"/>
      <c r="O1342" s="5"/>
      <c r="P1342" s="5"/>
    </row>
    <row r="1343" spans="2:16" x14ac:dyDescent="0.25">
      <c r="B1343" s="90">
        <v>469</v>
      </c>
      <c r="C1343" s="91">
        <v>0.27617682991279058</v>
      </c>
      <c r="D1343" s="92">
        <v>192</v>
      </c>
      <c r="G1343" s="5"/>
      <c r="H1343" s="5"/>
      <c r="L1343" s="7"/>
      <c r="M1343" s="7"/>
      <c r="O1343" s="5"/>
      <c r="P1343" s="5"/>
    </row>
    <row r="1344" spans="2:16" x14ac:dyDescent="0.25">
      <c r="B1344" s="90">
        <v>468</v>
      </c>
      <c r="C1344" s="91">
        <v>0.27704043416845781</v>
      </c>
      <c r="D1344" s="92">
        <v>192</v>
      </c>
      <c r="G1344" s="5"/>
      <c r="H1344" s="5"/>
      <c r="L1344" s="7"/>
      <c r="M1344" s="7"/>
      <c r="O1344" s="5"/>
      <c r="P1344" s="5"/>
    </row>
    <row r="1345" spans="2:16" x14ac:dyDescent="0.25">
      <c r="B1345" s="90">
        <v>528</v>
      </c>
      <c r="C1345" s="91">
        <v>0.28321137873697411</v>
      </c>
      <c r="D1345" s="92">
        <v>192</v>
      </c>
      <c r="G1345" s="5"/>
      <c r="H1345" s="5"/>
      <c r="L1345" s="7"/>
      <c r="M1345" s="7"/>
      <c r="O1345" s="5"/>
      <c r="P1345" s="5"/>
    </row>
    <row r="1346" spans="2:16" x14ac:dyDescent="0.25">
      <c r="B1346" s="90">
        <v>526</v>
      </c>
      <c r="C1346" s="91">
        <v>0.28718173064269192</v>
      </c>
      <c r="D1346" s="92">
        <v>192</v>
      </c>
      <c r="G1346" s="5"/>
      <c r="H1346" s="5"/>
      <c r="L1346" s="7"/>
      <c r="M1346" s="7"/>
      <c r="O1346" s="5"/>
      <c r="P1346" s="5"/>
    </row>
    <row r="1347" spans="2:16" x14ac:dyDescent="0.25">
      <c r="B1347" s="90">
        <v>527</v>
      </c>
      <c r="C1347" s="91">
        <v>0.28836405264819631</v>
      </c>
      <c r="D1347" s="92">
        <v>192</v>
      </c>
      <c r="G1347" s="5"/>
      <c r="H1347" s="5"/>
      <c r="L1347" s="7"/>
      <c r="M1347" s="7"/>
      <c r="O1347" s="5"/>
      <c r="P1347" s="5"/>
    </row>
    <row r="1348" spans="2:16" x14ac:dyDescent="0.25">
      <c r="B1348" s="90">
        <v>1752</v>
      </c>
      <c r="C1348" s="91">
        <v>0.3150744983289222</v>
      </c>
      <c r="D1348" s="92">
        <v>192</v>
      </c>
      <c r="G1348" s="5"/>
      <c r="H1348" s="5"/>
      <c r="L1348" s="7"/>
      <c r="M1348" s="7"/>
      <c r="O1348" s="5"/>
      <c r="P1348" s="5"/>
    </row>
    <row r="1349" spans="2:16" x14ac:dyDescent="0.25">
      <c r="B1349" s="90">
        <v>1774</v>
      </c>
      <c r="C1349" s="91">
        <v>0.42023743718551243</v>
      </c>
      <c r="D1349" s="92">
        <v>192</v>
      </c>
      <c r="G1349" s="5"/>
      <c r="H1349" s="5"/>
      <c r="L1349" s="7"/>
      <c r="M1349" s="7"/>
      <c r="O1349" s="5"/>
      <c r="P1349" s="5"/>
    </row>
    <row r="1350" spans="2:16" x14ac:dyDescent="0.25">
      <c r="B1350" s="90">
        <v>1438</v>
      </c>
      <c r="C1350" s="91">
        <v>0.13349797333899549</v>
      </c>
      <c r="D1350" s="92">
        <v>193</v>
      </c>
      <c r="G1350" s="5"/>
      <c r="H1350" s="5"/>
      <c r="L1350" s="7"/>
      <c r="M1350" s="7"/>
      <c r="O1350" s="5"/>
      <c r="P1350" s="5"/>
    </row>
    <row r="1351" spans="2:16" x14ac:dyDescent="0.25">
      <c r="B1351" s="90">
        <v>1477</v>
      </c>
      <c r="C1351" s="91">
        <v>0.18655772570068796</v>
      </c>
      <c r="D1351" s="92">
        <v>193</v>
      </c>
      <c r="G1351" s="5"/>
      <c r="H1351" s="5"/>
      <c r="L1351" s="7"/>
      <c r="M1351" s="7"/>
      <c r="O1351" s="5"/>
      <c r="P1351" s="5"/>
    </row>
    <row r="1352" spans="2:16" x14ac:dyDescent="0.25">
      <c r="B1352" s="90">
        <v>160</v>
      </c>
      <c r="C1352" s="91">
        <v>0.21496736286352702</v>
      </c>
      <c r="D1352" s="92">
        <v>193</v>
      </c>
      <c r="G1352" s="5"/>
      <c r="H1352" s="5"/>
      <c r="L1352" s="7"/>
      <c r="M1352" s="7"/>
      <c r="O1352" s="5"/>
      <c r="P1352" s="5"/>
    </row>
    <row r="1353" spans="2:16" x14ac:dyDescent="0.25">
      <c r="B1353" s="90">
        <v>1325</v>
      </c>
      <c r="C1353" s="91">
        <v>0.21507720086975435</v>
      </c>
      <c r="D1353" s="92">
        <v>193</v>
      </c>
      <c r="G1353" s="5"/>
      <c r="H1353" s="5"/>
      <c r="L1353" s="7"/>
      <c r="M1353" s="7"/>
      <c r="O1353" s="5"/>
      <c r="P1353" s="5"/>
    </row>
    <row r="1354" spans="2:16" x14ac:dyDescent="0.25">
      <c r="B1354" s="90">
        <v>229</v>
      </c>
      <c r="C1354" s="91">
        <v>0.24692049938703953</v>
      </c>
      <c r="D1354" s="92">
        <v>193</v>
      </c>
      <c r="G1354" s="5"/>
      <c r="H1354" s="5"/>
      <c r="L1354" s="7"/>
      <c r="M1354" s="7"/>
      <c r="O1354" s="5"/>
      <c r="P1354" s="5"/>
    </row>
    <row r="1355" spans="2:16" x14ac:dyDescent="0.25">
      <c r="B1355" s="90">
        <v>772</v>
      </c>
      <c r="C1355" s="91">
        <v>0.27981454803391315</v>
      </c>
      <c r="D1355" s="92">
        <v>193</v>
      </c>
      <c r="G1355" s="5"/>
      <c r="H1355" s="5"/>
      <c r="L1355" s="7"/>
      <c r="M1355" s="7"/>
      <c r="O1355" s="5"/>
      <c r="P1355" s="5"/>
    </row>
    <row r="1356" spans="2:16" x14ac:dyDescent="0.25">
      <c r="B1356" s="90">
        <v>719</v>
      </c>
      <c r="C1356" s="91">
        <v>0.28268658825711901</v>
      </c>
      <c r="D1356" s="92">
        <v>193</v>
      </c>
      <c r="G1356" s="5"/>
      <c r="H1356" s="5"/>
      <c r="L1356" s="7"/>
      <c r="M1356" s="7"/>
      <c r="O1356" s="5"/>
      <c r="P1356" s="5"/>
    </row>
    <row r="1357" spans="2:16" x14ac:dyDescent="0.25">
      <c r="B1357" s="90">
        <v>824</v>
      </c>
      <c r="C1357" s="91">
        <v>0.29443781866632479</v>
      </c>
      <c r="D1357" s="92">
        <v>193</v>
      </c>
      <c r="G1357" s="5"/>
      <c r="H1357" s="5"/>
      <c r="L1357" s="7"/>
      <c r="M1357" s="7"/>
      <c r="O1357" s="5"/>
      <c r="P1357" s="5"/>
    </row>
    <row r="1358" spans="2:16" x14ac:dyDescent="0.25">
      <c r="B1358" s="90">
        <v>368</v>
      </c>
      <c r="C1358" s="91">
        <v>0.55950004855165769</v>
      </c>
      <c r="D1358" s="92">
        <v>193</v>
      </c>
      <c r="G1358" s="5"/>
      <c r="H1358" s="5"/>
      <c r="L1358" s="7"/>
      <c r="M1358" s="7"/>
      <c r="O1358" s="5"/>
      <c r="P1358" s="5"/>
    </row>
    <row r="1359" spans="2:16" x14ac:dyDescent="0.25">
      <c r="B1359" s="90">
        <v>369</v>
      </c>
      <c r="C1359" s="91">
        <v>0.56631077582268841</v>
      </c>
      <c r="D1359" s="92">
        <v>193</v>
      </c>
      <c r="G1359" s="5"/>
      <c r="H1359" s="5"/>
      <c r="L1359" s="7"/>
      <c r="M1359" s="7"/>
      <c r="O1359" s="5"/>
      <c r="P1359" s="5"/>
    </row>
    <row r="1360" spans="2:16" x14ac:dyDescent="0.25">
      <c r="B1360" s="90">
        <v>1430</v>
      </c>
      <c r="C1360" s="91">
        <v>7.2199438440720298E-2</v>
      </c>
      <c r="D1360" s="92">
        <v>194</v>
      </c>
      <c r="G1360" s="5"/>
      <c r="H1360" s="5"/>
      <c r="L1360" s="7"/>
      <c r="M1360" s="7"/>
      <c r="O1360" s="5"/>
      <c r="P1360" s="5"/>
    </row>
    <row r="1361" spans="2:16" x14ac:dyDescent="0.25">
      <c r="B1361" s="90">
        <v>1114</v>
      </c>
      <c r="C1361" s="91">
        <v>0.11716611126873</v>
      </c>
      <c r="D1361" s="92">
        <v>194</v>
      </c>
      <c r="G1361" s="5"/>
      <c r="H1361" s="5"/>
      <c r="L1361" s="7"/>
      <c r="M1361" s="7"/>
      <c r="O1361" s="5"/>
      <c r="P1361" s="5"/>
    </row>
    <row r="1362" spans="2:16" x14ac:dyDescent="0.25">
      <c r="B1362" s="90">
        <v>1068</v>
      </c>
      <c r="C1362" s="91">
        <v>0.11860097571810635</v>
      </c>
      <c r="D1362" s="92">
        <v>194</v>
      </c>
      <c r="G1362" s="5"/>
      <c r="H1362" s="5"/>
      <c r="L1362" s="7"/>
      <c r="M1362" s="7"/>
      <c r="O1362" s="5"/>
      <c r="P1362" s="5"/>
    </row>
    <row r="1363" spans="2:16" x14ac:dyDescent="0.25">
      <c r="B1363" s="90">
        <v>1102</v>
      </c>
      <c r="C1363" s="91">
        <v>0.21089287757058828</v>
      </c>
      <c r="D1363" s="92">
        <v>194</v>
      </c>
      <c r="G1363" s="5"/>
      <c r="H1363" s="5"/>
      <c r="L1363" s="7"/>
      <c r="M1363" s="7"/>
      <c r="O1363" s="5"/>
      <c r="P1363" s="5"/>
    </row>
    <row r="1364" spans="2:16" x14ac:dyDescent="0.25">
      <c r="B1364" s="90">
        <v>353</v>
      </c>
      <c r="C1364" s="91">
        <v>0.21614466195687221</v>
      </c>
      <c r="D1364" s="92">
        <v>194</v>
      </c>
      <c r="G1364" s="5"/>
      <c r="H1364" s="5"/>
      <c r="L1364" s="7"/>
      <c r="M1364" s="7"/>
      <c r="O1364" s="5"/>
      <c r="P1364" s="5"/>
    </row>
    <row r="1365" spans="2:16" x14ac:dyDescent="0.25">
      <c r="B1365" s="90">
        <v>292</v>
      </c>
      <c r="C1365" s="91">
        <v>0.22459885942858038</v>
      </c>
      <c r="D1365" s="92">
        <v>194</v>
      </c>
      <c r="G1365" s="5"/>
      <c r="H1365" s="5"/>
      <c r="L1365" s="7"/>
      <c r="M1365" s="7"/>
      <c r="O1365" s="5"/>
      <c r="P1365" s="5"/>
    </row>
    <row r="1366" spans="2:16" x14ac:dyDescent="0.25">
      <c r="B1366" s="90">
        <v>228</v>
      </c>
      <c r="C1366" s="91">
        <v>0.25823616736423083</v>
      </c>
      <c r="D1366" s="92">
        <v>194</v>
      </c>
      <c r="G1366" s="5"/>
      <c r="H1366" s="5"/>
      <c r="L1366" s="7"/>
      <c r="M1366" s="7"/>
      <c r="O1366" s="5"/>
      <c r="P1366" s="5"/>
    </row>
    <row r="1367" spans="2:16" x14ac:dyDescent="0.25">
      <c r="B1367" s="90">
        <v>470</v>
      </c>
      <c r="C1367" s="91">
        <v>0.27028080356231987</v>
      </c>
      <c r="D1367" s="92">
        <v>194</v>
      </c>
      <c r="G1367" s="5"/>
      <c r="H1367" s="5"/>
      <c r="L1367" s="7"/>
      <c r="M1367" s="7"/>
      <c r="O1367" s="5"/>
      <c r="P1367" s="5"/>
    </row>
    <row r="1368" spans="2:16" x14ac:dyDescent="0.25">
      <c r="B1368" s="90">
        <v>1746</v>
      </c>
      <c r="C1368" s="91">
        <v>0.43938308761013678</v>
      </c>
      <c r="D1368" s="92">
        <v>194</v>
      </c>
      <c r="G1368" s="5"/>
      <c r="H1368" s="5"/>
      <c r="L1368" s="7"/>
      <c r="M1368" s="7"/>
      <c r="O1368" s="5"/>
      <c r="P1368" s="5"/>
    </row>
    <row r="1369" spans="2:16" x14ac:dyDescent="0.25">
      <c r="B1369" s="90">
        <v>1614</v>
      </c>
      <c r="C1369" s="91">
        <v>9.9730318069038315E-2</v>
      </c>
      <c r="D1369" s="92">
        <v>195</v>
      </c>
      <c r="G1369" s="5"/>
      <c r="H1369" s="5"/>
      <c r="L1369" s="7"/>
      <c r="M1369" s="7"/>
      <c r="O1369" s="5"/>
      <c r="P1369" s="5"/>
    </row>
    <row r="1370" spans="2:16" x14ac:dyDescent="0.25">
      <c r="B1370" s="90">
        <v>1248</v>
      </c>
      <c r="C1370" s="91">
        <v>0.32897593222705246</v>
      </c>
      <c r="D1370" s="92">
        <v>195</v>
      </c>
      <c r="G1370" s="5"/>
      <c r="H1370" s="5"/>
      <c r="L1370" s="7"/>
      <c r="M1370" s="7"/>
      <c r="O1370" s="5"/>
      <c r="P1370" s="5"/>
    </row>
    <row r="1371" spans="2:16" x14ac:dyDescent="0.25">
      <c r="B1371" s="90">
        <v>1115</v>
      </c>
      <c r="C1371" s="91">
        <v>0.3376241899550454</v>
      </c>
      <c r="D1371" s="92">
        <v>195</v>
      </c>
      <c r="G1371" s="5"/>
      <c r="H1371" s="5"/>
      <c r="L1371" s="7"/>
      <c r="M1371" s="7"/>
      <c r="O1371" s="5"/>
      <c r="P1371" s="5"/>
    </row>
    <row r="1372" spans="2:16" x14ac:dyDescent="0.25">
      <c r="B1372" s="90">
        <v>1069</v>
      </c>
      <c r="C1372" s="91">
        <v>0.34127822647596195</v>
      </c>
      <c r="D1372" s="92">
        <v>195</v>
      </c>
      <c r="G1372" s="5"/>
      <c r="H1372" s="5"/>
      <c r="L1372" s="7"/>
      <c r="M1372" s="7"/>
      <c r="O1372" s="5"/>
      <c r="P1372" s="5"/>
    </row>
    <row r="1373" spans="2:16" x14ac:dyDescent="0.25">
      <c r="B1373" s="90">
        <v>63</v>
      </c>
      <c r="C1373" s="91">
        <v>0.72029948670911215</v>
      </c>
      <c r="D1373" s="92">
        <v>195</v>
      </c>
      <c r="G1373" s="5"/>
      <c r="H1373" s="5"/>
      <c r="L1373" s="7"/>
      <c r="M1373" s="7"/>
      <c r="O1373" s="5"/>
      <c r="P1373" s="5"/>
    </row>
    <row r="1374" spans="2:16" x14ac:dyDescent="0.25">
      <c r="B1374" s="90">
        <v>193</v>
      </c>
      <c r="C1374" s="91">
        <v>0.72029948670911215</v>
      </c>
      <c r="D1374" s="92">
        <v>195</v>
      </c>
      <c r="G1374" s="5"/>
      <c r="H1374" s="5"/>
      <c r="L1374" s="7"/>
      <c r="M1374" s="7"/>
      <c r="O1374" s="5"/>
      <c r="P1374" s="5"/>
    </row>
    <row r="1375" spans="2:16" x14ac:dyDescent="0.25">
      <c r="B1375" s="90">
        <v>1304</v>
      </c>
      <c r="C1375" s="91">
        <v>6.2210781378493452E-2</v>
      </c>
      <c r="D1375" s="92">
        <v>196</v>
      </c>
      <c r="G1375" s="5"/>
      <c r="H1375" s="5"/>
      <c r="L1375" s="7"/>
      <c r="M1375" s="7"/>
      <c r="O1375" s="5"/>
      <c r="P1375" s="5"/>
    </row>
    <row r="1376" spans="2:16" x14ac:dyDescent="0.25">
      <c r="B1376" s="90">
        <v>1307</v>
      </c>
      <c r="C1376" s="91">
        <v>6.6317482922197635E-2</v>
      </c>
      <c r="D1376" s="92">
        <v>196</v>
      </c>
      <c r="G1376" s="5"/>
      <c r="H1376" s="5"/>
      <c r="L1376" s="7"/>
      <c r="M1376" s="7"/>
      <c r="O1376" s="5"/>
      <c r="P1376" s="5"/>
    </row>
    <row r="1377" spans="2:16" x14ac:dyDescent="0.25">
      <c r="B1377" s="90">
        <v>1388</v>
      </c>
      <c r="C1377" s="91">
        <v>6.920448119288114E-2</v>
      </c>
      <c r="D1377" s="92">
        <v>196</v>
      </c>
      <c r="G1377" s="5"/>
      <c r="H1377" s="5"/>
      <c r="L1377" s="7"/>
      <c r="M1377" s="7"/>
      <c r="O1377" s="5"/>
      <c r="P1377" s="5"/>
    </row>
    <row r="1378" spans="2:16" x14ac:dyDescent="0.25">
      <c r="B1378" s="90">
        <v>1262</v>
      </c>
      <c r="C1378" s="91">
        <v>7.5607740329170503E-2</v>
      </c>
      <c r="D1378" s="92">
        <v>196</v>
      </c>
      <c r="G1378" s="5"/>
      <c r="H1378" s="5"/>
      <c r="L1378" s="7"/>
      <c r="M1378" s="7"/>
      <c r="O1378" s="5"/>
      <c r="P1378" s="5"/>
    </row>
    <row r="1379" spans="2:16" x14ac:dyDescent="0.25">
      <c r="B1379" s="90">
        <v>1282</v>
      </c>
      <c r="C1379" s="91">
        <v>0.29037930877407114</v>
      </c>
      <c r="D1379" s="92">
        <v>196</v>
      </c>
      <c r="G1379" s="5"/>
      <c r="H1379" s="5"/>
      <c r="L1379" s="7"/>
      <c r="M1379" s="7"/>
      <c r="O1379" s="5"/>
      <c r="P1379" s="5"/>
    </row>
    <row r="1380" spans="2:16" x14ac:dyDescent="0.25">
      <c r="B1380" s="90">
        <v>1059</v>
      </c>
      <c r="C1380" s="91">
        <v>0.30269744777503316</v>
      </c>
      <c r="D1380" s="92">
        <v>196</v>
      </c>
      <c r="G1380" s="5"/>
      <c r="H1380" s="5"/>
      <c r="L1380" s="7"/>
      <c r="M1380" s="7"/>
      <c r="O1380" s="5"/>
      <c r="P1380" s="5"/>
    </row>
    <row r="1381" spans="2:16" x14ac:dyDescent="0.25">
      <c r="B1381" s="90">
        <v>1239</v>
      </c>
      <c r="C1381" s="91">
        <v>0.30863468422197371</v>
      </c>
      <c r="D1381" s="92">
        <v>196</v>
      </c>
      <c r="G1381" s="5"/>
      <c r="H1381" s="5"/>
      <c r="L1381" s="7"/>
      <c r="M1381" s="7"/>
      <c r="O1381" s="5"/>
      <c r="P1381" s="5"/>
    </row>
    <row r="1382" spans="2:16" x14ac:dyDescent="0.25">
      <c r="B1382" s="90">
        <v>1286</v>
      </c>
      <c r="C1382" s="91">
        <v>0.35496453188045973</v>
      </c>
      <c r="D1382" s="92">
        <v>196</v>
      </c>
      <c r="G1382" s="5"/>
      <c r="H1382" s="5"/>
      <c r="L1382" s="7"/>
      <c r="M1382" s="7"/>
      <c r="O1382" s="5"/>
      <c r="P1382" s="5"/>
    </row>
    <row r="1383" spans="2:16" x14ac:dyDescent="0.25">
      <c r="B1383" s="90">
        <v>1109</v>
      </c>
      <c r="C1383" s="91">
        <v>0.37201096736887951</v>
      </c>
      <c r="D1383" s="92">
        <v>197</v>
      </c>
      <c r="G1383" s="5"/>
      <c r="H1383" s="5"/>
      <c r="L1383" s="7"/>
      <c r="M1383" s="7"/>
      <c r="O1383" s="5"/>
      <c r="P1383" s="5"/>
    </row>
    <row r="1384" spans="2:16" x14ac:dyDescent="0.25">
      <c r="B1384" s="90">
        <v>430</v>
      </c>
      <c r="C1384" s="91">
        <v>0.58098387742113755</v>
      </c>
      <c r="D1384" s="92">
        <v>197</v>
      </c>
      <c r="G1384" s="5"/>
      <c r="H1384" s="5"/>
      <c r="L1384" s="7"/>
      <c r="M1384" s="7"/>
      <c r="O1384" s="5"/>
      <c r="P1384" s="5"/>
    </row>
    <row r="1385" spans="2:16" x14ac:dyDescent="0.25">
      <c r="B1385" s="90">
        <v>2075</v>
      </c>
      <c r="C1385" s="91">
        <v>0.17065390564440941</v>
      </c>
      <c r="D1385" s="92">
        <v>198</v>
      </c>
      <c r="G1385" s="5"/>
      <c r="H1385" s="5"/>
      <c r="L1385" s="7"/>
      <c r="M1385" s="7"/>
      <c r="O1385" s="5"/>
      <c r="P1385" s="5"/>
    </row>
    <row r="1386" spans="2:16" x14ac:dyDescent="0.25">
      <c r="B1386" s="90">
        <v>872</v>
      </c>
      <c r="C1386" s="91">
        <v>0.65350079494556435</v>
      </c>
      <c r="D1386" s="92">
        <v>198</v>
      </c>
      <c r="G1386" s="5"/>
      <c r="H1386" s="5"/>
      <c r="L1386" s="7"/>
      <c r="M1386" s="7"/>
      <c r="O1386" s="5"/>
      <c r="P1386" s="5"/>
    </row>
    <row r="1387" spans="2:16" x14ac:dyDescent="0.25">
      <c r="B1387" s="90">
        <v>821</v>
      </c>
      <c r="C1387" s="91">
        <v>0.68458572491437164</v>
      </c>
      <c r="D1387" s="92">
        <v>198</v>
      </c>
      <c r="G1387" s="5"/>
      <c r="H1387" s="5"/>
      <c r="L1387" s="7"/>
      <c r="M1387" s="7"/>
      <c r="O1387" s="5"/>
      <c r="P1387" s="5"/>
    </row>
    <row r="1388" spans="2:16" x14ac:dyDescent="0.25">
      <c r="B1388" s="90">
        <v>662</v>
      </c>
      <c r="C1388" s="91">
        <v>0.73521155985109321</v>
      </c>
      <c r="D1388" s="92">
        <v>198</v>
      </c>
      <c r="G1388" s="5"/>
      <c r="H1388" s="5"/>
      <c r="L1388" s="7"/>
      <c r="M1388" s="7"/>
      <c r="O1388" s="5"/>
      <c r="P1388" s="5"/>
    </row>
    <row r="1389" spans="2:16" x14ac:dyDescent="0.25">
      <c r="B1389" s="90">
        <v>926</v>
      </c>
      <c r="C1389" s="91">
        <v>0.36657952904032043</v>
      </c>
      <c r="D1389" s="92">
        <v>199</v>
      </c>
      <c r="G1389" s="5"/>
      <c r="H1389" s="5"/>
      <c r="L1389" s="7"/>
      <c r="M1389" s="7"/>
      <c r="O1389" s="5"/>
      <c r="P1389" s="5"/>
    </row>
    <row r="1390" spans="2:16" x14ac:dyDescent="0.25">
      <c r="B1390" s="90">
        <v>720</v>
      </c>
      <c r="C1390" s="91">
        <v>0.37684984955491241</v>
      </c>
      <c r="D1390" s="92">
        <v>199</v>
      </c>
      <c r="G1390" s="5"/>
      <c r="H1390" s="5"/>
      <c r="L1390" s="7"/>
      <c r="M1390" s="7"/>
      <c r="O1390" s="5"/>
      <c r="P1390" s="5"/>
    </row>
    <row r="1391" spans="2:16" x14ac:dyDescent="0.25">
      <c r="B1391" s="90">
        <v>825</v>
      </c>
      <c r="C1391" s="91">
        <v>0.38847040393551646</v>
      </c>
      <c r="D1391" s="92">
        <v>199</v>
      </c>
      <c r="G1391" s="5"/>
      <c r="H1391" s="5"/>
      <c r="L1391" s="7"/>
      <c r="M1391" s="7"/>
      <c r="O1391" s="5"/>
      <c r="P1391" s="5"/>
    </row>
    <row r="1392" spans="2:16" x14ac:dyDescent="0.25">
      <c r="B1392" s="90">
        <v>965</v>
      </c>
      <c r="C1392" s="91">
        <v>0.44232105296341784</v>
      </c>
      <c r="D1392" s="92">
        <v>200</v>
      </c>
      <c r="G1392" s="5"/>
      <c r="H1392" s="5"/>
      <c r="L1392" s="7"/>
      <c r="M1392" s="7"/>
      <c r="O1392" s="5"/>
      <c r="P1392" s="5"/>
    </row>
    <row r="1393" spans="2:16" x14ac:dyDescent="0.25">
      <c r="B1393" s="90">
        <v>863</v>
      </c>
      <c r="C1393" s="91">
        <v>0.45163547072769594</v>
      </c>
      <c r="D1393" s="92">
        <v>200</v>
      </c>
      <c r="G1393" s="5"/>
      <c r="H1393" s="5"/>
      <c r="L1393" s="7"/>
      <c r="M1393" s="7"/>
      <c r="O1393" s="5"/>
      <c r="P1393" s="5"/>
    </row>
    <row r="1394" spans="2:16" x14ac:dyDescent="0.25">
      <c r="B1394" s="90">
        <v>1112</v>
      </c>
      <c r="C1394" s="91">
        <v>0.49186111854021675</v>
      </c>
      <c r="D1394" s="92">
        <v>200</v>
      </c>
      <c r="G1394" s="5"/>
      <c r="H1394" s="5"/>
      <c r="L1394" s="7"/>
      <c r="M1394" s="7"/>
      <c r="O1394" s="5"/>
      <c r="P1394" s="5"/>
    </row>
    <row r="1395" spans="2:16" x14ac:dyDescent="0.25">
      <c r="B1395" s="90">
        <v>247</v>
      </c>
      <c r="C1395" s="91">
        <v>0.59066060646293073</v>
      </c>
      <c r="D1395" s="92">
        <v>200</v>
      </c>
      <c r="G1395" s="5"/>
      <c r="H1395" s="5"/>
      <c r="L1395" s="7"/>
      <c r="M1395" s="7"/>
      <c r="O1395" s="5"/>
      <c r="P1395" s="5"/>
    </row>
    <row r="1396" spans="2:16" x14ac:dyDescent="0.25">
      <c r="B1396" s="90">
        <v>973</v>
      </c>
      <c r="C1396" s="91">
        <v>0.10276147155523607</v>
      </c>
      <c r="D1396" s="92">
        <v>201</v>
      </c>
      <c r="G1396" s="5"/>
      <c r="H1396" s="5"/>
      <c r="L1396" s="7"/>
      <c r="M1396" s="7"/>
      <c r="O1396" s="5"/>
      <c r="P1396" s="5"/>
    </row>
    <row r="1397" spans="2:16" x14ac:dyDescent="0.25">
      <c r="B1397" s="90">
        <v>1021</v>
      </c>
      <c r="C1397" s="91">
        <v>0.11405543771291859</v>
      </c>
      <c r="D1397" s="92">
        <v>201</v>
      </c>
      <c r="G1397" s="5"/>
      <c r="H1397" s="5"/>
      <c r="L1397" s="7"/>
      <c r="M1397" s="7"/>
      <c r="O1397" s="5"/>
      <c r="P1397" s="5"/>
    </row>
    <row r="1398" spans="2:16" x14ac:dyDescent="0.25">
      <c r="B1398" s="90">
        <v>1765</v>
      </c>
      <c r="C1398" s="91">
        <v>0.34264303946736585</v>
      </c>
      <c r="D1398" s="92">
        <v>201</v>
      </c>
      <c r="G1398" s="5"/>
      <c r="H1398" s="5"/>
      <c r="L1398" s="7"/>
      <c r="M1398" s="7"/>
      <c r="O1398" s="5"/>
      <c r="P1398" s="5"/>
    </row>
    <row r="1399" spans="2:16" x14ac:dyDescent="0.25">
      <c r="B1399" s="90">
        <v>917</v>
      </c>
      <c r="C1399" s="91">
        <v>0.37474268318787207</v>
      </c>
      <c r="D1399" s="92">
        <v>201</v>
      </c>
      <c r="G1399" s="5"/>
      <c r="H1399" s="5"/>
      <c r="L1399" s="7"/>
      <c r="M1399" s="7"/>
      <c r="O1399" s="5"/>
      <c r="P1399" s="5"/>
    </row>
    <row r="1400" spans="2:16" x14ac:dyDescent="0.25">
      <c r="B1400" s="90">
        <v>1110</v>
      </c>
      <c r="C1400" s="91">
        <v>0.38731902949427943</v>
      </c>
      <c r="D1400" s="92">
        <v>201</v>
      </c>
      <c r="G1400" s="5"/>
      <c r="H1400" s="5"/>
      <c r="L1400" s="7"/>
      <c r="M1400" s="7"/>
      <c r="O1400" s="5"/>
      <c r="P1400" s="5"/>
    </row>
    <row r="1401" spans="2:16" x14ac:dyDescent="0.25">
      <c r="B1401" s="90">
        <v>916</v>
      </c>
      <c r="C1401" s="91">
        <v>0.38784107273817436</v>
      </c>
      <c r="D1401" s="92">
        <v>201</v>
      </c>
      <c r="G1401" s="5"/>
      <c r="H1401" s="5"/>
      <c r="L1401" s="7"/>
      <c r="M1401" s="7"/>
      <c r="O1401" s="5"/>
      <c r="P1401" s="5"/>
    </row>
    <row r="1402" spans="2:16" x14ac:dyDescent="0.25">
      <c r="B1402" s="90">
        <v>866</v>
      </c>
      <c r="C1402" s="91">
        <v>0.38960635034838265</v>
      </c>
      <c r="D1402" s="92">
        <v>201</v>
      </c>
      <c r="G1402" s="5"/>
      <c r="H1402" s="5"/>
      <c r="L1402" s="7"/>
      <c r="M1402" s="7"/>
      <c r="O1402" s="5"/>
      <c r="P1402" s="5"/>
    </row>
    <row r="1403" spans="2:16" x14ac:dyDescent="0.25">
      <c r="B1403" s="90">
        <v>814</v>
      </c>
      <c r="C1403" s="91">
        <v>0.40092201189805232</v>
      </c>
      <c r="D1403" s="92">
        <v>201</v>
      </c>
      <c r="G1403" s="5"/>
      <c r="H1403" s="5"/>
      <c r="L1403" s="7"/>
      <c r="M1403" s="7"/>
      <c r="O1403" s="5"/>
      <c r="P1403" s="5"/>
    </row>
    <row r="1404" spans="2:16" x14ac:dyDescent="0.25">
      <c r="B1404" s="90">
        <v>1016</v>
      </c>
      <c r="C1404" s="91">
        <v>0.47795968039520509</v>
      </c>
      <c r="D1404" s="92">
        <v>201</v>
      </c>
      <c r="G1404" s="5"/>
      <c r="H1404" s="5"/>
      <c r="L1404" s="7"/>
      <c r="M1404" s="7"/>
      <c r="O1404" s="5"/>
      <c r="P1404" s="5"/>
    </row>
    <row r="1405" spans="2:16" x14ac:dyDescent="0.25">
      <c r="B1405" s="90">
        <v>1063</v>
      </c>
      <c r="C1405" s="91">
        <v>0.52712185226535224</v>
      </c>
      <c r="D1405" s="92">
        <v>201</v>
      </c>
      <c r="G1405" s="5"/>
      <c r="H1405" s="5"/>
      <c r="L1405" s="7"/>
      <c r="M1405" s="7"/>
      <c r="O1405" s="5"/>
      <c r="P1405" s="5"/>
    </row>
    <row r="1406" spans="2:16" x14ac:dyDescent="0.25">
      <c r="B1406" s="90">
        <v>126</v>
      </c>
      <c r="C1406" s="91">
        <v>0.64664544016205561</v>
      </c>
      <c r="D1406" s="92">
        <v>201</v>
      </c>
      <c r="G1406" s="5"/>
      <c r="H1406" s="5"/>
      <c r="L1406" s="7"/>
      <c r="M1406" s="7"/>
      <c r="O1406" s="5"/>
      <c r="P1406" s="5"/>
    </row>
    <row r="1407" spans="2:16" x14ac:dyDescent="0.25">
      <c r="B1407" s="90">
        <v>127</v>
      </c>
      <c r="C1407" s="91">
        <v>0.65774015091328175</v>
      </c>
      <c r="D1407" s="92">
        <v>201</v>
      </c>
      <c r="G1407" s="5"/>
      <c r="H1407" s="5"/>
      <c r="L1407" s="7"/>
      <c r="M1407" s="7"/>
      <c r="O1407" s="5"/>
      <c r="P1407" s="5"/>
    </row>
    <row r="1408" spans="2:16" x14ac:dyDescent="0.25">
      <c r="B1408" s="90">
        <v>761</v>
      </c>
      <c r="C1408" s="91">
        <v>0.3912483555271884</v>
      </c>
      <c r="D1408" s="92">
        <v>202</v>
      </c>
      <c r="G1408" s="5"/>
      <c r="H1408" s="5"/>
      <c r="L1408" s="7"/>
      <c r="M1408" s="7"/>
      <c r="O1408" s="5"/>
      <c r="P1408" s="5"/>
    </row>
    <row r="1409" spans="2:16" x14ac:dyDescent="0.25">
      <c r="B1409" s="90">
        <v>707</v>
      </c>
      <c r="C1409" s="91">
        <v>0.39911130948197604</v>
      </c>
      <c r="D1409" s="92">
        <v>202</v>
      </c>
      <c r="G1409" s="5"/>
      <c r="H1409" s="5"/>
      <c r="L1409" s="7"/>
      <c r="M1409" s="7"/>
      <c r="O1409" s="5"/>
      <c r="P1409" s="5"/>
    </row>
    <row r="1410" spans="2:16" x14ac:dyDescent="0.25">
      <c r="B1410" s="90">
        <v>190</v>
      </c>
      <c r="C1410" s="91">
        <v>0.6408698087807212</v>
      </c>
      <c r="D1410" s="92">
        <v>202</v>
      </c>
      <c r="G1410" s="5"/>
      <c r="H1410" s="5"/>
      <c r="L1410" s="7"/>
      <c r="M1410" s="7"/>
      <c r="O1410" s="5"/>
      <c r="P1410" s="5"/>
    </row>
    <row r="1411" spans="2:16" x14ac:dyDescent="0.25">
      <c r="B1411" s="90">
        <v>191</v>
      </c>
      <c r="C1411" s="91">
        <v>0.65169002958600153</v>
      </c>
      <c r="D1411" s="92">
        <v>202</v>
      </c>
      <c r="G1411" s="5"/>
      <c r="H1411" s="5"/>
      <c r="L1411" s="7"/>
      <c r="M1411" s="7"/>
      <c r="O1411" s="5"/>
      <c r="P1411" s="5"/>
    </row>
    <row r="1412" spans="2:16" x14ac:dyDescent="0.25">
      <c r="B1412" s="90">
        <v>494</v>
      </c>
      <c r="C1412" s="91">
        <v>0.76166783848906527</v>
      </c>
      <c r="D1412" s="92">
        <v>202</v>
      </c>
      <c r="G1412" s="5"/>
      <c r="H1412" s="5"/>
      <c r="L1412" s="7"/>
      <c r="M1412" s="7"/>
      <c r="O1412" s="5"/>
      <c r="P1412" s="5"/>
    </row>
    <row r="1413" spans="2:16" x14ac:dyDescent="0.25">
      <c r="B1413" s="90">
        <v>609</v>
      </c>
      <c r="C1413" s="91">
        <v>0.1020347037095588</v>
      </c>
      <c r="D1413" s="92">
        <v>203</v>
      </c>
      <c r="G1413" s="5"/>
      <c r="H1413" s="5"/>
      <c r="L1413" s="7"/>
      <c r="M1413" s="7"/>
      <c r="O1413" s="5"/>
      <c r="P1413" s="5"/>
    </row>
    <row r="1414" spans="2:16" x14ac:dyDescent="0.25">
      <c r="B1414" s="90">
        <v>553</v>
      </c>
      <c r="C1414" s="91">
        <v>0.10297814030648478</v>
      </c>
      <c r="D1414" s="92">
        <v>203</v>
      </c>
      <c r="G1414" s="5"/>
      <c r="H1414" s="5"/>
      <c r="L1414" s="7"/>
      <c r="M1414" s="7"/>
      <c r="O1414" s="5"/>
      <c r="P1414" s="5"/>
    </row>
    <row r="1415" spans="2:16" x14ac:dyDescent="0.25">
      <c r="B1415" s="90">
        <v>664</v>
      </c>
      <c r="C1415" s="91">
        <v>0.10329944630793186</v>
      </c>
      <c r="D1415" s="92">
        <v>203</v>
      </c>
      <c r="G1415" s="5"/>
      <c r="H1415" s="5"/>
      <c r="L1415" s="7"/>
      <c r="M1415" s="7"/>
      <c r="O1415" s="5"/>
      <c r="P1415" s="5"/>
    </row>
    <row r="1416" spans="2:16" x14ac:dyDescent="0.25">
      <c r="B1416" s="90">
        <v>924</v>
      </c>
      <c r="C1416" s="91">
        <v>0.10413150717809549</v>
      </c>
      <c r="D1416" s="92">
        <v>203</v>
      </c>
      <c r="G1416" s="5"/>
      <c r="H1416" s="5"/>
      <c r="L1416" s="7"/>
      <c r="M1416" s="7"/>
      <c r="O1416" s="5"/>
      <c r="P1416" s="5"/>
    </row>
    <row r="1417" spans="2:16" x14ac:dyDescent="0.25">
      <c r="B1417" s="90">
        <v>496</v>
      </c>
      <c r="C1417" s="91">
        <v>0.10531236198454164</v>
      </c>
      <c r="D1417" s="92">
        <v>203</v>
      </c>
      <c r="G1417" s="5"/>
      <c r="H1417" s="5"/>
      <c r="L1417" s="7"/>
      <c r="M1417" s="7"/>
      <c r="O1417" s="5"/>
      <c r="P1417" s="5"/>
    </row>
    <row r="1418" spans="2:16" x14ac:dyDescent="0.25">
      <c r="B1418" s="90">
        <v>771</v>
      </c>
      <c r="C1418" s="91">
        <v>0.10578109023364579</v>
      </c>
      <c r="D1418" s="92">
        <v>203</v>
      </c>
      <c r="G1418" s="5"/>
      <c r="H1418" s="5"/>
      <c r="L1418" s="7"/>
      <c r="M1418" s="7"/>
      <c r="O1418" s="5"/>
      <c r="P1418" s="5"/>
    </row>
    <row r="1419" spans="2:16" x14ac:dyDescent="0.25">
      <c r="B1419" s="90">
        <v>718</v>
      </c>
      <c r="C1419" s="91">
        <v>0.10681451903443284</v>
      </c>
      <c r="D1419" s="92">
        <v>203</v>
      </c>
      <c r="G1419" s="5"/>
      <c r="H1419" s="5"/>
      <c r="L1419" s="7"/>
      <c r="M1419" s="7"/>
      <c r="O1419" s="5"/>
      <c r="P1419" s="5"/>
    </row>
    <row r="1420" spans="2:16" x14ac:dyDescent="0.25">
      <c r="B1420" s="90">
        <v>379</v>
      </c>
      <c r="C1420" s="91">
        <v>0.10726975459872334</v>
      </c>
      <c r="D1420" s="92">
        <v>203</v>
      </c>
      <c r="G1420" s="5"/>
      <c r="H1420" s="5"/>
      <c r="L1420" s="7"/>
      <c r="M1420" s="7"/>
      <c r="O1420" s="5"/>
      <c r="P1420" s="5"/>
    </row>
    <row r="1421" spans="2:16" x14ac:dyDescent="0.25">
      <c r="B1421" s="90">
        <v>258</v>
      </c>
      <c r="C1421" s="91">
        <v>0.10728553454655254</v>
      </c>
      <c r="D1421" s="92">
        <v>203</v>
      </c>
      <c r="G1421" s="5"/>
      <c r="H1421" s="5"/>
      <c r="L1421" s="7"/>
      <c r="M1421" s="7"/>
      <c r="O1421" s="5"/>
      <c r="P1421" s="5"/>
    </row>
    <row r="1422" spans="2:16" x14ac:dyDescent="0.25">
      <c r="B1422" s="90">
        <v>874</v>
      </c>
      <c r="C1422" s="91">
        <v>0.11013138048818072</v>
      </c>
      <c r="D1422" s="92">
        <v>203</v>
      </c>
      <c r="G1422" s="5"/>
      <c r="H1422" s="5"/>
      <c r="L1422" s="7"/>
      <c r="M1422" s="7"/>
      <c r="O1422" s="5"/>
      <c r="P1422" s="5"/>
    </row>
    <row r="1423" spans="2:16" x14ac:dyDescent="0.25">
      <c r="B1423" s="90">
        <v>823</v>
      </c>
      <c r="C1423" s="91">
        <v>0.11018066534176163</v>
      </c>
      <c r="D1423" s="92">
        <v>203</v>
      </c>
      <c r="G1423" s="5"/>
      <c r="H1423" s="5"/>
      <c r="L1423" s="7"/>
      <c r="M1423" s="7"/>
      <c r="O1423" s="5"/>
      <c r="P1423" s="5"/>
    </row>
    <row r="1424" spans="2:16" x14ac:dyDescent="0.25">
      <c r="B1424" s="90">
        <v>319</v>
      </c>
      <c r="C1424" s="91">
        <v>0.11063187523421658</v>
      </c>
      <c r="D1424" s="92">
        <v>203</v>
      </c>
      <c r="G1424" s="5"/>
      <c r="H1424" s="5"/>
      <c r="L1424" s="7"/>
      <c r="M1424" s="7"/>
      <c r="O1424" s="5"/>
      <c r="P1424" s="5"/>
    </row>
    <row r="1425" spans="2:16" x14ac:dyDescent="0.25">
      <c r="B1425" s="90">
        <v>876</v>
      </c>
      <c r="C1425" s="91">
        <v>0.38853127262404241</v>
      </c>
      <c r="D1425" s="92">
        <v>203</v>
      </c>
      <c r="G1425" s="5"/>
      <c r="H1425" s="5"/>
      <c r="L1425" s="7"/>
      <c r="M1425" s="7"/>
      <c r="O1425" s="5"/>
      <c r="P1425" s="5"/>
    </row>
    <row r="1426" spans="2:16" x14ac:dyDescent="0.25">
      <c r="B1426" s="90">
        <v>596</v>
      </c>
      <c r="C1426" s="91">
        <v>0.3893450217245501</v>
      </c>
      <c r="D1426" s="92">
        <v>203</v>
      </c>
      <c r="G1426" s="5"/>
      <c r="H1426" s="5"/>
      <c r="L1426" s="7"/>
      <c r="M1426" s="7"/>
      <c r="O1426" s="5"/>
      <c r="P1426" s="5"/>
    </row>
    <row r="1427" spans="2:16" x14ac:dyDescent="0.25">
      <c r="B1427" s="90">
        <v>652</v>
      </c>
      <c r="C1427" s="91">
        <v>0.3968197642187421</v>
      </c>
      <c r="D1427" s="92">
        <v>203</v>
      </c>
      <c r="G1427" s="5"/>
      <c r="H1427" s="5"/>
      <c r="L1427" s="7"/>
      <c r="M1427" s="7"/>
      <c r="O1427" s="5"/>
      <c r="P1427" s="5"/>
    </row>
    <row r="1428" spans="2:16" x14ac:dyDescent="0.25">
      <c r="B1428" s="90">
        <v>365</v>
      </c>
      <c r="C1428" s="91">
        <v>0.50254993994309893</v>
      </c>
      <c r="D1428" s="92">
        <v>203</v>
      </c>
      <c r="G1428" s="5"/>
      <c r="H1428" s="5"/>
      <c r="L1428" s="7"/>
      <c r="M1428" s="7"/>
      <c r="O1428" s="5"/>
      <c r="P1428" s="5"/>
    </row>
    <row r="1429" spans="2:16" x14ac:dyDescent="0.25">
      <c r="B1429" s="90">
        <v>366</v>
      </c>
      <c r="C1429" s="91">
        <v>0.50293394769283917</v>
      </c>
      <c r="D1429" s="92">
        <v>203</v>
      </c>
      <c r="G1429" s="5"/>
      <c r="H1429" s="5"/>
      <c r="L1429" s="7"/>
      <c r="M1429" s="7"/>
      <c r="O1429" s="5"/>
      <c r="P1429" s="5"/>
    </row>
    <row r="1430" spans="2:16" x14ac:dyDescent="0.25">
      <c r="B1430" s="90">
        <v>304</v>
      </c>
      <c r="C1430" s="91">
        <v>0.51311922655538367</v>
      </c>
      <c r="D1430" s="92">
        <v>203</v>
      </c>
      <c r="G1430" s="5"/>
      <c r="H1430" s="5"/>
      <c r="L1430" s="7"/>
      <c r="M1430" s="7"/>
      <c r="O1430" s="5"/>
      <c r="P1430" s="5"/>
    </row>
    <row r="1431" spans="2:16" x14ac:dyDescent="0.25">
      <c r="B1431" s="90">
        <v>305</v>
      </c>
      <c r="C1431" s="91">
        <v>0.51350210690500664</v>
      </c>
      <c r="D1431" s="92">
        <v>203</v>
      </c>
      <c r="G1431" s="5"/>
      <c r="H1431" s="5"/>
      <c r="L1431" s="7"/>
      <c r="M1431" s="7"/>
      <c r="O1431" s="5"/>
      <c r="P1431" s="5"/>
    </row>
    <row r="1432" spans="2:16" x14ac:dyDescent="0.25">
      <c r="B1432" s="90">
        <v>426</v>
      </c>
      <c r="C1432" s="91">
        <v>0.52026657346888217</v>
      </c>
      <c r="D1432" s="92">
        <v>203</v>
      </c>
      <c r="G1432" s="5"/>
      <c r="H1432" s="5"/>
      <c r="L1432" s="7"/>
      <c r="M1432" s="7"/>
      <c r="O1432" s="5"/>
      <c r="P1432" s="5"/>
    </row>
    <row r="1433" spans="2:16" x14ac:dyDescent="0.25">
      <c r="B1433" s="90">
        <v>425</v>
      </c>
      <c r="C1433" s="91">
        <v>0.52085723389212324</v>
      </c>
      <c r="D1433" s="92">
        <v>203</v>
      </c>
      <c r="G1433" s="5"/>
      <c r="H1433" s="5"/>
      <c r="L1433" s="7"/>
      <c r="M1433" s="7"/>
      <c r="O1433" s="5"/>
      <c r="P1433" s="5"/>
    </row>
    <row r="1434" spans="2:16" x14ac:dyDescent="0.25">
      <c r="B1434" s="90">
        <v>485</v>
      </c>
      <c r="C1434" s="91">
        <v>0.52771429935948444</v>
      </c>
      <c r="D1434" s="92">
        <v>203</v>
      </c>
      <c r="G1434" s="5"/>
      <c r="H1434" s="5"/>
      <c r="L1434" s="7"/>
      <c r="M1434" s="7"/>
      <c r="O1434" s="5"/>
      <c r="P1434" s="5"/>
    </row>
    <row r="1435" spans="2:16" x14ac:dyDescent="0.25">
      <c r="B1435" s="90">
        <v>1261</v>
      </c>
      <c r="C1435" s="91">
        <v>7.019832946982163E-2</v>
      </c>
      <c r="D1435" s="92">
        <v>204</v>
      </c>
      <c r="G1435" s="5"/>
      <c r="H1435" s="5"/>
      <c r="L1435" s="7"/>
      <c r="M1435" s="7"/>
      <c r="O1435" s="5"/>
      <c r="P1435" s="5"/>
    </row>
    <row r="1436" spans="2:16" x14ac:dyDescent="0.25">
      <c r="B1436" s="90">
        <v>539</v>
      </c>
      <c r="C1436" s="91">
        <v>0.37969992609047587</v>
      </c>
      <c r="D1436" s="92">
        <v>204</v>
      </c>
      <c r="G1436" s="5"/>
      <c r="H1436" s="5"/>
      <c r="L1436" s="7"/>
      <c r="M1436" s="7"/>
      <c r="O1436" s="5"/>
      <c r="P1436" s="5"/>
    </row>
    <row r="1437" spans="2:16" x14ac:dyDescent="0.25">
      <c r="B1437" s="90">
        <v>541</v>
      </c>
      <c r="C1437" s="91">
        <v>0.50215331226723092</v>
      </c>
      <c r="D1437" s="92">
        <v>204</v>
      </c>
      <c r="G1437" s="5"/>
      <c r="H1437" s="5"/>
      <c r="L1437" s="7"/>
      <c r="M1437" s="7"/>
      <c r="O1437" s="5"/>
      <c r="P1437" s="5"/>
    </row>
    <row r="1438" spans="2:16" x14ac:dyDescent="0.25">
      <c r="B1438" s="90">
        <v>370</v>
      </c>
      <c r="C1438" s="91">
        <v>0.57634277518987298</v>
      </c>
      <c r="D1438" s="92">
        <v>204</v>
      </c>
      <c r="G1438" s="5"/>
      <c r="H1438" s="5"/>
      <c r="L1438" s="7"/>
      <c r="M1438" s="7"/>
      <c r="O1438" s="5"/>
      <c r="P1438" s="5"/>
    </row>
    <row r="1439" spans="2:16" x14ac:dyDescent="0.25">
      <c r="B1439" s="90">
        <v>1769</v>
      </c>
      <c r="C1439" s="91">
        <v>2.5927100653747259E-2</v>
      </c>
      <c r="D1439" s="92">
        <v>205</v>
      </c>
      <c r="G1439" s="5"/>
      <c r="H1439" s="5"/>
      <c r="L1439" s="7"/>
      <c r="M1439" s="7"/>
      <c r="O1439" s="5"/>
      <c r="P1439" s="5"/>
    </row>
    <row r="1440" spans="2:16" x14ac:dyDescent="0.25">
      <c r="B1440" s="90">
        <v>1466</v>
      </c>
      <c r="C1440" s="91">
        <v>5.9109549455377497E-2</v>
      </c>
      <c r="D1440" s="92">
        <v>205</v>
      </c>
      <c r="G1440" s="5"/>
      <c r="H1440" s="5"/>
      <c r="L1440" s="7"/>
      <c r="M1440" s="7"/>
      <c r="O1440" s="5"/>
      <c r="P1440" s="5"/>
    </row>
    <row r="1441" spans="2:16" x14ac:dyDescent="0.25">
      <c r="B1441" s="90">
        <v>438</v>
      </c>
      <c r="C1441" s="91">
        <v>0.1063389538910875</v>
      </c>
      <c r="D1441" s="92">
        <v>205</v>
      </c>
      <c r="G1441" s="5"/>
      <c r="H1441" s="5"/>
      <c r="L1441" s="7"/>
      <c r="M1441" s="7"/>
      <c r="O1441" s="5"/>
      <c r="P1441" s="5"/>
    </row>
    <row r="1442" spans="2:16" x14ac:dyDescent="0.25">
      <c r="B1442" s="90">
        <v>1023</v>
      </c>
      <c r="C1442" s="91">
        <v>0.41961164594336986</v>
      </c>
      <c r="D1442" s="92">
        <v>205</v>
      </c>
      <c r="G1442" s="5"/>
      <c r="H1442" s="5"/>
      <c r="L1442" s="7"/>
      <c r="M1442" s="7"/>
      <c r="O1442" s="5"/>
      <c r="P1442" s="5"/>
    </row>
    <row r="1443" spans="2:16" x14ac:dyDescent="0.25">
      <c r="B1443" s="90">
        <v>1218</v>
      </c>
      <c r="C1443" s="91">
        <v>8.421712413934479E-2</v>
      </c>
      <c r="D1443" s="92">
        <v>206</v>
      </c>
      <c r="G1443" s="5"/>
      <c r="H1443" s="5"/>
      <c r="L1443" s="7"/>
      <c r="M1443" s="7"/>
      <c r="O1443" s="5"/>
      <c r="P1443" s="5"/>
    </row>
    <row r="1444" spans="2:16" x14ac:dyDescent="0.25">
      <c r="B1444" s="90">
        <v>472</v>
      </c>
      <c r="C1444" s="91">
        <v>0.24926631817562539</v>
      </c>
      <c r="D1444" s="92">
        <v>206</v>
      </c>
      <c r="G1444" s="5"/>
      <c r="H1444" s="5"/>
      <c r="L1444" s="7"/>
      <c r="M1444" s="7"/>
      <c r="O1444" s="5"/>
      <c r="P1444" s="5"/>
    </row>
    <row r="1445" spans="2:16" x14ac:dyDescent="0.25">
      <c r="B1445" s="90">
        <v>530</v>
      </c>
      <c r="C1445" s="91">
        <v>0.26435803694289428</v>
      </c>
      <c r="D1445" s="92">
        <v>206</v>
      </c>
      <c r="G1445" s="5"/>
      <c r="H1445" s="5"/>
      <c r="L1445" s="7"/>
      <c r="M1445" s="7"/>
      <c r="O1445" s="5"/>
      <c r="P1445" s="5"/>
    </row>
    <row r="1446" spans="2:16" x14ac:dyDescent="0.25">
      <c r="B1446" s="90">
        <v>587</v>
      </c>
      <c r="C1446" s="91">
        <v>0.26755768896131082</v>
      </c>
      <c r="D1446" s="92">
        <v>206</v>
      </c>
      <c r="G1446" s="5"/>
      <c r="H1446" s="5"/>
      <c r="L1446" s="7"/>
      <c r="M1446" s="7"/>
      <c r="O1446" s="5"/>
      <c r="P1446" s="5"/>
    </row>
    <row r="1447" spans="2:16" x14ac:dyDescent="0.25">
      <c r="B1447" s="90">
        <v>752</v>
      </c>
      <c r="C1447" s="91">
        <v>0.26874860971282943</v>
      </c>
      <c r="D1447" s="92">
        <v>206</v>
      </c>
      <c r="G1447" s="5"/>
      <c r="H1447" s="5"/>
      <c r="L1447" s="7"/>
      <c r="M1447" s="7"/>
      <c r="O1447" s="5"/>
      <c r="P1447" s="5"/>
    </row>
    <row r="1448" spans="2:16" x14ac:dyDescent="0.25">
      <c r="B1448" s="90">
        <v>643</v>
      </c>
      <c r="C1448" s="91">
        <v>0.27318899527971363</v>
      </c>
      <c r="D1448" s="92">
        <v>206</v>
      </c>
      <c r="G1448" s="5"/>
      <c r="H1448" s="5"/>
      <c r="L1448" s="7"/>
      <c r="M1448" s="7"/>
      <c r="O1448" s="5"/>
      <c r="P1448" s="5"/>
    </row>
    <row r="1449" spans="2:16" x14ac:dyDescent="0.25">
      <c r="B1449" s="90">
        <v>243</v>
      </c>
      <c r="C1449" s="91">
        <v>0.50347554452882004</v>
      </c>
      <c r="D1449" s="92">
        <v>206</v>
      </c>
      <c r="G1449" s="5"/>
      <c r="H1449" s="5"/>
      <c r="L1449" s="7"/>
      <c r="M1449" s="7"/>
      <c r="O1449" s="5"/>
      <c r="P1449" s="5"/>
    </row>
    <row r="1450" spans="2:16" x14ac:dyDescent="0.25">
      <c r="B1450" s="90">
        <v>242</v>
      </c>
      <c r="C1450" s="91">
        <v>0.50354095699542178</v>
      </c>
      <c r="D1450" s="92">
        <v>206</v>
      </c>
      <c r="G1450" s="5"/>
      <c r="H1450" s="5"/>
      <c r="L1450" s="7"/>
      <c r="M1450" s="7"/>
      <c r="O1450" s="5"/>
      <c r="P1450" s="5"/>
    </row>
    <row r="1451" spans="2:16" x14ac:dyDescent="0.25">
      <c r="B1451" s="90">
        <v>1350</v>
      </c>
      <c r="C1451" s="91">
        <v>6.8134058446297163E-2</v>
      </c>
      <c r="D1451" s="92">
        <v>207</v>
      </c>
      <c r="G1451" s="5"/>
      <c r="H1451" s="5"/>
      <c r="L1451" s="7"/>
      <c r="M1451" s="7"/>
      <c r="O1451" s="5"/>
      <c r="P1451" s="5"/>
    </row>
    <row r="1452" spans="2:16" x14ac:dyDescent="0.25">
      <c r="B1452" s="90">
        <v>1467</v>
      </c>
      <c r="C1452" s="91">
        <v>0.12930711688373109</v>
      </c>
      <c r="D1452" s="92">
        <v>207</v>
      </c>
      <c r="G1452" s="5"/>
      <c r="H1452" s="5"/>
      <c r="L1452" s="7"/>
      <c r="M1452" s="7"/>
      <c r="O1452" s="5"/>
      <c r="P1452" s="5"/>
    </row>
    <row r="1453" spans="2:16" x14ac:dyDescent="0.25">
      <c r="B1453" s="90">
        <v>1338</v>
      </c>
      <c r="C1453" s="91">
        <v>0.14450591156507442</v>
      </c>
      <c r="D1453" s="92">
        <v>207</v>
      </c>
      <c r="G1453" s="5"/>
      <c r="H1453" s="5"/>
      <c r="L1453" s="7"/>
      <c r="M1453" s="7"/>
      <c r="O1453" s="5"/>
      <c r="P1453" s="5"/>
    </row>
    <row r="1454" spans="2:16" x14ac:dyDescent="0.25">
      <c r="B1454" s="90">
        <v>1351</v>
      </c>
      <c r="C1454" s="91">
        <v>5.9617274005056897E-2</v>
      </c>
      <c r="D1454" s="92">
        <v>208</v>
      </c>
      <c r="G1454" s="5"/>
      <c r="H1454" s="5"/>
      <c r="L1454" s="7"/>
      <c r="M1454" s="7"/>
      <c r="O1454" s="5"/>
      <c r="P1454" s="5"/>
    </row>
    <row r="1455" spans="2:16" x14ac:dyDescent="0.25">
      <c r="B1455" s="90">
        <v>1349</v>
      </c>
      <c r="C1455" s="91">
        <v>6.8284693103092264E-2</v>
      </c>
      <c r="D1455" s="92">
        <v>208</v>
      </c>
      <c r="G1455" s="5"/>
      <c r="H1455" s="5"/>
      <c r="L1455" s="7"/>
      <c r="M1455" s="7"/>
      <c r="O1455" s="5"/>
      <c r="P1455" s="5"/>
    </row>
    <row r="1456" spans="2:16" x14ac:dyDescent="0.25">
      <c r="B1456" s="90">
        <v>1818</v>
      </c>
      <c r="C1456" s="91">
        <v>0.19773007146291777</v>
      </c>
      <c r="D1456" s="92">
        <v>208</v>
      </c>
      <c r="G1456" s="5"/>
      <c r="H1456" s="5"/>
      <c r="L1456" s="7"/>
      <c r="M1456" s="7"/>
      <c r="O1456" s="5"/>
      <c r="P1456" s="5"/>
    </row>
    <row r="1457" spans="2:16" x14ac:dyDescent="0.25">
      <c r="B1457" s="90">
        <v>1281</v>
      </c>
      <c r="C1457" s="91">
        <v>0.31968478384394849</v>
      </c>
      <c r="D1457" s="92">
        <v>208</v>
      </c>
      <c r="G1457" s="5"/>
      <c r="H1457" s="5"/>
      <c r="L1457" s="7"/>
      <c r="M1457" s="7"/>
      <c r="O1457" s="5"/>
      <c r="P1457" s="5"/>
    </row>
    <row r="1458" spans="2:16" x14ac:dyDescent="0.25">
      <c r="B1458" s="90">
        <v>1793</v>
      </c>
      <c r="C1458" s="91">
        <v>0.37873543969471268</v>
      </c>
      <c r="D1458" s="92">
        <v>208</v>
      </c>
      <c r="G1458" s="5"/>
      <c r="H1458" s="5"/>
      <c r="L1458" s="7"/>
      <c r="M1458" s="7"/>
      <c r="O1458" s="5"/>
      <c r="P1458" s="5"/>
    </row>
    <row r="1459" spans="2:16" x14ac:dyDescent="0.25">
      <c r="B1459" s="90">
        <v>245</v>
      </c>
      <c r="C1459" s="91">
        <v>0.56937503711927884</v>
      </c>
      <c r="D1459" s="92">
        <v>208</v>
      </c>
      <c r="G1459" s="5"/>
      <c r="H1459" s="5"/>
      <c r="L1459" s="7"/>
      <c r="M1459" s="7"/>
      <c r="O1459" s="5"/>
      <c r="P1459" s="5"/>
    </row>
    <row r="1460" spans="2:16" x14ac:dyDescent="0.25">
      <c r="B1460" s="90">
        <v>246</v>
      </c>
      <c r="C1460" s="91">
        <v>0.57680403223470422</v>
      </c>
      <c r="D1460" s="92">
        <v>208</v>
      </c>
      <c r="G1460" s="5"/>
      <c r="H1460" s="5"/>
      <c r="L1460" s="7"/>
      <c r="M1460" s="7"/>
      <c r="O1460" s="5"/>
      <c r="P1460" s="5"/>
    </row>
    <row r="1461" spans="2:16" x14ac:dyDescent="0.25">
      <c r="B1461" s="90">
        <v>1474</v>
      </c>
      <c r="C1461" s="91">
        <v>5.1950173186084303E-2</v>
      </c>
      <c r="D1461" s="92">
        <v>209</v>
      </c>
      <c r="G1461" s="5"/>
      <c r="H1461" s="5"/>
      <c r="L1461" s="7"/>
      <c r="M1461" s="7"/>
      <c r="O1461" s="5"/>
      <c r="P1461" s="5"/>
    </row>
    <row r="1462" spans="2:16" x14ac:dyDescent="0.25">
      <c r="B1462" s="90">
        <v>1511</v>
      </c>
      <c r="C1462" s="91">
        <v>6.6933463274196914E-2</v>
      </c>
      <c r="D1462" s="92">
        <v>209</v>
      </c>
      <c r="G1462" s="5"/>
      <c r="H1462" s="5"/>
      <c r="L1462" s="7"/>
      <c r="M1462" s="7"/>
      <c r="O1462" s="5"/>
      <c r="P1462" s="5"/>
    </row>
    <row r="1463" spans="2:16" x14ac:dyDescent="0.25">
      <c r="B1463" s="90">
        <v>1475</v>
      </c>
      <c r="C1463" s="91">
        <v>8.1565155987504245E-2</v>
      </c>
      <c r="D1463" s="92">
        <v>209</v>
      </c>
      <c r="G1463" s="5"/>
      <c r="H1463" s="5"/>
      <c r="L1463" s="7"/>
      <c r="M1463" s="7"/>
      <c r="O1463" s="5"/>
      <c r="P1463" s="5"/>
    </row>
    <row r="1464" spans="2:16" x14ac:dyDescent="0.25">
      <c r="B1464" s="90">
        <v>1429</v>
      </c>
      <c r="C1464" s="91">
        <v>5.2496716312452119E-2</v>
      </c>
      <c r="D1464" s="92">
        <v>210</v>
      </c>
      <c r="G1464" s="5"/>
      <c r="H1464" s="5"/>
      <c r="L1464" s="7"/>
      <c r="M1464" s="7"/>
      <c r="O1464" s="5"/>
      <c r="P1464" s="5"/>
    </row>
    <row r="1465" spans="2:16" x14ac:dyDescent="0.25">
      <c r="B1465" s="90">
        <v>1217</v>
      </c>
      <c r="C1465" s="91">
        <v>8.8544017298140099E-2</v>
      </c>
      <c r="D1465" s="92">
        <v>210</v>
      </c>
      <c r="G1465" s="5"/>
      <c r="H1465" s="5"/>
      <c r="L1465" s="7"/>
      <c r="M1465" s="7"/>
      <c r="O1465" s="5"/>
      <c r="P1465" s="5"/>
    </row>
    <row r="1466" spans="2:16" x14ac:dyDescent="0.25">
      <c r="B1466" s="90">
        <v>1478</v>
      </c>
      <c r="C1466" s="91">
        <v>0.18517596847250184</v>
      </c>
      <c r="D1466" s="92">
        <v>210</v>
      </c>
      <c r="G1466" s="5"/>
      <c r="H1466" s="5"/>
      <c r="L1466" s="7"/>
      <c r="M1466" s="7"/>
      <c r="O1466" s="5"/>
      <c r="P1466" s="5"/>
    </row>
    <row r="1467" spans="2:16" x14ac:dyDescent="0.25">
      <c r="B1467" s="90">
        <v>1435</v>
      </c>
      <c r="C1467" s="91">
        <v>4.8472413686980964E-2</v>
      </c>
      <c r="D1467" s="92">
        <v>211</v>
      </c>
      <c r="G1467" s="5"/>
      <c r="H1467" s="5"/>
      <c r="L1467" s="7"/>
      <c r="M1467" s="7"/>
      <c r="O1467" s="5"/>
      <c r="P1467" s="5"/>
    </row>
    <row r="1468" spans="2:16" x14ac:dyDescent="0.25">
      <c r="B1468" s="90">
        <v>1437</v>
      </c>
      <c r="C1468" s="91">
        <v>5.8659680309968043E-2</v>
      </c>
      <c r="D1468" s="92">
        <v>211</v>
      </c>
      <c r="G1468" s="5"/>
      <c r="H1468" s="5"/>
      <c r="L1468" s="7"/>
      <c r="M1468" s="7"/>
      <c r="O1468" s="5"/>
      <c r="P1468" s="5"/>
    </row>
    <row r="1469" spans="2:16" x14ac:dyDescent="0.25">
      <c r="B1469" s="90">
        <v>1391</v>
      </c>
      <c r="C1469" s="91">
        <v>7.0939158576922345E-2</v>
      </c>
      <c r="D1469" s="92">
        <v>211</v>
      </c>
      <c r="G1469" s="5"/>
      <c r="H1469" s="5"/>
      <c r="L1469" s="7"/>
      <c r="M1469" s="7"/>
      <c r="O1469" s="5"/>
      <c r="P1469" s="5"/>
    </row>
    <row r="1470" spans="2:16" x14ac:dyDescent="0.25">
      <c r="B1470" s="90">
        <v>1392</v>
      </c>
      <c r="C1470" s="91">
        <v>8.7948690633492754E-2</v>
      </c>
      <c r="D1470" s="92">
        <v>211</v>
      </c>
      <c r="G1470" s="5"/>
      <c r="H1470" s="5"/>
      <c r="L1470" s="7"/>
      <c r="M1470" s="7"/>
      <c r="O1470" s="5"/>
      <c r="P1470" s="5"/>
    </row>
    <row r="1471" spans="2:16" x14ac:dyDescent="0.25">
      <c r="B1471" s="90">
        <v>1431</v>
      </c>
      <c r="C1471" s="91">
        <v>9.6404636753256501E-2</v>
      </c>
      <c r="D1471" s="92">
        <v>211</v>
      </c>
      <c r="G1471" s="5"/>
      <c r="H1471" s="5"/>
      <c r="L1471" s="7"/>
      <c r="M1471" s="7"/>
      <c r="O1471" s="5"/>
      <c r="P1471" s="5"/>
    </row>
    <row r="1472" spans="2:16" x14ac:dyDescent="0.25">
      <c r="B1472" s="90">
        <v>2126</v>
      </c>
      <c r="C1472" s="91">
        <v>0.24883512414911535</v>
      </c>
      <c r="D1472" s="92">
        <v>211</v>
      </c>
      <c r="G1472" s="5"/>
      <c r="H1472" s="5"/>
      <c r="L1472" s="7"/>
      <c r="M1472" s="7"/>
      <c r="O1472" s="5"/>
      <c r="P1472" s="5"/>
    </row>
    <row r="1473" spans="2:16" x14ac:dyDescent="0.25">
      <c r="B1473" s="90">
        <v>1058</v>
      </c>
      <c r="C1473" s="91">
        <v>0.24928366199250418</v>
      </c>
      <c r="D1473" s="92">
        <v>211</v>
      </c>
      <c r="G1473" s="5"/>
      <c r="H1473" s="5"/>
      <c r="L1473" s="7"/>
      <c r="M1473" s="7"/>
      <c r="O1473" s="5"/>
      <c r="P1473" s="5"/>
    </row>
    <row r="1474" spans="2:16" x14ac:dyDescent="0.25">
      <c r="B1474" s="90">
        <v>1310</v>
      </c>
      <c r="C1474" s="91">
        <v>5.506972104713892E-2</v>
      </c>
      <c r="D1474" s="92">
        <v>212</v>
      </c>
      <c r="G1474" s="5"/>
      <c r="H1474" s="5"/>
      <c r="L1474" s="7"/>
      <c r="M1474" s="7"/>
      <c r="O1474" s="5"/>
      <c r="P1474" s="5"/>
    </row>
    <row r="1475" spans="2:16" x14ac:dyDescent="0.25">
      <c r="B1475" s="90">
        <v>1390</v>
      </c>
      <c r="C1475" s="91">
        <v>5.7450632709927119E-2</v>
      </c>
      <c r="D1475" s="92">
        <v>212</v>
      </c>
      <c r="G1475" s="5"/>
      <c r="H1475" s="5"/>
      <c r="L1475" s="7"/>
      <c r="M1475" s="7"/>
      <c r="O1475" s="5"/>
      <c r="P1475" s="5"/>
    </row>
    <row r="1476" spans="2:16" x14ac:dyDescent="0.25">
      <c r="B1476" s="90">
        <v>1309</v>
      </c>
      <c r="C1476" s="91">
        <v>5.9605204855698313E-2</v>
      </c>
      <c r="D1476" s="92">
        <v>212</v>
      </c>
      <c r="G1476" s="5"/>
      <c r="H1476" s="5"/>
      <c r="L1476" s="7"/>
      <c r="M1476" s="7"/>
      <c r="O1476" s="5"/>
      <c r="P1476" s="5"/>
    </row>
    <row r="1477" spans="2:16" x14ac:dyDescent="0.25">
      <c r="B1477" s="90">
        <v>1311</v>
      </c>
      <c r="C1477" s="91">
        <v>6.9183339156142054E-2</v>
      </c>
      <c r="D1477" s="92">
        <v>212</v>
      </c>
      <c r="G1477" s="5"/>
      <c r="H1477" s="5"/>
      <c r="L1477" s="7"/>
      <c r="M1477" s="7"/>
      <c r="O1477" s="5"/>
      <c r="P1477" s="5"/>
    </row>
    <row r="1478" spans="2:16" x14ac:dyDescent="0.25">
      <c r="B1478" s="90">
        <v>1267</v>
      </c>
      <c r="C1478" s="91">
        <v>7.0978597637657681E-2</v>
      </c>
      <c r="D1478" s="92">
        <v>212</v>
      </c>
      <c r="G1478" s="5"/>
      <c r="H1478" s="5"/>
      <c r="L1478" s="7"/>
      <c r="M1478" s="7"/>
      <c r="O1478" s="5"/>
      <c r="P1478" s="5"/>
    </row>
    <row r="1479" spans="2:16" x14ac:dyDescent="0.25">
      <c r="B1479" s="90">
        <v>1268</v>
      </c>
      <c r="C1479" s="91">
        <v>7.5509856713655621E-2</v>
      </c>
      <c r="D1479" s="92">
        <v>212</v>
      </c>
      <c r="G1479" s="5"/>
      <c r="H1479" s="5"/>
      <c r="L1479" s="7"/>
      <c r="M1479" s="7"/>
      <c r="O1479" s="5"/>
      <c r="P1479" s="5"/>
    </row>
    <row r="1480" spans="2:16" x14ac:dyDescent="0.25">
      <c r="B1480" s="90">
        <v>1308</v>
      </c>
      <c r="C1480" s="91">
        <v>0.15455127625052278</v>
      </c>
      <c r="D1480" s="92">
        <v>212</v>
      </c>
      <c r="G1480" s="5"/>
      <c r="H1480" s="5"/>
      <c r="L1480" s="7"/>
      <c r="M1480" s="7"/>
      <c r="O1480" s="5"/>
      <c r="P1480" s="5"/>
    </row>
    <row r="1481" spans="2:16" x14ac:dyDescent="0.25">
      <c r="B1481" s="90">
        <v>1324</v>
      </c>
      <c r="C1481" s="91">
        <v>0.2074671520368101</v>
      </c>
      <c r="D1481" s="92">
        <v>212</v>
      </c>
      <c r="G1481" s="5"/>
      <c r="H1481" s="5"/>
      <c r="L1481" s="7"/>
      <c r="M1481" s="7"/>
      <c r="O1481" s="5"/>
      <c r="P1481" s="5"/>
    </row>
    <row r="1482" spans="2:16" x14ac:dyDescent="0.25">
      <c r="B1482" s="90">
        <v>230</v>
      </c>
      <c r="C1482" s="91">
        <v>0.22416978992167969</v>
      </c>
      <c r="D1482" s="92">
        <v>212</v>
      </c>
      <c r="G1482" s="5"/>
      <c r="H1482" s="5"/>
      <c r="L1482" s="7"/>
      <c r="M1482" s="7"/>
      <c r="O1482" s="5"/>
      <c r="P1482" s="5"/>
    </row>
    <row r="1483" spans="2:16" x14ac:dyDescent="0.25">
      <c r="B1483" s="90">
        <v>413</v>
      </c>
      <c r="C1483" s="91">
        <v>0.24206063416762624</v>
      </c>
      <c r="D1483" s="92">
        <v>212</v>
      </c>
      <c r="G1483" s="5"/>
      <c r="H1483" s="5"/>
      <c r="L1483" s="7"/>
      <c r="M1483" s="7"/>
      <c r="O1483" s="5"/>
      <c r="P1483" s="5"/>
    </row>
    <row r="1484" spans="2:16" x14ac:dyDescent="0.25">
      <c r="B1484" s="90">
        <v>1427</v>
      </c>
      <c r="C1484" s="91">
        <v>0.1050282579319346</v>
      </c>
      <c r="D1484" s="92">
        <v>213</v>
      </c>
      <c r="G1484" s="5"/>
      <c r="H1484" s="5"/>
      <c r="L1484" s="7"/>
      <c r="M1484" s="7"/>
      <c r="O1484" s="5"/>
      <c r="P1484" s="5"/>
    </row>
    <row r="1485" spans="2:16" x14ac:dyDescent="0.25">
      <c r="B1485" s="90">
        <v>1195</v>
      </c>
      <c r="C1485" s="91">
        <v>0.22742242934293622</v>
      </c>
      <c r="D1485" s="92">
        <v>213</v>
      </c>
      <c r="G1485" s="5"/>
      <c r="H1485" s="5"/>
      <c r="L1485" s="7"/>
      <c r="M1485" s="7"/>
      <c r="O1485" s="5"/>
      <c r="P1485" s="5"/>
    </row>
    <row r="1486" spans="2:16" x14ac:dyDescent="0.25">
      <c r="B1486" s="90">
        <v>1010</v>
      </c>
      <c r="C1486" s="91">
        <v>0.31643285501457319</v>
      </c>
      <c r="D1486" s="92">
        <v>213</v>
      </c>
      <c r="G1486" s="5"/>
      <c r="H1486" s="5"/>
      <c r="L1486" s="7"/>
      <c r="M1486" s="7"/>
      <c r="O1486" s="5"/>
      <c r="P1486" s="5"/>
    </row>
    <row r="1487" spans="2:16" x14ac:dyDescent="0.25">
      <c r="B1487" s="90">
        <v>1225</v>
      </c>
      <c r="C1487" s="91">
        <v>5.2509261403372087E-2</v>
      </c>
      <c r="D1487" s="92">
        <v>214</v>
      </c>
      <c r="G1487" s="5"/>
      <c r="H1487" s="5"/>
      <c r="L1487" s="7"/>
      <c r="M1487" s="7"/>
      <c r="O1487" s="5"/>
      <c r="P1487" s="5"/>
    </row>
    <row r="1488" spans="2:16" x14ac:dyDescent="0.25">
      <c r="B1488" s="90">
        <v>1226</v>
      </c>
      <c r="C1488" s="91">
        <v>5.3652127601073962E-2</v>
      </c>
      <c r="D1488" s="92">
        <v>214</v>
      </c>
      <c r="G1488" s="5"/>
      <c r="H1488" s="5"/>
      <c r="L1488" s="7"/>
      <c r="M1488" s="7"/>
      <c r="O1488" s="5"/>
      <c r="P1488" s="5"/>
    </row>
    <row r="1489" spans="2:16" x14ac:dyDescent="0.25">
      <c r="B1489" s="90">
        <v>1265</v>
      </c>
      <c r="C1489" s="91">
        <v>6.1671718097367045E-2</v>
      </c>
      <c r="D1489" s="92">
        <v>214</v>
      </c>
      <c r="G1489" s="5"/>
      <c r="H1489" s="5"/>
      <c r="L1489" s="7"/>
      <c r="M1489" s="7"/>
      <c r="O1489" s="5"/>
      <c r="P1489" s="5"/>
    </row>
    <row r="1490" spans="2:16" x14ac:dyDescent="0.25">
      <c r="B1490" s="90">
        <v>1224</v>
      </c>
      <c r="C1490" s="91">
        <v>6.4619892341594265E-2</v>
      </c>
      <c r="D1490" s="92">
        <v>214</v>
      </c>
      <c r="G1490" s="5"/>
      <c r="H1490" s="5"/>
      <c r="L1490" s="7"/>
      <c r="M1490" s="7"/>
      <c r="O1490" s="5"/>
      <c r="P1490" s="5"/>
    </row>
    <row r="1491" spans="2:16" x14ac:dyDescent="0.25">
      <c r="B1491" s="90">
        <v>1387</v>
      </c>
      <c r="C1491" s="91">
        <v>8.2345527818892594E-2</v>
      </c>
      <c r="D1491" s="92">
        <v>214</v>
      </c>
      <c r="G1491" s="5"/>
      <c r="H1491" s="5"/>
      <c r="L1491" s="7"/>
      <c r="M1491" s="7"/>
      <c r="O1491" s="5"/>
      <c r="P1491" s="5"/>
    </row>
    <row r="1492" spans="2:16" x14ac:dyDescent="0.25">
      <c r="B1492" s="90">
        <v>1306</v>
      </c>
      <c r="C1492" s="91">
        <v>9.3590852320347695E-2</v>
      </c>
      <c r="D1492" s="92">
        <v>214</v>
      </c>
      <c r="G1492" s="5"/>
      <c r="H1492" s="5"/>
      <c r="L1492" s="7"/>
      <c r="M1492" s="7"/>
      <c r="O1492" s="5"/>
      <c r="P1492" s="5"/>
    </row>
    <row r="1493" spans="2:16" x14ac:dyDescent="0.25">
      <c r="B1493" s="90">
        <v>1223</v>
      </c>
      <c r="C1493" s="91">
        <v>0.11068010451851218</v>
      </c>
      <c r="D1493" s="92">
        <v>214</v>
      </c>
      <c r="G1493" s="5"/>
      <c r="H1493" s="5"/>
      <c r="L1493" s="7"/>
      <c r="M1493" s="7"/>
      <c r="O1493" s="5"/>
      <c r="P1493" s="5"/>
    </row>
    <row r="1494" spans="2:16" x14ac:dyDescent="0.25">
      <c r="B1494" s="90">
        <v>961</v>
      </c>
      <c r="C1494" s="91">
        <v>0.2855627404424923</v>
      </c>
      <c r="D1494" s="92">
        <v>214</v>
      </c>
      <c r="G1494" s="5"/>
      <c r="H1494" s="5"/>
      <c r="L1494" s="7"/>
      <c r="M1494" s="7"/>
      <c r="O1494" s="5"/>
      <c r="P1494" s="5"/>
    </row>
    <row r="1495" spans="2:16" x14ac:dyDescent="0.25">
      <c r="B1495" s="90">
        <v>1238</v>
      </c>
      <c r="C1495" s="91">
        <v>0.31819592926648066</v>
      </c>
      <c r="D1495" s="92">
        <v>214</v>
      </c>
      <c r="G1495" s="5"/>
      <c r="H1495" s="5"/>
      <c r="L1495" s="7"/>
      <c r="M1495" s="7"/>
      <c r="O1495" s="5"/>
      <c r="P1495" s="5"/>
    </row>
    <row r="1496" spans="2:16" x14ac:dyDescent="0.25">
      <c r="B1496" s="90">
        <v>1244</v>
      </c>
      <c r="C1496" s="91">
        <v>0.3662591601071995</v>
      </c>
      <c r="D1496" s="92">
        <v>214</v>
      </c>
      <c r="G1496" s="5"/>
      <c r="H1496" s="5"/>
      <c r="L1496" s="7"/>
      <c r="M1496" s="7"/>
      <c r="O1496" s="5"/>
      <c r="P1496" s="5"/>
    </row>
    <row r="1497" spans="2:16" x14ac:dyDescent="0.25">
      <c r="B1497" s="90">
        <v>1426</v>
      </c>
      <c r="C1497" s="91">
        <v>7.5173350870857858E-2</v>
      </c>
      <c r="D1497" s="92">
        <v>215</v>
      </c>
      <c r="G1497" s="5"/>
      <c r="H1497" s="5"/>
      <c r="L1497" s="7"/>
      <c r="M1497" s="7"/>
      <c r="O1497" s="5"/>
      <c r="P1497" s="5"/>
    </row>
    <row r="1498" spans="2:16" x14ac:dyDescent="0.25">
      <c r="B1498" s="90">
        <v>1011</v>
      </c>
      <c r="C1498" s="91">
        <v>0.3363475999641351</v>
      </c>
      <c r="D1498" s="92">
        <v>215</v>
      </c>
      <c r="G1498" s="5"/>
      <c r="H1498" s="5"/>
      <c r="L1498" s="7"/>
      <c r="M1498" s="7"/>
      <c r="O1498" s="5"/>
      <c r="P1498" s="5"/>
    </row>
    <row r="1499" spans="2:16" x14ac:dyDescent="0.25">
      <c r="B1499" s="90">
        <v>1347</v>
      </c>
      <c r="C1499" s="91">
        <v>6.3655653891575015E-2</v>
      </c>
      <c r="D1499" s="92">
        <v>216</v>
      </c>
      <c r="G1499" s="5"/>
      <c r="H1499" s="5"/>
      <c r="L1499" s="7"/>
      <c r="M1499" s="7"/>
      <c r="O1499" s="5"/>
      <c r="P1499" s="5"/>
    </row>
    <row r="1500" spans="2:16" x14ac:dyDescent="0.25">
      <c r="B1500" s="90">
        <v>61</v>
      </c>
      <c r="C1500" s="91">
        <v>0.64698957691758596</v>
      </c>
      <c r="D1500" s="92">
        <v>216</v>
      </c>
      <c r="G1500" s="5"/>
      <c r="H1500" s="5"/>
      <c r="L1500" s="7"/>
      <c r="M1500" s="7"/>
      <c r="O1500" s="5"/>
      <c r="P1500" s="5"/>
    </row>
    <row r="1501" spans="2:16" x14ac:dyDescent="0.25">
      <c r="B1501" s="90">
        <v>316</v>
      </c>
      <c r="C1501" s="91">
        <v>0.64698957691758596</v>
      </c>
      <c r="D1501" s="92">
        <v>216</v>
      </c>
      <c r="G1501" s="5"/>
      <c r="H1501" s="5"/>
      <c r="L1501" s="7"/>
      <c r="M1501" s="7"/>
      <c r="O1501" s="5"/>
      <c r="P1501" s="5"/>
    </row>
    <row r="1502" spans="2:16" x14ac:dyDescent="0.25">
      <c r="B1502" s="90">
        <v>62</v>
      </c>
      <c r="C1502" s="91">
        <v>0.65821872413821758</v>
      </c>
      <c r="D1502" s="92">
        <v>216</v>
      </c>
      <c r="G1502" s="5"/>
      <c r="H1502" s="5"/>
      <c r="L1502" s="7"/>
      <c r="M1502" s="7"/>
      <c r="O1502" s="5"/>
      <c r="P1502" s="5"/>
    </row>
    <row r="1503" spans="2:16" x14ac:dyDescent="0.25">
      <c r="B1503" s="90">
        <v>255</v>
      </c>
      <c r="C1503" s="91">
        <v>0.65821872413821758</v>
      </c>
      <c r="D1503" s="92">
        <v>216</v>
      </c>
      <c r="G1503" s="5"/>
      <c r="H1503" s="5"/>
      <c r="L1503" s="7"/>
      <c r="M1503" s="7"/>
      <c r="O1503" s="5"/>
      <c r="P1503" s="5"/>
    </row>
    <row r="1504" spans="2:16" x14ac:dyDescent="0.25">
      <c r="B1504" s="90">
        <v>1822</v>
      </c>
      <c r="C1504" s="91">
        <v>5.9135255847063806E-2</v>
      </c>
      <c r="D1504" s="92">
        <v>217</v>
      </c>
      <c r="G1504" s="5"/>
      <c r="H1504" s="5"/>
      <c r="L1504" s="7"/>
      <c r="M1504" s="7"/>
      <c r="O1504" s="5"/>
      <c r="P1504" s="5"/>
    </row>
    <row r="1505" spans="2:16" x14ac:dyDescent="0.25">
      <c r="B1505" s="90">
        <v>1229</v>
      </c>
      <c r="C1505" s="91">
        <v>0.11549713403108619</v>
      </c>
      <c r="D1505" s="92">
        <v>217</v>
      </c>
      <c r="G1505" s="5"/>
      <c r="H1505" s="5"/>
      <c r="L1505" s="7"/>
      <c r="M1505" s="7"/>
      <c r="O1505" s="5"/>
      <c r="P1505" s="5"/>
    </row>
    <row r="1506" spans="2:16" x14ac:dyDescent="0.25">
      <c r="B1506" s="90">
        <v>2069</v>
      </c>
      <c r="C1506" s="91">
        <v>0.12997304130602871</v>
      </c>
      <c r="D1506" s="92">
        <v>217</v>
      </c>
      <c r="G1506" s="5"/>
      <c r="H1506" s="5"/>
      <c r="L1506" s="7"/>
      <c r="M1506" s="7"/>
      <c r="O1506" s="5"/>
      <c r="P1506" s="5"/>
    </row>
    <row r="1507" spans="2:16" x14ac:dyDescent="0.25">
      <c r="B1507" s="90">
        <v>716</v>
      </c>
      <c r="C1507" s="91">
        <v>0.72020825933427557</v>
      </c>
      <c r="D1507" s="92">
        <v>217</v>
      </c>
      <c r="G1507" s="5"/>
      <c r="H1507" s="5"/>
      <c r="L1507" s="7"/>
      <c r="M1507" s="7"/>
      <c r="O1507" s="5"/>
      <c r="P1507" s="5"/>
    </row>
    <row r="1508" spans="2:16" x14ac:dyDescent="0.25">
      <c r="B1508" s="90">
        <v>1222</v>
      </c>
      <c r="C1508" s="91">
        <v>7.2450642701923917E-2</v>
      </c>
      <c r="D1508" s="92">
        <v>218</v>
      </c>
      <c r="G1508" s="5"/>
      <c r="H1508" s="5"/>
      <c r="L1508" s="7"/>
      <c r="M1508" s="7"/>
      <c r="O1508" s="5"/>
      <c r="P1508" s="5"/>
    </row>
    <row r="1509" spans="2:16" x14ac:dyDescent="0.25">
      <c r="B1509" s="90">
        <v>1219</v>
      </c>
      <c r="C1509" s="91">
        <v>9.0014714474786484E-2</v>
      </c>
      <c r="D1509" s="92">
        <v>218</v>
      </c>
      <c r="G1509" s="5"/>
      <c r="H1509" s="5"/>
      <c r="L1509" s="7"/>
      <c r="M1509" s="7"/>
      <c r="O1509" s="5"/>
      <c r="P1509" s="5"/>
    </row>
    <row r="1510" spans="2:16" x14ac:dyDescent="0.25">
      <c r="B1510" s="90">
        <v>1178</v>
      </c>
      <c r="C1510" s="91">
        <v>0.1112246377190238</v>
      </c>
      <c r="D1510" s="92">
        <v>218</v>
      </c>
      <c r="G1510" s="5"/>
      <c r="H1510" s="5"/>
      <c r="L1510" s="7"/>
      <c r="M1510" s="7"/>
      <c r="O1510" s="5"/>
      <c r="P1510" s="5"/>
    </row>
    <row r="1511" spans="2:16" x14ac:dyDescent="0.25">
      <c r="B1511" s="90">
        <v>1264</v>
      </c>
      <c r="C1511" s="91">
        <v>0.12419161685085367</v>
      </c>
      <c r="D1511" s="92">
        <v>218</v>
      </c>
      <c r="G1511" s="5"/>
      <c r="H1511" s="5"/>
      <c r="L1511" s="7"/>
      <c r="M1511" s="7"/>
      <c r="O1511" s="5"/>
      <c r="P1511" s="5"/>
    </row>
    <row r="1512" spans="2:16" x14ac:dyDescent="0.25">
      <c r="B1512" s="90">
        <v>1221</v>
      </c>
      <c r="C1512" s="91">
        <v>0.14338901989640229</v>
      </c>
      <c r="D1512" s="92">
        <v>218</v>
      </c>
      <c r="G1512" s="5"/>
      <c r="H1512" s="5"/>
      <c r="L1512" s="7"/>
      <c r="M1512" s="7"/>
      <c r="O1512" s="5"/>
      <c r="P1512" s="5"/>
    </row>
    <row r="1513" spans="2:16" x14ac:dyDescent="0.25">
      <c r="B1513" s="90">
        <v>915</v>
      </c>
      <c r="C1513" s="91">
        <v>0.42530761098071668</v>
      </c>
      <c r="D1513" s="92">
        <v>218</v>
      </c>
      <c r="G1513" s="5"/>
      <c r="H1513" s="5"/>
      <c r="L1513" s="7"/>
      <c r="M1513" s="7"/>
      <c r="O1513" s="5"/>
      <c r="P1513" s="5"/>
    </row>
    <row r="1514" spans="2:16" x14ac:dyDescent="0.25">
      <c r="B1514" s="90">
        <v>593</v>
      </c>
      <c r="C1514" s="91">
        <v>0.42861415009286841</v>
      </c>
      <c r="D1514" s="92">
        <v>218</v>
      </c>
      <c r="G1514" s="5"/>
      <c r="H1514" s="5"/>
      <c r="L1514" s="7"/>
      <c r="M1514" s="7"/>
      <c r="O1514" s="5"/>
      <c r="P1514" s="5"/>
    </row>
    <row r="1515" spans="2:16" x14ac:dyDescent="0.25">
      <c r="B1515" s="90">
        <v>864</v>
      </c>
      <c r="C1515" s="91">
        <v>0.43161816165138123</v>
      </c>
      <c r="D1515" s="92">
        <v>218</v>
      </c>
      <c r="G1515" s="5"/>
      <c r="H1515" s="5"/>
      <c r="L1515" s="7"/>
      <c r="M1515" s="7"/>
      <c r="O1515" s="5"/>
      <c r="P1515" s="5"/>
    </row>
    <row r="1516" spans="2:16" x14ac:dyDescent="0.25">
      <c r="B1516" s="90">
        <v>649</v>
      </c>
      <c r="C1516" s="91">
        <v>0.43630420387594793</v>
      </c>
      <c r="D1516" s="92">
        <v>218</v>
      </c>
      <c r="G1516" s="5"/>
      <c r="H1516" s="5"/>
      <c r="L1516" s="7"/>
      <c r="M1516" s="7"/>
      <c r="O1516" s="5"/>
      <c r="P1516" s="5"/>
    </row>
    <row r="1517" spans="2:16" x14ac:dyDescent="0.25">
      <c r="B1517" s="90">
        <v>704</v>
      </c>
      <c r="C1517" s="91">
        <v>0.43728892663102448</v>
      </c>
      <c r="D1517" s="92">
        <v>218</v>
      </c>
      <c r="G1517" s="5"/>
      <c r="H1517" s="5"/>
      <c r="L1517" s="7"/>
      <c r="M1517" s="7"/>
      <c r="O1517" s="5"/>
      <c r="P1517" s="5"/>
    </row>
    <row r="1518" spans="2:16" x14ac:dyDescent="0.25">
      <c r="B1518" s="90">
        <v>758</v>
      </c>
      <c r="C1518" s="91">
        <v>0.43950810956758568</v>
      </c>
      <c r="D1518" s="92">
        <v>218</v>
      </c>
      <c r="G1518" s="5"/>
      <c r="H1518" s="5"/>
      <c r="L1518" s="7"/>
      <c r="M1518" s="7"/>
      <c r="O1518" s="5"/>
      <c r="P1518" s="5"/>
    </row>
    <row r="1519" spans="2:16" x14ac:dyDescent="0.25">
      <c r="B1519" s="90">
        <v>811</v>
      </c>
      <c r="C1519" s="91">
        <v>0.44959060042621846</v>
      </c>
      <c r="D1519" s="92">
        <v>218</v>
      </c>
      <c r="G1519" s="5"/>
      <c r="H1519" s="5"/>
      <c r="L1519" s="7"/>
      <c r="M1519" s="7"/>
      <c r="O1519" s="5"/>
      <c r="P1519" s="5"/>
    </row>
    <row r="1520" spans="2:16" x14ac:dyDescent="0.25">
      <c r="B1520" s="90">
        <v>1894</v>
      </c>
      <c r="C1520" s="91">
        <v>2.5763874638918938E-2</v>
      </c>
      <c r="D1520" s="92">
        <v>219</v>
      </c>
      <c r="G1520" s="5"/>
      <c r="H1520" s="5"/>
      <c r="L1520" s="7"/>
      <c r="M1520" s="7"/>
      <c r="O1520" s="5"/>
      <c r="P1520" s="5"/>
    </row>
    <row r="1521" spans="2:16" x14ac:dyDescent="0.25">
      <c r="B1521" s="90">
        <v>70</v>
      </c>
      <c r="C1521" s="91">
        <v>0.34228603489048326</v>
      </c>
      <c r="D1521" s="92">
        <v>219</v>
      </c>
      <c r="G1521" s="5"/>
      <c r="H1521" s="5"/>
      <c r="L1521" s="7"/>
      <c r="M1521" s="7"/>
      <c r="O1521" s="5"/>
      <c r="P1521" s="5"/>
    </row>
    <row r="1522" spans="2:16" x14ac:dyDescent="0.25">
      <c r="B1522" s="90">
        <v>865</v>
      </c>
      <c r="C1522" s="91">
        <v>0.39965987320371321</v>
      </c>
      <c r="D1522" s="92">
        <v>219</v>
      </c>
      <c r="G1522" s="5"/>
      <c r="H1522" s="5"/>
      <c r="L1522" s="7"/>
      <c r="M1522" s="7"/>
      <c r="O1522" s="5"/>
      <c r="P1522" s="5"/>
    </row>
    <row r="1523" spans="2:16" x14ac:dyDescent="0.25">
      <c r="B1523" s="90">
        <v>813</v>
      </c>
      <c r="C1523" s="91">
        <v>0.40361160879239266</v>
      </c>
      <c r="D1523" s="92">
        <v>219</v>
      </c>
      <c r="G1523" s="5"/>
      <c r="H1523" s="5"/>
      <c r="L1523" s="7"/>
      <c r="M1523" s="7"/>
      <c r="O1523" s="5"/>
      <c r="P1523" s="5"/>
    </row>
    <row r="1524" spans="2:16" x14ac:dyDescent="0.25">
      <c r="B1524" s="90">
        <v>536</v>
      </c>
      <c r="C1524" s="91">
        <v>0.42506052456189258</v>
      </c>
      <c r="D1524" s="92">
        <v>219</v>
      </c>
      <c r="G1524" s="5"/>
      <c r="H1524" s="5"/>
      <c r="L1524" s="7"/>
      <c r="M1524" s="7"/>
      <c r="O1524" s="5"/>
      <c r="P1524" s="5"/>
    </row>
    <row r="1525" spans="2:16" x14ac:dyDescent="0.25">
      <c r="B1525" s="90">
        <v>769</v>
      </c>
      <c r="C1525" s="91">
        <v>0.71523418116592552</v>
      </c>
      <c r="D1525" s="92">
        <v>219</v>
      </c>
      <c r="G1525" s="5"/>
      <c r="H1525" s="5"/>
      <c r="L1525" s="7"/>
      <c r="M1525" s="7"/>
      <c r="O1525" s="5"/>
      <c r="P1525" s="5"/>
    </row>
    <row r="1526" spans="2:16" x14ac:dyDescent="0.25">
      <c r="B1526" s="90">
        <v>706</v>
      </c>
      <c r="C1526" s="91">
        <v>0.39736425311737034</v>
      </c>
      <c r="D1526" s="92">
        <v>220</v>
      </c>
      <c r="G1526" s="5"/>
      <c r="H1526" s="5"/>
      <c r="L1526" s="7"/>
      <c r="M1526" s="7"/>
      <c r="O1526" s="5"/>
      <c r="P1526" s="5"/>
    </row>
    <row r="1527" spans="2:16" x14ac:dyDescent="0.25">
      <c r="B1527" s="90">
        <v>651</v>
      </c>
      <c r="C1527" s="91">
        <v>0.39499289759380307</v>
      </c>
      <c r="D1527" s="92">
        <v>221</v>
      </c>
      <c r="G1527" s="5"/>
      <c r="H1527" s="5"/>
      <c r="L1527" s="7"/>
      <c r="M1527" s="7"/>
      <c r="O1527" s="5"/>
      <c r="P1527" s="5"/>
    </row>
    <row r="1528" spans="2:16" x14ac:dyDescent="0.25">
      <c r="B1528" s="90">
        <v>424</v>
      </c>
      <c r="C1528" s="91">
        <v>0.47537977873891035</v>
      </c>
      <c r="D1528" s="92">
        <v>221</v>
      </c>
      <c r="G1528" s="5"/>
      <c r="H1528" s="5"/>
      <c r="L1528" s="7"/>
      <c r="M1528" s="7"/>
      <c r="O1528" s="5"/>
      <c r="P1528" s="5"/>
    </row>
    <row r="1529" spans="2:16" x14ac:dyDescent="0.25">
      <c r="B1529" s="90">
        <v>483</v>
      </c>
      <c r="C1529" s="91">
        <v>0.48272382026720217</v>
      </c>
      <c r="D1529" s="92">
        <v>221</v>
      </c>
      <c r="G1529" s="5"/>
      <c r="H1529" s="5"/>
      <c r="L1529" s="7"/>
      <c r="M1529" s="7"/>
      <c r="O1529" s="5"/>
      <c r="P1529" s="5"/>
    </row>
    <row r="1530" spans="2:16" x14ac:dyDescent="0.25">
      <c r="B1530" s="90">
        <v>1386</v>
      </c>
      <c r="C1530" s="91">
        <v>7.0393077551224037E-2</v>
      </c>
      <c r="D1530" s="92">
        <v>222</v>
      </c>
      <c r="G1530" s="5"/>
      <c r="H1530" s="5"/>
      <c r="L1530" s="7"/>
      <c r="M1530" s="7"/>
      <c r="O1530" s="5"/>
      <c r="P1530" s="5"/>
    </row>
    <row r="1531" spans="2:16" x14ac:dyDescent="0.25">
      <c r="B1531" s="90">
        <v>1305</v>
      </c>
      <c r="C1531" s="91">
        <v>7.9891244048431842E-2</v>
      </c>
      <c r="D1531" s="92">
        <v>222</v>
      </c>
      <c r="G1531" s="5"/>
      <c r="H1531" s="5"/>
      <c r="L1531" s="7"/>
      <c r="M1531" s="7"/>
      <c r="O1531" s="5"/>
      <c r="P1531" s="5"/>
    </row>
    <row r="1532" spans="2:16" x14ac:dyDescent="0.25">
      <c r="B1532" s="90">
        <v>481</v>
      </c>
      <c r="C1532" s="91">
        <v>0.36402202327858713</v>
      </c>
      <c r="D1532" s="92">
        <v>222</v>
      </c>
      <c r="G1532" s="5"/>
      <c r="H1532" s="5"/>
      <c r="L1532" s="7"/>
      <c r="M1532" s="7"/>
      <c r="O1532" s="5"/>
      <c r="P1532" s="5"/>
    </row>
    <row r="1533" spans="2:16" x14ac:dyDescent="0.25">
      <c r="B1533" s="90">
        <v>540</v>
      </c>
      <c r="C1533" s="91">
        <v>0.42467304139385142</v>
      </c>
      <c r="D1533" s="92">
        <v>222</v>
      </c>
      <c r="G1533" s="5"/>
      <c r="H1533" s="5"/>
      <c r="L1533" s="7"/>
      <c r="M1533" s="7"/>
      <c r="O1533" s="5"/>
      <c r="P1533" s="5"/>
    </row>
    <row r="1534" spans="2:16" x14ac:dyDescent="0.25">
      <c r="B1534" s="90">
        <v>920</v>
      </c>
      <c r="C1534" s="91">
        <v>0.47592884240287803</v>
      </c>
      <c r="D1534" s="92">
        <v>222</v>
      </c>
      <c r="G1534" s="5"/>
      <c r="H1534" s="5"/>
      <c r="L1534" s="7"/>
      <c r="M1534" s="7"/>
      <c r="O1534" s="5"/>
      <c r="P1534" s="5"/>
    </row>
    <row r="1535" spans="2:16" x14ac:dyDescent="0.25">
      <c r="B1535" s="90">
        <v>1066</v>
      </c>
      <c r="C1535" s="91">
        <v>0.50193175200593099</v>
      </c>
      <c r="D1535" s="92">
        <v>222</v>
      </c>
      <c r="G1535" s="5"/>
      <c r="H1535" s="5"/>
      <c r="L1535" s="7"/>
      <c r="M1535" s="7"/>
      <c r="O1535" s="5"/>
      <c r="P1535" s="5"/>
    </row>
    <row r="1536" spans="2:16" x14ac:dyDescent="0.25">
      <c r="B1536" s="90">
        <v>367</v>
      </c>
      <c r="C1536" s="91">
        <v>0.51881489540019066</v>
      </c>
      <c r="D1536" s="92">
        <v>222</v>
      </c>
      <c r="G1536" s="5"/>
      <c r="H1536" s="5"/>
      <c r="L1536" s="7"/>
      <c r="M1536" s="7"/>
      <c r="O1536" s="5"/>
      <c r="P1536" s="5"/>
    </row>
    <row r="1537" spans="2:16" x14ac:dyDescent="0.25">
      <c r="B1537" s="90">
        <v>196</v>
      </c>
      <c r="C1537" s="91">
        <v>0.11291769291742526</v>
      </c>
      <c r="D1537" s="92">
        <v>223</v>
      </c>
      <c r="G1537" s="5"/>
      <c r="H1537" s="5"/>
      <c r="L1537" s="7"/>
      <c r="M1537" s="7"/>
      <c r="O1537" s="5"/>
      <c r="P1537" s="5"/>
    </row>
    <row r="1538" spans="2:16" x14ac:dyDescent="0.25">
      <c r="B1538" s="90">
        <v>103</v>
      </c>
      <c r="C1538" s="91">
        <v>0.19415354258698458</v>
      </c>
      <c r="D1538" s="92">
        <v>223</v>
      </c>
      <c r="G1538" s="5"/>
      <c r="H1538" s="5"/>
      <c r="L1538" s="7"/>
      <c r="M1538" s="7"/>
      <c r="O1538" s="5"/>
      <c r="P1538" s="5"/>
    </row>
    <row r="1539" spans="2:16" x14ac:dyDescent="0.25">
      <c r="B1539" s="90">
        <v>919</v>
      </c>
      <c r="C1539" s="91">
        <v>0.44813212720845286</v>
      </c>
      <c r="D1539" s="92">
        <v>223</v>
      </c>
      <c r="G1539" s="5"/>
      <c r="H1539" s="5"/>
      <c r="L1539" s="7"/>
      <c r="M1539" s="7"/>
      <c r="O1539" s="5"/>
      <c r="P1539" s="5"/>
    </row>
    <row r="1540" spans="2:16" x14ac:dyDescent="0.25">
      <c r="B1540" s="90">
        <v>187</v>
      </c>
      <c r="C1540" s="91">
        <v>0.59842532507381418</v>
      </c>
      <c r="D1540" s="92">
        <v>223</v>
      </c>
      <c r="G1540" s="5"/>
      <c r="H1540" s="5"/>
      <c r="L1540" s="7"/>
      <c r="M1540" s="7"/>
      <c r="O1540" s="5"/>
      <c r="P1540" s="5"/>
    </row>
    <row r="1541" spans="2:16" x14ac:dyDescent="0.25">
      <c r="B1541" s="90">
        <v>971</v>
      </c>
      <c r="C1541" s="91">
        <v>0.60891577768140359</v>
      </c>
      <c r="D1541" s="92">
        <v>223</v>
      </c>
      <c r="G1541" s="5"/>
      <c r="H1541" s="5"/>
      <c r="L1541" s="7"/>
      <c r="M1541" s="7"/>
      <c r="O1541" s="5"/>
      <c r="P1541" s="5"/>
    </row>
    <row r="1542" spans="2:16" x14ac:dyDescent="0.25">
      <c r="B1542" s="90">
        <v>167</v>
      </c>
      <c r="C1542" s="91">
        <v>0.18977200083822754</v>
      </c>
      <c r="D1542" s="92">
        <v>225</v>
      </c>
      <c r="G1542" s="5"/>
      <c r="H1542" s="5"/>
      <c r="L1542" s="7"/>
      <c r="M1542" s="7"/>
      <c r="O1542" s="5"/>
      <c r="P1542" s="5"/>
    </row>
    <row r="1543" spans="2:16" x14ac:dyDescent="0.25">
      <c r="B1543" s="90">
        <v>1820</v>
      </c>
      <c r="C1543" s="91">
        <v>0.21891349327693344</v>
      </c>
      <c r="D1543" s="92">
        <v>225</v>
      </c>
      <c r="G1543" s="5"/>
      <c r="H1543" s="5"/>
      <c r="L1543" s="7"/>
      <c r="M1543" s="7"/>
      <c r="O1543" s="5"/>
      <c r="P1543" s="5"/>
    </row>
    <row r="1544" spans="2:16" x14ac:dyDescent="0.25">
      <c r="B1544" s="90">
        <v>1194</v>
      </c>
      <c r="C1544" s="91">
        <v>0.2566493828945785</v>
      </c>
      <c r="D1544" s="92">
        <v>225</v>
      </c>
      <c r="G1544" s="5"/>
      <c r="H1544" s="5"/>
      <c r="L1544" s="7"/>
      <c r="M1544" s="7"/>
      <c r="O1544" s="5"/>
      <c r="P1544" s="5"/>
    </row>
    <row r="1545" spans="2:16" x14ac:dyDescent="0.25">
      <c r="B1545" s="90">
        <v>1263</v>
      </c>
      <c r="C1545" s="91">
        <v>9.4020840039295339E-2</v>
      </c>
      <c r="D1545" s="92">
        <v>226</v>
      </c>
      <c r="G1545" s="5"/>
      <c r="H1545" s="5"/>
      <c r="L1545" s="7"/>
      <c r="M1545" s="7"/>
      <c r="O1545" s="5"/>
      <c r="P1545" s="5"/>
    </row>
    <row r="1546" spans="2:16" x14ac:dyDescent="0.25">
      <c r="B1546" s="90">
        <v>1174</v>
      </c>
      <c r="C1546" s="91">
        <v>0.13239873890445741</v>
      </c>
      <c r="D1546" s="92">
        <v>226</v>
      </c>
      <c r="G1546" s="5"/>
      <c r="H1546" s="5"/>
      <c r="L1546" s="7"/>
      <c r="M1546" s="7"/>
      <c r="O1546" s="5"/>
      <c r="P1546" s="5"/>
    </row>
    <row r="1547" spans="2:16" x14ac:dyDescent="0.25">
      <c r="B1547" s="90">
        <v>121</v>
      </c>
      <c r="C1547" s="91">
        <v>0.58375289063252267</v>
      </c>
      <c r="D1547" s="92">
        <v>226</v>
      </c>
      <c r="G1547" s="5"/>
      <c r="H1547" s="5"/>
      <c r="L1547" s="7"/>
      <c r="M1547" s="7"/>
      <c r="O1547" s="5"/>
      <c r="P1547" s="5"/>
    </row>
    <row r="1548" spans="2:16" x14ac:dyDescent="0.25">
      <c r="B1548" s="90">
        <v>122</v>
      </c>
      <c r="C1548" s="91">
        <v>0.5899506802270067</v>
      </c>
      <c r="D1548" s="92">
        <v>226</v>
      </c>
      <c r="G1548" s="5"/>
      <c r="H1548" s="5"/>
      <c r="L1548" s="7"/>
      <c r="M1548" s="7"/>
      <c r="O1548" s="5"/>
      <c r="P1548" s="5"/>
    </row>
    <row r="1549" spans="2:16" x14ac:dyDescent="0.25">
      <c r="B1549" s="90">
        <v>1976</v>
      </c>
      <c r="C1549" s="91">
        <v>6.3207322348487915E-2</v>
      </c>
      <c r="D1549" s="92">
        <v>227</v>
      </c>
      <c r="G1549" s="5"/>
      <c r="H1549" s="5"/>
      <c r="L1549" s="7"/>
      <c r="M1549" s="7"/>
      <c r="O1549" s="5"/>
      <c r="P1549" s="5"/>
    </row>
    <row r="1550" spans="2:16" x14ac:dyDescent="0.25">
      <c r="B1550" s="90">
        <v>1957</v>
      </c>
      <c r="C1550" s="91">
        <v>8.0970045360650555E-2</v>
      </c>
      <c r="D1550" s="92">
        <v>227</v>
      </c>
      <c r="G1550" s="5"/>
      <c r="H1550" s="5"/>
      <c r="L1550" s="7"/>
      <c r="M1550" s="7"/>
      <c r="O1550" s="5"/>
      <c r="P1550" s="5"/>
    </row>
    <row r="1551" spans="2:16" x14ac:dyDescent="0.25">
      <c r="B1551" s="90">
        <v>69</v>
      </c>
      <c r="C1551" s="91">
        <v>0.11504694115481495</v>
      </c>
      <c r="D1551" s="92">
        <v>228</v>
      </c>
      <c r="G1551" s="5"/>
      <c r="H1551" s="5"/>
      <c r="L1551" s="7"/>
      <c r="M1551" s="7"/>
      <c r="O1551" s="5"/>
      <c r="P1551" s="5"/>
    </row>
    <row r="1552" spans="2:16" x14ac:dyDescent="0.25">
      <c r="B1552" s="90">
        <v>1196</v>
      </c>
      <c r="C1552" s="91">
        <v>0.22181830411705195</v>
      </c>
      <c r="D1552" s="92">
        <v>228</v>
      </c>
      <c r="G1552" s="5"/>
      <c r="H1552" s="5"/>
      <c r="L1552" s="7"/>
      <c r="M1552" s="7"/>
      <c r="O1552" s="5"/>
      <c r="P1552" s="5"/>
    </row>
    <row r="1553" spans="2:16" x14ac:dyDescent="0.25">
      <c r="B1553" s="90">
        <v>1269</v>
      </c>
      <c r="C1553" s="91">
        <v>9.198358620310354E-2</v>
      </c>
      <c r="D1553" s="92">
        <v>229</v>
      </c>
      <c r="G1553" s="5"/>
      <c r="H1553" s="5"/>
      <c r="L1553" s="7"/>
      <c r="M1553" s="7"/>
      <c r="O1553" s="5"/>
      <c r="P1553" s="5"/>
    </row>
    <row r="1554" spans="2:16" x14ac:dyDescent="0.25">
      <c r="B1554" s="90">
        <v>133</v>
      </c>
      <c r="C1554" s="91">
        <v>0.11747388144436566</v>
      </c>
      <c r="D1554" s="92">
        <v>229</v>
      </c>
      <c r="G1554" s="5"/>
      <c r="H1554" s="5"/>
      <c r="L1554" s="7"/>
      <c r="M1554" s="7"/>
      <c r="O1554" s="5"/>
      <c r="P1554" s="5"/>
    </row>
    <row r="1555" spans="2:16" x14ac:dyDescent="0.25">
      <c r="B1555" s="90">
        <v>1389</v>
      </c>
      <c r="C1555" s="91">
        <v>0.17352554130900111</v>
      </c>
      <c r="D1555" s="92">
        <v>229</v>
      </c>
      <c r="G1555" s="5"/>
      <c r="H1555" s="5"/>
      <c r="L1555" s="7"/>
      <c r="M1555" s="7"/>
      <c r="O1555" s="5"/>
      <c r="P1555" s="5"/>
    </row>
    <row r="1556" spans="2:16" x14ac:dyDescent="0.25">
      <c r="B1556" s="90">
        <v>1266</v>
      </c>
      <c r="C1556" s="91">
        <v>0.18033255479390076</v>
      </c>
      <c r="D1556" s="92">
        <v>229</v>
      </c>
      <c r="G1556" s="5"/>
      <c r="H1556" s="5"/>
      <c r="L1556" s="7"/>
      <c r="M1556" s="7"/>
      <c r="O1556" s="5"/>
      <c r="P1556" s="5"/>
    </row>
    <row r="1557" spans="2:16" x14ac:dyDescent="0.25">
      <c r="B1557" s="90">
        <v>1378</v>
      </c>
      <c r="C1557" s="91">
        <v>0.19588404493871425</v>
      </c>
      <c r="D1557" s="92">
        <v>229</v>
      </c>
      <c r="G1557" s="5"/>
      <c r="H1557" s="5"/>
      <c r="L1557" s="7"/>
      <c r="M1557" s="7"/>
      <c r="O1557" s="5"/>
      <c r="P1557" s="5"/>
    </row>
    <row r="1558" spans="2:16" x14ac:dyDescent="0.25">
      <c r="B1558" s="90">
        <v>1173</v>
      </c>
      <c r="C1558" s="91">
        <v>0.14605814491035218</v>
      </c>
      <c r="D1558" s="92">
        <v>230</v>
      </c>
      <c r="G1558" s="5"/>
      <c r="H1558" s="5"/>
      <c r="L1558" s="7"/>
      <c r="M1558" s="7"/>
      <c r="O1558" s="5"/>
      <c r="P1558" s="5"/>
    </row>
    <row r="1559" spans="2:16" x14ac:dyDescent="0.25">
      <c r="B1559" s="90">
        <v>33</v>
      </c>
      <c r="C1559" s="91">
        <v>0.28758151908732088</v>
      </c>
      <c r="D1559" s="92">
        <v>230</v>
      </c>
      <c r="G1559" s="5"/>
      <c r="H1559" s="5"/>
      <c r="L1559" s="7"/>
      <c r="M1559" s="7"/>
      <c r="O1559" s="5"/>
      <c r="P1559" s="5"/>
    </row>
    <row r="1560" spans="2:16" x14ac:dyDescent="0.25">
      <c r="B1560" s="90">
        <v>1618</v>
      </c>
      <c r="C1560" s="91">
        <v>0.28758151908732088</v>
      </c>
      <c r="D1560" s="92">
        <v>230</v>
      </c>
      <c r="G1560" s="5"/>
      <c r="H1560" s="5"/>
      <c r="L1560" s="7"/>
      <c r="M1560" s="7"/>
      <c r="O1560" s="5"/>
      <c r="P1560" s="5"/>
    </row>
    <row r="1561" spans="2:16" x14ac:dyDescent="0.25">
      <c r="B1561" s="90">
        <v>31</v>
      </c>
      <c r="C1561" s="91">
        <v>0.28894099587557442</v>
      </c>
      <c r="D1561" s="92">
        <v>230</v>
      </c>
      <c r="G1561" s="5"/>
      <c r="H1561" s="5"/>
      <c r="L1561" s="7"/>
      <c r="M1561" s="7"/>
      <c r="O1561" s="5"/>
      <c r="P1561" s="5"/>
    </row>
    <row r="1562" spans="2:16" x14ac:dyDescent="0.25">
      <c r="B1562" s="90">
        <v>1681</v>
      </c>
      <c r="C1562" s="91">
        <v>0.28894099587557442</v>
      </c>
      <c r="D1562" s="92">
        <v>230</v>
      </c>
      <c r="G1562" s="5"/>
      <c r="H1562" s="5"/>
      <c r="L1562" s="7"/>
      <c r="M1562" s="7"/>
      <c r="O1562" s="5"/>
      <c r="P1562" s="5"/>
    </row>
    <row r="1563" spans="2:16" x14ac:dyDescent="0.25">
      <c r="B1563" s="90">
        <v>32</v>
      </c>
      <c r="C1563" s="91">
        <v>0.28935552283661892</v>
      </c>
      <c r="D1563" s="92">
        <v>230</v>
      </c>
      <c r="G1563" s="5"/>
      <c r="H1563" s="5"/>
      <c r="L1563" s="7"/>
      <c r="M1563" s="7"/>
      <c r="O1563" s="5"/>
      <c r="P1563" s="5"/>
    </row>
    <row r="1564" spans="2:16" x14ac:dyDescent="0.25">
      <c r="B1564" s="90">
        <v>1650</v>
      </c>
      <c r="C1564" s="91">
        <v>0.28935552283661892</v>
      </c>
      <c r="D1564" s="92">
        <v>230</v>
      </c>
      <c r="G1564" s="5"/>
      <c r="H1564" s="5"/>
      <c r="L1564" s="7"/>
      <c r="M1564" s="7"/>
      <c r="O1564" s="5"/>
      <c r="P1564" s="5"/>
    </row>
    <row r="1565" spans="2:16" x14ac:dyDescent="0.25">
      <c r="B1565" s="90">
        <v>966</v>
      </c>
      <c r="C1565" s="91">
        <v>0.4152164701671518</v>
      </c>
      <c r="D1565" s="92">
        <v>230</v>
      </c>
      <c r="G1565" s="5"/>
      <c r="H1565" s="5"/>
      <c r="L1565" s="7"/>
      <c r="M1565" s="7"/>
      <c r="O1565" s="5"/>
      <c r="P1565" s="5"/>
    </row>
    <row r="1566" spans="2:16" x14ac:dyDescent="0.25">
      <c r="B1566" s="90">
        <v>1015</v>
      </c>
      <c r="C1566" s="91">
        <v>0.48246798827750481</v>
      </c>
      <c r="D1566" s="92">
        <v>230</v>
      </c>
      <c r="G1566" s="5"/>
      <c r="H1566" s="5"/>
      <c r="L1566" s="7"/>
      <c r="M1566" s="7"/>
      <c r="O1566" s="5"/>
      <c r="P1566" s="5"/>
    </row>
    <row r="1567" spans="2:16" x14ac:dyDescent="0.25">
      <c r="B1567" s="90">
        <v>244</v>
      </c>
      <c r="C1567" s="91">
        <v>0.52296327904055784</v>
      </c>
      <c r="D1567" s="92">
        <v>230</v>
      </c>
      <c r="G1567" s="5"/>
      <c r="H1567" s="5"/>
      <c r="L1567" s="7"/>
      <c r="M1567" s="7"/>
      <c r="O1567" s="5"/>
      <c r="P1567" s="5"/>
    </row>
    <row r="1568" spans="2:16" x14ac:dyDescent="0.25">
      <c r="B1568" s="90">
        <v>1181</v>
      </c>
      <c r="C1568" s="91">
        <v>7.8637321817435879E-2</v>
      </c>
      <c r="D1568" s="92">
        <v>231</v>
      </c>
      <c r="G1568" s="5"/>
      <c r="H1568" s="5"/>
      <c r="L1568" s="7"/>
      <c r="M1568" s="7"/>
      <c r="O1568" s="5"/>
      <c r="P1568" s="5"/>
    </row>
    <row r="1569" spans="2:16" x14ac:dyDescent="0.25">
      <c r="B1569" s="90">
        <v>1182</v>
      </c>
      <c r="C1569" s="91">
        <v>9.0580331717644791E-2</v>
      </c>
      <c r="D1569" s="92">
        <v>231</v>
      </c>
      <c r="G1569" s="5"/>
      <c r="H1569" s="5"/>
      <c r="L1569" s="7"/>
      <c r="M1569" s="7"/>
      <c r="O1569" s="5"/>
      <c r="P1569" s="5"/>
    </row>
    <row r="1570" spans="2:16" x14ac:dyDescent="0.25">
      <c r="B1570" s="90">
        <v>1180</v>
      </c>
      <c r="C1570" s="91">
        <v>9.1027690644496007E-2</v>
      </c>
      <c r="D1570" s="92">
        <v>231</v>
      </c>
      <c r="G1570" s="5"/>
      <c r="H1570" s="5"/>
      <c r="L1570" s="7"/>
      <c r="M1570" s="7"/>
      <c r="O1570" s="5"/>
      <c r="P1570" s="5"/>
    </row>
    <row r="1571" spans="2:16" x14ac:dyDescent="0.25">
      <c r="B1571" s="90">
        <v>1994</v>
      </c>
      <c r="C1571" s="91">
        <v>0.11157328573190006</v>
      </c>
      <c r="D1571" s="92">
        <v>231</v>
      </c>
      <c r="G1571" s="5"/>
      <c r="H1571" s="5"/>
      <c r="L1571" s="7"/>
      <c r="M1571" s="7"/>
      <c r="O1571" s="5"/>
      <c r="P1571" s="5"/>
    </row>
    <row r="1572" spans="2:16" x14ac:dyDescent="0.25">
      <c r="B1572" s="90">
        <v>1179</v>
      </c>
      <c r="C1572" s="91">
        <v>0.17712738375874082</v>
      </c>
      <c r="D1572" s="92">
        <v>231</v>
      </c>
      <c r="G1572" s="5"/>
      <c r="H1572" s="5"/>
      <c r="L1572" s="7"/>
      <c r="M1572" s="7"/>
      <c r="O1572" s="5"/>
      <c r="P1572" s="5"/>
    </row>
    <row r="1573" spans="2:16" x14ac:dyDescent="0.25">
      <c r="B1573" s="90">
        <v>1057</v>
      </c>
      <c r="C1573" s="91">
        <v>0.22572388130740839</v>
      </c>
      <c r="D1573" s="92">
        <v>231</v>
      </c>
      <c r="G1573" s="5"/>
      <c r="H1573" s="5"/>
      <c r="L1573" s="7"/>
      <c r="M1573" s="7"/>
      <c r="O1573" s="5"/>
      <c r="P1573" s="5"/>
    </row>
    <row r="1574" spans="2:16" x14ac:dyDescent="0.25">
      <c r="B1574" s="90">
        <v>911</v>
      </c>
      <c r="C1574" s="91">
        <v>0.26507485222600591</v>
      </c>
      <c r="D1574" s="92">
        <v>231</v>
      </c>
      <c r="G1574" s="5"/>
      <c r="H1574" s="5"/>
      <c r="L1574" s="7"/>
      <c r="M1574" s="7"/>
      <c r="O1574" s="5"/>
      <c r="P1574" s="5"/>
    </row>
    <row r="1575" spans="2:16" x14ac:dyDescent="0.25">
      <c r="B1575" s="90">
        <v>860</v>
      </c>
      <c r="C1575" s="91">
        <v>0.26855919561932373</v>
      </c>
      <c r="D1575" s="92">
        <v>231</v>
      </c>
      <c r="G1575" s="5"/>
      <c r="H1575" s="5"/>
      <c r="L1575" s="7"/>
      <c r="M1575" s="7"/>
      <c r="O1575" s="5"/>
      <c r="P1575" s="5"/>
    </row>
    <row r="1576" spans="2:16" x14ac:dyDescent="0.25">
      <c r="B1576" s="90">
        <v>1060</v>
      </c>
      <c r="C1576" s="91">
        <v>0.30603546406968907</v>
      </c>
      <c r="D1576" s="92">
        <v>231</v>
      </c>
      <c r="G1576" s="5"/>
      <c r="H1576" s="5"/>
      <c r="L1576" s="7"/>
      <c r="M1576" s="7"/>
      <c r="O1576" s="5"/>
      <c r="P1576" s="5"/>
    </row>
    <row r="1577" spans="2:16" x14ac:dyDescent="0.25">
      <c r="B1577" s="90">
        <v>1012</v>
      </c>
      <c r="C1577" s="91">
        <v>0.34506711395197054</v>
      </c>
      <c r="D1577" s="92">
        <v>231</v>
      </c>
      <c r="G1577" s="5"/>
      <c r="H1577" s="5"/>
      <c r="L1577" s="7"/>
      <c r="M1577" s="7"/>
      <c r="O1577" s="5"/>
      <c r="P1577" s="5"/>
    </row>
    <row r="1578" spans="2:16" x14ac:dyDescent="0.25">
      <c r="B1578" s="90">
        <v>134</v>
      </c>
      <c r="C1578" s="91">
        <v>0.34886953115670361</v>
      </c>
      <c r="D1578" s="92">
        <v>231</v>
      </c>
      <c r="G1578" s="5"/>
      <c r="H1578" s="5"/>
      <c r="L1578" s="7"/>
      <c r="M1578" s="7"/>
      <c r="O1578" s="5"/>
      <c r="P1578" s="5"/>
    </row>
    <row r="1579" spans="2:16" x14ac:dyDescent="0.25">
      <c r="B1579" s="90">
        <v>1796</v>
      </c>
      <c r="C1579" s="91">
        <v>4.0158158476906181E-2</v>
      </c>
      <c r="D1579" s="92">
        <v>232</v>
      </c>
      <c r="G1579" s="5"/>
      <c r="H1579" s="5"/>
      <c r="L1579" s="7"/>
      <c r="M1579" s="7"/>
      <c r="O1579" s="5"/>
      <c r="P1579" s="5"/>
    </row>
    <row r="1580" spans="2:16" x14ac:dyDescent="0.25">
      <c r="B1580" s="90">
        <v>1056</v>
      </c>
      <c r="C1580" s="91">
        <v>0.24347027181712777</v>
      </c>
      <c r="D1580" s="92">
        <v>232</v>
      </c>
      <c r="G1580" s="5"/>
      <c r="H1580" s="5"/>
      <c r="L1580" s="7"/>
      <c r="M1580" s="7"/>
      <c r="O1580" s="5"/>
      <c r="P1580" s="5"/>
    </row>
    <row r="1581" spans="2:16" x14ac:dyDescent="0.25">
      <c r="B1581" s="90">
        <v>912</v>
      </c>
      <c r="C1581" s="91">
        <v>0.26934148353188947</v>
      </c>
      <c r="D1581" s="92">
        <v>233</v>
      </c>
      <c r="G1581" s="5"/>
      <c r="H1581" s="5"/>
      <c r="L1581" s="7"/>
      <c r="M1581" s="7"/>
      <c r="O1581" s="5"/>
      <c r="P1581" s="5"/>
    </row>
    <row r="1582" spans="2:16" x14ac:dyDescent="0.25">
      <c r="B1582" s="90">
        <v>962</v>
      </c>
      <c r="C1582" s="91">
        <v>0.28849417523205356</v>
      </c>
      <c r="D1582" s="92">
        <v>233</v>
      </c>
      <c r="G1582" s="5"/>
      <c r="H1582" s="5"/>
      <c r="L1582" s="7"/>
      <c r="M1582" s="7"/>
      <c r="O1582" s="5"/>
      <c r="P1582" s="5"/>
    </row>
    <row r="1583" spans="2:16" x14ac:dyDescent="0.25">
      <c r="B1583" s="90">
        <v>1847</v>
      </c>
      <c r="C1583" s="91">
        <v>3.6056213717056362E-2</v>
      </c>
      <c r="D1583" s="92">
        <v>234</v>
      </c>
      <c r="G1583" s="5"/>
      <c r="H1583" s="5"/>
      <c r="L1583" s="7"/>
      <c r="M1583" s="7"/>
      <c r="O1583" s="5"/>
      <c r="P1583" s="5"/>
    </row>
    <row r="1584" spans="2:16" x14ac:dyDescent="0.25">
      <c r="B1584" s="90">
        <v>960</v>
      </c>
      <c r="C1584" s="91">
        <v>0.25859200728125931</v>
      </c>
      <c r="D1584" s="92">
        <v>234</v>
      </c>
      <c r="G1584" s="5"/>
      <c r="H1584" s="5"/>
      <c r="L1584" s="7"/>
      <c r="M1584" s="7"/>
      <c r="O1584" s="5"/>
      <c r="P1584" s="5"/>
    </row>
    <row r="1585" spans="2:16" x14ac:dyDescent="0.25">
      <c r="B1585" s="90">
        <v>1009</v>
      </c>
      <c r="C1585" s="91">
        <v>0.28808408623624338</v>
      </c>
      <c r="D1585" s="92">
        <v>234</v>
      </c>
      <c r="G1585" s="5"/>
      <c r="H1585" s="5"/>
      <c r="L1585" s="7"/>
      <c r="M1585" s="7"/>
      <c r="O1585" s="5"/>
      <c r="P1585" s="5"/>
    </row>
    <row r="1586" spans="2:16" x14ac:dyDescent="0.25">
      <c r="B1586" s="90">
        <v>197</v>
      </c>
      <c r="C1586" s="91">
        <v>0.32067105918083483</v>
      </c>
      <c r="D1586" s="92">
        <v>234</v>
      </c>
      <c r="G1586" s="5"/>
      <c r="H1586" s="5"/>
      <c r="L1586" s="7"/>
      <c r="M1586" s="7"/>
      <c r="O1586" s="5"/>
      <c r="P1586" s="5"/>
    </row>
    <row r="1587" spans="2:16" x14ac:dyDescent="0.25">
      <c r="B1587" s="90">
        <v>186</v>
      </c>
      <c r="C1587" s="91">
        <v>0.58730911028761645</v>
      </c>
      <c r="D1587" s="92">
        <v>234</v>
      </c>
      <c r="G1587" s="5"/>
      <c r="H1587" s="5"/>
      <c r="L1587" s="7"/>
      <c r="M1587" s="7"/>
      <c r="O1587" s="5"/>
      <c r="P1587" s="5"/>
    </row>
    <row r="1588" spans="2:16" x14ac:dyDescent="0.25">
      <c r="B1588" s="90">
        <v>1175</v>
      </c>
      <c r="C1588" s="91">
        <v>0.14441830001147604</v>
      </c>
      <c r="D1588" s="92">
        <v>235</v>
      </c>
      <c r="G1588" s="5"/>
      <c r="H1588" s="5"/>
      <c r="L1588" s="7"/>
      <c r="M1588" s="7"/>
      <c r="O1588" s="5"/>
      <c r="P1588" s="5"/>
    </row>
    <row r="1589" spans="2:16" x14ac:dyDescent="0.25">
      <c r="B1589" s="90">
        <v>124</v>
      </c>
      <c r="C1589" s="91">
        <v>0.62497160348254255</v>
      </c>
      <c r="D1589" s="92">
        <v>235</v>
      </c>
      <c r="G1589" s="5"/>
      <c r="H1589" s="5"/>
      <c r="L1589" s="7"/>
      <c r="M1589" s="7"/>
      <c r="O1589" s="5"/>
      <c r="P1589" s="5"/>
    </row>
    <row r="1590" spans="2:16" x14ac:dyDescent="0.25">
      <c r="B1590" s="90">
        <v>650</v>
      </c>
      <c r="C1590" s="91">
        <v>0.41777084885504445</v>
      </c>
      <c r="D1590" s="92">
        <v>236</v>
      </c>
      <c r="G1590" s="5"/>
      <c r="H1590" s="5"/>
      <c r="L1590" s="7"/>
      <c r="M1590" s="7"/>
      <c r="O1590" s="5"/>
      <c r="P1590" s="5"/>
    </row>
    <row r="1591" spans="2:16" x14ac:dyDescent="0.25">
      <c r="B1591" s="90">
        <v>705</v>
      </c>
      <c r="C1591" s="91">
        <v>0.41953127987624905</v>
      </c>
      <c r="D1591" s="92">
        <v>236</v>
      </c>
      <c r="G1591" s="5"/>
      <c r="H1591" s="5"/>
      <c r="L1591" s="7"/>
      <c r="M1591" s="7"/>
      <c r="O1591" s="5"/>
      <c r="P1591" s="5"/>
    </row>
    <row r="1592" spans="2:16" x14ac:dyDescent="0.25">
      <c r="B1592" s="90">
        <v>759</v>
      </c>
      <c r="C1592" s="91">
        <v>0.41979136783842774</v>
      </c>
      <c r="D1592" s="92">
        <v>236</v>
      </c>
      <c r="G1592" s="5"/>
      <c r="H1592" s="5"/>
      <c r="L1592" s="7"/>
      <c r="M1592" s="7"/>
      <c r="O1592" s="5"/>
      <c r="P1592" s="5"/>
    </row>
    <row r="1593" spans="2:16" x14ac:dyDescent="0.25">
      <c r="B1593" s="90">
        <v>812</v>
      </c>
      <c r="C1593" s="91">
        <v>0.42990333929828284</v>
      </c>
      <c r="D1593" s="92">
        <v>236</v>
      </c>
      <c r="G1593" s="5"/>
      <c r="H1593" s="5"/>
      <c r="L1593" s="7"/>
      <c r="M1593" s="7"/>
      <c r="O1593" s="5"/>
      <c r="P1593" s="5"/>
    </row>
    <row r="1594" spans="2:16" x14ac:dyDescent="0.25">
      <c r="B1594" s="90">
        <v>123</v>
      </c>
      <c r="C1594" s="91">
        <v>0.60089879531824208</v>
      </c>
      <c r="D1594" s="92">
        <v>236</v>
      </c>
      <c r="G1594" s="5"/>
      <c r="H1594" s="5"/>
      <c r="L1594" s="7"/>
      <c r="M1594" s="7"/>
      <c r="O1594" s="5"/>
      <c r="P1594" s="5"/>
    </row>
    <row r="1595" spans="2:16" x14ac:dyDescent="0.25">
      <c r="B1595" s="90">
        <v>125</v>
      </c>
      <c r="C1595" s="91">
        <v>0.62830545521632875</v>
      </c>
      <c r="D1595" s="92">
        <v>236</v>
      </c>
      <c r="G1595" s="5"/>
      <c r="H1595" s="5"/>
      <c r="L1595" s="7"/>
      <c r="M1595" s="7"/>
      <c r="O1595" s="5"/>
      <c r="P1595" s="5"/>
    </row>
    <row r="1596" spans="2:16" x14ac:dyDescent="0.25">
      <c r="B1596" s="90">
        <v>760</v>
      </c>
      <c r="C1596" s="91">
        <v>0.39280000584870733</v>
      </c>
      <c r="D1596" s="92">
        <v>237</v>
      </c>
      <c r="G1596" s="5"/>
      <c r="H1596" s="5"/>
      <c r="L1596" s="7"/>
      <c r="M1596" s="7"/>
      <c r="O1596" s="5"/>
      <c r="P1596" s="5"/>
    </row>
    <row r="1597" spans="2:16" x14ac:dyDescent="0.25">
      <c r="B1597" s="90">
        <v>594</v>
      </c>
      <c r="C1597" s="91">
        <v>0.41005037290003044</v>
      </c>
      <c r="D1597" s="92">
        <v>237</v>
      </c>
      <c r="G1597" s="5"/>
      <c r="H1597" s="5"/>
      <c r="L1597" s="7"/>
      <c r="M1597" s="7"/>
      <c r="O1597" s="5"/>
      <c r="P1597" s="5"/>
    </row>
    <row r="1598" spans="2:16" x14ac:dyDescent="0.25">
      <c r="B1598" s="90">
        <v>71</v>
      </c>
      <c r="C1598" s="91">
        <v>0.46610699665770872</v>
      </c>
      <c r="D1598" s="92">
        <v>237</v>
      </c>
      <c r="G1598" s="5"/>
      <c r="H1598" s="5"/>
      <c r="L1598" s="7"/>
      <c r="M1598" s="7"/>
      <c r="O1598" s="5"/>
      <c r="P1598" s="5"/>
    </row>
    <row r="1599" spans="2:16" x14ac:dyDescent="0.25">
      <c r="B1599" s="90">
        <v>359</v>
      </c>
      <c r="C1599" s="91">
        <v>0.36819719481325619</v>
      </c>
      <c r="D1599" s="92">
        <v>238</v>
      </c>
      <c r="G1599" s="5"/>
      <c r="H1599" s="5"/>
      <c r="L1599" s="7"/>
      <c r="M1599" s="7"/>
      <c r="O1599" s="5"/>
      <c r="P1599" s="5"/>
    </row>
    <row r="1600" spans="2:16" x14ac:dyDescent="0.25">
      <c r="B1600" s="90">
        <v>298</v>
      </c>
      <c r="C1600" s="91">
        <v>0.37505908134121635</v>
      </c>
      <c r="D1600" s="92">
        <v>238</v>
      </c>
      <c r="G1600" s="5"/>
      <c r="H1600" s="5"/>
      <c r="L1600" s="7"/>
      <c r="M1600" s="7"/>
      <c r="O1600" s="5"/>
      <c r="P1600" s="5"/>
    </row>
    <row r="1601" spans="2:16" x14ac:dyDescent="0.25">
      <c r="B1601" s="90">
        <v>419</v>
      </c>
      <c r="C1601" s="91">
        <v>0.39549631699118093</v>
      </c>
      <c r="D1601" s="92">
        <v>238</v>
      </c>
      <c r="G1601" s="5"/>
      <c r="H1601" s="5"/>
      <c r="L1601" s="7"/>
      <c r="M1601" s="7"/>
      <c r="O1601" s="5"/>
      <c r="P1601" s="5"/>
    </row>
    <row r="1602" spans="2:16" x14ac:dyDescent="0.25">
      <c r="B1602" s="90">
        <v>478</v>
      </c>
      <c r="C1602" s="91">
        <v>0.4036552211804304</v>
      </c>
      <c r="D1602" s="92">
        <v>238</v>
      </c>
      <c r="G1602" s="5"/>
      <c r="H1602" s="5"/>
      <c r="L1602" s="7"/>
      <c r="M1602" s="7"/>
      <c r="O1602" s="5"/>
      <c r="P1602" s="5"/>
    </row>
    <row r="1603" spans="2:16" x14ac:dyDescent="0.25">
      <c r="B1603" s="90">
        <v>537</v>
      </c>
      <c r="C1603" s="91">
        <v>0.40402691341111163</v>
      </c>
      <c r="D1603" s="92">
        <v>238</v>
      </c>
      <c r="G1603" s="5"/>
      <c r="H1603" s="5"/>
      <c r="L1603" s="7"/>
      <c r="M1603" s="7"/>
      <c r="O1603" s="5"/>
      <c r="P1603" s="5"/>
    </row>
    <row r="1604" spans="2:16" x14ac:dyDescent="0.25">
      <c r="B1604" s="90">
        <v>135</v>
      </c>
      <c r="C1604" s="91">
        <v>0.47191495295944708</v>
      </c>
      <c r="D1604" s="92">
        <v>238</v>
      </c>
      <c r="G1604" s="5"/>
      <c r="H1604" s="5"/>
      <c r="L1604" s="7"/>
      <c r="M1604" s="7"/>
      <c r="O1604" s="5"/>
      <c r="P1604" s="5"/>
    </row>
    <row r="1605" spans="2:16" x14ac:dyDescent="0.25">
      <c r="B1605" s="90">
        <v>185</v>
      </c>
      <c r="C1605" s="91">
        <v>0.58091530735148245</v>
      </c>
      <c r="D1605" s="92">
        <v>238</v>
      </c>
      <c r="G1605" s="5"/>
      <c r="H1605" s="5"/>
      <c r="L1605" s="7"/>
      <c r="M1605" s="7"/>
      <c r="O1605" s="5"/>
      <c r="P1605" s="5"/>
    </row>
    <row r="1606" spans="2:16" x14ac:dyDescent="0.25">
      <c r="B1606" s="90">
        <v>188</v>
      </c>
      <c r="C1606" s="91">
        <v>0.62273348628018677</v>
      </c>
      <c r="D1606" s="92">
        <v>238</v>
      </c>
      <c r="G1606" s="5"/>
      <c r="H1606" s="5"/>
      <c r="L1606" s="7"/>
      <c r="M1606" s="7"/>
      <c r="O1606" s="5"/>
      <c r="P1606" s="5"/>
    </row>
    <row r="1607" spans="2:16" x14ac:dyDescent="0.25">
      <c r="B1607" s="90">
        <v>13</v>
      </c>
      <c r="C1607" s="91">
        <v>9.6293793731120014E-2</v>
      </c>
      <c r="D1607" s="92">
        <v>239</v>
      </c>
      <c r="G1607" s="5"/>
      <c r="H1607" s="5"/>
      <c r="L1607" s="7"/>
      <c r="M1607" s="7"/>
      <c r="O1607" s="5"/>
      <c r="P1607" s="5"/>
    </row>
    <row r="1608" spans="2:16" x14ac:dyDescent="0.25">
      <c r="B1608" s="90">
        <v>2068</v>
      </c>
      <c r="C1608" s="91">
        <v>9.6293793731120014E-2</v>
      </c>
      <c r="D1608" s="92">
        <v>239</v>
      </c>
      <c r="G1608" s="5"/>
      <c r="H1608" s="5"/>
      <c r="L1608" s="7"/>
      <c r="M1608" s="7"/>
      <c r="O1608" s="5"/>
      <c r="P1608" s="5"/>
    </row>
    <row r="1609" spans="2:16" x14ac:dyDescent="0.25">
      <c r="B1609" s="90">
        <v>1133</v>
      </c>
      <c r="C1609" s="91">
        <v>0.19695951667962497</v>
      </c>
      <c r="D1609" s="92">
        <v>239</v>
      </c>
      <c r="G1609" s="5"/>
      <c r="H1609" s="5"/>
      <c r="L1609" s="7"/>
      <c r="M1609" s="7"/>
      <c r="O1609" s="5"/>
      <c r="P1609" s="5"/>
    </row>
    <row r="1610" spans="2:16" x14ac:dyDescent="0.25">
      <c r="B1610" s="90">
        <v>1177</v>
      </c>
      <c r="C1610" s="91">
        <v>0.21344341201406203</v>
      </c>
      <c r="D1610" s="92">
        <v>239</v>
      </c>
      <c r="G1610" s="5"/>
      <c r="H1610" s="5"/>
      <c r="L1610" s="7"/>
      <c r="M1610" s="7"/>
      <c r="O1610" s="5"/>
      <c r="P1610" s="5"/>
    </row>
    <row r="1611" spans="2:16" x14ac:dyDescent="0.25">
      <c r="B1611" s="90">
        <v>1578</v>
      </c>
      <c r="C1611" s="91">
        <v>0.22647275123968047</v>
      </c>
      <c r="D1611" s="92">
        <v>239</v>
      </c>
      <c r="G1611" s="5"/>
      <c r="H1611" s="5"/>
      <c r="L1611" s="7"/>
      <c r="M1611" s="7"/>
      <c r="O1611" s="5"/>
      <c r="P1611" s="5"/>
    </row>
    <row r="1612" spans="2:16" x14ac:dyDescent="0.25">
      <c r="B1612" s="90">
        <v>35</v>
      </c>
      <c r="C1612" s="91">
        <v>0.27205776345890276</v>
      </c>
      <c r="D1612" s="92">
        <v>239</v>
      </c>
      <c r="G1612" s="5"/>
      <c r="H1612" s="5"/>
      <c r="L1612" s="7"/>
      <c r="M1612" s="7"/>
      <c r="O1612" s="5"/>
      <c r="P1612" s="5"/>
    </row>
    <row r="1613" spans="2:16" x14ac:dyDescent="0.25">
      <c r="B1613" s="90">
        <v>1551</v>
      </c>
      <c r="C1613" s="91">
        <v>0.27205776345890276</v>
      </c>
      <c r="D1613" s="92">
        <v>239</v>
      </c>
      <c r="G1613" s="5"/>
      <c r="H1613" s="5"/>
      <c r="L1613" s="7"/>
      <c r="M1613" s="7"/>
      <c r="O1613" s="5"/>
      <c r="P1613" s="5"/>
    </row>
    <row r="1614" spans="2:16" x14ac:dyDescent="0.25">
      <c r="B1614" s="90">
        <v>34</v>
      </c>
      <c r="C1614" s="91">
        <v>0.29271651314486435</v>
      </c>
      <c r="D1614" s="92">
        <v>239</v>
      </c>
      <c r="G1614" s="5"/>
      <c r="H1614" s="5"/>
      <c r="L1614" s="7"/>
      <c r="M1614" s="7"/>
      <c r="O1614" s="5"/>
      <c r="P1614" s="5"/>
    </row>
    <row r="1615" spans="2:16" x14ac:dyDescent="0.25">
      <c r="B1615" s="90">
        <v>1585</v>
      </c>
      <c r="C1615" s="91">
        <v>0.29271651314486435</v>
      </c>
      <c r="D1615" s="92">
        <v>239</v>
      </c>
      <c r="G1615" s="5"/>
      <c r="H1615" s="5"/>
      <c r="L1615" s="7"/>
      <c r="M1615" s="7"/>
      <c r="O1615" s="5"/>
      <c r="P1615" s="5"/>
    </row>
    <row r="1616" spans="2:16" x14ac:dyDescent="0.25">
      <c r="B1616" s="90">
        <v>420</v>
      </c>
      <c r="C1616" s="91">
        <v>0.3756269470241409</v>
      </c>
      <c r="D1616" s="92">
        <v>239</v>
      </c>
      <c r="G1616" s="5"/>
      <c r="H1616" s="5"/>
      <c r="L1616" s="7"/>
      <c r="M1616" s="7"/>
      <c r="O1616" s="5"/>
      <c r="P1616" s="5"/>
    </row>
    <row r="1617" spans="2:16" x14ac:dyDescent="0.25">
      <c r="B1617" s="90">
        <v>479</v>
      </c>
      <c r="C1617" s="91">
        <v>0.38358430743539795</v>
      </c>
      <c r="D1617" s="92">
        <v>239</v>
      </c>
      <c r="G1617" s="5"/>
      <c r="H1617" s="5"/>
      <c r="L1617" s="7"/>
      <c r="M1617" s="7"/>
      <c r="O1617" s="5"/>
      <c r="P1617" s="5"/>
    </row>
    <row r="1618" spans="2:16" x14ac:dyDescent="0.25">
      <c r="B1618" s="90">
        <v>595</v>
      </c>
      <c r="C1618" s="91">
        <v>0.38710446756149919</v>
      </c>
      <c r="D1618" s="92">
        <v>239</v>
      </c>
      <c r="G1618" s="5"/>
      <c r="H1618" s="5"/>
      <c r="L1618" s="7"/>
      <c r="M1618" s="7"/>
      <c r="O1618" s="5"/>
      <c r="P1618" s="5"/>
    </row>
    <row r="1619" spans="2:16" x14ac:dyDescent="0.25">
      <c r="B1619" s="90">
        <v>482</v>
      </c>
      <c r="C1619" s="91">
        <v>0.40939610443386265</v>
      </c>
      <c r="D1619" s="92">
        <v>239</v>
      </c>
      <c r="G1619" s="5"/>
      <c r="H1619" s="5"/>
      <c r="L1619" s="7"/>
      <c r="M1619" s="7"/>
      <c r="O1619" s="5"/>
      <c r="P1619" s="5"/>
    </row>
    <row r="1620" spans="2:16" x14ac:dyDescent="0.25">
      <c r="B1620" s="90">
        <v>364</v>
      </c>
      <c r="C1620" s="91">
        <v>0.45572963282011592</v>
      </c>
      <c r="D1620" s="92">
        <v>239</v>
      </c>
      <c r="G1620" s="5"/>
      <c r="H1620" s="5"/>
      <c r="L1620" s="7"/>
      <c r="M1620" s="7"/>
      <c r="O1620" s="5"/>
      <c r="P1620" s="5"/>
    </row>
    <row r="1621" spans="2:16" x14ac:dyDescent="0.25">
      <c r="B1621" s="90">
        <v>303</v>
      </c>
      <c r="C1621" s="91">
        <v>0.46457201382116542</v>
      </c>
      <c r="D1621" s="92">
        <v>239</v>
      </c>
      <c r="G1621" s="5"/>
      <c r="H1621" s="5"/>
      <c r="L1621" s="7"/>
      <c r="M1621" s="7"/>
      <c r="O1621" s="5"/>
      <c r="P1621" s="5"/>
    </row>
    <row r="1622" spans="2:16" x14ac:dyDescent="0.25">
      <c r="B1622" s="90">
        <v>538</v>
      </c>
      <c r="C1622" s="91">
        <v>0.37834783343910872</v>
      </c>
      <c r="D1622" s="92">
        <v>240</v>
      </c>
      <c r="G1622" s="5"/>
      <c r="H1622" s="5"/>
      <c r="L1622" s="7"/>
      <c r="M1622" s="7"/>
      <c r="O1622" s="5"/>
      <c r="P1622" s="5"/>
    </row>
    <row r="1623" spans="2:16" x14ac:dyDescent="0.25">
      <c r="B1623" s="90">
        <v>120</v>
      </c>
      <c r="C1623" s="91">
        <v>0.57118666483608838</v>
      </c>
      <c r="D1623" s="92">
        <v>240</v>
      </c>
      <c r="G1623" s="5"/>
      <c r="H1623" s="5"/>
      <c r="L1623" s="7"/>
      <c r="M1623" s="7"/>
      <c r="O1623" s="5"/>
      <c r="P1623" s="5"/>
    </row>
    <row r="1624" spans="2:16" x14ac:dyDescent="0.25">
      <c r="B1624" s="90">
        <v>189</v>
      </c>
      <c r="C1624" s="91">
        <v>0.62595589674970498</v>
      </c>
      <c r="D1624" s="92">
        <v>240</v>
      </c>
      <c r="G1624" s="5"/>
      <c r="H1624" s="5"/>
      <c r="L1624" s="7"/>
      <c r="M1624" s="7"/>
      <c r="O1624" s="5"/>
      <c r="P1624" s="5"/>
    </row>
    <row r="1625" spans="2:16" x14ac:dyDescent="0.25">
      <c r="B1625" s="90">
        <v>36</v>
      </c>
      <c r="C1625" s="91">
        <v>0.26113427726645977</v>
      </c>
      <c r="D1625" s="92">
        <v>241</v>
      </c>
      <c r="G1625" s="5"/>
      <c r="H1625" s="5"/>
      <c r="L1625" s="7"/>
      <c r="M1625" s="7"/>
      <c r="O1625" s="5"/>
      <c r="P1625" s="5"/>
    </row>
    <row r="1626" spans="2:16" x14ac:dyDescent="0.25">
      <c r="B1626" s="90">
        <v>1516</v>
      </c>
      <c r="C1626" s="91">
        <v>0.26113427726645977</v>
      </c>
      <c r="D1626" s="92">
        <v>241</v>
      </c>
      <c r="G1626" s="5"/>
      <c r="H1626" s="5"/>
      <c r="L1626" s="7"/>
      <c r="M1626" s="7"/>
      <c r="O1626" s="5"/>
      <c r="P1626" s="5"/>
    </row>
    <row r="1627" spans="2:16" x14ac:dyDescent="0.25">
      <c r="B1627" s="90">
        <v>198</v>
      </c>
      <c r="C1627" s="91">
        <v>0.43192095240054185</v>
      </c>
      <c r="D1627" s="92">
        <v>241</v>
      </c>
      <c r="G1627" s="5"/>
      <c r="H1627" s="5"/>
      <c r="L1627" s="7"/>
      <c r="M1627" s="7"/>
      <c r="O1627" s="5"/>
      <c r="P1627" s="5"/>
    </row>
    <row r="1628" spans="2:16" x14ac:dyDescent="0.25">
      <c r="B1628" s="90">
        <v>241</v>
      </c>
      <c r="C1628" s="91">
        <v>0.45177669686895361</v>
      </c>
      <c r="D1628" s="92">
        <v>242</v>
      </c>
      <c r="G1628" s="5"/>
      <c r="H1628" s="5"/>
      <c r="L1628" s="7"/>
      <c r="M1628" s="7"/>
      <c r="O1628" s="5"/>
      <c r="P1628" s="5"/>
    </row>
    <row r="1629" spans="2:16" x14ac:dyDescent="0.25">
      <c r="B1629" s="90">
        <v>1937</v>
      </c>
      <c r="C1629" s="91">
        <v>9.6326212992875471E-2</v>
      </c>
      <c r="D1629" s="92">
        <v>243</v>
      </c>
      <c r="G1629" s="5"/>
      <c r="H1629" s="5"/>
      <c r="L1629" s="7"/>
      <c r="M1629" s="7"/>
      <c r="O1629" s="5"/>
      <c r="P1629" s="5"/>
    </row>
    <row r="1630" spans="2:16" x14ac:dyDescent="0.25">
      <c r="B1630" s="90">
        <v>1220</v>
      </c>
      <c r="C1630" s="91">
        <v>0.10241836569170493</v>
      </c>
      <c r="D1630" s="92">
        <v>243</v>
      </c>
      <c r="G1630" s="5"/>
      <c r="H1630" s="5"/>
      <c r="L1630" s="7"/>
      <c r="M1630" s="7"/>
      <c r="O1630" s="5"/>
      <c r="P1630" s="5"/>
    </row>
    <row r="1631" spans="2:16" x14ac:dyDescent="0.25">
      <c r="B1631" s="90">
        <v>1417</v>
      </c>
      <c r="C1631" s="91">
        <v>0.17144164861101396</v>
      </c>
      <c r="D1631" s="92">
        <v>243</v>
      </c>
      <c r="G1631" s="5"/>
      <c r="H1631" s="5"/>
      <c r="L1631" s="7"/>
      <c r="M1631" s="7"/>
      <c r="O1631" s="5"/>
      <c r="P1631" s="5"/>
    </row>
    <row r="1632" spans="2:16" x14ac:dyDescent="0.25">
      <c r="B1632" s="90">
        <v>1212</v>
      </c>
      <c r="C1632" s="91">
        <v>0.200556219393901</v>
      </c>
      <c r="D1632" s="92">
        <v>243</v>
      </c>
      <c r="G1632" s="5"/>
      <c r="H1632" s="5"/>
      <c r="L1632" s="7"/>
      <c r="M1632" s="7"/>
      <c r="O1632" s="5"/>
      <c r="P1632" s="5"/>
    </row>
    <row r="1633" spans="2:16" x14ac:dyDescent="0.25">
      <c r="B1633" s="90">
        <v>184</v>
      </c>
      <c r="C1633" s="91">
        <v>0.56762110319602854</v>
      </c>
      <c r="D1633" s="92">
        <v>243</v>
      </c>
      <c r="G1633" s="5"/>
      <c r="H1633" s="5"/>
      <c r="L1633" s="7"/>
      <c r="M1633" s="7"/>
      <c r="O1633" s="5"/>
      <c r="P1633" s="5"/>
    </row>
    <row r="1634" spans="2:16" x14ac:dyDescent="0.25">
      <c r="B1634" s="90">
        <v>1176</v>
      </c>
      <c r="C1634" s="91">
        <v>0.16660403877537044</v>
      </c>
      <c r="D1634" s="92">
        <v>245</v>
      </c>
      <c r="G1634" s="5"/>
      <c r="H1634" s="5"/>
      <c r="L1634" s="7"/>
      <c r="M1634" s="7"/>
      <c r="O1634" s="5"/>
      <c r="P1634" s="5"/>
    </row>
    <row r="1635" spans="2:16" x14ac:dyDescent="0.25">
      <c r="B1635" s="90">
        <v>959</v>
      </c>
      <c r="C1635" s="91">
        <v>0.25392588960686846</v>
      </c>
      <c r="D1635" s="92">
        <v>245</v>
      </c>
      <c r="G1635" s="5"/>
      <c r="H1635" s="5"/>
      <c r="L1635" s="7"/>
      <c r="M1635" s="7"/>
      <c r="O1635" s="5"/>
      <c r="P1635" s="5"/>
    </row>
    <row r="1636" spans="2:16" x14ac:dyDescent="0.25">
      <c r="B1636" s="90">
        <v>1008</v>
      </c>
      <c r="C1636" s="91">
        <v>0.28799258023031027</v>
      </c>
      <c r="D1636" s="92">
        <v>245</v>
      </c>
      <c r="G1636" s="5"/>
      <c r="H1636" s="5"/>
      <c r="L1636" s="7"/>
      <c r="M1636" s="7"/>
      <c r="O1636" s="5"/>
      <c r="P1636" s="5"/>
    </row>
    <row r="1637" spans="2:16" x14ac:dyDescent="0.25">
      <c r="B1637" s="90">
        <v>1428</v>
      </c>
      <c r="C1637" s="91">
        <v>0.18257550962292979</v>
      </c>
      <c r="D1637" s="92">
        <v>246</v>
      </c>
      <c r="G1637" s="5"/>
      <c r="H1637" s="5"/>
      <c r="L1637" s="7"/>
      <c r="M1637" s="7"/>
      <c r="O1637" s="5"/>
      <c r="P1637" s="5"/>
    </row>
    <row r="1638" spans="2:16" x14ac:dyDescent="0.25">
      <c r="B1638" s="90">
        <v>58</v>
      </c>
      <c r="C1638" s="91">
        <v>0.59415802073385382</v>
      </c>
      <c r="D1638" s="92">
        <v>246</v>
      </c>
      <c r="G1638" s="5"/>
      <c r="H1638" s="5"/>
      <c r="L1638" s="7"/>
      <c r="M1638" s="7"/>
      <c r="O1638" s="5"/>
      <c r="P1638" s="5"/>
    </row>
    <row r="1639" spans="2:16" x14ac:dyDescent="0.25">
      <c r="B1639" s="90">
        <v>493</v>
      </c>
      <c r="C1639" s="91">
        <v>0.59415802073385382</v>
      </c>
      <c r="D1639" s="92">
        <v>246</v>
      </c>
      <c r="G1639" s="5"/>
      <c r="H1639" s="5"/>
      <c r="L1639" s="7"/>
      <c r="M1639" s="7"/>
      <c r="O1639" s="5"/>
      <c r="P1639" s="5"/>
    </row>
    <row r="1640" spans="2:16" x14ac:dyDescent="0.25">
      <c r="B1640" s="90">
        <v>1106</v>
      </c>
      <c r="C1640" s="91">
        <v>0.17887590237557527</v>
      </c>
      <c r="D1640" s="92">
        <v>247</v>
      </c>
      <c r="G1640" s="5"/>
      <c r="H1640" s="5"/>
      <c r="L1640" s="7"/>
      <c r="M1640" s="7"/>
      <c r="O1640" s="5"/>
      <c r="P1640" s="5"/>
    </row>
    <row r="1641" spans="2:16" x14ac:dyDescent="0.25">
      <c r="B1641" s="90">
        <v>37</v>
      </c>
      <c r="C1641" s="91">
        <v>0.24524479508978669</v>
      </c>
      <c r="D1641" s="92">
        <v>247</v>
      </c>
      <c r="G1641" s="5"/>
      <c r="H1641" s="5"/>
      <c r="L1641" s="7"/>
      <c r="M1641" s="7"/>
      <c r="O1641" s="5"/>
      <c r="P1641" s="5"/>
    </row>
    <row r="1642" spans="2:16" x14ac:dyDescent="0.25">
      <c r="B1642" s="90">
        <v>1480</v>
      </c>
      <c r="C1642" s="91">
        <v>0.24524479508978669</v>
      </c>
      <c r="D1642" s="92">
        <v>247</v>
      </c>
      <c r="G1642" s="5"/>
      <c r="H1642" s="5"/>
      <c r="L1642" s="7"/>
      <c r="M1642" s="7"/>
      <c r="O1642" s="5"/>
      <c r="P1642" s="5"/>
    </row>
    <row r="1643" spans="2:16" x14ac:dyDescent="0.25">
      <c r="B1643" s="90">
        <v>963</v>
      </c>
      <c r="C1643" s="91">
        <v>0.30082783846816119</v>
      </c>
      <c r="D1643" s="92">
        <v>248</v>
      </c>
      <c r="G1643" s="5"/>
      <c r="H1643" s="5"/>
      <c r="L1643" s="7"/>
      <c r="M1643" s="7"/>
      <c r="O1643" s="5"/>
      <c r="P1643" s="5"/>
    </row>
    <row r="1644" spans="2:16" x14ac:dyDescent="0.25">
      <c r="B1644" s="90">
        <v>533</v>
      </c>
      <c r="C1644" s="91">
        <v>0.25883280114309648</v>
      </c>
      <c r="D1644" s="92">
        <v>249</v>
      </c>
      <c r="G1644" s="5"/>
      <c r="H1644" s="5"/>
      <c r="L1644" s="7"/>
      <c r="M1644" s="7"/>
      <c r="O1644" s="5"/>
      <c r="P1644" s="5"/>
    </row>
    <row r="1645" spans="2:16" x14ac:dyDescent="0.25">
      <c r="B1645" s="90">
        <v>590</v>
      </c>
      <c r="C1645" s="91">
        <v>0.26548001793806197</v>
      </c>
      <c r="D1645" s="92">
        <v>249</v>
      </c>
      <c r="G1645" s="5"/>
      <c r="H1645" s="5"/>
      <c r="L1645" s="7"/>
      <c r="M1645" s="7"/>
      <c r="O1645" s="5"/>
      <c r="P1645" s="5"/>
    </row>
    <row r="1646" spans="2:16" x14ac:dyDescent="0.25">
      <c r="B1646" s="90">
        <v>755</v>
      </c>
      <c r="C1646" s="91">
        <v>0.26762748354993371</v>
      </c>
      <c r="D1646" s="92">
        <v>249</v>
      </c>
      <c r="G1646" s="5"/>
      <c r="H1646" s="5"/>
      <c r="L1646" s="7"/>
      <c r="M1646" s="7"/>
      <c r="O1646" s="5"/>
      <c r="P1646" s="5"/>
    </row>
    <row r="1647" spans="2:16" x14ac:dyDescent="0.25">
      <c r="B1647" s="90">
        <v>646</v>
      </c>
      <c r="C1647" s="91">
        <v>0.27149830754514326</v>
      </c>
      <c r="D1647" s="92">
        <v>249</v>
      </c>
      <c r="G1647" s="5"/>
      <c r="H1647" s="5"/>
      <c r="L1647" s="7"/>
      <c r="M1647" s="7"/>
      <c r="O1647" s="5"/>
      <c r="P1647" s="5"/>
    </row>
    <row r="1648" spans="2:16" x14ac:dyDescent="0.25">
      <c r="B1648" s="90">
        <v>701</v>
      </c>
      <c r="C1648" s="91">
        <v>0.27215263765075259</v>
      </c>
      <c r="D1648" s="92">
        <v>249</v>
      </c>
      <c r="G1648" s="5"/>
      <c r="H1648" s="5"/>
      <c r="L1648" s="7"/>
      <c r="M1648" s="7"/>
      <c r="O1648" s="5"/>
      <c r="P1648" s="5"/>
    </row>
    <row r="1649" spans="2:16" x14ac:dyDescent="0.25">
      <c r="B1649" s="90">
        <v>808</v>
      </c>
      <c r="C1649" s="91">
        <v>0.27459752797405645</v>
      </c>
      <c r="D1649" s="92">
        <v>249</v>
      </c>
      <c r="G1649" s="5"/>
      <c r="H1649" s="5"/>
      <c r="L1649" s="7"/>
      <c r="M1649" s="7"/>
      <c r="O1649" s="5"/>
      <c r="P1649" s="5"/>
    </row>
    <row r="1650" spans="2:16" x14ac:dyDescent="0.25">
      <c r="B1650" s="90">
        <v>59</v>
      </c>
      <c r="C1650" s="91">
        <v>0.61809531659355255</v>
      </c>
      <c r="D1650" s="92">
        <v>249</v>
      </c>
      <c r="G1650" s="5"/>
      <c r="H1650" s="5"/>
      <c r="L1650" s="7"/>
      <c r="M1650" s="7"/>
      <c r="O1650" s="5"/>
      <c r="P1650" s="5"/>
    </row>
    <row r="1651" spans="2:16" x14ac:dyDescent="0.25">
      <c r="B1651" s="90">
        <v>435</v>
      </c>
      <c r="C1651" s="91">
        <v>0.61809531659355255</v>
      </c>
      <c r="D1651" s="92">
        <v>249</v>
      </c>
      <c r="G1651" s="5"/>
      <c r="H1651" s="5"/>
      <c r="L1651" s="7"/>
      <c r="M1651" s="7"/>
      <c r="O1651" s="5"/>
      <c r="P1651" s="5"/>
    </row>
    <row r="1652" spans="2:16" x14ac:dyDescent="0.25">
      <c r="B1652" s="90">
        <v>60</v>
      </c>
      <c r="C1652" s="91">
        <v>0.62169323976303426</v>
      </c>
      <c r="D1652" s="92">
        <v>249</v>
      </c>
      <c r="G1652" s="5"/>
      <c r="H1652" s="5"/>
      <c r="L1652" s="7"/>
      <c r="M1652" s="7"/>
      <c r="O1652" s="5"/>
      <c r="P1652" s="5"/>
    </row>
    <row r="1653" spans="2:16" x14ac:dyDescent="0.25">
      <c r="B1653" s="90">
        <v>376</v>
      </c>
      <c r="C1653" s="91">
        <v>0.62169323976303426</v>
      </c>
      <c r="D1653" s="92">
        <v>249</v>
      </c>
      <c r="G1653" s="5"/>
      <c r="H1653" s="5"/>
      <c r="L1653" s="7"/>
      <c r="M1653" s="7"/>
      <c r="O1653" s="5"/>
      <c r="P1653" s="5"/>
    </row>
    <row r="1654" spans="2:16" x14ac:dyDescent="0.25">
      <c r="B1654" s="90">
        <v>589</v>
      </c>
      <c r="C1654" s="91">
        <v>0.23638069047624055</v>
      </c>
      <c r="D1654" s="92">
        <v>251</v>
      </c>
      <c r="G1654" s="5"/>
      <c r="H1654" s="5"/>
      <c r="L1654" s="7"/>
      <c r="M1654" s="7"/>
      <c r="O1654" s="5"/>
      <c r="P1654" s="5"/>
    </row>
    <row r="1655" spans="2:16" x14ac:dyDescent="0.25">
      <c r="B1655" s="90">
        <v>754</v>
      </c>
      <c r="C1655" s="91">
        <v>0.23895496048863263</v>
      </c>
      <c r="D1655" s="92">
        <v>251</v>
      </c>
      <c r="G1655" s="5"/>
      <c r="H1655" s="5"/>
      <c r="L1655" s="7"/>
      <c r="M1655" s="7"/>
      <c r="O1655" s="5"/>
      <c r="P1655" s="5"/>
    </row>
    <row r="1656" spans="2:16" x14ac:dyDescent="0.25">
      <c r="B1656" s="90">
        <v>861</v>
      </c>
      <c r="C1656" s="91">
        <v>0.27193157183611183</v>
      </c>
      <c r="D1656" s="92">
        <v>251</v>
      </c>
      <c r="G1656" s="5"/>
      <c r="H1656" s="5"/>
      <c r="L1656" s="7"/>
      <c r="M1656" s="7"/>
      <c r="O1656" s="5"/>
      <c r="P1656" s="5"/>
    </row>
    <row r="1657" spans="2:16" x14ac:dyDescent="0.25">
      <c r="B1657" s="90">
        <v>1935</v>
      </c>
      <c r="C1657" s="91">
        <v>0.5919894557937786</v>
      </c>
      <c r="D1657" s="92">
        <v>251</v>
      </c>
      <c r="G1657" s="5"/>
      <c r="H1657" s="5"/>
      <c r="L1657" s="7"/>
      <c r="M1657" s="7"/>
      <c r="O1657" s="5"/>
      <c r="P1657" s="5"/>
    </row>
    <row r="1658" spans="2:16" x14ac:dyDescent="0.25">
      <c r="B1658" s="90">
        <v>910</v>
      </c>
      <c r="C1658" s="91">
        <v>0.23807713619412829</v>
      </c>
      <c r="D1658" s="92">
        <v>252</v>
      </c>
      <c r="G1658" s="5"/>
      <c r="H1658" s="5"/>
      <c r="L1658" s="7"/>
      <c r="M1658" s="7"/>
      <c r="O1658" s="5"/>
      <c r="P1658" s="5"/>
    </row>
    <row r="1659" spans="2:16" x14ac:dyDescent="0.25">
      <c r="B1659" s="90">
        <v>118</v>
      </c>
      <c r="C1659" s="91">
        <v>0.5470522239757839</v>
      </c>
      <c r="D1659" s="92">
        <v>252</v>
      </c>
      <c r="G1659" s="5"/>
      <c r="H1659" s="5"/>
      <c r="L1659" s="7"/>
      <c r="M1659" s="7"/>
      <c r="O1659" s="5"/>
      <c r="P1659" s="5"/>
    </row>
    <row r="1660" spans="2:16" x14ac:dyDescent="0.25">
      <c r="B1660" s="90">
        <v>119</v>
      </c>
      <c r="C1660" s="91">
        <v>0.55358583538809647</v>
      </c>
      <c r="D1660" s="92">
        <v>252</v>
      </c>
      <c r="G1660" s="5"/>
      <c r="H1660" s="5"/>
      <c r="L1660" s="7"/>
      <c r="M1660" s="7"/>
      <c r="O1660" s="5"/>
      <c r="P1660" s="5"/>
    </row>
    <row r="1661" spans="2:16" x14ac:dyDescent="0.25">
      <c r="B1661" s="90">
        <v>859</v>
      </c>
      <c r="C1661" s="91">
        <v>0.2405942064152522</v>
      </c>
      <c r="D1661" s="92">
        <v>253</v>
      </c>
      <c r="G1661" s="5"/>
      <c r="H1661" s="5"/>
      <c r="L1661" s="7"/>
      <c r="M1661" s="7"/>
      <c r="O1661" s="5"/>
      <c r="P1661" s="5"/>
    </row>
    <row r="1662" spans="2:16" x14ac:dyDescent="0.25">
      <c r="B1662" s="90">
        <v>645</v>
      </c>
      <c r="C1662" s="91">
        <v>0.24245367444059385</v>
      </c>
      <c r="D1662" s="92">
        <v>253</v>
      </c>
      <c r="G1662" s="5"/>
      <c r="H1662" s="5"/>
      <c r="L1662" s="7"/>
      <c r="M1662" s="7"/>
      <c r="O1662" s="5"/>
      <c r="P1662" s="5"/>
    </row>
    <row r="1663" spans="2:16" x14ac:dyDescent="0.25">
      <c r="B1663" s="90">
        <v>700</v>
      </c>
      <c r="C1663" s="91">
        <v>0.24337282307685482</v>
      </c>
      <c r="D1663" s="92">
        <v>253</v>
      </c>
      <c r="G1663" s="5"/>
      <c r="H1663" s="5"/>
      <c r="L1663" s="7"/>
      <c r="M1663" s="7"/>
      <c r="O1663" s="5"/>
      <c r="P1663" s="5"/>
    </row>
    <row r="1664" spans="2:16" x14ac:dyDescent="0.25">
      <c r="B1664" s="90">
        <v>807</v>
      </c>
      <c r="C1664" s="91">
        <v>0.24593947939419991</v>
      </c>
      <c r="D1664" s="92">
        <v>253</v>
      </c>
      <c r="G1664" s="5"/>
      <c r="H1664" s="5"/>
      <c r="L1664" s="7"/>
      <c r="M1664" s="7"/>
      <c r="O1664" s="5"/>
      <c r="P1664" s="5"/>
    </row>
    <row r="1665" spans="2:16" x14ac:dyDescent="0.25">
      <c r="B1665" s="90">
        <v>992</v>
      </c>
      <c r="C1665" s="91">
        <v>0.14401044399182483</v>
      </c>
      <c r="D1665" s="92">
        <v>254</v>
      </c>
      <c r="G1665" s="5"/>
      <c r="H1665" s="5"/>
      <c r="L1665" s="7"/>
      <c r="M1665" s="7"/>
      <c r="O1665" s="5"/>
      <c r="P1665" s="5"/>
    </row>
    <row r="1666" spans="2:16" x14ac:dyDescent="0.25">
      <c r="B1666" s="90">
        <v>1155</v>
      </c>
      <c r="C1666" s="91">
        <v>0.32638692128750302</v>
      </c>
      <c r="D1666" s="92">
        <v>255</v>
      </c>
      <c r="G1666" s="5"/>
      <c r="H1666" s="5"/>
      <c r="L1666" s="7"/>
      <c r="M1666" s="7"/>
      <c r="O1666" s="5"/>
      <c r="P1666" s="5"/>
    </row>
    <row r="1667" spans="2:16" x14ac:dyDescent="0.25">
      <c r="B1667" s="90">
        <v>1087</v>
      </c>
      <c r="C1667" s="91">
        <v>0.20198513146471631</v>
      </c>
      <c r="D1667" s="92">
        <v>256</v>
      </c>
      <c r="G1667" s="5"/>
      <c r="H1667" s="5"/>
      <c r="L1667" s="7"/>
      <c r="M1667" s="7"/>
      <c r="O1667" s="5"/>
      <c r="P1667" s="5"/>
    </row>
    <row r="1668" spans="2:16" x14ac:dyDescent="0.25">
      <c r="B1668" s="90">
        <v>1130</v>
      </c>
      <c r="C1668" s="91">
        <v>0.23575871676357418</v>
      </c>
      <c r="D1668" s="92">
        <v>256</v>
      </c>
      <c r="G1668" s="5"/>
      <c r="H1668" s="5"/>
      <c r="L1668" s="7"/>
      <c r="M1668" s="7"/>
      <c r="O1668" s="5"/>
      <c r="P1668" s="5"/>
    </row>
    <row r="1669" spans="2:16" x14ac:dyDescent="0.25">
      <c r="B1669" s="90">
        <v>4</v>
      </c>
      <c r="C1669" s="91">
        <v>0.29833017275760287</v>
      </c>
      <c r="D1669" s="92">
        <v>256</v>
      </c>
      <c r="G1669" s="5"/>
      <c r="H1669" s="5"/>
      <c r="L1669" s="7"/>
      <c r="M1669" s="7"/>
      <c r="O1669" s="5"/>
      <c r="P1669" s="5"/>
    </row>
    <row r="1670" spans="2:16" x14ac:dyDescent="0.25">
      <c r="B1670" s="90">
        <v>2140</v>
      </c>
      <c r="C1670" s="91">
        <v>0.29833017275760287</v>
      </c>
      <c r="D1670" s="92">
        <v>256</v>
      </c>
      <c r="G1670" s="5"/>
      <c r="H1670" s="5"/>
      <c r="L1670" s="7"/>
      <c r="M1670" s="7"/>
      <c r="O1670" s="5"/>
      <c r="P1670" s="5"/>
    </row>
    <row r="1671" spans="2:16" x14ac:dyDescent="0.25">
      <c r="B1671" s="90">
        <v>360</v>
      </c>
      <c r="C1671" s="91">
        <v>0.34908844453881849</v>
      </c>
      <c r="D1671" s="92">
        <v>256</v>
      </c>
      <c r="G1671" s="5"/>
      <c r="H1671" s="5"/>
      <c r="L1671" s="7"/>
      <c r="M1671" s="7"/>
      <c r="O1671" s="5"/>
      <c r="P1671" s="5"/>
    </row>
    <row r="1672" spans="2:16" x14ac:dyDescent="0.25">
      <c r="B1672" s="90">
        <v>363</v>
      </c>
      <c r="C1672" s="91">
        <v>0.38270012862556069</v>
      </c>
      <c r="D1672" s="92">
        <v>256</v>
      </c>
      <c r="G1672" s="5"/>
      <c r="H1672" s="5"/>
      <c r="L1672" s="7"/>
      <c r="M1672" s="7"/>
      <c r="O1672" s="5"/>
      <c r="P1672" s="5"/>
    </row>
    <row r="1673" spans="2:16" x14ac:dyDescent="0.25">
      <c r="B1673" s="90">
        <v>302</v>
      </c>
      <c r="C1673" s="91">
        <v>0.39207673675459653</v>
      </c>
      <c r="D1673" s="92">
        <v>256</v>
      </c>
      <c r="G1673" s="5"/>
      <c r="H1673" s="5"/>
      <c r="L1673" s="7"/>
      <c r="M1673" s="7"/>
      <c r="O1673" s="5"/>
      <c r="P1673" s="5"/>
    </row>
    <row r="1674" spans="2:16" x14ac:dyDescent="0.25">
      <c r="B1674" s="90">
        <v>299</v>
      </c>
      <c r="C1674" s="91">
        <v>0.35663053120396748</v>
      </c>
      <c r="D1674" s="92">
        <v>257</v>
      </c>
      <c r="G1674" s="5"/>
      <c r="H1674" s="5"/>
      <c r="L1674" s="7"/>
      <c r="M1674" s="7"/>
      <c r="O1674" s="5"/>
      <c r="P1674" s="5"/>
    </row>
    <row r="1675" spans="2:16" x14ac:dyDescent="0.25">
      <c r="B1675" s="90">
        <v>423</v>
      </c>
      <c r="C1675" s="91">
        <v>0.4027342596262804</v>
      </c>
      <c r="D1675" s="92">
        <v>257</v>
      </c>
      <c r="G1675" s="5"/>
      <c r="H1675" s="5"/>
      <c r="L1675" s="7"/>
      <c r="M1675" s="7"/>
      <c r="O1675" s="5"/>
      <c r="P1675" s="5"/>
    </row>
    <row r="1676" spans="2:16" x14ac:dyDescent="0.25">
      <c r="B1676" s="90">
        <v>1019</v>
      </c>
      <c r="C1676" s="91">
        <v>0.54986062670921065</v>
      </c>
      <c r="D1676" s="92">
        <v>257</v>
      </c>
      <c r="G1676" s="5"/>
      <c r="H1676" s="5"/>
      <c r="L1676" s="7"/>
      <c r="M1676" s="7"/>
      <c r="O1676" s="5"/>
      <c r="P1676" s="5"/>
    </row>
    <row r="1677" spans="2:16" x14ac:dyDescent="0.25">
      <c r="B1677" s="90">
        <v>1871</v>
      </c>
      <c r="C1677" s="91">
        <v>5.9334045589051421E-2</v>
      </c>
      <c r="D1677" s="92">
        <v>258</v>
      </c>
      <c r="G1677" s="5"/>
      <c r="H1677" s="5"/>
      <c r="L1677" s="7"/>
      <c r="M1677" s="7"/>
      <c r="O1677" s="5"/>
      <c r="P1677" s="5"/>
    </row>
    <row r="1678" spans="2:16" x14ac:dyDescent="0.25">
      <c r="B1678" s="90">
        <v>421</v>
      </c>
      <c r="C1678" s="91">
        <v>0.35336449043359019</v>
      </c>
      <c r="D1678" s="92">
        <v>258</v>
      </c>
      <c r="G1678" s="5"/>
      <c r="H1678" s="5"/>
      <c r="L1678" s="7"/>
      <c r="M1678" s="7"/>
      <c r="O1678" s="5"/>
      <c r="P1678" s="5"/>
    </row>
    <row r="1679" spans="2:16" x14ac:dyDescent="0.25">
      <c r="B1679" s="90">
        <v>422</v>
      </c>
      <c r="C1679" s="91">
        <v>0.35710826433844534</v>
      </c>
      <c r="D1679" s="92">
        <v>258</v>
      </c>
      <c r="G1679" s="5"/>
      <c r="H1679" s="5"/>
      <c r="L1679" s="7"/>
      <c r="M1679" s="7"/>
      <c r="O1679" s="5"/>
      <c r="P1679" s="5"/>
    </row>
    <row r="1680" spans="2:16" x14ac:dyDescent="0.25">
      <c r="B1680" s="90">
        <v>480</v>
      </c>
      <c r="C1680" s="91">
        <v>0.36066857899340909</v>
      </c>
      <c r="D1680" s="92">
        <v>258</v>
      </c>
      <c r="G1680" s="5"/>
      <c r="H1680" s="5"/>
      <c r="L1680" s="7"/>
      <c r="M1680" s="7"/>
      <c r="O1680" s="5"/>
      <c r="P1680" s="5"/>
    </row>
    <row r="1681" spans="2:16" x14ac:dyDescent="0.25">
      <c r="B1681" s="90">
        <v>236</v>
      </c>
      <c r="C1681" s="91">
        <v>0.37048694533192339</v>
      </c>
      <c r="D1681" s="92">
        <v>259</v>
      </c>
      <c r="G1681" s="5"/>
      <c r="H1681" s="5"/>
      <c r="L1681" s="7"/>
      <c r="M1681" s="7"/>
      <c r="O1681" s="5"/>
      <c r="P1681" s="5"/>
    </row>
    <row r="1682" spans="2:16" x14ac:dyDescent="0.25">
      <c r="B1682" s="90">
        <v>1916</v>
      </c>
      <c r="C1682" s="91">
        <v>0.18058570627986059</v>
      </c>
      <c r="D1682" s="92">
        <v>260</v>
      </c>
      <c r="G1682" s="5"/>
      <c r="H1682" s="5"/>
      <c r="L1682" s="7"/>
      <c r="M1682" s="7"/>
      <c r="O1682" s="5"/>
      <c r="P1682" s="5"/>
    </row>
    <row r="1683" spans="2:16" x14ac:dyDescent="0.25">
      <c r="B1683" s="90">
        <v>1228</v>
      </c>
      <c r="C1683" s="91">
        <v>0.15934345907658187</v>
      </c>
      <c r="D1683" s="92">
        <v>261</v>
      </c>
      <c r="G1683" s="5"/>
      <c r="H1683" s="5"/>
      <c r="L1683" s="7"/>
      <c r="M1683" s="7"/>
      <c r="O1683" s="5"/>
      <c r="P1683" s="5"/>
    </row>
    <row r="1684" spans="2:16" x14ac:dyDescent="0.25">
      <c r="B1684" s="90">
        <v>1227</v>
      </c>
      <c r="C1684" s="91">
        <v>0.16280733115394752</v>
      </c>
      <c r="D1684" s="92">
        <v>261</v>
      </c>
      <c r="G1684" s="5"/>
      <c r="H1684" s="5"/>
      <c r="L1684" s="7"/>
      <c r="M1684" s="7"/>
      <c r="O1684" s="5"/>
      <c r="P1684" s="5"/>
    </row>
    <row r="1685" spans="2:16" x14ac:dyDescent="0.25">
      <c r="B1685" s="90">
        <v>531</v>
      </c>
      <c r="C1685" s="91">
        <v>0.22196668045926271</v>
      </c>
      <c r="D1685" s="92">
        <v>262</v>
      </c>
      <c r="G1685" s="5"/>
      <c r="H1685" s="5"/>
      <c r="L1685" s="7"/>
      <c r="M1685" s="7"/>
      <c r="O1685" s="5"/>
      <c r="P1685" s="5"/>
    </row>
    <row r="1686" spans="2:16" x14ac:dyDescent="0.25">
      <c r="B1686" s="90">
        <v>1129</v>
      </c>
      <c r="C1686" s="91">
        <v>0.22249006216297529</v>
      </c>
      <c r="D1686" s="92">
        <v>262</v>
      </c>
      <c r="G1686" s="5"/>
      <c r="H1686" s="5"/>
      <c r="L1686" s="7"/>
      <c r="M1686" s="7"/>
      <c r="O1686" s="5"/>
      <c r="P1686" s="5"/>
    </row>
    <row r="1687" spans="2:16" x14ac:dyDescent="0.25">
      <c r="B1687" s="90">
        <v>588</v>
      </c>
      <c r="C1687" s="91">
        <v>0.2288006415744821</v>
      </c>
      <c r="D1687" s="92">
        <v>262</v>
      </c>
      <c r="G1687" s="5"/>
      <c r="H1687" s="5"/>
      <c r="L1687" s="7"/>
      <c r="M1687" s="7"/>
      <c r="O1687" s="5"/>
      <c r="P1687" s="5"/>
    </row>
    <row r="1688" spans="2:16" x14ac:dyDescent="0.25">
      <c r="B1688" s="90">
        <v>181</v>
      </c>
      <c r="C1688" s="91">
        <v>0.50418099224102697</v>
      </c>
      <c r="D1688" s="92">
        <v>262</v>
      </c>
      <c r="G1688" s="5"/>
      <c r="H1688" s="5"/>
      <c r="L1688" s="7"/>
      <c r="M1688" s="7"/>
      <c r="O1688" s="5"/>
      <c r="P1688" s="5"/>
    </row>
    <row r="1689" spans="2:16" x14ac:dyDescent="0.25">
      <c r="B1689" s="90">
        <v>909</v>
      </c>
      <c r="C1689" s="91">
        <v>0.23473318638170682</v>
      </c>
      <c r="D1689" s="92">
        <v>263</v>
      </c>
      <c r="G1689" s="5"/>
      <c r="H1689" s="5"/>
      <c r="L1689" s="7"/>
      <c r="M1689" s="7"/>
      <c r="O1689" s="5"/>
      <c r="P1689" s="5"/>
    </row>
    <row r="1690" spans="2:16" x14ac:dyDescent="0.25">
      <c r="B1690" s="90">
        <v>753</v>
      </c>
      <c r="C1690" s="91">
        <v>0.23283020883176253</v>
      </c>
      <c r="D1690" s="92">
        <v>264</v>
      </c>
      <c r="G1690" s="5"/>
      <c r="H1690" s="5"/>
      <c r="L1690" s="7"/>
      <c r="M1690" s="7"/>
      <c r="O1690" s="5"/>
      <c r="P1690" s="5"/>
    </row>
    <row r="1691" spans="2:16" x14ac:dyDescent="0.25">
      <c r="B1691" s="90">
        <v>644</v>
      </c>
      <c r="C1691" s="91">
        <v>0.23499702732890471</v>
      </c>
      <c r="D1691" s="92">
        <v>264</v>
      </c>
      <c r="G1691" s="5"/>
      <c r="H1691" s="5"/>
      <c r="L1691" s="7"/>
      <c r="M1691" s="7"/>
      <c r="O1691" s="5"/>
      <c r="P1691" s="5"/>
    </row>
    <row r="1692" spans="2:16" x14ac:dyDescent="0.25">
      <c r="B1692" s="90">
        <v>699</v>
      </c>
      <c r="C1692" s="91">
        <v>0.23600605284575782</v>
      </c>
      <c r="D1692" s="92">
        <v>264</v>
      </c>
      <c r="G1692" s="5"/>
      <c r="H1692" s="5"/>
      <c r="L1692" s="7"/>
      <c r="M1692" s="7"/>
      <c r="O1692" s="5"/>
      <c r="P1692" s="5"/>
    </row>
    <row r="1693" spans="2:16" x14ac:dyDescent="0.25">
      <c r="B1693" s="90">
        <v>858</v>
      </c>
      <c r="C1693" s="91">
        <v>0.23633042844457985</v>
      </c>
      <c r="D1693" s="92">
        <v>264</v>
      </c>
      <c r="G1693" s="5"/>
      <c r="H1693" s="5"/>
      <c r="L1693" s="7"/>
      <c r="M1693" s="7"/>
      <c r="O1693" s="5"/>
      <c r="P1693" s="5"/>
    </row>
    <row r="1694" spans="2:16" x14ac:dyDescent="0.25">
      <c r="B1694" s="90">
        <v>806</v>
      </c>
      <c r="C1694" s="91">
        <v>0.24000611379631365</v>
      </c>
      <c r="D1694" s="92">
        <v>264</v>
      </c>
      <c r="G1694" s="5"/>
      <c r="H1694" s="5"/>
      <c r="L1694" s="7"/>
      <c r="M1694" s="7"/>
      <c r="O1694" s="5"/>
      <c r="P1694" s="5"/>
    </row>
    <row r="1695" spans="2:16" x14ac:dyDescent="0.25">
      <c r="B1695" s="90">
        <v>117</v>
      </c>
      <c r="C1695" s="91">
        <v>0.50826968909429948</v>
      </c>
      <c r="D1695" s="92">
        <v>264</v>
      </c>
      <c r="G1695" s="5"/>
      <c r="H1695" s="5"/>
      <c r="L1695" s="7"/>
      <c r="M1695" s="7"/>
      <c r="O1695" s="5"/>
      <c r="P1695" s="5"/>
    </row>
    <row r="1696" spans="2:16" x14ac:dyDescent="0.25">
      <c r="B1696" s="90">
        <v>182</v>
      </c>
      <c r="C1696" s="91">
        <v>0.54388726199075577</v>
      </c>
      <c r="D1696" s="92">
        <v>264</v>
      </c>
      <c r="G1696" s="5"/>
      <c r="H1696" s="5"/>
      <c r="L1696" s="7"/>
      <c r="M1696" s="7"/>
      <c r="O1696" s="5"/>
      <c r="P1696" s="5"/>
    </row>
    <row r="1697" spans="2:16" x14ac:dyDescent="0.25">
      <c r="B1697" s="90">
        <v>183</v>
      </c>
      <c r="C1697" s="91">
        <v>0.55050681274028779</v>
      </c>
      <c r="D1697" s="92">
        <v>264</v>
      </c>
      <c r="G1697" s="5"/>
      <c r="H1697" s="5"/>
      <c r="L1697" s="7"/>
      <c r="M1697" s="7"/>
      <c r="O1697" s="5"/>
      <c r="P1697" s="5"/>
    </row>
    <row r="1698" spans="2:16" x14ac:dyDescent="0.25">
      <c r="B1698" s="90">
        <v>56</v>
      </c>
      <c r="C1698" s="91">
        <v>0.57769499627192533</v>
      </c>
      <c r="D1698" s="92">
        <v>264</v>
      </c>
      <c r="G1698" s="5"/>
      <c r="H1698" s="5"/>
      <c r="L1698" s="7"/>
      <c r="M1698" s="7"/>
      <c r="O1698" s="5"/>
      <c r="P1698" s="5"/>
    </row>
    <row r="1699" spans="2:16" x14ac:dyDescent="0.25">
      <c r="B1699" s="90">
        <v>606</v>
      </c>
      <c r="C1699" s="91">
        <v>0.57769499627192533</v>
      </c>
      <c r="D1699" s="92">
        <v>264</v>
      </c>
      <c r="G1699" s="5"/>
      <c r="H1699" s="5"/>
      <c r="L1699" s="7"/>
      <c r="M1699" s="7"/>
      <c r="O1699" s="5"/>
      <c r="P1699" s="5"/>
    </row>
    <row r="1700" spans="2:16" x14ac:dyDescent="0.25">
      <c r="B1700" s="90">
        <v>57</v>
      </c>
      <c r="C1700" s="91">
        <v>0.58333937279621739</v>
      </c>
      <c r="D1700" s="92">
        <v>264</v>
      </c>
      <c r="G1700" s="5"/>
      <c r="H1700" s="5"/>
      <c r="L1700" s="7"/>
      <c r="M1700" s="7"/>
      <c r="O1700" s="5"/>
      <c r="P1700" s="5"/>
    </row>
    <row r="1701" spans="2:16" x14ac:dyDescent="0.25">
      <c r="B1701" s="90">
        <v>550</v>
      </c>
      <c r="C1701" s="91">
        <v>0.58333937279621739</v>
      </c>
      <c r="D1701" s="92">
        <v>264</v>
      </c>
      <c r="G1701" s="5"/>
      <c r="H1701" s="5"/>
      <c r="L1701" s="7"/>
      <c r="M1701" s="7"/>
      <c r="O1701" s="5"/>
      <c r="P1701" s="5"/>
    </row>
    <row r="1702" spans="2:16" x14ac:dyDescent="0.25">
      <c r="B1702" s="90">
        <v>996</v>
      </c>
      <c r="C1702" s="91">
        <v>0.11852981967957588</v>
      </c>
      <c r="D1702" s="92">
        <v>265</v>
      </c>
      <c r="G1702" s="5"/>
      <c r="H1702" s="5"/>
      <c r="L1702" s="7"/>
      <c r="M1702" s="7"/>
      <c r="O1702" s="5"/>
      <c r="P1702" s="5"/>
    </row>
    <row r="1703" spans="2:16" x14ac:dyDescent="0.25">
      <c r="B1703" s="90">
        <v>947</v>
      </c>
      <c r="C1703" s="91">
        <v>0.1218819446904098</v>
      </c>
      <c r="D1703" s="92">
        <v>265</v>
      </c>
      <c r="G1703" s="5"/>
      <c r="H1703" s="5"/>
      <c r="L1703" s="7"/>
      <c r="M1703" s="7"/>
      <c r="O1703" s="5"/>
      <c r="P1703" s="5"/>
    </row>
    <row r="1704" spans="2:16" x14ac:dyDescent="0.25">
      <c r="B1704" s="90">
        <v>1137</v>
      </c>
      <c r="C1704" s="91">
        <v>0.17749316486732991</v>
      </c>
      <c r="D1704" s="92">
        <v>265</v>
      </c>
      <c r="G1704" s="5"/>
      <c r="H1704" s="5"/>
      <c r="L1704" s="7"/>
      <c r="M1704" s="7"/>
      <c r="O1704" s="5"/>
      <c r="P1704" s="5"/>
    </row>
    <row r="1705" spans="2:16" x14ac:dyDescent="0.25">
      <c r="B1705" s="90">
        <v>416</v>
      </c>
      <c r="C1705" s="91">
        <v>0.23575421417726794</v>
      </c>
      <c r="D1705" s="92">
        <v>265</v>
      </c>
      <c r="G1705" s="5"/>
      <c r="H1705" s="5"/>
      <c r="L1705" s="7"/>
      <c r="M1705" s="7"/>
      <c r="O1705" s="5"/>
      <c r="P1705" s="5"/>
    </row>
    <row r="1706" spans="2:16" x14ac:dyDescent="0.25">
      <c r="B1706" s="90">
        <v>475</v>
      </c>
      <c r="C1706" s="91">
        <v>0.24302382905167552</v>
      </c>
      <c r="D1706" s="92">
        <v>265</v>
      </c>
      <c r="G1706" s="5"/>
      <c r="H1706" s="5"/>
      <c r="L1706" s="7"/>
      <c r="M1706" s="7"/>
      <c r="O1706" s="5"/>
      <c r="P1706" s="5"/>
    </row>
    <row r="1707" spans="2:16" x14ac:dyDescent="0.25">
      <c r="B1707" s="90">
        <v>913</v>
      </c>
      <c r="C1707" s="91">
        <v>0.28139305340089005</v>
      </c>
      <c r="D1707" s="92">
        <v>265</v>
      </c>
      <c r="G1707" s="5"/>
      <c r="H1707" s="5"/>
      <c r="L1707" s="7"/>
      <c r="M1707" s="7"/>
      <c r="O1707" s="5"/>
      <c r="P1707" s="5"/>
    </row>
    <row r="1708" spans="2:16" x14ac:dyDescent="0.25">
      <c r="B1708" s="90">
        <v>862</v>
      </c>
      <c r="C1708" s="91">
        <v>0.28285728550519318</v>
      </c>
      <c r="D1708" s="92">
        <v>265</v>
      </c>
      <c r="G1708" s="5"/>
      <c r="H1708" s="5"/>
      <c r="L1708" s="7"/>
      <c r="M1708" s="7"/>
      <c r="O1708" s="5"/>
      <c r="P1708" s="5"/>
    </row>
    <row r="1709" spans="2:16" x14ac:dyDescent="0.25">
      <c r="B1709" s="90">
        <v>356</v>
      </c>
      <c r="C1709" s="91">
        <v>0.20943522450447161</v>
      </c>
      <c r="D1709" s="92">
        <v>266</v>
      </c>
      <c r="G1709" s="5"/>
      <c r="H1709" s="5"/>
      <c r="L1709" s="7"/>
      <c r="M1709" s="7"/>
      <c r="O1709" s="5"/>
      <c r="P1709" s="5"/>
    </row>
    <row r="1710" spans="2:16" x14ac:dyDescent="0.25">
      <c r="B1710" s="90">
        <v>295</v>
      </c>
      <c r="C1710" s="91">
        <v>0.2175789559612844</v>
      </c>
      <c r="D1710" s="92">
        <v>266</v>
      </c>
      <c r="G1710" s="5"/>
      <c r="H1710" s="5"/>
      <c r="L1710" s="7"/>
      <c r="M1710" s="7"/>
      <c r="O1710" s="5"/>
      <c r="P1710" s="5"/>
    </row>
    <row r="1711" spans="2:16" x14ac:dyDescent="0.25">
      <c r="B1711" s="90">
        <v>1116</v>
      </c>
      <c r="C1711" s="91">
        <v>0.43225019485006966</v>
      </c>
      <c r="D1711" s="92">
        <v>266</v>
      </c>
      <c r="G1711" s="5"/>
      <c r="H1711" s="5"/>
      <c r="L1711" s="7"/>
      <c r="M1711" s="7"/>
      <c r="O1711" s="5"/>
      <c r="P1711" s="5"/>
    </row>
    <row r="1712" spans="2:16" x14ac:dyDescent="0.25">
      <c r="B1712" s="90">
        <v>1070</v>
      </c>
      <c r="C1712" s="91">
        <v>0.43629203376670311</v>
      </c>
      <c r="D1712" s="92">
        <v>266</v>
      </c>
      <c r="G1712" s="5"/>
      <c r="H1712" s="5"/>
      <c r="L1712" s="7"/>
      <c r="M1712" s="7"/>
      <c r="O1712" s="5"/>
      <c r="P1712" s="5"/>
    </row>
    <row r="1713" spans="2:16" x14ac:dyDescent="0.25">
      <c r="B1713" s="90">
        <v>55</v>
      </c>
      <c r="C1713" s="91">
        <v>0.56671888511614854</v>
      </c>
      <c r="D1713" s="92">
        <v>266</v>
      </c>
      <c r="G1713" s="5"/>
      <c r="H1713" s="5"/>
      <c r="L1713" s="7"/>
      <c r="M1713" s="7"/>
      <c r="O1713" s="5"/>
      <c r="P1713" s="5"/>
    </row>
    <row r="1714" spans="2:16" x14ac:dyDescent="0.25">
      <c r="B1714" s="90">
        <v>661</v>
      </c>
      <c r="C1714" s="91">
        <v>0.56671888511614854</v>
      </c>
      <c r="D1714" s="92">
        <v>266</v>
      </c>
      <c r="G1714" s="5"/>
      <c r="H1714" s="5"/>
      <c r="L1714" s="7"/>
      <c r="M1714" s="7"/>
      <c r="O1714" s="5"/>
      <c r="P1714" s="5"/>
    </row>
    <row r="1715" spans="2:16" x14ac:dyDescent="0.25">
      <c r="B1715" s="90">
        <v>1297</v>
      </c>
      <c r="C1715" s="91">
        <v>0.21461645348446079</v>
      </c>
      <c r="D1715" s="92">
        <v>267</v>
      </c>
      <c r="G1715" s="5"/>
      <c r="H1715" s="5"/>
      <c r="L1715" s="7"/>
      <c r="M1715" s="7"/>
      <c r="O1715" s="5"/>
      <c r="P1715" s="5"/>
    </row>
    <row r="1716" spans="2:16" x14ac:dyDescent="0.25">
      <c r="B1716" s="90">
        <v>38</v>
      </c>
      <c r="C1716" s="91">
        <v>0.21656110378382931</v>
      </c>
      <c r="D1716" s="92">
        <v>268</v>
      </c>
      <c r="G1716" s="5"/>
      <c r="H1716" s="5"/>
      <c r="L1716" s="7"/>
      <c r="M1716" s="7"/>
      <c r="O1716" s="5"/>
      <c r="P1716" s="5"/>
    </row>
    <row r="1717" spans="2:16" x14ac:dyDescent="0.25">
      <c r="B1717" s="90">
        <v>1443</v>
      </c>
      <c r="C1717" s="91">
        <v>0.21656110378382931</v>
      </c>
      <c r="D1717" s="92">
        <v>268</v>
      </c>
      <c r="G1717" s="5"/>
      <c r="H1717" s="5"/>
      <c r="L1717" s="7"/>
      <c r="M1717" s="7"/>
      <c r="O1717" s="5"/>
      <c r="P1717" s="5"/>
    </row>
    <row r="1718" spans="2:16" x14ac:dyDescent="0.25">
      <c r="B1718" s="90">
        <v>179</v>
      </c>
      <c r="C1718" s="91">
        <v>0.47380997629625754</v>
      </c>
      <c r="D1718" s="92">
        <v>268</v>
      </c>
      <c r="G1718" s="5"/>
      <c r="H1718" s="5"/>
      <c r="L1718" s="7"/>
      <c r="M1718" s="7"/>
      <c r="O1718" s="5"/>
      <c r="P1718" s="5"/>
    </row>
    <row r="1719" spans="2:16" x14ac:dyDescent="0.25">
      <c r="B1719" s="90">
        <v>415</v>
      </c>
      <c r="C1719" s="91">
        <v>0.20564799455125982</v>
      </c>
      <c r="D1719" s="92">
        <v>269</v>
      </c>
      <c r="G1719" s="5"/>
      <c r="H1719" s="5"/>
      <c r="L1719" s="7"/>
      <c r="M1719" s="7"/>
      <c r="O1719" s="5"/>
      <c r="P1719" s="5"/>
    </row>
    <row r="1720" spans="2:16" x14ac:dyDescent="0.25">
      <c r="B1720" s="90">
        <v>474</v>
      </c>
      <c r="C1720" s="91">
        <v>0.21300794211350149</v>
      </c>
      <c r="D1720" s="92">
        <v>269</v>
      </c>
      <c r="G1720" s="5"/>
      <c r="H1720" s="5"/>
      <c r="L1720" s="7"/>
      <c r="M1720" s="7"/>
      <c r="O1720" s="5"/>
      <c r="P1720" s="5"/>
    </row>
    <row r="1721" spans="2:16" x14ac:dyDescent="0.25">
      <c r="B1721" s="90">
        <v>532</v>
      </c>
      <c r="C1721" s="91">
        <v>0.22914303966417893</v>
      </c>
      <c r="D1721" s="92">
        <v>269</v>
      </c>
      <c r="G1721" s="5"/>
      <c r="H1721" s="5"/>
      <c r="L1721" s="7"/>
      <c r="M1721" s="7"/>
      <c r="O1721" s="5"/>
      <c r="P1721" s="5"/>
    </row>
    <row r="1722" spans="2:16" x14ac:dyDescent="0.25">
      <c r="B1722" s="90">
        <v>591</v>
      </c>
      <c r="C1722" s="91">
        <v>0.25967661291088917</v>
      </c>
      <c r="D1722" s="92">
        <v>269</v>
      </c>
      <c r="G1722" s="5"/>
      <c r="H1722" s="5"/>
      <c r="L1722" s="7"/>
      <c r="M1722" s="7"/>
      <c r="O1722" s="5"/>
      <c r="P1722" s="5"/>
    </row>
    <row r="1723" spans="2:16" x14ac:dyDescent="0.25">
      <c r="B1723" s="90">
        <v>756</v>
      </c>
      <c r="C1723" s="91">
        <v>0.26575851501744163</v>
      </c>
      <c r="D1723" s="92">
        <v>269</v>
      </c>
      <c r="G1723" s="5"/>
      <c r="H1723" s="5"/>
      <c r="L1723" s="7"/>
      <c r="M1723" s="7"/>
      <c r="O1723" s="5"/>
      <c r="P1723" s="5"/>
    </row>
    <row r="1724" spans="2:16" x14ac:dyDescent="0.25">
      <c r="B1724" s="90">
        <v>647</v>
      </c>
      <c r="C1724" s="91">
        <v>0.26636724764179021</v>
      </c>
      <c r="D1724" s="92">
        <v>269</v>
      </c>
      <c r="G1724" s="5"/>
      <c r="H1724" s="5"/>
      <c r="L1724" s="7"/>
      <c r="M1724" s="7"/>
      <c r="O1724" s="5"/>
      <c r="P1724" s="5"/>
    </row>
    <row r="1725" spans="2:16" x14ac:dyDescent="0.25">
      <c r="B1725" s="90">
        <v>702</v>
      </c>
      <c r="C1725" s="91">
        <v>0.26772936048757667</v>
      </c>
      <c r="D1725" s="92">
        <v>269</v>
      </c>
      <c r="G1725" s="5"/>
      <c r="H1725" s="5"/>
      <c r="L1725" s="7"/>
      <c r="M1725" s="7"/>
      <c r="O1725" s="5"/>
      <c r="P1725" s="5"/>
    </row>
    <row r="1726" spans="2:16" x14ac:dyDescent="0.25">
      <c r="B1726" s="90">
        <v>809</v>
      </c>
      <c r="C1726" s="91">
        <v>0.27379200129907733</v>
      </c>
      <c r="D1726" s="92">
        <v>269</v>
      </c>
      <c r="G1726" s="5"/>
      <c r="H1726" s="5"/>
      <c r="L1726" s="7"/>
      <c r="M1726" s="7"/>
      <c r="O1726" s="5"/>
      <c r="P1726" s="5"/>
    </row>
    <row r="1727" spans="2:16" x14ac:dyDescent="0.25">
      <c r="B1727" s="90">
        <v>414</v>
      </c>
      <c r="C1727" s="91">
        <v>0.19756088592289855</v>
      </c>
      <c r="D1727" s="92">
        <v>270</v>
      </c>
      <c r="G1727" s="5"/>
      <c r="H1727" s="5"/>
      <c r="L1727" s="7"/>
      <c r="M1727" s="7"/>
      <c r="O1727" s="5"/>
      <c r="P1727" s="5"/>
    </row>
    <row r="1728" spans="2:16" x14ac:dyDescent="0.25">
      <c r="B1728" s="90">
        <v>534</v>
      </c>
      <c r="C1728" s="91">
        <v>0.25292458205358748</v>
      </c>
      <c r="D1728" s="92">
        <v>270</v>
      </c>
      <c r="G1728" s="5"/>
      <c r="H1728" s="5"/>
      <c r="L1728" s="7"/>
      <c r="M1728" s="7"/>
      <c r="O1728" s="5"/>
      <c r="P1728" s="5"/>
    </row>
    <row r="1729" spans="2:16" x14ac:dyDescent="0.25">
      <c r="B1729" s="90">
        <v>115</v>
      </c>
      <c r="C1729" s="91">
        <v>0.47750779560792811</v>
      </c>
      <c r="D1729" s="92">
        <v>270</v>
      </c>
      <c r="G1729" s="5"/>
      <c r="H1729" s="5"/>
      <c r="L1729" s="7"/>
      <c r="M1729" s="7"/>
      <c r="O1729" s="5"/>
      <c r="P1729" s="5"/>
    </row>
    <row r="1730" spans="2:16" x14ac:dyDescent="0.25">
      <c r="B1730" s="90">
        <v>1185</v>
      </c>
      <c r="C1730" s="91">
        <v>0.18918743000843818</v>
      </c>
      <c r="D1730" s="92">
        <v>271</v>
      </c>
      <c r="G1730" s="5"/>
      <c r="H1730" s="5"/>
      <c r="L1730" s="7"/>
      <c r="M1730" s="7"/>
      <c r="O1730" s="5"/>
      <c r="P1730" s="5"/>
    </row>
    <row r="1731" spans="2:16" x14ac:dyDescent="0.25">
      <c r="B1731" s="90">
        <v>943</v>
      </c>
      <c r="C1731" s="91">
        <v>0.157739907390823</v>
      </c>
      <c r="D1731" s="92">
        <v>272</v>
      </c>
      <c r="G1731" s="5"/>
      <c r="H1731" s="5"/>
      <c r="L1731" s="7"/>
      <c r="M1731" s="7"/>
      <c r="O1731" s="5"/>
      <c r="P1731" s="5"/>
    </row>
    <row r="1732" spans="2:16" x14ac:dyDescent="0.25">
      <c r="B1732" s="90">
        <v>989</v>
      </c>
      <c r="C1732" s="91">
        <v>0.18347640851044611</v>
      </c>
      <c r="D1732" s="92">
        <v>272</v>
      </c>
      <c r="G1732" s="5"/>
      <c r="H1732" s="5"/>
      <c r="L1732" s="7"/>
      <c r="M1732" s="7"/>
      <c r="O1732" s="5"/>
      <c r="P1732" s="5"/>
    </row>
    <row r="1733" spans="2:16" x14ac:dyDescent="0.25">
      <c r="B1733" s="90">
        <v>918</v>
      </c>
      <c r="C1733" s="91">
        <v>0.35971656260030827</v>
      </c>
      <c r="D1733" s="92">
        <v>272</v>
      </c>
      <c r="G1733" s="5"/>
      <c r="H1733" s="5"/>
      <c r="L1733" s="7"/>
      <c r="M1733" s="7"/>
      <c r="O1733" s="5"/>
      <c r="P1733" s="5"/>
    </row>
    <row r="1734" spans="2:16" x14ac:dyDescent="0.25">
      <c r="B1734" s="90">
        <v>1040</v>
      </c>
      <c r="C1734" s="91">
        <v>0.17995009129194206</v>
      </c>
      <c r="D1734" s="92">
        <v>273</v>
      </c>
      <c r="G1734" s="5"/>
      <c r="H1734" s="5"/>
      <c r="L1734" s="7"/>
      <c r="M1734" s="7"/>
      <c r="O1734" s="5"/>
      <c r="P1734" s="5"/>
    </row>
    <row r="1735" spans="2:16" x14ac:dyDescent="0.25">
      <c r="B1735" s="90">
        <v>1084</v>
      </c>
      <c r="C1735" s="91">
        <v>0.2416239336800472</v>
      </c>
      <c r="D1735" s="92">
        <v>273</v>
      </c>
      <c r="G1735" s="5"/>
      <c r="H1735" s="5"/>
      <c r="L1735" s="7"/>
      <c r="M1735" s="7"/>
      <c r="O1735" s="5"/>
      <c r="P1735" s="5"/>
    </row>
    <row r="1736" spans="2:16" x14ac:dyDescent="0.25">
      <c r="B1736" s="90">
        <v>116</v>
      </c>
      <c r="C1736" s="91">
        <v>0.47762369786075443</v>
      </c>
      <c r="D1736" s="92">
        <v>273</v>
      </c>
      <c r="G1736" s="5"/>
      <c r="H1736" s="5"/>
      <c r="L1736" s="7"/>
      <c r="M1736" s="7"/>
      <c r="O1736" s="5"/>
      <c r="P1736" s="5"/>
    </row>
    <row r="1737" spans="2:16" x14ac:dyDescent="0.25">
      <c r="B1737" s="90">
        <v>362</v>
      </c>
      <c r="C1737" s="91">
        <v>0.33546010484758138</v>
      </c>
      <c r="D1737" s="92">
        <v>275</v>
      </c>
      <c r="G1737" s="5"/>
      <c r="H1737" s="5"/>
      <c r="L1737" s="7"/>
      <c r="M1737" s="7"/>
      <c r="O1737" s="5"/>
      <c r="P1737" s="5"/>
    </row>
    <row r="1738" spans="2:16" x14ac:dyDescent="0.25">
      <c r="B1738" s="90">
        <v>237</v>
      </c>
      <c r="C1738" s="91">
        <v>0.34268759833087159</v>
      </c>
      <c r="D1738" s="92">
        <v>275</v>
      </c>
      <c r="G1738" s="5"/>
      <c r="H1738" s="5"/>
      <c r="L1738" s="7"/>
      <c r="M1738" s="7"/>
      <c r="O1738" s="5"/>
      <c r="P1738" s="5"/>
    </row>
    <row r="1739" spans="2:16" x14ac:dyDescent="0.25">
      <c r="B1739" s="90">
        <v>301</v>
      </c>
      <c r="C1739" s="91">
        <v>0.34494502688645901</v>
      </c>
      <c r="D1739" s="92">
        <v>275</v>
      </c>
      <c r="G1739" s="5"/>
      <c r="H1739" s="5"/>
      <c r="L1739" s="7"/>
      <c r="M1739" s="7"/>
      <c r="O1739" s="5"/>
      <c r="P1739" s="5"/>
    </row>
    <row r="1740" spans="2:16" x14ac:dyDescent="0.25">
      <c r="B1740" s="90">
        <v>180</v>
      </c>
      <c r="C1740" s="91">
        <v>0.47413250146655306</v>
      </c>
      <c r="D1740" s="92">
        <v>275</v>
      </c>
      <c r="G1740" s="5"/>
      <c r="H1740" s="5"/>
      <c r="L1740" s="7"/>
      <c r="M1740" s="7"/>
      <c r="O1740" s="5"/>
      <c r="P1740" s="5"/>
    </row>
    <row r="1741" spans="2:16" x14ac:dyDescent="0.25">
      <c r="B1741" s="90">
        <v>988</v>
      </c>
      <c r="C1741" s="91">
        <v>0.16916538993057095</v>
      </c>
      <c r="D1741" s="92">
        <v>278</v>
      </c>
      <c r="G1741" s="5"/>
      <c r="H1741" s="5"/>
      <c r="L1741" s="7"/>
      <c r="M1741" s="7"/>
      <c r="O1741" s="5"/>
      <c r="P1741" s="5"/>
    </row>
    <row r="1742" spans="2:16" x14ac:dyDescent="0.25">
      <c r="B1742" s="90">
        <v>939</v>
      </c>
      <c r="C1742" s="91">
        <v>0.18411523111680173</v>
      </c>
      <c r="D1742" s="92">
        <v>278</v>
      </c>
      <c r="G1742" s="5"/>
      <c r="H1742" s="5"/>
      <c r="L1742" s="7"/>
      <c r="M1742" s="7"/>
      <c r="O1742" s="5"/>
      <c r="P1742" s="5"/>
    </row>
    <row r="1743" spans="2:16" x14ac:dyDescent="0.25">
      <c r="B1743" s="90">
        <v>1083</v>
      </c>
      <c r="C1743" s="91">
        <v>0.22813453897880276</v>
      </c>
      <c r="D1743" s="92">
        <v>279</v>
      </c>
      <c r="G1743" s="5"/>
      <c r="H1743" s="5"/>
      <c r="L1743" s="7"/>
      <c r="M1743" s="7"/>
      <c r="O1743" s="5"/>
      <c r="P1743" s="5"/>
    </row>
    <row r="1744" spans="2:16" x14ac:dyDescent="0.25">
      <c r="B1744" s="90">
        <v>1791</v>
      </c>
      <c r="C1744" s="91">
        <v>0.4101634775635159</v>
      </c>
      <c r="D1744" s="92">
        <v>279</v>
      </c>
      <c r="G1744" s="5"/>
      <c r="H1744" s="5"/>
      <c r="L1744" s="7"/>
      <c r="M1744" s="7"/>
      <c r="O1744" s="5"/>
      <c r="P1744" s="5"/>
    </row>
    <row r="1745" spans="2:16" x14ac:dyDescent="0.25">
      <c r="B1745" s="90">
        <v>473</v>
      </c>
      <c r="C1745" s="91">
        <v>0.20503524263920858</v>
      </c>
      <c r="D1745" s="92">
        <v>280</v>
      </c>
      <c r="G1745" s="5"/>
      <c r="H1745" s="5"/>
      <c r="L1745" s="7"/>
      <c r="M1745" s="7"/>
      <c r="O1745" s="5"/>
      <c r="P1745" s="5"/>
    </row>
    <row r="1746" spans="2:16" x14ac:dyDescent="0.25">
      <c r="B1746" s="90">
        <v>1036</v>
      </c>
      <c r="C1746" s="91">
        <v>0.20578532581032194</v>
      </c>
      <c r="D1746" s="92">
        <v>280</v>
      </c>
      <c r="G1746" s="5"/>
      <c r="H1746" s="5"/>
      <c r="L1746" s="7"/>
      <c r="M1746" s="7"/>
      <c r="O1746" s="5"/>
      <c r="P1746" s="5"/>
    </row>
    <row r="1747" spans="2:16" x14ac:dyDescent="0.25">
      <c r="B1747" s="90">
        <v>1152</v>
      </c>
      <c r="C1747" s="91">
        <v>0.14775954017833437</v>
      </c>
      <c r="D1747" s="92">
        <v>282</v>
      </c>
      <c r="G1747" s="5"/>
      <c r="H1747" s="5"/>
      <c r="L1747" s="7"/>
      <c r="M1747" s="7"/>
      <c r="O1747" s="5"/>
      <c r="P1747" s="5"/>
    </row>
    <row r="1748" spans="2:16" x14ac:dyDescent="0.25">
      <c r="B1748" s="90">
        <v>1044</v>
      </c>
      <c r="C1748" s="91">
        <v>0.16146249618855291</v>
      </c>
      <c r="D1748" s="92">
        <v>282</v>
      </c>
      <c r="G1748" s="5"/>
      <c r="H1748" s="5"/>
      <c r="L1748" s="7"/>
      <c r="M1748" s="7"/>
      <c r="O1748" s="5"/>
      <c r="P1748" s="5"/>
    </row>
    <row r="1749" spans="2:16" x14ac:dyDescent="0.25">
      <c r="B1749" s="90">
        <v>1136</v>
      </c>
      <c r="C1749" s="91">
        <v>0.16390838718303624</v>
      </c>
      <c r="D1749" s="92">
        <v>282</v>
      </c>
      <c r="G1749" s="5"/>
      <c r="H1749" s="5"/>
      <c r="L1749" s="7"/>
      <c r="M1749" s="7"/>
      <c r="O1749" s="5"/>
      <c r="P1749" s="5"/>
    </row>
    <row r="1750" spans="2:16" x14ac:dyDescent="0.25">
      <c r="B1750" s="90">
        <v>1090</v>
      </c>
      <c r="C1750" s="91">
        <v>0.16690934526736023</v>
      </c>
      <c r="D1750" s="92">
        <v>282</v>
      </c>
      <c r="G1750" s="5"/>
      <c r="H1750" s="5"/>
      <c r="L1750" s="7"/>
      <c r="M1750" s="7"/>
      <c r="O1750" s="5"/>
      <c r="P1750" s="5"/>
    </row>
    <row r="1751" spans="2:16" x14ac:dyDescent="0.25">
      <c r="B1751" s="90">
        <v>1135</v>
      </c>
      <c r="C1751" s="91">
        <v>0.1705798613134577</v>
      </c>
      <c r="D1751" s="92">
        <v>282</v>
      </c>
      <c r="G1751" s="5"/>
      <c r="H1751" s="5"/>
      <c r="L1751" s="7"/>
      <c r="M1751" s="7"/>
      <c r="O1751" s="5"/>
      <c r="P1751" s="5"/>
    </row>
    <row r="1752" spans="2:16" x14ac:dyDescent="0.25">
      <c r="B1752" s="90">
        <v>1089</v>
      </c>
      <c r="C1752" s="91">
        <v>0.17413025456717968</v>
      </c>
      <c r="D1752" s="92">
        <v>282</v>
      </c>
      <c r="G1752" s="5"/>
      <c r="H1752" s="5"/>
      <c r="L1752" s="7"/>
      <c r="M1752" s="7"/>
      <c r="O1752" s="5"/>
      <c r="P1752" s="5"/>
    </row>
    <row r="1753" spans="2:16" x14ac:dyDescent="0.25">
      <c r="B1753" s="90">
        <v>987</v>
      </c>
      <c r="C1753" s="91">
        <v>0.18881708586303914</v>
      </c>
      <c r="D1753" s="92">
        <v>282</v>
      </c>
      <c r="G1753" s="5"/>
      <c r="H1753" s="5"/>
      <c r="L1753" s="7"/>
      <c r="M1753" s="7"/>
      <c r="O1753" s="5"/>
      <c r="P1753" s="5"/>
    </row>
    <row r="1754" spans="2:16" x14ac:dyDescent="0.25">
      <c r="B1754" s="90">
        <v>938</v>
      </c>
      <c r="C1754" s="91">
        <v>0.20704773991476766</v>
      </c>
      <c r="D1754" s="92">
        <v>282</v>
      </c>
      <c r="G1754" s="5"/>
      <c r="H1754" s="5"/>
      <c r="L1754" s="7"/>
      <c r="M1754" s="7"/>
      <c r="O1754" s="5"/>
      <c r="P1754" s="5"/>
    </row>
    <row r="1755" spans="2:16" x14ac:dyDescent="0.25">
      <c r="B1755" s="90">
        <v>1134</v>
      </c>
      <c r="C1755" s="91">
        <v>0.27015391802797106</v>
      </c>
      <c r="D1755" s="92">
        <v>282</v>
      </c>
      <c r="G1755" s="5"/>
      <c r="H1755" s="5"/>
      <c r="L1755" s="7"/>
      <c r="M1755" s="7"/>
      <c r="O1755" s="5"/>
      <c r="P1755" s="5"/>
    </row>
    <row r="1756" spans="2:16" x14ac:dyDescent="0.25">
      <c r="B1756" s="90">
        <v>648</v>
      </c>
      <c r="C1756" s="91">
        <v>0.27409366088815024</v>
      </c>
      <c r="D1756" s="92">
        <v>282</v>
      </c>
      <c r="G1756" s="5"/>
      <c r="H1756" s="5"/>
      <c r="L1756" s="7"/>
      <c r="M1756" s="7"/>
      <c r="O1756" s="5"/>
      <c r="P1756" s="5"/>
    </row>
    <row r="1757" spans="2:16" x14ac:dyDescent="0.25">
      <c r="B1757" s="90">
        <v>54</v>
      </c>
      <c r="C1757" s="91">
        <v>0.54795539974543073</v>
      </c>
      <c r="D1757" s="92">
        <v>282</v>
      </c>
      <c r="G1757" s="5"/>
      <c r="H1757" s="5"/>
      <c r="L1757" s="7"/>
      <c r="M1757" s="7"/>
      <c r="O1757" s="5"/>
      <c r="P1757" s="5"/>
    </row>
    <row r="1758" spans="2:16" x14ac:dyDescent="0.25">
      <c r="B1758" s="90">
        <v>715</v>
      </c>
      <c r="C1758" s="91">
        <v>0.54795539974543073</v>
      </c>
      <c r="D1758" s="92">
        <v>282</v>
      </c>
      <c r="G1758" s="5"/>
      <c r="H1758" s="5"/>
      <c r="L1758" s="7"/>
      <c r="M1758" s="7"/>
      <c r="O1758" s="5"/>
      <c r="P1758" s="5"/>
    </row>
    <row r="1759" spans="2:16" x14ac:dyDescent="0.25">
      <c r="B1759" s="90">
        <v>995</v>
      </c>
      <c r="C1759" s="91">
        <v>0.10517033445977364</v>
      </c>
      <c r="D1759" s="92">
        <v>283</v>
      </c>
      <c r="G1759" s="5"/>
      <c r="H1759" s="5"/>
      <c r="L1759" s="7"/>
      <c r="M1759" s="7"/>
      <c r="O1759" s="5"/>
      <c r="P1759" s="5"/>
    </row>
    <row r="1760" spans="2:16" x14ac:dyDescent="0.25">
      <c r="B1760" s="90">
        <v>946</v>
      </c>
      <c r="C1760" s="91">
        <v>0.1089964939278254</v>
      </c>
      <c r="D1760" s="92">
        <v>283</v>
      </c>
      <c r="G1760" s="5"/>
      <c r="H1760" s="5"/>
      <c r="L1760" s="7"/>
      <c r="M1760" s="7"/>
      <c r="O1760" s="5"/>
      <c r="P1760" s="5"/>
    </row>
    <row r="1761" spans="2:16" x14ac:dyDescent="0.25">
      <c r="B1761" s="90">
        <v>994</v>
      </c>
      <c r="C1761" s="91">
        <v>0.11432782092679883</v>
      </c>
      <c r="D1761" s="92">
        <v>283</v>
      </c>
      <c r="G1761" s="5"/>
      <c r="H1761" s="5"/>
      <c r="L1761" s="7"/>
      <c r="M1761" s="7"/>
      <c r="O1761" s="5"/>
      <c r="P1761" s="5"/>
    </row>
    <row r="1762" spans="2:16" x14ac:dyDescent="0.25">
      <c r="B1762" s="90">
        <v>945</v>
      </c>
      <c r="C1762" s="91">
        <v>0.12128462793440375</v>
      </c>
      <c r="D1762" s="92">
        <v>283</v>
      </c>
      <c r="G1762" s="5"/>
      <c r="H1762" s="5"/>
      <c r="L1762" s="7"/>
      <c r="M1762" s="7"/>
      <c r="O1762" s="5"/>
      <c r="P1762" s="5"/>
    </row>
    <row r="1763" spans="2:16" x14ac:dyDescent="0.25">
      <c r="B1763" s="90">
        <v>1091</v>
      </c>
      <c r="C1763" s="91">
        <v>0.18051964651530139</v>
      </c>
      <c r="D1763" s="92">
        <v>283</v>
      </c>
      <c r="G1763" s="5"/>
      <c r="H1763" s="5"/>
      <c r="L1763" s="7"/>
      <c r="M1763" s="7"/>
      <c r="O1763" s="5"/>
      <c r="P1763" s="5"/>
    </row>
    <row r="1764" spans="2:16" x14ac:dyDescent="0.25">
      <c r="B1764" s="90">
        <v>1128</v>
      </c>
      <c r="C1764" s="91">
        <v>0.23806927873887607</v>
      </c>
      <c r="D1764" s="92">
        <v>283</v>
      </c>
      <c r="G1764" s="5"/>
      <c r="H1764" s="5"/>
      <c r="L1764" s="7"/>
      <c r="M1764" s="7"/>
      <c r="O1764" s="5"/>
      <c r="P1764" s="5"/>
    </row>
    <row r="1765" spans="2:16" x14ac:dyDescent="0.25">
      <c r="B1765" s="90">
        <v>592</v>
      </c>
      <c r="C1765" s="91">
        <v>0.26741231149914491</v>
      </c>
      <c r="D1765" s="92">
        <v>283</v>
      </c>
      <c r="G1765" s="5"/>
      <c r="H1765" s="5"/>
      <c r="L1765" s="7"/>
      <c r="M1765" s="7"/>
      <c r="O1765" s="5"/>
      <c r="P1765" s="5"/>
    </row>
    <row r="1766" spans="2:16" x14ac:dyDescent="0.25">
      <c r="B1766" s="90">
        <v>757</v>
      </c>
      <c r="C1766" s="91">
        <v>0.27457298209770509</v>
      </c>
      <c r="D1766" s="92">
        <v>283</v>
      </c>
      <c r="G1766" s="5"/>
      <c r="H1766" s="5"/>
      <c r="L1766" s="7"/>
      <c r="M1766" s="7"/>
      <c r="O1766" s="5"/>
      <c r="P1766" s="5"/>
    </row>
    <row r="1767" spans="2:16" x14ac:dyDescent="0.25">
      <c r="B1767" s="90">
        <v>703</v>
      </c>
      <c r="C1767" s="91">
        <v>0.27641115173206132</v>
      </c>
      <c r="D1767" s="92">
        <v>283</v>
      </c>
      <c r="G1767" s="5"/>
      <c r="H1767" s="5"/>
      <c r="L1767" s="7"/>
      <c r="M1767" s="7"/>
      <c r="O1767" s="5"/>
      <c r="P1767" s="5"/>
    </row>
    <row r="1768" spans="2:16" x14ac:dyDescent="0.25">
      <c r="B1768" s="90">
        <v>810</v>
      </c>
      <c r="C1768" s="91">
        <v>0.28259510980482938</v>
      </c>
      <c r="D1768" s="92">
        <v>283</v>
      </c>
      <c r="G1768" s="5"/>
      <c r="H1768" s="5"/>
      <c r="L1768" s="7"/>
      <c r="M1768" s="7"/>
      <c r="O1768" s="5"/>
      <c r="P1768" s="5"/>
    </row>
    <row r="1769" spans="2:16" x14ac:dyDescent="0.25">
      <c r="B1769" s="90">
        <v>1149</v>
      </c>
      <c r="C1769" s="91">
        <v>0.16683676499880795</v>
      </c>
      <c r="D1769" s="92">
        <v>284</v>
      </c>
      <c r="G1769" s="5"/>
      <c r="H1769" s="5"/>
      <c r="L1769" s="7"/>
      <c r="M1769" s="7"/>
      <c r="O1769" s="5"/>
      <c r="P1769" s="5"/>
    </row>
    <row r="1770" spans="2:16" x14ac:dyDescent="0.25">
      <c r="B1770" s="90">
        <v>1103</v>
      </c>
      <c r="C1770" s="91">
        <v>0.1715228631875102</v>
      </c>
      <c r="D1770" s="92">
        <v>284</v>
      </c>
      <c r="G1770" s="5"/>
      <c r="H1770" s="5"/>
      <c r="L1770" s="7"/>
      <c r="M1770" s="7"/>
      <c r="O1770" s="5"/>
      <c r="P1770" s="5"/>
    </row>
    <row r="1771" spans="2:16" x14ac:dyDescent="0.25">
      <c r="B1771" s="90">
        <v>1035</v>
      </c>
      <c r="C1771" s="91">
        <v>0.22316987535911337</v>
      </c>
      <c r="D1771" s="92">
        <v>284</v>
      </c>
      <c r="G1771" s="5"/>
      <c r="H1771" s="5"/>
      <c r="L1771" s="7"/>
      <c r="M1771" s="7"/>
      <c r="O1771" s="5"/>
      <c r="P1771" s="5"/>
    </row>
    <row r="1772" spans="2:16" x14ac:dyDescent="0.25">
      <c r="B1772" s="90">
        <v>535</v>
      </c>
      <c r="C1772" s="91">
        <v>0.25894055501427204</v>
      </c>
      <c r="D1772" s="92">
        <v>284</v>
      </c>
      <c r="G1772" s="5"/>
      <c r="H1772" s="5"/>
      <c r="L1772" s="7"/>
      <c r="M1772" s="7"/>
      <c r="O1772" s="5"/>
      <c r="P1772" s="5"/>
    </row>
    <row r="1773" spans="2:16" x14ac:dyDescent="0.25">
      <c r="B1773" s="90">
        <v>109</v>
      </c>
      <c r="C1773" s="91">
        <v>0.32441958904396739</v>
      </c>
      <c r="D1773" s="92">
        <v>284</v>
      </c>
      <c r="G1773" s="5"/>
      <c r="H1773" s="5"/>
      <c r="L1773" s="7"/>
      <c r="M1773" s="7"/>
      <c r="O1773" s="5"/>
      <c r="P1773" s="5"/>
    </row>
    <row r="1774" spans="2:16" x14ac:dyDescent="0.25">
      <c r="B1774" s="90">
        <v>53</v>
      </c>
      <c r="C1774" s="91">
        <v>0.54169881840279577</v>
      </c>
      <c r="D1774" s="92">
        <v>284</v>
      </c>
      <c r="G1774" s="5"/>
      <c r="H1774" s="5"/>
      <c r="L1774" s="7"/>
      <c r="M1774" s="7"/>
      <c r="O1774" s="5"/>
      <c r="P1774" s="5"/>
    </row>
    <row r="1775" spans="2:16" x14ac:dyDescent="0.25">
      <c r="B1775" s="90">
        <v>768</v>
      </c>
      <c r="C1775" s="91">
        <v>0.54169881840279577</v>
      </c>
      <c r="D1775" s="92">
        <v>284</v>
      </c>
      <c r="G1775" s="5"/>
      <c r="H1775" s="5"/>
      <c r="L1775" s="7"/>
      <c r="M1775" s="7"/>
      <c r="O1775" s="5"/>
      <c r="P1775" s="5"/>
    </row>
    <row r="1776" spans="2:16" x14ac:dyDescent="0.25">
      <c r="B1776" s="90">
        <v>1082</v>
      </c>
      <c r="C1776" s="91">
        <v>0.24455939891211442</v>
      </c>
      <c r="D1776" s="92">
        <v>285</v>
      </c>
      <c r="G1776" s="5"/>
      <c r="H1776" s="5"/>
      <c r="L1776" s="7"/>
      <c r="M1776" s="7"/>
      <c r="O1776" s="5"/>
      <c r="P1776" s="5"/>
    </row>
    <row r="1777" spans="2:16" x14ac:dyDescent="0.25">
      <c r="B1777" s="90">
        <v>1168</v>
      </c>
      <c r="C1777" s="91">
        <v>0.2656116226366303</v>
      </c>
      <c r="D1777" s="92">
        <v>285</v>
      </c>
      <c r="G1777" s="5"/>
      <c r="H1777" s="5"/>
      <c r="L1777" s="7"/>
      <c r="M1777" s="7"/>
      <c r="O1777" s="5"/>
      <c r="P1777" s="5"/>
    </row>
    <row r="1778" spans="2:16" x14ac:dyDescent="0.25">
      <c r="B1778" s="90">
        <v>173</v>
      </c>
      <c r="C1778" s="91">
        <v>0.32342105968041956</v>
      </c>
      <c r="D1778" s="92">
        <v>285</v>
      </c>
      <c r="G1778" s="5"/>
      <c r="H1778" s="5"/>
      <c r="L1778" s="7"/>
      <c r="M1778" s="7"/>
      <c r="O1778" s="5"/>
      <c r="P1778" s="5"/>
    </row>
    <row r="1779" spans="2:16" x14ac:dyDescent="0.25">
      <c r="B1779" s="90">
        <v>354</v>
      </c>
      <c r="C1779" s="91">
        <v>0.16965828009867356</v>
      </c>
      <c r="D1779" s="92">
        <v>286</v>
      </c>
      <c r="G1779" s="5"/>
      <c r="H1779" s="5"/>
      <c r="L1779" s="7"/>
      <c r="M1779" s="7"/>
      <c r="O1779" s="5"/>
      <c r="P1779" s="5"/>
    </row>
    <row r="1780" spans="2:16" x14ac:dyDescent="0.25">
      <c r="B1780" s="90">
        <v>293</v>
      </c>
      <c r="C1780" s="91">
        <v>0.1771925578395529</v>
      </c>
      <c r="D1780" s="92">
        <v>286</v>
      </c>
      <c r="G1780" s="5"/>
      <c r="H1780" s="5"/>
      <c r="L1780" s="7"/>
      <c r="M1780" s="7"/>
      <c r="O1780" s="5"/>
      <c r="P1780" s="5"/>
    </row>
    <row r="1781" spans="2:16" x14ac:dyDescent="0.25">
      <c r="B1781" s="90">
        <v>355</v>
      </c>
      <c r="C1781" s="91">
        <v>0.17856970222624846</v>
      </c>
      <c r="D1781" s="92">
        <v>286</v>
      </c>
      <c r="G1781" s="5"/>
      <c r="H1781" s="5"/>
      <c r="L1781" s="7"/>
      <c r="M1781" s="7"/>
      <c r="O1781" s="5"/>
      <c r="P1781" s="5"/>
    </row>
    <row r="1782" spans="2:16" x14ac:dyDescent="0.25">
      <c r="B1782" s="90">
        <v>294</v>
      </c>
      <c r="C1782" s="91">
        <v>0.18658431883338367</v>
      </c>
      <c r="D1782" s="92">
        <v>286</v>
      </c>
      <c r="G1782" s="5"/>
      <c r="H1782" s="5"/>
      <c r="L1782" s="7"/>
      <c r="M1782" s="7"/>
      <c r="O1782" s="5"/>
      <c r="P1782" s="5"/>
    </row>
    <row r="1783" spans="2:16" x14ac:dyDescent="0.25">
      <c r="B1783" s="90">
        <v>52</v>
      </c>
      <c r="C1783" s="91">
        <v>0.50653245677995662</v>
      </c>
      <c r="D1783" s="92">
        <v>286</v>
      </c>
      <c r="G1783" s="5"/>
      <c r="H1783" s="5"/>
      <c r="L1783" s="7"/>
      <c r="M1783" s="7"/>
      <c r="O1783" s="5"/>
      <c r="P1783" s="5"/>
    </row>
    <row r="1784" spans="2:16" x14ac:dyDescent="0.25">
      <c r="B1784" s="90">
        <v>820</v>
      </c>
      <c r="C1784" s="91">
        <v>0.50653245677995662</v>
      </c>
      <c r="D1784" s="92">
        <v>286</v>
      </c>
      <c r="G1784" s="5"/>
      <c r="H1784" s="5"/>
      <c r="L1784" s="7"/>
      <c r="M1784" s="7"/>
      <c r="O1784" s="5"/>
      <c r="P1784" s="5"/>
    </row>
    <row r="1785" spans="2:16" x14ac:dyDescent="0.25">
      <c r="B1785" s="90">
        <v>1436</v>
      </c>
      <c r="C1785" s="91">
        <v>4.0921849353726447E-2</v>
      </c>
      <c r="D1785" s="92">
        <v>287</v>
      </c>
      <c r="G1785" s="5"/>
      <c r="H1785" s="5"/>
      <c r="L1785" s="7"/>
      <c r="M1785" s="7"/>
      <c r="O1785" s="5"/>
      <c r="P1785" s="5"/>
    </row>
    <row r="1786" spans="2:16" x14ac:dyDescent="0.25">
      <c r="B1786" s="90">
        <v>417</v>
      </c>
      <c r="C1786" s="91">
        <v>0.22705638686211227</v>
      </c>
      <c r="D1786" s="92">
        <v>288</v>
      </c>
      <c r="G1786" s="5"/>
      <c r="H1786" s="5"/>
      <c r="L1786" s="7"/>
      <c r="M1786" s="7"/>
      <c r="O1786" s="5"/>
      <c r="P1786" s="5"/>
    </row>
    <row r="1787" spans="2:16" x14ac:dyDescent="0.25">
      <c r="B1787" s="90">
        <v>476</v>
      </c>
      <c r="C1787" s="91">
        <v>0.2347085702383368</v>
      </c>
      <c r="D1787" s="92">
        <v>288</v>
      </c>
      <c r="G1787" s="5"/>
      <c r="H1787" s="5"/>
      <c r="L1787" s="7"/>
      <c r="M1787" s="7"/>
      <c r="O1787" s="5"/>
      <c r="P1787" s="5"/>
    </row>
    <row r="1788" spans="2:16" x14ac:dyDescent="0.25">
      <c r="B1788" s="90">
        <v>790</v>
      </c>
      <c r="C1788" s="91">
        <v>0.17415792618982273</v>
      </c>
      <c r="D1788" s="92">
        <v>289</v>
      </c>
      <c r="G1788" s="5"/>
      <c r="H1788" s="5"/>
      <c r="L1788" s="7"/>
      <c r="M1788" s="7"/>
      <c r="O1788" s="5"/>
      <c r="P1788" s="5"/>
    </row>
    <row r="1789" spans="2:16" x14ac:dyDescent="0.25">
      <c r="B1789" s="90">
        <v>737</v>
      </c>
      <c r="C1789" s="91">
        <v>0.17905997687001962</v>
      </c>
      <c r="D1789" s="92">
        <v>289</v>
      </c>
      <c r="G1789" s="5"/>
      <c r="H1789" s="5"/>
      <c r="L1789" s="7"/>
      <c r="M1789" s="7"/>
      <c r="O1789" s="5"/>
      <c r="P1789" s="5"/>
    </row>
    <row r="1790" spans="2:16" x14ac:dyDescent="0.25">
      <c r="B1790" s="90">
        <v>1037</v>
      </c>
      <c r="C1790" s="91">
        <v>0.21979630925276461</v>
      </c>
      <c r="D1790" s="92">
        <v>289</v>
      </c>
      <c r="G1790" s="5"/>
      <c r="H1790" s="5"/>
      <c r="L1790" s="7"/>
      <c r="M1790" s="7"/>
      <c r="O1790" s="5"/>
      <c r="P1790" s="5"/>
    </row>
    <row r="1791" spans="2:16" x14ac:dyDescent="0.25">
      <c r="B1791" s="90">
        <v>940</v>
      </c>
      <c r="C1791" s="91">
        <v>0.19916687869364735</v>
      </c>
      <c r="D1791" s="92">
        <v>290</v>
      </c>
      <c r="G1791" s="5"/>
      <c r="H1791" s="5"/>
      <c r="L1791" s="7"/>
      <c r="M1791" s="7"/>
      <c r="O1791" s="5"/>
      <c r="P1791" s="5"/>
    </row>
    <row r="1792" spans="2:16" x14ac:dyDescent="0.25">
      <c r="B1792" s="90">
        <v>1132</v>
      </c>
      <c r="C1792" s="91">
        <v>0.30977060719179073</v>
      </c>
      <c r="D1792" s="92">
        <v>290</v>
      </c>
      <c r="G1792" s="5"/>
      <c r="H1792" s="5"/>
      <c r="L1792" s="7"/>
      <c r="M1792" s="7"/>
      <c r="O1792" s="5"/>
      <c r="P1792" s="5"/>
    </row>
    <row r="1793" spans="2:16" x14ac:dyDescent="0.25">
      <c r="B1793" s="90">
        <v>1086</v>
      </c>
      <c r="C1793" s="91">
        <v>0.31596152459113158</v>
      </c>
      <c r="D1793" s="92">
        <v>290</v>
      </c>
      <c r="G1793" s="5"/>
      <c r="H1793" s="5"/>
      <c r="L1793" s="7"/>
      <c r="M1793" s="7"/>
      <c r="O1793" s="5"/>
      <c r="P1793" s="5"/>
    </row>
    <row r="1794" spans="2:16" x14ac:dyDescent="0.25">
      <c r="B1794" s="90">
        <v>240</v>
      </c>
      <c r="C1794" s="91">
        <v>0.36815832071253141</v>
      </c>
      <c r="D1794" s="92">
        <v>290</v>
      </c>
      <c r="G1794" s="5"/>
      <c r="H1794" s="5"/>
      <c r="L1794" s="7"/>
      <c r="M1794" s="7"/>
      <c r="O1794" s="5"/>
      <c r="P1794" s="5"/>
    </row>
    <row r="1795" spans="2:16" x14ac:dyDescent="0.25">
      <c r="B1795" s="90">
        <v>893</v>
      </c>
      <c r="C1795" s="91">
        <v>0.17764134431390954</v>
      </c>
      <c r="D1795" s="92">
        <v>291</v>
      </c>
      <c r="G1795" s="5"/>
      <c r="H1795" s="5"/>
      <c r="L1795" s="7"/>
      <c r="M1795" s="7"/>
      <c r="O1795" s="5"/>
      <c r="P1795" s="5"/>
    </row>
    <row r="1796" spans="2:16" x14ac:dyDescent="0.25">
      <c r="B1796" s="90">
        <v>842</v>
      </c>
      <c r="C1796" s="91">
        <v>0.1812734391587203</v>
      </c>
      <c r="D1796" s="92">
        <v>291</v>
      </c>
      <c r="G1796" s="5"/>
      <c r="H1796" s="5"/>
      <c r="L1796" s="7"/>
      <c r="M1796" s="7"/>
      <c r="O1796" s="5"/>
      <c r="P1796" s="5"/>
    </row>
    <row r="1797" spans="2:16" x14ac:dyDescent="0.25">
      <c r="B1797" s="90">
        <v>277</v>
      </c>
      <c r="C1797" s="91">
        <v>0.22290410728522958</v>
      </c>
      <c r="D1797" s="92">
        <v>291</v>
      </c>
      <c r="G1797" s="5"/>
      <c r="H1797" s="5"/>
      <c r="L1797" s="7"/>
      <c r="M1797" s="7"/>
      <c r="O1797" s="5"/>
      <c r="P1797" s="5"/>
    </row>
    <row r="1798" spans="2:16" x14ac:dyDescent="0.25">
      <c r="B1798" s="90">
        <v>338</v>
      </c>
      <c r="C1798" s="91">
        <v>0.23101080336426816</v>
      </c>
      <c r="D1798" s="92">
        <v>291</v>
      </c>
      <c r="G1798" s="5"/>
      <c r="H1798" s="5"/>
      <c r="L1798" s="7"/>
      <c r="M1798" s="7"/>
      <c r="O1798" s="5"/>
      <c r="P1798" s="5"/>
    </row>
    <row r="1799" spans="2:16" x14ac:dyDescent="0.25">
      <c r="B1799" s="90">
        <v>1039</v>
      </c>
      <c r="C1799" s="91">
        <v>0.29682064689878818</v>
      </c>
      <c r="D1799" s="92">
        <v>291</v>
      </c>
      <c r="G1799" s="5"/>
      <c r="H1799" s="5"/>
      <c r="L1799" s="7"/>
      <c r="M1799" s="7"/>
      <c r="O1799" s="5"/>
      <c r="P1799" s="5"/>
    </row>
    <row r="1800" spans="2:16" x14ac:dyDescent="0.25">
      <c r="B1800" s="90">
        <v>1579</v>
      </c>
      <c r="C1800" s="91">
        <v>0.31085963507880199</v>
      </c>
      <c r="D1800" s="92">
        <v>293</v>
      </c>
      <c r="G1800" s="5"/>
      <c r="H1800" s="5"/>
      <c r="L1800" s="7"/>
      <c r="M1800" s="7"/>
      <c r="O1800" s="5"/>
      <c r="P1800" s="5"/>
    </row>
    <row r="1801" spans="2:16" x14ac:dyDescent="0.25">
      <c r="B1801" s="90">
        <v>1543</v>
      </c>
      <c r="C1801" s="91">
        <v>0.31465576386570215</v>
      </c>
      <c r="D1801" s="92">
        <v>293</v>
      </c>
      <c r="G1801" s="5"/>
      <c r="H1801" s="5"/>
      <c r="L1801" s="7"/>
      <c r="M1801" s="7"/>
      <c r="O1801" s="5"/>
      <c r="P1801" s="5"/>
    </row>
    <row r="1802" spans="2:16" x14ac:dyDescent="0.25">
      <c r="B1802" s="90">
        <v>50</v>
      </c>
      <c r="C1802" s="91">
        <v>0.4731544162795045</v>
      </c>
      <c r="D1802" s="92">
        <v>293</v>
      </c>
      <c r="G1802" s="5"/>
      <c r="H1802" s="5"/>
      <c r="L1802" s="7"/>
      <c r="M1802" s="7"/>
      <c r="O1802" s="5"/>
      <c r="P1802" s="5"/>
    </row>
    <row r="1803" spans="2:16" x14ac:dyDescent="0.25">
      <c r="B1803" s="90">
        <v>921</v>
      </c>
      <c r="C1803" s="91">
        <v>0.4731544162795045</v>
      </c>
      <c r="D1803" s="92">
        <v>293</v>
      </c>
      <c r="G1803" s="5"/>
      <c r="H1803" s="5"/>
      <c r="L1803" s="7"/>
      <c r="M1803" s="7"/>
      <c r="O1803" s="5"/>
      <c r="P1803" s="5"/>
    </row>
    <row r="1804" spans="2:16" x14ac:dyDescent="0.25">
      <c r="B1804" s="90">
        <v>361</v>
      </c>
      <c r="C1804" s="91">
        <v>0.33043796628129674</v>
      </c>
      <c r="D1804" s="92">
        <v>294</v>
      </c>
      <c r="G1804" s="5"/>
      <c r="H1804" s="5"/>
      <c r="L1804" s="7"/>
      <c r="M1804" s="7"/>
      <c r="O1804" s="5"/>
      <c r="P1804" s="5"/>
    </row>
    <row r="1805" spans="2:16" x14ac:dyDescent="0.25">
      <c r="B1805" s="90">
        <v>300</v>
      </c>
      <c r="C1805" s="91">
        <v>0.33939736625106687</v>
      </c>
      <c r="D1805" s="92">
        <v>294</v>
      </c>
      <c r="G1805" s="5"/>
      <c r="H1805" s="5"/>
      <c r="L1805" s="7"/>
      <c r="M1805" s="7"/>
      <c r="O1805" s="5"/>
      <c r="P1805" s="5"/>
    </row>
    <row r="1806" spans="2:16" x14ac:dyDescent="0.25">
      <c r="B1806" s="90">
        <v>1255</v>
      </c>
      <c r="C1806" s="91">
        <v>0.25177063683019729</v>
      </c>
      <c r="D1806" s="92">
        <v>296</v>
      </c>
      <c r="G1806" s="5"/>
      <c r="H1806" s="5"/>
      <c r="L1806" s="7"/>
      <c r="M1806" s="7"/>
      <c r="O1806" s="5"/>
      <c r="P1806" s="5"/>
    </row>
    <row r="1807" spans="2:16" x14ac:dyDescent="0.25">
      <c r="B1807" s="90">
        <v>51</v>
      </c>
      <c r="C1807" s="91">
        <v>0.4725854038582934</v>
      </c>
      <c r="D1807" s="92">
        <v>297</v>
      </c>
      <c r="G1807" s="5"/>
      <c r="H1807" s="5"/>
      <c r="L1807" s="7"/>
      <c r="M1807" s="7"/>
      <c r="O1807" s="5"/>
      <c r="P1807" s="5"/>
    </row>
    <row r="1808" spans="2:16" x14ac:dyDescent="0.25">
      <c r="B1808" s="90">
        <v>871</v>
      </c>
      <c r="C1808" s="91">
        <v>0.4725854038582934</v>
      </c>
      <c r="D1808" s="92">
        <v>297</v>
      </c>
      <c r="G1808" s="5"/>
      <c r="H1808" s="5"/>
      <c r="L1808" s="7"/>
      <c r="M1808" s="7"/>
      <c r="O1808" s="5"/>
      <c r="P1808" s="5"/>
    </row>
    <row r="1809" spans="2:16" x14ac:dyDescent="0.25">
      <c r="B1809" s="90">
        <v>897</v>
      </c>
      <c r="C1809" s="91">
        <v>0.14195176983951474</v>
      </c>
      <c r="D1809" s="92">
        <v>299</v>
      </c>
      <c r="G1809" s="5"/>
      <c r="H1809" s="5"/>
      <c r="L1809" s="7"/>
      <c r="M1809" s="7"/>
      <c r="O1809" s="5"/>
      <c r="P1809" s="5"/>
    </row>
    <row r="1810" spans="2:16" x14ac:dyDescent="0.25">
      <c r="B1810" s="90">
        <v>1043</v>
      </c>
      <c r="C1810" s="91">
        <v>0.14735778235885499</v>
      </c>
      <c r="D1810" s="92">
        <v>299</v>
      </c>
      <c r="G1810" s="5"/>
      <c r="H1810" s="5"/>
      <c r="L1810" s="7"/>
      <c r="M1810" s="7"/>
      <c r="O1810" s="5"/>
      <c r="P1810" s="5"/>
    </row>
    <row r="1811" spans="2:16" x14ac:dyDescent="0.25">
      <c r="B1811" s="90">
        <v>233</v>
      </c>
      <c r="C1811" s="91">
        <v>0.19915740021402262</v>
      </c>
      <c r="D1811" s="92">
        <v>299</v>
      </c>
      <c r="G1811" s="5"/>
      <c r="H1811" s="5"/>
      <c r="L1811" s="7"/>
      <c r="M1811" s="7"/>
      <c r="O1811" s="5"/>
      <c r="P1811" s="5"/>
    </row>
    <row r="1812" spans="2:16" x14ac:dyDescent="0.25">
      <c r="B1812" s="90">
        <v>1038</v>
      </c>
      <c r="C1812" s="91">
        <v>0.24380821461766833</v>
      </c>
      <c r="D1812" s="92">
        <v>299</v>
      </c>
      <c r="G1812" s="5"/>
      <c r="H1812" s="5"/>
      <c r="L1812" s="7"/>
      <c r="M1812" s="7"/>
      <c r="O1812" s="5"/>
      <c r="P1812" s="5"/>
    </row>
    <row r="1813" spans="2:16" x14ac:dyDescent="0.25">
      <c r="B1813" s="90">
        <v>1131</v>
      </c>
      <c r="C1813" s="91">
        <v>0.25873111643875446</v>
      </c>
      <c r="D1813" s="92">
        <v>299</v>
      </c>
      <c r="G1813" s="5"/>
      <c r="H1813" s="5"/>
      <c r="L1813" s="7"/>
      <c r="M1813" s="7"/>
      <c r="O1813" s="5"/>
      <c r="P1813" s="5"/>
    </row>
    <row r="1814" spans="2:16" x14ac:dyDescent="0.25">
      <c r="B1814" s="90">
        <v>1085</v>
      </c>
      <c r="C1814" s="91">
        <v>0.2643997126056028</v>
      </c>
      <c r="D1814" s="92">
        <v>299</v>
      </c>
      <c r="G1814" s="5"/>
      <c r="H1814" s="5"/>
      <c r="L1814" s="7"/>
      <c r="M1814" s="7"/>
      <c r="O1814" s="5"/>
      <c r="P1814" s="5"/>
    </row>
    <row r="1815" spans="2:16" x14ac:dyDescent="0.25">
      <c r="B1815" s="90">
        <v>1763</v>
      </c>
      <c r="C1815" s="91">
        <v>0.43540721608122968</v>
      </c>
      <c r="D1815" s="92">
        <v>299</v>
      </c>
      <c r="G1815" s="5"/>
      <c r="H1815" s="5"/>
      <c r="L1815" s="7"/>
      <c r="M1815" s="7"/>
      <c r="O1815" s="5"/>
      <c r="P1815" s="5"/>
    </row>
    <row r="1816" spans="2:16" x14ac:dyDescent="0.25">
      <c r="B1816" s="90">
        <v>30</v>
      </c>
      <c r="C1816" s="91">
        <v>8.1414166973141411E-2</v>
      </c>
      <c r="D1816" s="92">
        <v>300</v>
      </c>
      <c r="G1816" s="5"/>
      <c r="H1816" s="5"/>
      <c r="L1816" s="7"/>
      <c r="M1816" s="7"/>
      <c r="O1816" s="5"/>
      <c r="P1816" s="5"/>
    </row>
    <row r="1817" spans="2:16" x14ac:dyDescent="0.25">
      <c r="B1817" s="90">
        <v>1711</v>
      </c>
      <c r="C1817" s="91">
        <v>8.1414166973141411E-2</v>
      </c>
      <c r="D1817" s="92">
        <v>300</v>
      </c>
      <c r="G1817" s="5"/>
      <c r="H1817" s="5"/>
      <c r="L1817" s="7"/>
      <c r="M1817" s="7"/>
      <c r="O1817" s="5"/>
      <c r="P1817" s="5"/>
    </row>
    <row r="1818" spans="2:16" x14ac:dyDescent="0.25">
      <c r="B1818" s="90">
        <v>896</v>
      </c>
      <c r="C1818" s="91">
        <v>0.12869143208048595</v>
      </c>
      <c r="D1818" s="92">
        <v>300</v>
      </c>
      <c r="G1818" s="5"/>
      <c r="H1818" s="5"/>
      <c r="L1818" s="7"/>
      <c r="M1818" s="7"/>
      <c r="O1818" s="5"/>
      <c r="P1818" s="5"/>
    </row>
    <row r="1819" spans="2:16" x14ac:dyDescent="0.25">
      <c r="B1819" s="90">
        <v>687</v>
      </c>
      <c r="C1819" s="91">
        <v>0.13408421491386302</v>
      </c>
      <c r="D1819" s="92">
        <v>300</v>
      </c>
      <c r="G1819" s="5"/>
      <c r="H1819" s="5"/>
      <c r="L1819" s="7"/>
      <c r="M1819" s="7"/>
      <c r="O1819" s="5"/>
      <c r="P1819" s="5"/>
    </row>
    <row r="1820" spans="2:16" x14ac:dyDescent="0.25">
      <c r="B1820" s="90">
        <v>632</v>
      </c>
      <c r="C1820" s="91">
        <v>0.13450652806711472</v>
      </c>
      <c r="D1820" s="92">
        <v>300</v>
      </c>
      <c r="G1820" s="5"/>
      <c r="H1820" s="5"/>
      <c r="L1820" s="7"/>
      <c r="M1820" s="7"/>
      <c r="O1820" s="5"/>
      <c r="P1820" s="5"/>
    </row>
    <row r="1821" spans="2:16" x14ac:dyDescent="0.25">
      <c r="B1821" s="90">
        <v>794</v>
      </c>
      <c r="C1821" s="91">
        <v>0.1376304742917096</v>
      </c>
      <c r="D1821" s="92">
        <v>300</v>
      </c>
      <c r="G1821" s="5"/>
      <c r="H1821" s="5"/>
      <c r="L1821" s="7"/>
      <c r="M1821" s="7"/>
      <c r="O1821" s="5"/>
      <c r="P1821" s="5"/>
    </row>
    <row r="1822" spans="2:16" x14ac:dyDescent="0.25">
      <c r="B1822" s="90">
        <v>576</v>
      </c>
      <c r="C1822" s="91">
        <v>0.13851305025497807</v>
      </c>
      <c r="D1822" s="92">
        <v>300</v>
      </c>
      <c r="G1822" s="5"/>
      <c r="H1822" s="5"/>
      <c r="L1822" s="7"/>
      <c r="M1822" s="7"/>
      <c r="O1822" s="5"/>
      <c r="P1822" s="5"/>
    </row>
    <row r="1823" spans="2:16" x14ac:dyDescent="0.25">
      <c r="B1823" s="90">
        <v>895</v>
      </c>
      <c r="C1823" s="91">
        <v>0.14090370118932816</v>
      </c>
      <c r="D1823" s="92">
        <v>300</v>
      </c>
      <c r="G1823" s="5"/>
      <c r="H1823" s="5"/>
      <c r="L1823" s="7"/>
      <c r="M1823" s="7"/>
      <c r="O1823" s="5"/>
      <c r="P1823" s="5"/>
    </row>
    <row r="1824" spans="2:16" x14ac:dyDescent="0.25">
      <c r="B1824" s="90">
        <v>741</v>
      </c>
      <c r="C1824" s="91">
        <v>0.14183005102468638</v>
      </c>
      <c r="D1824" s="92">
        <v>300</v>
      </c>
      <c r="G1824" s="5"/>
      <c r="H1824" s="5"/>
      <c r="L1824" s="7"/>
      <c r="M1824" s="7"/>
      <c r="O1824" s="5"/>
      <c r="P1824" s="5"/>
    </row>
    <row r="1825" spans="2:16" x14ac:dyDescent="0.25">
      <c r="B1825" s="90">
        <v>519</v>
      </c>
      <c r="C1825" s="91">
        <v>0.14807352652520667</v>
      </c>
      <c r="D1825" s="92">
        <v>300</v>
      </c>
      <c r="G1825" s="5"/>
      <c r="H1825" s="5"/>
      <c r="L1825" s="7"/>
      <c r="M1825" s="7"/>
      <c r="O1825" s="5"/>
      <c r="P1825" s="5"/>
    </row>
    <row r="1826" spans="2:16" x14ac:dyDescent="0.25">
      <c r="B1826" s="90">
        <v>993</v>
      </c>
      <c r="C1826" s="91">
        <v>0.20990412300684924</v>
      </c>
      <c r="D1826" s="92">
        <v>300</v>
      </c>
      <c r="G1826" s="5"/>
      <c r="H1826" s="5"/>
      <c r="L1826" s="7"/>
      <c r="M1826" s="7"/>
      <c r="O1826" s="5"/>
      <c r="P1826" s="5"/>
    </row>
    <row r="1827" spans="2:16" x14ac:dyDescent="0.25">
      <c r="B1827" s="90">
        <v>944</v>
      </c>
      <c r="C1827" s="91">
        <v>0.21371674058209544</v>
      </c>
      <c r="D1827" s="92">
        <v>300</v>
      </c>
      <c r="G1827" s="5"/>
      <c r="H1827" s="5"/>
      <c r="L1827" s="7"/>
      <c r="M1827" s="7"/>
      <c r="O1827" s="5"/>
      <c r="P1827" s="5"/>
    </row>
    <row r="1828" spans="2:16" x14ac:dyDescent="0.25">
      <c r="B1828" s="90">
        <v>1041</v>
      </c>
      <c r="C1828" s="91">
        <v>0.25485813817921898</v>
      </c>
      <c r="D1828" s="92">
        <v>300</v>
      </c>
      <c r="G1828" s="5"/>
      <c r="H1828" s="5"/>
      <c r="L1828" s="7"/>
      <c r="M1828" s="7"/>
      <c r="O1828" s="5"/>
      <c r="P1828" s="5"/>
    </row>
    <row r="1829" spans="2:16" x14ac:dyDescent="0.25">
      <c r="B1829" s="90">
        <v>1088</v>
      </c>
      <c r="C1829" s="91">
        <v>0.27368487133019004</v>
      </c>
      <c r="D1829" s="92">
        <v>300</v>
      </c>
      <c r="G1829" s="5"/>
      <c r="H1829" s="5"/>
      <c r="L1829" s="7"/>
      <c r="M1829" s="7"/>
      <c r="O1829" s="5"/>
      <c r="P1829" s="5"/>
    </row>
    <row r="1830" spans="2:16" x14ac:dyDescent="0.25">
      <c r="B1830" s="90">
        <v>686</v>
      </c>
      <c r="C1830" s="91">
        <v>0.120591767205662</v>
      </c>
      <c r="D1830" s="92">
        <v>301</v>
      </c>
      <c r="G1830" s="5"/>
      <c r="H1830" s="5"/>
      <c r="L1830" s="7"/>
      <c r="M1830" s="7"/>
      <c r="O1830" s="5"/>
      <c r="P1830" s="5"/>
    </row>
    <row r="1831" spans="2:16" x14ac:dyDescent="0.25">
      <c r="B1831" s="90">
        <v>631</v>
      </c>
      <c r="C1831" s="91">
        <v>0.12089324979681981</v>
      </c>
      <c r="D1831" s="92">
        <v>301</v>
      </c>
      <c r="G1831" s="5"/>
      <c r="H1831" s="5"/>
      <c r="L1831" s="7"/>
      <c r="M1831" s="7"/>
      <c r="O1831" s="5"/>
      <c r="P1831" s="5"/>
    </row>
    <row r="1832" spans="2:16" x14ac:dyDescent="0.25">
      <c r="B1832" s="90">
        <v>793</v>
      </c>
      <c r="C1832" s="91">
        <v>0.12404317285257993</v>
      </c>
      <c r="D1832" s="92">
        <v>301</v>
      </c>
      <c r="G1832" s="5"/>
      <c r="H1832" s="5"/>
      <c r="L1832" s="7"/>
      <c r="M1832" s="7"/>
      <c r="O1832" s="5"/>
      <c r="P1832" s="5"/>
    </row>
    <row r="1833" spans="2:16" x14ac:dyDescent="0.25">
      <c r="B1833" s="90">
        <v>685</v>
      </c>
      <c r="C1833" s="91">
        <v>0.1347467770188493</v>
      </c>
      <c r="D1833" s="92">
        <v>301</v>
      </c>
      <c r="G1833" s="5"/>
      <c r="H1833" s="5"/>
      <c r="L1833" s="7"/>
      <c r="M1833" s="7"/>
      <c r="O1833" s="5"/>
      <c r="P1833" s="5"/>
    </row>
    <row r="1834" spans="2:16" x14ac:dyDescent="0.25">
      <c r="B1834" s="90">
        <v>1372</v>
      </c>
      <c r="C1834" s="91">
        <v>0.40403460872030683</v>
      </c>
      <c r="D1834" s="92">
        <v>301</v>
      </c>
      <c r="G1834" s="5"/>
      <c r="H1834" s="5"/>
      <c r="L1834" s="7"/>
      <c r="M1834" s="7"/>
      <c r="O1834" s="5"/>
      <c r="P1834" s="5"/>
    </row>
    <row r="1835" spans="2:16" x14ac:dyDescent="0.25">
      <c r="B1835" s="90">
        <v>618</v>
      </c>
      <c r="C1835" s="91">
        <v>0.29635335655877548</v>
      </c>
      <c r="D1835" s="92">
        <v>302</v>
      </c>
      <c r="G1835" s="5"/>
      <c r="H1835" s="5"/>
      <c r="L1835" s="7"/>
      <c r="M1835" s="7"/>
      <c r="O1835" s="5"/>
      <c r="P1835" s="5"/>
    </row>
    <row r="1836" spans="2:16" x14ac:dyDescent="0.25">
      <c r="B1836" s="90">
        <v>673</v>
      </c>
      <c r="C1836" s="91">
        <v>0.29737794629500702</v>
      </c>
      <c r="D1836" s="92">
        <v>302</v>
      </c>
      <c r="G1836" s="5"/>
      <c r="H1836" s="5"/>
      <c r="L1836" s="7"/>
      <c r="M1836" s="7"/>
      <c r="O1836" s="5"/>
      <c r="P1836" s="5"/>
    </row>
    <row r="1837" spans="2:16" x14ac:dyDescent="0.25">
      <c r="B1837" s="90">
        <v>562</v>
      </c>
      <c r="C1837" s="91">
        <v>0.3001428524149008</v>
      </c>
      <c r="D1837" s="92">
        <v>302</v>
      </c>
      <c r="G1837" s="5"/>
      <c r="H1837" s="5"/>
      <c r="L1837" s="7"/>
      <c r="M1837" s="7"/>
      <c r="O1837" s="5"/>
      <c r="P1837" s="5"/>
    </row>
    <row r="1838" spans="2:16" x14ac:dyDescent="0.25">
      <c r="B1838" s="90">
        <v>418</v>
      </c>
      <c r="C1838" s="91">
        <v>0.23345765394966345</v>
      </c>
      <c r="D1838" s="92">
        <v>303</v>
      </c>
      <c r="G1838" s="5"/>
      <c r="H1838" s="5"/>
      <c r="L1838" s="7"/>
      <c r="M1838" s="7"/>
      <c r="O1838" s="5"/>
      <c r="P1838" s="5"/>
    </row>
    <row r="1839" spans="2:16" x14ac:dyDescent="0.25">
      <c r="B1839" s="90">
        <v>477</v>
      </c>
      <c r="C1839" s="91">
        <v>0.24086075709091159</v>
      </c>
      <c r="D1839" s="92">
        <v>303</v>
      </c>
      <c r="G1839" s="5"/>
      <c r="H1839" s="5"/>
      <c r="L1839" s="7"/>
      <c r="M1839" s="7"/>
      <c r="O1839" s="5"/>
      <c r="P1839" s="5"/>
    </row>
    <row r="1840" spans="2:16" x14ac:dyDescent="0.25">
      <c r="B1840" s="90">
        <v>232</v>
      </c>
      <c r="C1840" s="91">
        <v>0.16496184138585013</v>
      </c>
      <c r="D1840" s="92">
        <v>304</v>
      </c>
      <c r="G1840" s="5"/>
      <c r="H1840" s="5"/>
      <c r="L1840" s="7"/>
      <c r="M1840" s="7"/>
      <c r="O1840" s="5"/>
      <c r="P1840" s="5"/>
    </row>
    <row r="1841" spans="2:16" x14ac:dyDescent="0.25">
      <c r="B1841" s="90">
        <v>357</v>
      </c>
      <c r="C1841" s="91">
        <v>0.19917116278011238</v>
      </c>
      <c r="D1841" s="92">
        <v>305</v>
      </c>
      <c r="G1841" s="5"/>
      <c r="H1841" s="5"/>
      <c r="L1841" s="7"/>
      <c r="M1841" s="7"/>
      <c r="O1841" s="5"/>
      <c r="P1841" s="5"/>
    </row>
    <row r="1842" spans="2:16" x14ac:dyDescent="0.25">
      <c r="B1842" s="90">
        <v>296</v>
      </c>
      <c r="C1842" s="91">
        <v>0.20645314623868272</v>
      </c>
      <c r="D1842" s="92">
        <v>305</v>
      </c>
      <c r="G1842" s="5"/>
      <c r="H1842" s="5"/>
      <c r="L1842" s="7"/>
      <c r="M1842" s="7"/>
      <c r="O1842" s="5"/>
      <c r="P1842" s="5"/>
    </row>
    <row r="1843" spans="2:16" x14ac:dyDescent="0.25">
      <c r="B1843" s="90">
        <v>1355</v>
      </c>
      <c r="C1843" s="91">
        <v>0.29587782577035449</v>
      </c>
      <c r="D1843" s="92">
        <v>305</v>
      </c>
      <c r="G1843" s="5"/>
      <c r="H1843" s="5"/>
      <c r="L1843" s="7"/>
      <c r="M1843" s="7"/>
      <c r="O1843" s="5"/>
      <c r="P1843" s="5"/>
    </row>
    <row r="1844" spans="2:16" x14ac:dyDescent="0.25">
      <c r="B1844" s="90">
        <v>238</v>
      </c>
      <c r="C1844" s="91">
        <v>0.31673126807181307</v>
      </c>
      <c r="D1844" s="92">
        <v>305</v>
      </c>
      <c r="G1844" s="5"/>
      <c r="H1844" s="5"/>
      <c r="L1844" s="7"/>
      <c r="M1844" s="7"/>
      <c r="O1844" s="5"/>
      <c r="P1844" s="5"/>
    </row>
    <row r="1845" spans="2:16" x14ac:dyDescent="0.25">
      <c r="B1845" s="90">
        <v>1332</v>
      </c>
      <c r="C1845" s="91">
        <v>0.3553031081138085</v>
      </c>
      <c r="D1845" s="92">
        <v>305</v>
      </c>
      <c r="G1845" s="5"/>
      <c r="H1845" s="5"/>
      <c r="L1845" s="7"/>
      <c r="M1845" s="7"/>
      <c r="O1845" s="5"/>
      <c r="P1845" s="5"/>
    </row>
    <row r="1846" spans="2:16" x14ac:dyDescent="0.25">
      <c r="B1846" s="90">
        <v>178</v>
      </c>
      <c r="C1846" s="91">
        <v>0.41798277702613429</v>
      </c>
      <c r="D1846" s="92">
        <v>305</v>
      </c>
      <c r="G1846" s="5"/>
      <c r="H1846" s="5"/>
      <c r="L1846" s="7"/>
      <c r="M1846" s="7"/>
      <c r="O1846" s="5"/>
      <c r="P1846" s="5"/>
    </row>
    <row r="1847" spans="2:16" x14ac:dyDescent="0.25">
      <c r="B1847" s="90">
        <v>683</v>
      </c>
      <c r="C1847" s="91">
        <v>0.17256952803917502</v>
      </c>
      <c r="D1847" s="92">
        <v>307</v>
      </c>
      <c r="G1847" s="5"/>
      <c r="H1847" s="5"/>
      <c r="L1847" s="7"/>
      <c r="M1847" s="7"/>
      <c r="O1847" s="5"/>
      <c r="P1847" s="5"/>
    </row>
    <row r="1848" spans="2:16" x14ac:dyDescent="0.25">
      <c r="B1848" s="90">
        <v>628</v>
      </c>
      <c r="C1848" s="91">
        <v>0.17264895469052477</v>
      </c>
      <c r="D1848" s="92">
        <v>307</v>
      </c>
      <c r="G1848" s="5"/>
      <c r="H1848" s="5"/>
      <c r="L1848" s="7"/>
      <c r="M1848" s="7"/>
      <c r="O1848" s="5"/>
      <c r="P1848" s="5"/>
    </row>
    <row r="1849" spans="2:16" x14ac:dyDescent="0.25">
      <c r="B1849" s="90">
        <v>680</v>
      </c>
      <c r="C1849" s="91">
        <v>0.21634496635699274</v>
      </c>
      <c r="D1849" s="92">
        <v>307</v>
      </c>
      <c r="G1849" s="5"/>
      <c r="H1849" s="5"/>
      <c r="L1849" s="7"/>
      <c r="M1849" s="7"/>
      <c r="O1849" s="5"/>
      <c r="P1849" s="5"/>
    </row>
    <row r="1850" spans="2:16" x14ac:dyDescent="0.25">
      <c r="B1850" s="90">
        <v>787</v>
      </c>
      <c r="C1850" s="91">
        <v>0.21777680034841995</v>
      </c>
      <c r="D1850" s="92">
        <v>307</v>
      </c>
      <c r="G1850" s="5"/>
      <c r="H1850" s="5"/>
      <c r="L1850" s="7"/>
      <c r="M1850" s="7"/>
      <c r="O1850" s="5"/>
      <c r="P1850" s="5"/>
    </row>
    <row r="1851" spans="2:16" x14ac:dyDescent="0.25">
      <c r="B1851" s="90">
        <v>890</v>
      </c>
      <c r="C1851" s="91">
        <v>0.22044098947039426</v>
      </c>
      <c r="D1851" s="92">
        <v>307</v>
      </c>
      <c r="G1851" s="5"/>
      <c r="H1851" s="5"/>
      <c r="L1851" s="7"/>
      <c r="M1851" s="7"/>
      <c r="O1851" s="5"/>
      <c r="P1851" s="5"/>
    </row>
    <row r="1852" spans="2:16" x14ac:dyDescent="0.25">
      <c r="B1852" s="90">
        <v>839</v>
      </c>
      <c r="C1852" s="91">
        <v>0.2249202640587229</v>
      </c>
      <c r="D1852" s="92">
        <v>307</v>
      </c>
      <c r="G1852" s="5"/>
      <c r="H1852" s="5"/>
      <c r="L1852" s="7"/>
      <c r="M1852" s="7"/>
      <c r="O1852" s="5"/>
      <c r="P1852" s="5"/>
    </row>
    <row r="1853" spans="2:16" x14ac:dyDescent="0.25">
      <c r="B1853" s="90">
        <v>239</v>
      </c>
      <c r="C1853" s="91">
        <v>0.32001727951813486</v>
      </c>
      <c r="D1853" s="92">
        <v>308</v>
      </c>
      <c r="G1853" s="5"/>
      <c r="H1853" s="5"/>
      <c r="L1853" s="7"/>
      <c r="M1853" s="7"/>
      <c r="O1853" s="5"/>
      <c r="P1853" s="5"/>
    </row>
    <row r="1854" spans="2:16" x14ac:dyDescent="0.25">
      <c r="B1854" s="90">
        <v>398</v>
      </c>
      <c r="C1854" s="91">
        <v>0.20416043032027842</v>
      </c>
      <c r="D1854" s="92">
        <v>309</v>
      </c>
      <c r="G1854" s="5"/>
      <c r="H1854" s="5"/>
      <c r="L1854" s="7"/>
      <c r="M1854" s="7"/>
      <c r="O1854" s="5"/>
      <c r="P1854" s="5"/>
    </row>
    <row r="1855" spans="2:16" x14ac:dyDescent="0.25">
      <c r="B1855" s="90">
        <v>215</v>
      </c>
      <c r="C1855" s="91">
        <v>0.25343086046814123</v>
      </c>
      <c r="D1855" s="92">
        <v>309</v>
      </c>
      <c r="G1855" s="5"/>
      <c r="H1855" s="5"/>
      <c r="L1855" s="7"/>
      <c r="M1855" s="7"/>
      <c r="O1855" s="5"/>
      <c r="P1855" s="5"/>
    </row>
    <row r="1856" spans="2:16" x14ac:dyDescent="0.25">
      <c r="B1856" s="90">
        <v>991</v>
      </c>
      <c r="C1856" s="91">
        <v>0.25924567028638013</v>
      </c>
      <c r="D1856" s="92">
        <v>309</v>
      </c>
      <c r="G1856" s="5"/>
      <c r="H1856" s="5"/>
      <c r="L1856" s="7"/>
      <c r="M1856" s="7"/>
      <c r="O1856" s="5"/>
      <c r="P1856" s="5"/>
    </row>
    <row r="1857" spans="2:16" x14ac:dyDescent="0.25">
      <c r="B1857" s="90">
        <v>274</v>
      </c>
      <c r="C1857" s="91">
        <v>0.27140253956787208</v>
      </c>
      <c r="D1857" s="92">
        <v>309</v>
      </c>
      <c r="G1857" s="5"/>
      <c r="H1857" s="5"/>
      <c r="L1857" s="7"/>
      <c r="M1857" s="7"/>
      <c r="O1857" s="5"/>
      <c r="P1857" s="5"/>
    </row>
    <row r="1858" spans="2:16" x14ac:dyDescent="0.25">
      <c r="B1858" s="90">
        <v>942</v>
      </c>
      <c r="C1858" s="91">
        <v>0.27424762713841955</v>
      </c>
      <c r="D1858" s="92">
        <v>309</v>
      </c>
      <c r="G1858" s="5"/>
      <c r="H1858" s="5"/>
      <c r="L1858" s="7"/>
      <c r="M1858" s="7"/>
      <c r="O1858" s="5"/>
      <c r="P1858" s="5"/>
    </row>
    <row r="1859" spans="2:16" x14ac:dyDescent="0.25">
      <c r="B1859" s="90">
        <v>335</v>
      </c>
      <c r="C1859" s="91">
        <v>0.28000382154868597</v>
      </c>
      <c r="D1859" s="92">
        <v>309</v>
      </c>
      <c r="G1859" s="5"/>
      <c r="H1859" s="5"/>
      <c r="L1859" s="7"/>
      <c r="M1859" s="7"/>
      <c r="O1859" s="5"/>
      <c r="P1859" s="5"/>
    </row>
    <row r="1860" spans="2:16" x14ac:dyDescent="0.25">
      <c r="B1860" s="90">
        <v>892</v>
      </c>
      <c r="C1860" s="91">
        <v>0.29693059856193083</v>
      </c>
      <c r="D1860" s="92">
        <v>309</v>
      </c>
      <c r="G1860" s="5"/>
      <c r="H1860" s="5"/>
      <c r="L1860" s="7"/>
      <c r="M1860" s="7"/>
      <c r="O1860" s="5"/>
      <c r="P1860" s="5"/>
    </row>
    <row r="1861" spans="2:16" x14ac:dyDescent="0.25">
      <c r="B1861" s="90">
        <v>841</v>
      </c>
      <c r="C1861" s="91">
        <v>0.30315853033204787</v>
      </c>
      <c r="D1861" s="92">
        <v>309</v>
      </c>
      <c r="G1861" s="5"/>
      <c r="H1861" s="5"/>
      <c r="L1861" s="7"/>
      <c r="M1861" s="7"/>
      <c r="O1861" s="5"/>
      <c r="P1861" s="5"/>
    </row>
    <row r="1862" spans="2:16" x14ac:dyDescent="0.25">
      <c r="B1862" s="90">
        <v>114</v>
      </c>
      <c r="C1862" s="91">
        <v>0.42074845357350421</v>
      </c>
      <c r="D1862" s="92">
        <v>309</v>
      </c>
      <c r="G1862" s="5"/>
      <c r="H1862" s="5"/>
      <c r="L1862" s="7"/>
      <c r="M1862" s="7"/>
      <c r="O1862" s="5"/>
      <c r="P1862" s="5"/>
    </row>
    <row r="1863" spans="2:16" x14ac:dyDescent="0.25">
      <c r="B1863" s="90">
        <v>1353</v>
      </c>
      <c r="C1863" s="91">
        <v>0.31886231628356576</v>
      </c>
      <c r="D1863" s="92">
        <v>311</v>
      </c>
      <c r="G1863" s="5"/>
      <c r="H1863" s="5"/>
      <c r="L1863" s="7"/>
      <c r="M1863" s="7"/>
      <c r="O1863" s="5"/>
      <c r="P1863" s="5"/>
    </row>
    <row r="1864" spans="2:16" x14ac:dyDescent="0.25">
      <c r="B1864" s="90">
        <v>1206</v>
      </c>
      <c r="C1864" s="91">
        <v>0.4088368173010748</v>
      </c>
      <c r="D1864" s="92">
        <v>312</v>
      </c>
      <c r="G1864" s="5"/>
      <c r="H1864" s="5"/>
      <c r="L1864" s="7"/>
      <c r="M1864" s="7"/>
      <c r="O1864" s="5"/>
      <c r="P1864" s="5"/>
    </row>
    <row r="1865" spans="2:16" x14ac:dyDescent="0.25">
      <c r="B1865" s="90">
        <v>679</v>
      </c>
      <c r="C1865" s="91">
        <v>0.19964463399009436</v>
      </c>
      <c r="D1865" s="92">
        <v>313</v>
      </c>
      <c r="G1865" s="5"/>
      <c r="H1865" s="5"/>
      <c r="L1865" s="7"/>
      <c r="M1865" s="7"/>
      <c r="O1865" s="5"/>
      <c r="P1865" s="5"/>
    </row>
    <row r="1866" spans="2:16" x14ac:dyDescent="0.25">
      <c r="B1866" s="90">
        <v>786</v>
      </c>
      <c r="C1866" s="91">
        <v>0.20137969081139984</v>
      </c>
      <c r="D1866" s="92">
        <v>313</v>
      </c>
      <c r="G1866" s="5"/>
      <c r="H1866" s="5"/>
      <c r="L1866" s="7"/>
      <c r="M1866" s="7"/>
      <c r="O1866" s="5"/>
      <c r="P1866" s="5"/>
    </row>
    <row r="1867" spans="2:16" x14ac:dyDescent="0.25">
      <c r="B1867" s="90">
        <v>933</v>
      </c>
      <c r="C1867" s="91">
        <v>0.29392354486987382</v>
      </c>
      <c r="D1867" s="92">
        <v>313</v>
      </c>
      <c r="G1867" s="5"/>
      <c r="H1867" s="5"/>
      <c r="L1867" s="7"/>
      <c r="M1867" s="7"/>
      <c r="O1867" s="5"/>
      <c r="P1867" s="5"/>
    </row>
    <row r="1868" spans="2:16" x14ac:dyDescent="0.25">
      <c r="B1868" s="90">
        <v>267</v>
      </c>
      <c r="C1868" s="91">
        <v>0.33869821237658004</v>
      </c>
      <c r="D1868" s="92">
        <v>313</v>
      </c>
      <c r="G1868" s="5"/>
      <c r="H1868" s="5"/>
      <c r="L1868" s="7"/>
      <c r="M1868" s="7"/>
      <c r="O1868" s="5"/>
      <c r="P1868" s="5"/>
    </row>
    <row r="1869" spans="2:16" x14ac:dyDescent="0.25">
      <c r="B1869" s="90">
        <v>1105</v>
      </c>
      <c r="C1869" s="91">
        <v>0.12893202393901437</v>
      </c>
      <c r="D1869" s="92">
        <v>314</v>
      </c>
      <c r="G1869" s="5"/>
      <c r="H1869" s="5"/>
      <c r="L1869" s="7"/>
      <c r="M1869" s="7"/>
      <c r="O1869" s="5"/>
      <c r="P1869" s="5"/>
    </row>
    <row r="1870" spans="2:16" x14ac:dyDescent="0.25">
      <c r="B1870" s="90">
        <v>1580</v>
      </c>
      <c r="C1870" s="91">
        <v>0.35483550980240564</v>
      </c>
      <c r="D1870" s="92">
        <v>314</v>
      </c>
      <c r="G1870" s="5"/>
      <c r="H1870" s="5"/>
      <c r="L1870" s="7"/>
      <c r="M1870" s="7"/>
      <c r="O1870" s="5"/>
      <c r="P1870" s="5"/>
    </row>
    <row r="1871" spans="2:16" x14ac:dyDescent="0.25">
      <c r="B1871" s="90">
        <v>231</v>
      </c>
      <c r="C1871" s="91">
        <v>0.15728784359112502</v>
      </c>
      <c r="D1871" s="92">
        <v>315</v>
      </c>
      <c r="G1871" s="5"/>
      <c r="H1871" s="5"/>
      <c r="L1871" s="7"/>
      <c r="M1871" s="7"/>
      <c r="O1871" s="5"/>
      <c r="P1871" s="5"/>
    </row>
    <row r="1872" spans="2:16" x14ac:dyDescent="0.25">
      <c r="B1872" s="90">
        <v>889</v>
      </c>
      <c r="C1872" s="91">
        <v>0.20506207017433753</v>
      </c>
      <c r="D1872" s="92">
        <v>315</v>
      </c>
      <c r="G1872" s="5"/>
      <c r="H1872" s="5"/>
      <c r="L1872" s="7"/>
      <c r="M1872" s="7"/>
      <c r="O1872" s="5"/>
      <c r="P1872" s="5"/>
    </row>
    <row r="1873" spans="2:16" x14ac:dyDescent="0.25">
      <c r="B1873" s="90">
        <v>990</v>
      </c>
      <c r="C1873" s="91">
        <v>0.20651223208351865</v>
      </c>
      <c r="D1873" s="92">
        <v>315</v>
      </c>
      <c r="G1873" s="5"/>
      <c r="H1873" s="5"/>
      <c r="L1873" s="7"/>
      <c r="M1873" s="7"/>
      <c r="O1873" s="5"/>
      <c r="P1873" s="5"/>
    </row>
    <row r="1874" spans="2:16" x14ac:dyDescent="0.25">
      <c r="B1874" s="90">
        <v>838</v>
      </c>
      <c r="C1874" s="91">
        <v>0.208982866254944</v>
      </c>
      <c r="D1874" s="92">
        <v>315</v>
      </c>
      <c r="G1874" s="5"/>
      <c r="H1874" s="5"/>
      <c r="L1874" s="7"/>
      <c r="M1874" s="7"/>
      <c r="O1874" s="5"/>
      <c r="P1874" s="5"/>
    </row>
    <row r="1875" spans="2:16" x14ac:dyDescent="0.25">
      <c r="B1875" s="90">
        <v>941</v>
      </c>
      <c r="C1875" s="91">
        <v>0.22055632295449312</v>
      </c>
      <c r="D1875" s="92">
        <v>315</v>
      </c>
      <c r="G1875" s="5"/>
      <c r="H1875" s="5"/>
      <c r="L1875" s="7"/>
      <c r="M1875" s="7"/>
      <c r="O1875" s="5"/>
      <c r="P1875" s="5"/>
    </row>
    <row r="1876" spans="2:16" x14ac:dyDescent="0.25">
      <c r="B1876" s="90">
        <v>1184</v>
      </c>
      <c r="C1876" s="91">
        <v>0.2352192843287273</v>
      </c>
      <c r="D1876" s="92">
        <v>315</v>
      </c>
      <c r="G1876" s="5"/>
      <c r="H1876" s="5"/>
      <c r="L1876" s="7"/>
      <c r="M1876" s="7"/>
      <c r="O1876" s="5"/>
      <c r="P1876" s="5"/>
    </row>
    <row r="1877" spans="2:16" x14ac:dyDescent="0.25">
      <c r="B1877" s="90">
        <v>1183</v>
      </c>
      <c r="C1877" s="91">
        <v>0.23901291416253012</v>
      </c>
      <c r="D1877" s="92">
        <v>315</v>
      </c>
      <c r="G1877" s="5"/>
      <c r="H1877" s="5"/>
      <c r="L1877" s="7"/>
      <c r="M1877" s="7"/>
      <c r="O1877" s="5"/>
      <c r="P1877" s="5"/>
    </row>
    <row r="1878" spans="2:16" x14ac:dyDescent="0.25">
      <c r="B1878" s="90">
        <v>273</v>
      </c>
      <c r="C1878" s="91">
        <v>0.25233026402244385</v>
      </c>
      <c r="D1878" s="92">
        <v>315</v>
      </c>
      <c r="G1878" s="5"/>
      <c r="H1878" s="5"/>
      <c r="L1878" s="7"/>
      <c r="M1878" s="7"/>
      <c r="O1878" s="5"/>
      <c r="P1878" s="5"/>
    </row>
    <row r="1879" spans="2:16" x14ac:dyDescent="0.25">
      <c r="B1879" s="90">
        <v>334</v>
      </c>
      <c r="C1879" s="91">
        <v>0.26099225975661233</v>
      </c>
      <c r="D1879" s="92">
        <v>315</v>
      </c>
      <c r="G1879" s="5"/>
      <c r="H1879" s="5"/>
      <c r="L1879" s="7"/>
      <c r="M1879" s="7"/>
      <c r="O1879" s="5"/>
      <c r="P1879" s="5"/>
    </row>
    <row r="1880" spans="2:16" x14ac:dyDescent="0.25">
      <c r="B1880" s="90">
        <v>846</v>
      </c>
      <c r="C1880" s="91">
        <v>0.14539189179881329</v>
      </c>
      <c r="D1880" s="92">
        <v>317</v>
      </c>
      <c r="G1880" s="5"/>
      <c r="H1880" s="5"/>
      <c r="L1880" s="7"/>
      <c r="M1880" s="7"/>
      <c r="O1880" s="5"/>
      <c r="P1880" s="5"/>
    </row>
    <row r="1881" spans="2:16" x14ac:dyDescent="0.25">
      <c r="B1881" s="90">
        <v>1042</v>
      </c>
      <c r="C1881" s="91">
        <v>0.15415762145959122</v>
      </c>
      <c r="D1881" s="92">
        <v>317</v>
      </c>
      <c r="G1881" s="5"/>
      <c r="H1881" s="5"/>
      <c r="L1881" s="7"/>
      <c r="M1881" s="7"/>
      <c r="O1881" s="5"/>
      <c r="P1881" s="5"/>
    </row>
    <row r="1882" spans="2:16" x14ac:dyDescent="0.25">
      <c r="B1882" s="90">
        <v>461</v>
      </c>
      <c r="C1882" s="91">
        <v>0.15851008814618339</v>
      </c>
      <c r="D1882" s="92">
        <v>317</v>
      </c>
      <c r="G1882" s="5"/>
      <c r="H1882" s="5"/>
      <c r="L1882" s="7"/>
      <c r="M1882" s="7"/>
      <c r="O1882" s="5"/>
      <c r="P1882" s="5"/>
    </row>
    <row r="1883" spans="2:16" x14ac:dyDescent="0.25">
      <c r="B1883" s="90">
        <v>402</v>
      </c>
      <c r="C1883" s="91">
        <v>0.16457478489044552</v>
      </c>
      <c r="D1883" s="92">
        <v>317</v>
      </c>
      <c r="G1883" s="5"/>
      <c r="H1883" s="5"/>
      <c r="L1883" s="7"/>
      <c r="M1883" s="7"/>
      <c r="O1883" s="5"/>
      <c r="P1883" s="5"/>
    </row>
    <row r="1884" spans="2:16" x14ac:dyDescent="0.25">
      <c r="B1884" s="90">
        <v>280</v>
      </c>
      <c r="C1884" s="91">
        <v>0.16665781601517637</v>
      </c>
      <c r="D1884" s="92">
        <v>317</v>
      </c>
      <c r="G1884" s="5"/>
      <c r="H1884" s="5"/>
      <c r="L1884" s="7"/>
      <c r="M1884" s="7"/>
      <c r="O1884" s="5"/>
      <c r="P1884" s="5"/>
    </row>
    <row r="1885" spans="2:16" x14ac:dyDescent="0.25">
      <c r="B1885" s="90">
        <v>281</v>
      </c>
      <c r="C1885" s="91">
        <v>0.18133805723324392</v>
      </c>
      <c r="D1885" s="92">
        <v>317</v>
      </c>
      <c r="G1885" s="5"/>
      <c r="H1885" s="5"/>
      <c r="L1885" s="7"/>
      <c r="M1885" s="7"/>
      <c r="O1885" s="5"/>
      <c r="P1885" s="5"/>
    </row>
    <row r="1886" spans="2:16" x14ac:dyDescent="0.25">
      <c r="B1886" s="90">
        <v>342</v>
      </c>
      <c r="C1886" s="91">
        <v>0.18921334725425765</v>
      </c>
      <c r="D1886" s="92">
        <v>317</v>
      </c>
      <c r="G1886" s="5"/>
      <c r="H1886" s="5"/>
      <c r="L1886" s="7"/>
      <c r="M1886" s="7"/>
      <c r="O1886" s="5"/>
      <c r="P1886" s="5"/>
    </row>
    <row r="1887" spans="2:16" x14ac:dyDescent="0.25">
      <c r="B1887" s="90">
        <v>894</v>
      </c>
      <c r="C1887" s="91">
        <v>0.23542026551160644</v>
      </c>
      <c r="D1887" s="92">
        <v>317</v>
      </c>
      <c r="G1887" s="5"/>
      <c r="H1887" s="5"/>
      <c r="L1887" s="7"/>
      <c r="M1887" s="7"/>
      <c r="O1887" s="5"/>
      <c r="P1887" s="5"/>
    </row>
    <row r="1888" spans="2:16" x14ac:dyDescent="0.25">
      <c r="B1888" s="90">
        <v>891</v>
      </c>
      <c r="C1888" s="91">
        <v>0.24209779724391045</v>
      </c>
      <c r="D1888" s="92">
        <v>317</v>
      </c>
      <c r="G1888" s="5"/>
      <c r="H1888" s="5"/>
      <c r="L1888" s="7"/>
      <c r="M1888" s="7"/>
      <c r="O1888" s="5"/>
      <c r="P1888" s="5"/>
    </row>
    <row r="1889" spans="2:16" x14ac:dyDescent="0.25">
      <c r="B1889" s="90">
        <v>840</v>
      </c>
      <c r="C1889" s="91">
        <v>0.24699061049195636</v>
      </c>
      <c r="D1889" s="92">
        <v>317</v>
      </c>
      <c r="G1889" s="5"/>
      <c r="H1889" s="5"/>
      <c r="L1889" s="7"/>
      <c r="M1889" s="7"/>
      <c r="O1889" s="5"/>
      <c r="P1889" s="5"/>
    </row>
    <row r="1890" spans="2:16" x14ac:dyDescent="0.25">
      <c r="B1890" s="90">
        <v>336</v>
      </c>
      <c r="C1890" s="91">
        <v>0.30325787172911989</v>
      </c>
      <c r="D1890" s="92">
        <v>317</v>
      </c>
      <c r="G1890" s="5"/>
      <c r="H1890" s="5"/>
      <c r="L1890" s="7"/>
      <c r="M1890" s="7"/>
      <c r="O1890" s="5"/>
      <c r="P1890" s="5"/>
    </row>
    <row r="1891" spans="2:16" x14ac:dyDescent="0.25">
      <c r="B1891" s="90">
        <v>575</v>
      </c>
      <c r="C1891" s="91">
        <v>0.12483988142917202</v>
      </c>
      <c r="D1891" s="92">
        <v>318</v>
      </c>
      <c r="G1891" s="5"/>
      <c r="H1891" s="5"/>
      <c r="L1891" s="7"/>
      <c r="M1891" s="7"/>
      <c r="O1891" s="5"/>
      <c r="P1891" s="5"/>
    </row>
    <row r="1892" spans="2:16" x14ac:dyDescent="0.25">
      <c r="B1892" s="90">
        <v>740</v>
      </c>
      <c r="C1892" s="91">
        <v>0.12819015964065961</v>
      </c>
      <c r="D1892" s="92">
        <v>318</v>
      </c>
      <c r="G1892" s="5"/>
      <c r="H1892" s="5"/>
      <c r="L1892" s="7"/>
      <c r="M1892" s="7"/>
      <c r="O1892" s="5"/>
      <c r="P1892" s="5"/>
    </row>
    <row r="1893" spans="2:16" x14ac:dyDescent="0.25">
      <c r="B1893" s="90">
        <v>845</v>
      </c>
      <c r="C1893" s="91">
        <v>0.13184879875583433</v>
      </c>
      <c r="D1893" s="92">
        <v>318</v>
      </c>
      <c r="G1893" s="5"/>
      <c r="H1893" s="5"/>
      <c r="L1893" s="7"/>
      <c r="M1893" s="7"/>
      <c r="O1893" s="5"/>
      <c r="P1893" s="5"/>
    </row>
    <row r="1894" spans="2:16" x14ac:dyDescent="0.25">
      <c r="B1894" s="90">
        <v>630</v>
      </c>
      <c r="C1894" s="91">
        <v>0.13514964013519437</v>
      </c>
      <c r="D1894" s="92">
        <v>318</v>
      </c>
      <c r="G1894" s="5"/>
      <c r="H1894" s="5"/>
      <c r="L1894" s="7"/>
      <c r="M1894" s="7"/>
      <c r="O1894" s="5"/>
      <c r="P1894" s="5"/>
    </row>
    <row r="1895" spans="2:16" x14ac:dyDescent="0.25">
      <c r="B1895" s="90">
        <v>792</v>
      </c>
      <c r="C1895" s="91">
        <v>0.13730520431983306</v>
      </c>
      <c r="D1895" s="92">
        <v>318</v>
      </c>
      <c r="G1895" s="5"/>
      <c r="H1895" s="5"/>
      <c r="L1895" s="7"/>
      <c r="M1895" s="7"/>
      <c r="O1895" s="5"/>
      <c r="P1895" s="5"/>
    </row>
    <row r="1896" spans="2:16" x14ac:dyDescent="0.25">
      <c r="B1896" s="90">
        <v>574</v>
      </c>
      <c r="C1896" s="91">
        <v>0.13933948988223732</v>
      </c>
      <c r="D1896" s="92">
        <v>318</v>
      </c>
      <c r="G1896" s="5"/>
      <c r="H1896" s="5"/>
      <c r="L1896" s="7"/>
      <c r="M1896" s="7"/>
      <c r="O1896" s="5"/>
      <c r="P1896" s="5"/>
    </row>
    <row r="1897" spans="2:16" x14ac:dyDescent="0.25">
      <c r="B1897" s="90">
        <v>739</v>
      </c>
      <c r="C1897" s="91">
        <v>0.14174727435680223</v>
      </c>
      <c r="D1897" s="92">
        <v>318</v>
      </c>
      <c r="G1897" s="5"/>
      <c r="H1897" s="5"/>
      <c r="L1897" s="7"/>
      <c r="M1897" s="7"/>
      <c r="O1897" s="5"/>
      <c r="P1897" s="5"/>
    </row>
    <row r="1898" spans="2:16" x14ac:dyDescent="0.25">
      <c r="B1898" s="90">
        <v>844</v>
      </c>
      <c r="C1898" s="91">
        <v>0.14438567069469155</v>
      </c>
      <c r="D1898" s="92">
        <v>318</v>
      </c>
      <c r="G1898" s="5"/>
      <c r="H1898" s="5"/>
      <c r="L1898" s="7"/>
      <c r="M1898" s="7"/>
      <c r="O1898" s="5"/>
      <c r="P1898" s="5"/>
    </row>
    <row r="1899" spans="2:16" x14ac:dyDescent="0.25">
      <c r="B1899" s="90">
        <v>517</v>
      </c>
      <c r="C1899" s="91">
        <v>0.14843796061101555</v>
      </c>
      <c r="D1899" s="92">
        <v>318</v>
      </c>
      <c r="G1899" s="5"/>
      <c r="H1899" s="5"/>
      <c r="L1899" s="7"/>
      <c r="M1899" s="7"/>
      <c r="O1899" s="5"/>
      <c r="P1899" s="5"/>
    </row>
    <row r="1900" spans="2:16" x14ac:dyDescent="0.25">
      <c r="B1900" s="90">
        <v>401</v>
      </c>
      <c r="C1900" s="91">
        <v>0.15024725235076919</v>
      </c>
      <c r="D1900" s="92">
        <v>318</v>
      </c>
      <c r="G1900" s="5"/>
      <c r="H1900" s="5"/>
      <c r="L1900" s="7"/>
      <c r="M1900" s="7"/>
      <c r="O1900" s="5"/>
      <c r="P1900" s="5"/>
    </row>
    <row r="1901" spans="2:16" x14ac:dyDescent="0.25">
      <c r="B1901" s="90">
        <v>459</v>
      </c>
      <c r="C1901" s="91">
        <v>0.15957054782210878</v>
      </c>
      <c r="D1901" s="92">
        <v>318</v>
      </c>
      <c r="G1901" s="5"/>
      <c r="H1901" s="5"/>
      <c r="L1901" s="7"/>
      <c r="M1901" s="7"/>
      <c r="O1901" s="5"/>
      <c r="P1901" s="5"/>
    </row>
    <row r="1902" spans="2:16" x14ac:dyDescent="0.25">
      <c r="B1902" s="90">
        <v>684</v>
      </c>
      <c r="C1902" s="91">
        <v>0.2286105147486539</v>
      </c>
      <c r="D1902" s="92">
        <v>318</v>
      </c>
      <c r="G1902" s="5"/>
      <c r="H1902" s="5"/>
      <c r="L1902" s="7"/>
      <c r="M1902" s="7"/>
      <c r="O1902" s="5"/>
      <c r="P1902" s="5"/>
    </row>
    <row r="1903" spans="2:16" x14ac:dyDescent="0.25">
      <c r="B1903" s="90">
        <v>629</v>
      </c>
      <c r="C1903" s="91">
        <v>0.22935151825968481</v>
      </c>
      <c r="D1903" s="92">
        <v>318</v>
      </c>
      <c r="G1903" s="5"/>
      <c r="H1903" s="5"/>
      <c r="L1903" s="7"/>
      <c r="M1903" s="7"/>
      <c r="O1903" s="5"/>
      <c r="P1903" s="5"/>
    </row>
    <row r="1904" spans="2:16" x14ac:dyDescent="0.25">
      <c r="B1904" s="90">
        <v>791</v>
      </c>
      <c r="C1904" s="91">
        <v>0.23215419107636004</v>
      </c>
      <c r="D1904" s="92">
        <v>318</v>
      </c>
      <c r="G1904" s="5"/>
      <c r="H1904" s="5"/>
      <c r="L1904" s="7"/>
      <c r="M1904" s="7"/>
      <c r="O1904" s="5"/>
      <c r="P1904" s="5"/>
    </row>
    <row r="1905" spans="2:16" x14ac:dyDescent="0.25">
      <c r="B1905" s="90">
        <v>573</v>
      </c>
      <c r="C1905" s="91">
        <v>0.23375988102881107</v>
      </c>
      <c r="D1905" s="92">
        <v>318</v>
      </c>
      <c r="G1905" s="5"/>
      <c r="H1905" s="5"/>
      <c r="L1905" s="7"/>
      <c r="M1905" s="7"/>
      <c r="O1905" s="5"/>
      <c r="P1905" s="5"/>
    </row>
    <row r="1906" spans="2:16" x14ac:dyDescent="0.25">
      <c r="B1906" s="90">
        <v>888</v>
      </c>
      <c r="C1906" s="91">
        <v>0.22852574248856117</v>
      </c>
      <c r="D1906" s="92">
        <v>319</v>
      </c>
      <c r="G1906" s="5"/>
      <c r="H1906" s="5"/>
      <c r="L1906" s="7"/>
      <c r="M1906" s="7"/>
      <c r="O1906" s="5"/>
      <c r="P1906" s="5"/>
    </row>
    <row r="1907" spans="2:16" x14ac:dyDescent="0.25">
      <c r="B1907" s="90">
        <v>837</v>
      </c>
      <c r="C1907" s="91">
        <v>0.23356877859140623</v>
      </c>
      <c r="D1907" s="92">
        <v>319</v>
      </c>
      <c r="G1907" s="5"/>
      <c r="H1907" s="5"/>
      <c r="L1907" s="7"/>
      <c r="M1907" s="7"/>
      <c r="O1907" s="5"/>
      <c r="P1907" s="5"/>
    </row>
    <row r="1908" spans="2:16" x14ac:dyDescent="0.25">
      <c r="B1908" s="90">
        <v>272</v>
      </c>
      <c r="C1908" s="91">
        <v>0.28325165061529334</v>
      </c>
      <c r="D1908" s="92">
        <v>319</v>
      </c>
      <c r="G1908" s="5"/>
      <c r="H1908" s="5"/>
      <c r="L1908" s="7"/>
      <c r="M1908" s="7"/>
      <c r="O1908" s="5"/>
      <c r="P1908" s="5"/>
    </row>
    <row r="1909" spans="2:16" x14ac:dyDescent="0.25">
      <c r="B1909" s="90">
        <v>1104</v>
      </c>
      <c r="C1909" s="91">
        <v>0.128614874328013</v>
      </c>
      <c r="D1909" s="92">
        <v>320</v>
      </c>
      <c r="G1909" s="5"/>
      <c r="H1909" s="5"/>
      <c r="L1909" s="7"/>
      <c r="M1909" s="7"/>
      <c r="O1909" s="5"/>
      <c r="P1909" s="5"/>
    </row>
    <row r="1910" spans="2:16" x14ac:dyDescent="0.25">
      <c r="B1910" s="90">
        <v>982</v>
      </c>
      <c r="C1910" s="91">
        <v>0.29405765306797904</v>
      </c>
      <c r="D1910" s="92">
        <v>320</v>
      </c>
      <c r="G1910" s="5"/>
      <c r="H1910" s="5"/>
      <c r="L1910" s="7"/>
      <c r="M1910" s="7"/>
      <c r="O1910" s="5"/>
      <c r="P1910" s="5"/>
    </row>
    <row r="1911" spans="2:16" x14ac:dyDescent="0.25">
      <c r="B1911" s="90">
        <v>780</v>
      </c>
      <c r="C1911" s="91">
        <v>0.30402878768488906</v>
      </c>
      <c r="D1911" s="92">
        <v>320</v>
      </c>
      <c r="G1911" s="5"/>
      <c r="H1911" s="5"/>
      <c r="L1911" s="7"/>
      <c r="M1911" s="7"/>
      <c r="O1911" s="5"/>
      <c r="P1911" s="5"/>
    </row>
    <row r="1912" spans="2:16" x14ac:dyDescent="0.25">
      <c r="B1912" s="90">
        <v>727</v>
      </c>
      <c r="C1912" s="91">
        <v>0.30799007099991638</v>
      </c>
      <c r="D1912" s="92">
        <v>320</v>
      </c>
      <c r="G1912" s="5"/>
      <c r="H1912" s="5"/>
      <c r="L1912" s="7"/>
      <c r="M1912" s="7"/>
      <c r="O1912" s="5"/>
      <c r="P1912" s="5"/>
    </row>
    <row r="1913" spans="2:16" x14ac:dyDescent="0.25">
      <c r="B1913" s="90">
        <v>505</v>
      </c>
      <c r="C1913" s="91">
        <v>0.30881626472401424</v>
      </c>
      <c r="D1913" s="92">
        <v>320</v>
      </c>
      <c r="G1913" s="5"/>
      <c r="H1913" s="5"/>
      <c r="L1913" s="7"/>
      <c r="M1913" s="7"/>
      <c r="O1913" s="5"/>
      <c r="P1913" s="5"/>
    </row>
    <row r="1914" spans="2:16" x14ac:dyDescent="0.25">
      <c r="B1914" s="90">
        <v>883</v>
      </c>
      <c r="C1914" s="91">
        <v>0.31587303216214013</v>
      </c>
      <c r="D1914" s="92">
        <v>320</v>
      </c>
      <c r="G1914" s="5"/>
      <c r="H1914" s="5"/>
      <c r="L1914" s="7"/>
      <c r="M1914" s="7"/>
      <c r="O1914" s="5"/>
      <c r="P1914" s="5"/>
    </row>
    <row r="1915" spans="2:16" x14ac:dyDescent="0.25">
      <c r="B1915" s="90">
        <v>832</v>
      </c>
      <c r="C1915" s="91">
        <v>0.31668747396330055</v>
      </c>
      <c r="D1915" s="92">
        <v>320</v>
      </c>
      <c r="G1915" s="5"/>
      <c r="H1915" s="5"/>
      <c r="L1915" s="7"/>
      <c r="M1915" s="7"/>
      <c r="O1915" s="5"/>
      <c r="P1915" s="5"/>
    </row>
    <row r="1916" spans="2:16" x14ac:dyDescent="0.25">
      <c r="B1916" s="90">
        <v>388</v>
      </c>
      <c r="C1916" s="91">
        <v>0.32403430454444049</v>
      </c>
      <c r="D1916" s="92">
        <v>320</v>
      </c>
      <c r="G1916" s="5"/>
      <c r="H1916" s="5"/>
      <c r="L1916" s="7"/>
      <c r="M1916" s="7"/>
      <c r="O1916" s="5"/>
      <c r="P1916" s="5"/>
    </row>
    <row r="1917" spans="2:16" x14ac:dyDescent="0.25">
      <c r="B1917" s="90">
        <v>1030</v>
      </c>
      <c r="C1917" s="91">
        <v>0.34148846382733877</v>
      </c>
      <c r="D1917" s="92">
        <v>320</v>
      </c>
      <c r="G1917" s="5"/>
      <c r="H1917" s="5"/>
      <c r="L1917" s="7"/>
      <c r="M1917" s="7"/>
      <c r="O1917" s="5"/>
      <c r="P1917" s="5"/>
    </row>
    <row r="1918" spans="2:16" x14ac:dyDescent="0.25">
      <c r="B1918" s="90">
        <v>358</v>
      </c>
      <c r="C1918" s="91">
        <v>0.20608711785817369</v>
      </c>
      <c r="D1918" s="92">
        <v>321</v>
      </c>
      <c r="G1918" s="5"/>
      <c r="H1918" s="5"/>
      <c r="L1918" s="7"/>
      <c r="M1918" s="7"/>
      <c r="O1918" s="5"/>
      <c r="P1918" s="5"/>
    </row>
    <row r="1919" spans="2:16" x14ac:dyDescent="0.25">
      <c r="B1919" s="90">
        <v>297</v>
      </c>
      <c r="C1919" s="91">
        <v>0.21274735288401236</v>
      </c>
      <c r="D1919" s="92">
        <v>321</v>
      </c>
      <c r="G1919" s="5"/>
      <c r="H1919" s="5"/>
      <c r="L1919" s="7"/>
      <c r="M1919" s="7"/>
      <c r="O1919" s="5"/>
      <c r="P1919" s="5"/>
    </row>
    <row r="1920" spans="2:16" x14ac:dyDescent="0.25">
      <c r="B1920" s="90">
        <v>333</v>
      </c>
      <c r="C1920" s="91">
        <v>0.29188766599777538</v>
      </c>
      <c r="D1920" s="92">
        <v>321</v>
      </c>
      <c r="G1920" s="5"/>
      <c r="H1920" s="5"/>
      <c r="L1920" s="7"/>
      <c r="M1920" s="7"/>
      <c r="O1920" s="5"/>
      <c r="P1920" s="5"/>
    </row>
    <row r="1921" spans="2:16" x14ac:dyDescent="0.25">
      <c r="B1921" s="90">
        <v>447</v>
      </c>
      <c r="C1921" s="91">
        <v>0.3176495359506839</v>
      </c>
      <c r="D1921" s="92">
        <v>322</v>
      </c>
      <c r="G1921" s="5"/>
      <c r="H1921" s="5"/>
      <c r="L1921" s="7"/>
      <c r="M1921" s="7"/>
      <c r="O1921" s="5"/>
      <c r="P1921" s="5"/>
    </row>
    <row r="1922" spans="2:16" x14ac:dyDescent="0.25">
      <c r="B1922" s="90">
        <v>950</v>
      </c>
      <c r="C1922" s="91">
        <v>0.19365174857051493</v>
      </c>
      <c r="D1922" s="92">
        <v>323</v>
      </c>
      <c r="G1922" s="5"/>
      <c r="H1922" s="5"/>
      <c r="L1922" s="7"/>
      <c r="M1922" s="7"/>
      <c r="O1922" s="5"/>
      <c r="P1922" s="5"/>
    </row>
    <row r="1923" spans="2:16" x14ac:dyDescent="0.25">
      <c r="B1923" s="90">
        <v>234</v>
      </c>
      <c r="C1923" s="91">
        <v>0.18722606774894535</v>
      </c>
      <c r="D1923" s="92">
        <v>324</v>
      </c>
      <c r="G1923" s="5"/>
      <c r="H1923" s="5"/>
      <c r="L1923" s="7"/>
      <c r="M1923" s="7"/>
      <c r="O1923" s="5"/>
      <c r="P1923" s="5"/>
    </row>
    <row r="1924" spans="2:16" x14ac:dyDescent="0.25">
      <c r="B1924" s="90">
        <v>572</v>
      </c>
      <c r="C1924" s="91">
        <v>0.17719041168440319</v>
      </c>
      <c r="D1924" s="92">
        <v>325</v>
      </c>
      <c r="G1924" s="5"/>
      <c r="H1924" s="5"/>
      <c r="L1924" s="7"/>
      <c r="M1924" s="7"/>
      <c r="O1924" s="5"/>
      <c r="P1924" s="5"/>
    </row>
    <row r="1925" spans="2:16" x14ac:dyDescent="0.25">
      <c r="B1925" s="90">
        <v>734</v>
      </c>
      <c r="C1925" s="91">
        <v>0.22310226199062622</v>
      </c>
      <c r="D1925" s="92">
        <v>325</v>
      </c>
      <c r="G1925" s="5"/>
      <c r="H1925" s="5"/>
      <c r="L1925" s="7"/>
      <c r="M1925" s="7"/>
      <c r="O1925" s="5"/>
      <c r="P1925" s="5"/>
    </row>
    <row r="1926" spans="2:16" x14ac:dyDescent="0.25">
      <c r="B1926" s="90">
        <v>395</v>
      </c>
      <c r="C1926" s="91">
        <v>0.25085915576663176</v>
      </c>
      <c r="D1926" s="92">
        <v>325</v>
      </c>
      <c r="G1926" s="5"/>
      <c r="H1926" s="5"/>
      <c r="L1926" s="7"/>
      <c r="M1926" s="7"/>
      <c r="O1926" s="5"/>
      <c r="P1926" s="5"/>
    </row>
    <row r="1927" spans="2:16" x14ac:dyDescent="0.25">
      <c r="B1927" s="90">
        <v>276</v>
      </c>
      <c r="C1927" s="91">
        <v>0.35827748947654303</v>
      </c>
      <c r="D1927" s="92">
        <v>326</v>
      </c>
      <c r="G1927" s="5"/>
      <c r="H1927" s="5"/>
      <c r="L1927" s="7"/>
      <c r="M1927" s="7"/>
      <c r="O1927" s="5"/>
      <c r="P1927" s="5"/>
    </row>
    <row r="1928" spans="2:16" x14ac:dyDescent="0.25">
      <c r="B1928" s="90">
        <v>515</v>
      </c>
      <c r="C1928" s="91">
        <v>0.18540886773664145</v>
      </c>
      <c r="D1928" s="92">
        <v>327</v>
      </c>
      <c r="G1928" s="5"/>
      <c r="H1928" s="5"/>
      <c r="L1928" s="7"/>
      <c r="M1928" s="7"/>
      <c r="O1928" s="5"/>
      <c r="P1928" s="5"/>
    </row>
    <row r="1929" spans="2:16" x14ac:dyDescent="0.25">
      <c r="B1929" s="90">
        <v>457</v>
      </c>
      <c r="C1929" s="91">
        <v>0.19754355363902643</v>
      </c>
      <c r="D1929" s="92">
        <v>327</v>
      </c>
      <c r="G1929" s="5"/>
      <c r="H1929" s="5"/>
      <c r="L1929" s="7"/>
      <c r="M1929" s="7"/>
      <c r="O1929" s="5"/>
      <c r="P1929" s="5"/>
    </row>
    <row r="1930" spans="2:16" x14ac:dyDescent="0.25">
      <c r="B1930" s="90">
        <v>113</v>
      </c>
      <c r="C1930" s="91">
        <v>0.34238753898828811</v>
      </c>
      <c r="D1930" s="92">
        <v>327</v>
      </c>
      <c r="G1930" s="5"/>
      <c r="H1930" s="5"/>
      <c r="L1930" s="7"/>
      <c r="M1930" s="7"/>
      <c r="O1930" s="5"/>
      <c r="P1930" s="5"/>
    </row>
    <row r="1931" spans="2:16" x14ac:dyDescent="0.25">
      <c r="B1931" s="90">
        <v>177</v>
      </c>
      <c r="C1931" s="91">
        <v>0.33814588202082918</v>
      </c>
      <c r="D1931" s="92">
        <v>328</v>
      </c>
      <c r="G1931" s="5"/>
      <c r="H1931" s="5"/>
      <c r="L1931" s="7"/>
      <c r="M1931" s="7"/>
      <c r="O1931" s="5"/>
      <c r="P1931" s="5"/>
    </row>
    <row r="1932" spans="2:16" x14ac:dyDescent="0.25">
      <c r="B1932" s="90">
        <v>518</v>
      </c>
      <c r="C1932" s="91">
        <v>0.13401440931309949</v>
      </c>
      <c r="D1932" s="92">
        <v>329</v>
      </c>
      <c r="G1932" s="5"/>
      <c r="H1932" s="5"/>
      <c r="L1932" s="7"/>
      <c r="M1932" s="7"/>
      <c r="O1932" s="5"/>
      <c r="P1932" s="5"/>
    </row>
    <row r="1933" spans="2:16" x14ac:dyDescent="0.25">
      <c r="B1933" s="90">
        <v>460</v>
      </c>
      <c r="C1933" s="91">
        <v>0.14426655649795683</v>
      </c>
      <c r="D1933" s="92">
        <v>329</v>
      </c>
      <c r="G1933" s="5"/>
      <c r="H1933" s="5"/>
      <c r="L1933" s="7"/>
      <c r="M1933" s="7"/>
      <c r="O1933" s="5"/>
      <c r="P1933" s="5"/>
    </row>
    <row r="1934" spans="2:16" x14ac:dyDescent="0.25">
      <c r="B1934" s="90">
        <v>44</v>
      </c>
      <c r="C1934" s="91">
        <v>0.30718288309632513</v>
      </c>
      <c r="D1934" s="92">
        <v>329</v>
      </c>
      <c r="G1934" s="5"/>
      <c r="H1934" s="5"/>
      <c r="L1934" s="7"/>
      <c r="M1934" s="7"/>
      <c r="O1934" s="5"/>
      <c r="P1934" s="5"/>
    </row>
    <row r="1935" spans="2:16" x14ac:dyDescent="0.25">
      <c r="B1935" s="90">
        <v>1200</v>
      </c>
      <c r="C1935" s="91">
        <v>0.30718288309632513</v>
      </c>
      <c r="D1935" s="92">
        <v>329</v>
      </c>
      <c r="G1935" s="5"/>
      <c r="H1935" s="5"/>
      <c r="L1935" s="7"/>
      <c r="M1935" s="7"/>
      <c r="O1935" s="5"/>
      <c r="P1935" s="5"/>
    </row>
    <row r="1936" spans="2:16" x14ac:dyDescent="0.25">
      <c r="B1936" s="90">
        <v>106</v>
      </c>
      <c r="C1936" s="91">
        <v>0.15995023437153155</v>
      </c>
      <c r="D1936" s="92">
        <v>330</v>
      </c>
      <c r="G1936" s="5"/>
      <c r="H1936" s="5"/>
      <c r="L1936" s="7"/>
      <c r="M1936" s="7"/>
      <c r="O1936" s="5"/>
      <c r="P1936" s="5"/>
    </row>
    <row r="1937" spans="2:16" x14ac:dyDescent="0.25">
      <c r="B1937" s="90">
        <v>328</v>
      </c>
      <c r="C1937" s="91">
        <v>0.34907241995495419</v>
      </c>
      <c r="D1937" s="92">
        <v>330</v>
      </c>
      <c r="G1937" s="5"/>
      <c r="H1937" s="5"/>
      <c r="L1937" s="7"/>
      <c r="M1937" s="7"/>
      <c r="O1937" s="5"/>
      <c r="P1937" s="5"/>
    </row>
    <row r="1938" spans="2:16" x14ac:dyDescent="0.25">
      <c r="B1938" s="90">
        <v>1107</v>
      </c>
      <c r="C1938" s="91">
        <v>0.16195668714040679</v>
      </c>
      <c r="D1938" s="92">
        <v>331</v>
      </c>
      <c r="G1938" s="5"/>
      <c r="H1938" s="5"/>
      <c r="L1938" s="7"/>
      <c r="M1938" s="7"/>
      <c r="O1938" s="5"/>
      <c r="P1938" s="5"/>
    </row>
    <row r="1939" spans="2:16" x14ac:dyDescent="0.25">
      <c r="B1939" s="90">
        <v>624</v>
      </c>
      <c r="C1939" s="91">
        <v>0.19968777136084714</v>
      </c>
      <c r="D1939" s="92">
        <v>331</v>
      </c>
      <c r="G1939" s="5"/>
      <c r="H1939" s="5"/>
      <c r="L1939" s="7"/>
      <c r="M1939" s="7"/>
      <c r="O1939" s="5"/>
      <c r="P1939" s="5"/>
    </row>
    <row r="1940" spans="2:16" x14ac:dyDescent="0.25">
      <c r="B1940" s="90">
        <v>1354</v>
      </c>
      <c r="C1940" s="91">
        <v>0.32409384600384827</v>
      </c>
      <c r="D1940" s="92">
        <v>331</v>
      </c>
      <c r="G1940" s="5"/>
      <c r="H1940" s="5"/>
      <c r="L1940" s="7"/>
      <c r="M1940" s="7"/>
      <c r="O1940" s="5"/>
      <c r="P1940" s="5"/>
    </row>
    <row r="1941" spans="2:16" x14ac:dyDescent="0.25">
      <c r="B1941" s="90">
        <v>997</v>
      </c>
      <c r="C1941" s="91">
        <v>0.27957112888019808</v>
      </c>
      <c r="D1941" s="92">
        <v>332</v>
      </c>
      <c r="G1941" s="5"/>
      <c r="H1941" s="5"/>
      <c r="L1941" s="7"/>
      <c r="M1941" s="7"/>
      <c r="O1941" s="5"/>
      <c r="P1941" s="5"/>
    </row>
    <row r="1942" spans="2:16" x14ac:dyDescent="0.25">
      <c r="B1942" s="90">
        <v>168</v>
      </c>
      <c r="C1942" s="91">
        <v>0.11593646768571664</v>
      </c>
      <c r="D1942" s="92">
        <v>333</v>
      </c>
      <c r="G1942" s="5"/>
      <c r="H1942" s="5"/>
      <c r="L1942" s="7"/>
      <c r="M1942" s="7"/>
      <c r="O1942" s="5"/>
      <c r="P1942" s="5"/>
    </row>
    <row r="1943" spans="2:16" x14ac:dyDescent="0.25">
      <c r="B1943" s="90">
        <v>170</v>
      </c>
      <c r="C1943" s="91">
        <v>0.15648093373119476</v>
      </c>
      <c r="D1943" s="92">
        <v>333</v>
      </c>
      <c r="G1943" s="5"/>
      <c r="H1943" s="5"/>
      <c r="L1943" s="7"/>
      <c r="M1943" s="7"/>
      <c r="O1943" s="5"/>
      <c r="P1943" s="5"/>
    </row>
    <row r="1944" spans="2:16" x14ac:dyDescent="0.25">
      <c r="B1944" s="90">
        <v>733</v>
      </c>
      <c r="C1944" s="91">
        <v>0.20654248393169672</v>
      </c>
      <c r="D1944" s="92">
        <v>333</v>
      </c>
      <c r="G1944" s="5"/>
      <c r="H1944" s="5"/>
      <c r="L1944" s="7"/>
      <c r="M1944" s="7"/>
      <c r="O1944" s="5"/>
      <c r="P1944" s="5"/>
    </row>
    <row r="1945" spans="2:16" x14ac:dyDescent="0.25">
      <c r="B1945" s="90">
        <v>394</v>
      </c>
      <c r="C1945" s="91">
        <v>0.23265997426470575</v>
      </c>
      <c r="D1945" s="92">
        <v>333</v>
      </c>
      <c r="G1945" s="5"/>
      <c r="H1945" s="5"/>
      <c r="L1945" s="7"/>
      <c r="M1945" s="7"/>
      <c r="O1945" s="5"/>
      <c r="P1945" s="5"/>
    </row>
    <row r="1946" spans="2:16" x14ac:dyDescent="0.25">
      <c r="B1946" s="90">
        <v>211</v>
      </c>
      <c r="C1946" s="91">
        <v>0.28384457466411428</v>
      </c>
      <c r="D1946" s="92">
        <v>333</v>
      </c>
      <c r="G1946" s="5"/>
      <c r="H1946" s="5"/>
      <c r="L1946" s="7"/>
      <c r="M1946" s="7"/>
      <c r="O1946" s="5"/>
      <c r="P1946" s="5"/>
    </row>
    <row r="1947" spans="2:16" x14ac:dyDescent="0.25">
      <c r="B1947" s="90">
        <v>1123</v>
      </c>
      <c r="C1947" s="91">
        <v>0.35827958294314821</v>
      </c>
      <c r="D1947" s="92">
        <v>333</v>
      </c>
      <c r="G1947" s="5"/>
      <c r="H1947" s="5"/>
      <c r="L1947" s="7"/>
      <c r="M1947" s="7"/>
      <c r="O1947" s="5"/>
      <c r="P1947" s="5"/>
    </row>
    <row r="1948" spans="2:16" x14ac:dyDescent="0.25">
      <c r="B1948" s="90">
        <v>1077</v>
      </c>
      <c r="C1948" s="91">
        <v>0.36221804885620679</v>
      </c>
      <c r="D1948" s="92">
        <v>333</v>
      </c>
      <c r="G1948" s="5"/>
      <c r="H1948" s="5"/>
      <c r="L1948" s="7"/>
      <c r="M1948" s="7"/>
      <c r="O1948" s="5"/>
      <c r="P1948" s="5"/>
    </row>
    <row r="1949" spans="2:16" x14ac:dyDescent="0.25">
      <c r="B1949" s="90">
        <v>49</v>
      </c>
      <c r="C1949" s="91">
        <v>0.41352386546611175</v>
      </c>
      <c r="D1949" s="92">
        <v>333</v>
      </c>
      <c r="G1949" s="5"/>
      <c r="H1949" s="5"/>
      <c r="L1949" s="7"/>
      <c r="M1949" s="7"/>
      <c r="O1949" s="5"/>
      <c r="P1949" s="5"/>
    </row>
    <row r="1950" spans="2:16" x14ac:dyDescent="0.25">
      <c r="B1950" s="90">
        <v>970</v>
      </c>
      <c r="C1950" s="91">
        <v>0.41352386546611175</v>
      </c>
      <c r="D1950" s="92">
        <v>333</v>
      </c>
      <c r="G1950" s="5"/>
      <c r="H1950" s="5"/>
      <c r="L1950" s="7"/>
      <c r="M1950" s="7"/>
      <c r="O1950" s="5"/>
      <c r="P1950" s="5"/>
    </row>
    <row r="1951" spans="2:16" x14ac:dyDescent="0.25">
      <c r="B1951" s="90">
        <v>1411</v>
      </c>
      <c r="C1951" s="91">
        <v>0.38694612769883685</v>
      </c>
      <c r="D1951" s="92">
        <v>334</v>
      </c>
      <c r="G1951" s="5"/>
      <c r="H1951" s="5"/>
      <c r="L1951" s="7"/>
      <c r="M1951" s="7"/>
      <c r="O1951" s="5"/>
      <c r="P1951" s="5"/>
    </row>
    <row r="1952" spans="2:16" x14ac:dyDescent="0.25">
      <c r="B1952" s="90">
        <v>341</v>
      </c>
      <c r="C1952" s="91">
        <v>0.17446725038096744</v>
      </c>
      <c r="D1952" s="92">
        <v>335</v>
      </c>
      <c r="G1952" s="5"/>
      <c r="H1952" s="5"/>
      <c r="L1952" s="7"/>
      <c r="M1952" s="7"/>
      <c r="O1952" s="5"/>
      <c r="P1952" s="5"/>
    </row>
    <row r="1953" spans="2:16" x14ac:dyDescent="0.25">
      <c r="B1953" s="90">
        <v>279</v>
      </c>
      <c r="C1953" s="91">
        <v>0.1833827833942161</v>
      </c>
      <c r="D1953" s="92">
        <v>335</v>
      </c>
      <c r="G1953" s="5"/>
      <c r="H1953" s="5"/>
      <c r="L1953" s="7"/>
      <c r="M1953" s="7"/>
      <c r="O1953" s="5"/>
      <c r="P1953" s="5"/>
    </row>
    <row r="1954" spans="2:16" x14ac:dyDescent="0.25">
      <c r="B1954" s="90">
        <v>738</v>
      </c>
      <c r="C1954" s="91">
        <v>0.23676858595380335</v>
      </c>
      <c r="D1954" s="92">
        <v>335</v>
      </c>
      <c r="G1954" s="5"/>
      <c r="H1954" s="5"/>
      <c r="L1954" s="7"/>
      <c r="M1954" s="7"/>
      <c r="O1954" s="5"/>
      <c r="P1954" s="5"/>
    </row>
    <row r="1955" spans="2:16" x14ac:dyDescent="0.25">
      <c r="B1955" s="90">
        <v>843</v>
      </c>
      <c r="C1955" s="91">
        <v>0.2398411777649303</v>
      </c>
      <c r="D1955" s="92">
        <v>335</v>
      </c>
      <c r="G1955" s="5"/>
      <c r="H1955" s="5"/>
      <c r="L1955" s="7"/>
      <c r="M1955" s="7"/>
      <c r="O1955" s="5"/>
      <c r="P1955" s="5"/>
    </row>
    <row r="1956" spans="2:16" x14ac:dyDescent="0.25">
      <c r="B1956" s="90">
        <v>278</v>
      </c>
      <c r="C1956" s="91">
        <v>0.28177565182359632</v>
      </c>
      <c r="D1956" s="92">
        <v>335</v>
      </c>
      <c r="G1956" s="5"/>
      <c r="H1956" s="5"/>
      <c r="L1956" s="7"/>
      <c r="M1956" s="7"/>
      <c r="O1956" s="5"/>
      <c r="P1956" s="5"/>
    </row>
    <row r="1957" spans="2:16" x14ac:dyDescent="0.25">
      <c r="B1957" s="90">
        <v>339</v>
      </c>
      <c r="C1957" s="91">
        <v>0.29005456751993752</v>
      </c>
      <c r="D1957" s="92">
        <v>335</v>
      </c>
      <c r="G1957" s="5"/>
      <c r="H1957" s="5"/>
      <c r="L1957" s="7"/>
      <c r="M1957" s="7"/>
      <c r="O1957" s="5"/>
      <c r="P1957" s="5"/>
    </row>
    <row r="1958" spans="2:16" x14ac:dyDescent="0.25">
      <c r="B1958" s="90">
        <v>275</v>
      </c>
      <c r="C1958" s="91">
        <v>0.29476816174371057</v>
      </c>
      <c r="D1958" s="92">
        <v>335</v>
      </c>
      <c r="G1958" s="5"/>
      <c r="H1958" s="5"/>
      <c r="L1958" s="7"/>
      <c r="M1958" s="7"/>
      <c r="O1958" s="5"/>
      <c r="P1958" s="5"/>
    </row>
    <row r="1959" spans="2:16" x14ac:dyDescent="0.25">
      <c r="B1959" s="90">
        <v>400</v>
      </c>
      <c r="C1959" s="91">
        <v>0.16577680129470695</v>
      </c>
      <c r="D1959" s="92">
        <v>336</v>
      </c>
      <c r="G1959" s="5"/>
      <c r="H1959" s="5"/>
      <c r="L1959" s="7"/>
      <c r="M1959" s="7"/>
      <c r="O1959" s="5"/>
      <c r="P1959" s="5"/>
    </row>
    <row r="1960" spans="2:16" x14ac:dyDescent="0.25">
      <c r="B1960" s="90">
        <v>625</v>
      </c>
      <c r="C1960" s="91">
        <v>0.21659816359095729</v>
      </c>
      <c r="D1960" s="92">
        <v>336</v>
      </c>
      <c r="G1960" s="5"/>
      <c r="H1960" s="5"/>
      <c r="L1960" s="7"/>
      <c r="M1960" s="7"/>
      <c r="O1960" s="5"/>
      <c r="P1960" s="5"/>
    </row>
    <row r="1961" spans="2:16" x14ac:dyDescent="0.25">
      <c r="B1961" s="90">
        <v>569</v>
      </c>
      <c r="C1961" s="91">
        <v>0.22153065700970775</v>
      </c>
      <c r="D1961" s="92">
        <v>336</v>
      </c>
      <c r="G1961" s="5"/>
      <c r="H1961" s="5"/>
      <c r="L1961" s="7"/>
      <c r="M1961" s="7"/>
      <c r="O1961" s="5"/>
      <c r="P1961" s="5"/>
    </row>
    <row r="1962" spans="2:16" x14ac:dyDescent="0.25">
      <c r="B1962" s="90">
        <v>512</v>
      </c>
      <c r="C1962" s="91">
        <v>0.2304568356791945</v>
      </c>
      <c r="D1962" s="92">
        <v>336</v>
      </c>
      <c r="G1962" s="5"/>
      <c r="H1962" s="5"/>
      <c r="L1962" s="7"/>
      <c r="M1962" s="7"/>
      <c r="O1962" s="5"/>
      <c r="P1962" s="5"/>
    </row>
    <row r="1963" spans="2:16" x14ac:dyDescent="0.25">
      <c r="B1963" s="90">
        <v>454</v>
      </c>
      <c r="C1963" s="91">
        <v>0.2437365124535058</v>
      </c>
      <c r="D1963" s="92">
        <v>336</v>
      </c>
      <c r="G1963" s="5"/>
      <c r="H1963" s="5"/>
      <c r="L1963" s="7"/>
      <c r="M1963" s="7"/>
      <c r="O1963" s="5"/>
      <c r="P1963" s="5"/>
    </row>
    <row r="1964" spans="2:16" x14ac:dyDescent="0.25">
      <c r="B1964" s="90">
        <v>26</v>
      </c>
      <c r="C1964" s="91">
        <v>9.4929888068300383E-2</v>
      </c>
      <c r="D1964" s="92">
        <v>337</v>
      </c>
      <c r="G1964" s="5"/>
      <c r="H1964" s="5"/>
      <c r="L1964" s="7"/>
      <c r="M1964" s="7"/>
      <c r="O1964" s="5"/>
      <c r="P1964" s="5"/>
    </row>
    <row r="1965" spans="2:16" x14ac:dyDescent="0.25">
      <c r="B1965" s="90">
        <v>1821</v>
      </c>
      <c r="C1965" s="91">
        <v>9.4929888068300383E-2</v>
      </c>
      <c r="D1965" s="92">
        <v>337</v>
      </c>
      <c r="G1965" s="5"/>
      <c r="H1965" s="5"/>
      <c r="L1965" s="7"/>
      <c r="M1965" s="7"/>
      <c r="O1965" s="5"/>
      <c r="P1965" s="5"/>
    </row>
    <row r="1966" spans="2:16" x14ac:dyDescent="0.25">
      <c r="B1966" s="90">
        <v>27</v>
      </c>
      <c r="C1966" s="91">
        <v>9.9429130113238839E-2</v>
      </c>
      <c r="D1966" s="92">
        <v>337</v>
      </c>
      <c r="G1966" s="5"/>
      <c r="H1966" s="5"/>
      <c r="L1966" s="7"/>
      <c r="M1966" s="7"/>
      <c r="O1966" s="5"/>
      <c r="P1966" s="5"/>
    </row>
    <row r="1967" spans="2:16" x14ac:dyDescent="0.25">
      <c r="B1967" s="90">
        <v>1795</v>
      </c>
      <c r="C1967" s="91">
        <v>9.9429130113238839E-2</v>
      </c>
      <c r="D1967" s="92">
        <v>337</v>
      </c>
      <c r="G1967" s="5"/>
      <c r="H1967" s="5"/>
      <c r="L1967" s="7"/>
      <c r="M1967" s="7"/>
      <c r="O1967" s="5"/>
      <c r="P1967" s="5"/>
    </row>
    <row r="1968" spans="2:16" x14ac:dyDescent="0.25">
      <c r="B1968" s="90">
        <v>678</v>
      </c>
      <c r="C1968" s="91">
        <v>0.22600494170035001</v>
      </c>
      <c r="D1968" s="92">
        <v>337</v>
      </c>
      <c r="G1968" s="5"/>
      <c r="H1968" s="5"/>
      <c r="L1968" s="7"/>
      <c r="M1968" s="7"/>
      <c r="O1968" s="5"/>
      <c r="P1968" s="5"/>
    </row>
    <row r="1969" spans="2:16" x14ac:dyDescent="0.25">
      <c r="B1969" s="90">
        <v>623</v>
      </c>
      <c r="C1969" s="91">
        <v>0.22633981041811202</v>
      </c>
      <c r="D1969" s="92">
        <v>337</v>
      </c>
      <c r="G1969" s="5"/>
      <c r="H1969" s="5"/>
      <c r="L1969" s="7"/>
      <c r="M1969" s="7"/>
      <c r="O1969" s="5"/>
      <c r="P1969" s="5"/>
    </row>
    <row r="1970" spans="2:16" x14ac:dyDescent="0.25">
      <c r="B1970" s="90">
        <v>785</v>
      </c>
      <c r="C1970" s="91">
        <v>0.22687283486951815</v>
      </c>
      <c r="D1970" s="92">
        <v>337</v>
      </c>
      <c r="G1970" s="5"/>
      <c r="H1970" s="5"/>
      <c r="L1970" s="7"/>
      <c r="M1970" s="7"/>
      <c r="O1970" s="5"/>
      <c r="P1970" s="5"/>
    </row>
    <row r="1971" spans="2:16" x14ac:dyDescent="0.25">
      <c r="B1971" s="90">
        <v>732</v>
      </c>
      <c r="C1971" s="91">
        <v>0.23243779735665915</v>
      </c>
      <c r="D1971" s="92">
        <v>337</v>
      </c>
      <c r="G1971" s="5"/>
      <c r="H1971" s="5"/>
      <c r="L1971" s="7"/>
      <c r="M1971" s="7"/>
      <c r="O1971" s="5"/>
      <c r="P1971" s="5"/>
    </row>
    <row r="1972" spans="2:16" x14ac:dyDescent="0.25">
      <c r="B1972" s="90">
        <v>393</v>
      </c>
      <c r="C1972" s="91">
        <v>0.26172863083692843</v>
      </c>
      <c r="D1972" s="92">
        <v>337</v>
      </c>
      <c r="G1972" s="5"/>
      <c r="H1972" s="5"/>
      <c r="L1972" s="7"/>
      <c r="M1972" s="7"/>
      <c r="O1972" s="5"/>
      <c r="P1972" s="5"/>
    </row>
    <row r="1973" spans="2:16" x14ac:dyDescent="0.25">
      <c r="B1973" s="90">
        <v>1242</v>
      </c>
      <c r="C1973" s="91">
        <v>0.11502037125663256</v>
      </c>
      <c r="D1973" s="92">
        <v>338</v>
      </c>
      <c r="G1973" s="5"/>
      <c r="H1973" s="5"/>
      <c r="L1973" s="7"/>
      <c r="M1973" s="7"/>
      <c r="O1973" s="5"/>
      <c r="P1973" s="5"/>
    </row>
    <row r="1974" spans="2:16" x14ac:dyDescent="0.25">
      <c r="B1974" s="90">
        <v>104</v>
      </c>
      <c r="C1974" s="91">
        <v>0.11710057058422318</v>
      </c>
      <c r="D1974" s="92">
        <v>338</v>
      </c>
      <c r="G1974" s="5"/>
      <c r="H1974" s="5"/>
      <c r="L1974" s="7"/>
      <c r="M1974" s="7"/>
      <c r="O1974" s="5"/>
      <c r="P1974" s="5"/>
    </row>
    <row r="1975" spans="2:16" x14ac:dyDescent="0.25">
      <c r="B1975" s="90">
        <v>682</v>
      </c>
      <c r="C1975" s="91">
        <v>0.29586807973740559</v>
      </c>
      <c r="D1975" s="92">
        <v>338</v>
      </c>
      <c r="G1975" s="5"/>
      <c r="H1975" s="5"/>
      <c r="L1975" s="7"/>
      <c r="M1975" s="7"/>
      <c r="O1975" s="5"/>
      <c r="P1975" s="5"/>
    </row>
    <row r="1976" spans="2:16" x14ac:dyDescent="0.25">
      <c r="B1976" s="90">
        <v>627</v>
      </c>
      <c r="C1976" s="91">
        <v>0.29683770698159484</v>
      </c>
      <c r="D1976" s="92">
        <v>338</v>
      </c>
      <c r="G1976" s="5"/>
      <c r="H1976" s="5"/>
      <c r="L1976" s="7"/>
      <c r="M1976" s="7"/>
      <c r="O1976" s="5"/>
      <c r="P1976" s="5"/>
    </row>
    <row r="1977" spans="2:16" x14ac:dyDescent="0.25">
      <c r="B1977" s="90">
        <v>789</v>
      </c>
      <c r="C1977" s="91">
        <v>0.29704905891828215</v>
      </c>
      <c r="D1977" s="92">
        <v>338</v>
      </c>
      <c r="G1977" s="5"/>
      <c r="H1977" s="5"/>
      <c r="L1977" s="7"/>
      <c r="M1977" s="7"/>
      <c r="O1977" s="5"/>
      <c r="P1977" s="5"/>
    </row>
    <row r="1978" spans="2:16" x14ac:dyDescent="0.25">
      <c r="B1978" s="90">
        <v>571</v>
      </c>
      <c r="C1978" s="91">
        <v>0.30214884553309385</v>
      </c>
      <c r="D1978" s="92">
        <v>338</v>
      </c>
      <c r="G1978" s="5"/>
      <c r="H1978" s="5"/>
      <c r="L1978" s="7"/>
      <c r="M1978" s="7"/>
      <c r="O1978" s="5"/>
      <c r="P1978" s="5"/>
    </row>
    <row r="1979" spans="2:16" x14ac:dyDescent="0.25">
      <c r="B1979" s="90">
        <v>736</v>
      </c>
      <c r="C1979" s="91">
        <v>0.30274060643563283</v>
      </c>
      <c r="D1979" s="92">
        <v>338</v>
      </c>
      <c r="G1979" s="5"/>
      <c r="H1979" s="5"/>
      <c r="L1979" s="7"/>
      <c r="M1979" s="7"/>
      <c r="O1979" s="5"/>
      <c r="P1979" s="5"/>
    </row>
    <row r="1980" spans="2:16" x14ac:dyDescent="0.25">
      <c r="B1980" s="90">
        <v>212</v>
      </c>
      <c r="C1980" s="91">
        <v>0.30535034434581299</v>
      </c>
      <c r="D1980" s="92">
        <v>338</v>
      </c>
      <c r="G1980" s="5"/>
      <c r="H1980" s="5"/>
      <c r="L1980" s="7"/>
      <c r="M1980" s="7"/>
      <c r="O1980" s="5"/>
      <c r="P1980" s="5"/>
    </row>
    <row r="1981" spans="2:16" x14ac:dyDescent="0.25">
      <c r="B1981" s="90">
        <v>514</v>
      </c>
      <c r="C1981" s="91">
        <v>0.31297833353717941</v>
      </c>
      <c r="D1981" s="92">
        <v>338</v>
      </c>
      <c r="G1981" s="5"/>
      <c r="H1981" s="5"/>
      <c r="L1981" s="7"/>
      <c r="M1981" s="7"/>
      <c r="O1981" s="5"/>
      <c r="P1981" s="5"/>
    </row>
    <row r="1982" spans="2:16" x14ac:dyDescent="0.25">
      <c r="B1982" s="90">
        <v>235</v>
      </c>
      <c r="C1982" s="91">
        <v>0.18555191357780709</v>
      </c>
      <c r="D1982" s="92">
        <v>339</v>
      </c>
      <c r="G1982" s="5"/>
      <c r="H1982" s="5"/>
      <c r="L1982" s="7"/>
      <c r="M1982" s="7"/>
      <c r="O1982" s="5"/>
      <c r="P1982" s="5"/>
    </row>
    <row r="1983" spans="2:16" x14ac:dyDescent="0.25">
      <c r="B1983" s="90">
        <v>1544</v>
      </c>
      <c r="C1983" s="91">
        <v>0.38676933590010476</v>
      </c>
      <c r="D1983" s="92">
        <v>340</v>
      </c>
      <c r="G1983" s="5"/>
      <c r="H1983" s="5"/>
      <c r="L1983" s="7"/>
      <c r="M1983" s="7"/>
      <c r="O1983" s="5"/>
      <c r="P1983" s="5"/>
    </row>
    <row r="1984" spans="2:16" x14ac:dyDescent="0.25">
      <c r="B1984" s="90">
        <v>1150</v>
      </c>
      <c r="C1984" s="91">
        <v>0.10852904450511558</v>
      </c>
      <c r="D1984" s="92">
        <v>342</v>
      </c>
      <c r="G1984" s="5"/>
      <c r="H1984" s="5"/>
      <c r="L1984" s="7"/>
      <c r="M1984" s="7"/>
      <c r="O1984" s="5"/>
      <c r="P1984" s="5"/>
    </row>
    <row r="1985" spans="2:16" x14ac:dyDescent="0.25">
      <c r="B1985" s="90">
        <v>28</v>
      </c>
      <c r="C1985" s="91">
        <v>0.12860452543174028</v>
      </c>
      <c r="D1985" s="92">
        <v>343</v>
      </c>
      <c r="G1985" s="5"/>
      <c r="H1985" s="5"/>
      <c r="L1985" s="7"/>
      <c r="M1985" s="7"/>
      <c r="O1985" s="5"/>
      <c r="P1985" s="5"/>
    </row>
    <row r="1986" spans="2:16" x14ac:dyDescent="0.25">
      <c r="B1986" s="90">
        <v>1768</v>
      </c>
      <c r="C1986" s="91">
        <v>0.12860452543174028</v>
      </c>
      <c r="D1986" s="92">
        <v>343</v>
      </c>
      <c r="G1986" s="5"/>
      <c r="H1986" s="5"/>
      <c r="L1986" s="7"/>
      <c r="M1986" s="7"/>
      <c r="O1986" s="5"/>
      <c r="P1986" s="5"/>
    </row>
    <row r="1987" spans="2:16" x14ac:dyDescent="0.25">
      <c r="B1987" s="90">
        <v>110</v>
      </c>
      <c r="C1987" s="91">
        <v>0.30147526119454171</v>
      </c>
      <c r="D1987" s="92">
        <v>343</v>
      </c>
      <c r="G1987" s="5"/>
      <c r="H1987" s="5"/>
      <c r="L1987" s="7"/>
      <c r="M1987" s="7"/>
      <c r="O1987" s="5"/>
      <c r="P1987" s="5"/>
    </row>
    <row r="1988" spans="2:16" x14ac:dyDescent="0.25">
      <c r="B1988" s="90">
        <v>1545</v>
      </c>
      <c r="C1988" s="91">
        <v>0.42011544181293492</v>
      </c>
      <c r="D1988" s="92">
        <v>343</v>
      </c>
      <c r="G1988" s="5"/>
      <c r="H1988" s="5"/>
      <c r="L1988" s="7"/>
      <c r="M1988" s="7"/>
      <c r="O1988" s="5"/>
      <c r="P1988" s="5"/>
    </row>
    <row r="1989" spans="2:16" x14ac:dyDescent="0.25">
      <c r="B1989" s="90">
        <v>568</v>
      </c>
      <c r="C1989" s="91">
        <v>0.20446829957832247</v>
      </c>
      <c r="D1989" s="92">
        <v>344</v>
      </c>
      <c r="G1989" s="5"/>
      <c r="H1989" s="5"/>
      <c r="L1989" s="7"/>
      <c r="M1989" s="7"/>
      <c r="O1989" s="5"/>
      <c r="P1989" s="5"/>
    </row>
    <row r="1990" spans="2:16" x14ac:dyDescent="0.25">
      <c r="B1990" s="90">
        <v>511</v>
      </c>
      <c r="C1990" s="91">
        <v>0.21296445197396197</v>
      </c>
      <c r="D1990" s="92">
        <v>344</v>
      </c>
      <c r="G1990" s="5"/>
      <c r="H1990" s="5"/>
      <c r="L1990" s="7"/>
      <c r="M1990" s="7"/>
      <c r="O1990" s="5"/>
      <c r="P1990" s="5"/>
    </row>
    <row r="1991" spans="2:16" x14ac:dyDescent="0.25">
      <c r="B1991" s="90">
        <v>453</v>
      </c>
      <c r="C1991" s="91">
        <v>0.22569397588600193</v>
      </c>
      <c r="D1991" s="92">
        <v>344</v>
      </c>
      <c r="G1991" s="5"/>
      <c r="H1991" s="5"/>
      <c r="L1991" s="7"/>
      <c r="M1991" s="7"/>
      <c r="O1991" s="5"/>
      <c r="P1991" s="5"/>
    </row>
    <row r="1992" spans="2:16" x14ac:dyDescent="0.25">
      <c r="B1992" s="90">
        <v>112</v>
      </c>
      <c r="C1992" s="91">
        <v>0.29300138184003488</v>
      </c>
      <c r="D1992" s="92">
        <v>344</v>
      </c>
      <c r="G1992" s="5"/>
      <c r="H1992" s="5"/>
      <c r="L1992" s="7"/>
      <c r="M1992" s="7"/>
      <c r="O1992" s="5"/>
      <c r="P1992" s="5"/>
    </row>
    <row r="1993" spans="2:16" x14ac:dyDescent="0.25">
      <c r="B1993" s="90">
        <v>174</v>
      </c>
      <c r="C1993" s="91">
        <v>0.29897037758051592</v>
      </c>
      <c r="D1993" s="92">
        <v>344</v>
      </c>
      <c r="G1993" s="5"/>
      <c r="H1993" s="5"/>
      <c r="L1993" s="7"/>
      <c r="M1993" s="7"/>
      <c r="O1993" s="5"/>
      <c r="P1993" s="5"/>
    </row>
    <row r="1994" spans="2:16" x14ac:dyDescent="0.25">
      <c r="B1994" s="90">
        <v>19</v>
      </c>
      <c r="C1994" s="91">
        <v>0.14063831105996571</v>
      </c>
      <c r="D1994" s="92">
        <v>345</v>
      </c>
      <c r="G1994" s="5"/>
      <c r="H1994" s="5"/>
      <c r="L1994" s="7"/>
      <c r="M1994" s="7"/>
      <c r="O1994" s="5"/>
      <c r="P1994" s="5"/>
    </row>
    <row r="1995" spans="2:16" x14ac:dyDescent="0.25">
      <c r="B1995" s="90">
        <v>1975</v>
      </c>
      <c r="C1995" s="91">
        <v>0.14063831105996571</v>
      </c>
      <c r="D1995" s="92">
        <v>345</v>
      </c>
      <c r="G1995" s="5"/>
      <c r="H1995" s="5"/>
      <c r="L1995" s="7"/>
      <c r="M1995" s="7"/>
      <c r="O1995" s="5"/>
      <c r="P1995" s="5"/>
    </row>
    <row r="1996" spans="2:16" x14ac:dyDescent="0.25">
      <c r="B1996" s="90">
        <v>176</v>
      </c>
      <c r="C1996" s="91">
        <v>0.288114429071059</v>
      </c>
      <c r="D1996" s="92">
        <v>345</v>
      </c>
      <c r="G1996" s="5"/>
      <c r="H1996" s="5"/>
      <c r="L1996" s="7"/>
      <c r="M1996" s="7"/>
      <c r="O1996" s="5"/>
      <c r="P1996" s="5"/>
    </row>
    <row r="1997" spans="2:16" x14ac:dyDescent="0.25">
      <c r="B1997" s="90">
        <v>1151</v>
      </c>
      <c r="C1997" s="91">
        <v>9.4160377462178313E-2</v>
      </c>
      <c r="D1997" s="92">
        <v>346</v>
      </c>
      <c r="G1997" s="5"/>
      <c r="H1997" s="5"/>
      <c r="L1997" s="7"/>
      <c r="M1997" s="7"/>
      <c r="O1997" s="5"/>
      <c r="P1997" s="5"/>
    </row>
    <row r="1998" spans="2:16" x14ac:dyDescent="0.25">
      <c r="B1998" s="90">
        <v>681</v>
      </c>
      <c r="C1998" s="91">
        <v>0.23846262213578084</v>
      </c>
      <c r="D1998" s="92">
        <v>346</v>
      </c>
      <c r="G1998" s="5"/>
      <c r="H1998" s="5"/>
      <c r="L1998" s="7"/>
      <c r="M1998" s="7"/>
      <c r="O1998" s="5"/>
      <c r="P1998" s="5"/>
    </row>
    <row r="1999" spans="2:16" x14ac:dyDescent="0.25">
      <c r="B1999" s="90">
        <v>626</v>
      </c>
      <c r="C1999" s="91">
        <v>0.23893053717411061</v>
      </c>
      <c r="D1999" s="92">
        <v>346</v>
      </c>
      <c r="G1999" s="5"/>
      <c r="H1999" s="5"/>
      <c r="L1999" s="7"/>
      <c r="M1999" s="7"/>
      <c r="O1999" s="5"/>
      <c r="P1999" s="5"/>
    </row>
    <row r="2000" spans="2:16" x14ac:dyDescent="0.25">
      <c r="B2000" s="90">
        <v>788</v>
      </c>
      <c r="C2000" s="91">
        <v>0.24007659588037233</v>
      </c>
      <c r="D2000" s="92">
        <v>346</v>
      </c>
      <c r="G2000" s="5"/>
      <c r="H2000" s="5"/>
      <c r="L2000" s="7"/>
      <c r="M2000" s="7"/>
      <c r="O2000" s="5"/>
      <c r="P2000" s="5"/>
    </row>
    <row r="2001" spans="2:16" x14ac:dyDescent="0.25">
      <c r="B2001" s="90">
        <v>570</v>
      </c>
      <c r="C2001" s="91">
        <v>0.24386137631651339</v>
      </c>
      <c r="D2001" s="92">
        <v>346</v>
      </c>
      <c r="G2001" s="5"/>
      <c r="H2001" s="5"/>
      <c r="L2001" s="7"/>
      <c r="M2001" s="7"/>
      <c r="O2001" s="5"/>
      <c r="P2001" s="5"/>
    </row>
    <row r="2002" spans="2:16" x14ac:dyDescent="0.25">
      <c r="B2002" s="90">
        <v>516</v>
      </c>
      <c r="C2002" s="91">
        <v>0.24458929205186175</v>
      </c>
      <c r="D2002" s="92">
        <v>346</v>
      </c>
      <c r="G2002" s="5"/>
      <c r="H2002" s="5"/>
      <c r="L2002" s="7"/>
      <c r="M2002" s="7"/>
      <c r="O2002" s="5"/>
      <c r="P2002" s="5"/>
    </row>
    <row r="2003" spans="2:16" x14ac:dyDescent="0.25">
      <c r="B2003" s="90">
        <v>735</v>
      </c>
      <c r="C2003" s="91">
        <v>0.2453735655366609</v>
      </c>
      <c r="D2003" s="92">
        <v>346</v>
      </c>
      <c r="G2003" s="5"/>
      <c r="H2003" s="5"/>
      <c r="L2003" s="7"/>
      <c r="M2003" s="7"/>
      <c r="O2003" s="5"/>
      <c r="P2003" s="5"/>
    </row>
    <row r="2004" spans="2:16" x14ac:dyDescent="0.25">
      <c r="B2004" s="90">
        <v>513</v>
      </c>
      <c r="C2004" s="91">
        <v>0.25343940408569643</v>
      </c>
      <c r="D2004" s="92">
        <v>346</v>
      </c>
      <c r="G2004" s="5"/>
      <c r="H2004" s="5"/>
      <c r="L2004" s="7"/>
      <c r="M2004" s="7"/>
      <c r="O2004" s="5"/>
      <c r="P2004" s="5"/>
    </row>
    <row r="2005" spans="2:16" x14ac:dyDescent="0.25">
      <c r="B2005" s="90">
        <v>458</v>
      </c>
      <c r="C2005" s="91">
        <v>0.25626279391742557</v>
      </c>
      <c r="D2005" s="92">
        <v>346</v>
      </c>
      <c r="G2005" s="5"/>
      <c r="H2005" s="5"/>
      <c r="L2005" s="7"/>
      <c r="M2005" s="7"/>
      <c r="O2005" s="5"/>
      <c r="P2005" s="5"/>
    </row>
    <row r="2006" spans="2:16" x14ac:dyDescent="0.25">
      <c r="B2006" s="90">
        <v>455</v>
      </c>
      <c r="C2006" s="91">
        <v>0.26678002792008115</v>
      </c>
      <c r="D2006" s="92">
        <v>346</v>
      </c>
      <c r="G2006" s="5"/>
      <c r="H2006" s="5"/>
      <c r="L2006" s="7"/>
      <c r="M2006" s="7"/>
      <c r="O2006" s="5"/>
      <c r="P2006" s="5"/>
    </row>
    <row r="2007" spans="2:16" x14ac:dyDescent="0.25">
      <c r="B2007" s="90">
        <v>396</v>
      </c>
      <c r="C2007" s="91">
        <v>0.27391175519249611</v>
      </c>
      <c r="D2007" s="92">
        <v>346</v>
      </c>
      <c r="G2007" s="5"/>
      <c r="H2007" s="5"/>
      <c r="L2007" s="7"/>
      <c r="M2007" s="7"/>
      <c r="O2007" s="5"/>
      <c r="P2007" s="5"/>
    </row>
    <row r="2008" spans="2:16" x14ac:dyDescent="0.25">
      <c r="B2008" s="90">
        <v>219</v>
      </c>
      <c r="C2008" s="91">
        <v>0.22171985649734549</v>
      </c>
      <c r="D2008" s="92">
        <v>348</v>
      </c>
      <c r="G2008" s="5"/>
      <c r="H2008" s="5"/>
      <c r="L2008" s="7"/>
      <c r="M2008" s="7"/>
      <c r="O2008" s="5"/>
      <c r="P2008" s="5"/>
    </row>
    <row r="2009" spans="2:16" x14ac:dyDescent="0.25">
      <c r="B2009" s="90">
        <v>567</v>
      </c>
      <c r="C2009" s="91">
        <v>0.23147496857687044</v>
      </c>
      <c r="D2009" s="92">
        <v>348</v>
      </c>
      <c r="G2009" s="5"/>
      <c r="H2009" s="5"/>
      <c r="L2009" s="7"/>
      <c r="M2009" s="7"/>
      <c r="O2009" s="5"/>
      <c r="P2009" s="5"/>
    </row>
    <row r="2010" spans="2:16" x14ac:dyDescent="0.25">
      <c r="B2010" s="90">
        <v>510</v>
      </c>
      <c r="C2010" s="91">
        <v>0.24042543600479926</v>
      </c>
      <c r="D2010" s="92">
        <v>348</v>
      </c>
      <c r="G2010" s="5"/>
      <c r="H2010" s="5"/>
      <c r="L2010" s="7"/>
      <c r="M2010" s="7"/>
      <c r="O2010" s="5"/>
      <c r="P2010" s="5"/>
    </row>
    <row r="2011" spans="2:16" x14ac:dyDescent="0.25">
      <c r="B2011" s="90">
        <v>452</v>
      </c>
      <c r="C2011" s="91">
        <v>0.25439144884921938</v>
      </c>
      <c r="D2011" s="92">
        <v>348</v>
      </c>
      <c r="G2011" s="5"/>
      <c r="H2011" s="5"/>
      <c r="L2011" s="7"/>
      <c r="M2011" s="7"/>
      <c r="O2011" s="5"/>
      <c r="P2011" s="5"/>
    </row>
    <row r="2012" spans="2:16" x14ac:dyDescent="0.25">
      <c r="B2012" s="90">
        <v>340</v>
      </c>
      <c r="C2012" s="91">
        <v>0.19106654989823291</v>
      </c>
      <c r="D2012" s="92">
        <v>353</v>
      </c>
      <c r="G2012" s="5"/>
      <c r="H2012" s="5"/>
      <c r="L2012" s="7"/>
      <c r="M2012" s="7"/>
      <c r="O2012" s="5"/>
      <c r="P2012" s="5"/>
    </row>
    <row r="2013" spans="2:16" x14ac:dyDescent="0.25">
      <c r="B2013" s="90">
        <v>399</v>
      </c>
      <c r="C2013" s="91">
        <v>0.26286985668371421</v>
      </c>
      <c r="D2013" s="92">
        <v>353</v>
      </c>
      <c r="G2013" s="5"/>
      <c r="H2013" s="5"/>
      <c r="L2013" s="7"/>
      <c r="M2013" s="7"/>
      <c r="O2013" s="5"/>
      <c r="P2013" s="5"/>
    </row>
    <row r="2014" spans="2:16" x14ac:dyDescent="0.25">
      <c r="B2014" s="90">
        <v>1291</v>
      </c>
      <c r="C2014" s="91">
        <v>0.43886945069451744</v>
      </c>
      <c r="D2014" s="92">
        <v>353</v>
      </c>
      <c r="G2014" s="5"/>
      <c r="H2014" s="5"/>
      <c r="L2014" s="7"/>
      <c r="M2014" s="7"/>
      <c r="O2014" s="5"/>
      <c r="P2014" s="5"/>
    </row>
    <row r="2015" spans="2:16" x14ac:dyDescent="0.25">
      <c r="B2015" s="90">
        <v>1162</v>
      </c>
      <c r="C2015" s="91">
        <v>0.47867033575677675</v>
      </c>
      <c r="D2015" s="92">
        <v>353</v>
      </c>
      <c r="G2015" s="5"/>
      <c r="H2015" s="5"/>
      <c r="L2015" s="7"/>
      <c r="M2015" s="7"/>
      <c r="O2015" s="5"/>
      <c r="P2015" s="5"/>
    </row>
    <row r="2016" spans="2:16" x14ac:dyDescent="0.25">
      <c r="B2016" s="90">
        <v>456</v>
      </c>
      <c r="C2016" s="91">
        <v>0.32763929516546098</v>
      </c>
      <c r="D2016" s="92">
        <v>355</v>
      </c>
      <c r="G2016" s="5"/>
      <c r="H2016" s="5"/>
      <c r="L2016" s="7"/>
      <c r="M2016" s="7"/>
      <c r="O2016" s="5"/>
      <c r="P2016" s="5"/>
    </row>
    <row r="2017" spans="2:16" x14ac:dyDescent="0.25">
      <c r="B2017" s="90">
        <v>397</v>
      </c>
      <c r="C2017" s="91">
        <v>0.335217694434359</v>
      </c>
      <c r="D2017" s="92">
        <v>355</v>
      </c>
      <c r="G2017" s="5"/>
      <c r="H2017" s="5"/>
      <c r="L2017" s="7"/>
      <c r="M2017" s="7"/>
      <c r="O2017" s="5"/>
      <c r="P2017" s="5"/>
    </row>
    <row r="2018" spans="2:16" x14ac:dyDescent="0.25">
      <c r="B2018" s="90">
        <v>1198</v>
      </c>
      <c r="C2018" s="91">
        <v>0.10661568410586997</v>
      </c>
      <c r="D2018" s="92">
        <v>356</v>
      </c>
      <c r="G2018" s="5"/>
      <c r="H2018" s="5"/>
      <c r="L2018" s="7"/>
      <c r="M2018" s="7"/>
      <c r="O2018" s="5"/>
      <c r="P2018" s="5"/>
    </row>
    <row r="2019" spans="2:16" x14ac:dyDescent="0.25">
      <c r="B2019" s="90">
        <v>45</v>
      </c>
      <c r="C2019" s="91">
        <v>0.29389003527247304</v>
      </c>
      <c r="D2019" s="92">
        <v>356</v>
      </c>
      <c r="G2019" s="5"/>
      <c r="H2019" s="5"/>
      <c r="L2019" s="7"/>
      <c r="M2019" s="7"/>
      <c r="O2019" s="5"/>
      <c r="P2019" s="5"/>
    </row>
    <row r="2020" spans="2:16" x14ac:dyDescent="0.25">
      <c r="B2020" s="90">
        <v>1156</v>
      </c>
      <c r="C2020" s="91">
        <v>0.29389003527247304</v>
      </c>
      <c r="D2020" s="92">
        <v>356</v>
      </c>
      <c r="G2020" s="5"/>
      <c r="H2020" s="5"/>
      <c r="L2020" s="7"/>
      <c r="M2020" s="7"/>
      <c r="O2020" s="5"/>
      <c r="P2020" s="5"/>
    </row>
    <row r="2021" spans="2:16" x14ac:dyDescent="0.25">
      <c r="B2021" s="90">
        <v>210</v>
      </c>
      <c r="C2021" s="91">
        <v>0.31682219255313249</v>
      </c>
      <c r="D2021" s="92">
        <v>357</v>
      </c>
      <c r="G2021" s="5"/>
      <c r="H2021" s="5"/>
      <c r="L2021" s="7"/>
      <c r="M2021" s="7"/>
      <c r="O2021" s="5"/>
      <c r="P2021" s="5"/>
    </row>
    <row r="2022" spans="2:16" x14ac:dyDescent="0.25">
      <c r="B2022" s="90">
        <v>1509</v>
      </c>
      <c r="C2022" s="91">
        <v>0.51392367066351907</v>
      </c>
      <c r="D2022" s="92">
        <v>357</v>
      </c>
      <c r="G2022" s="5"/>
      <c r="H2022" s="5"/>
      <c r="L2022" s="7"/>
      <c r="M2022" s="7"/>
      <c r="O2022" s="5"/>
      <c r="P2022" s="5"/>
    </row>
    <row r="2023" spans="2:16" x14ac:dyDescent="0.25">
      <c r="B2023" s="90">
        <v>1507</v>
      </c>
      <c r="C2023" s="91">
        <v>0.42467707802730525</v>
      </c>
      <c r="D2023" s="92">
        <v>358</v>
      </c>
      <c r="G2023" s="5"/>
      <c r="H2023" s="5"/>
      <c r="L2023" s="7"/>
      <c r="M2023" s="7"/>
      <c r="O2023" s="5"/>
      <c r="P2023" s="5"/>
    </row>
    <row r="2024" spans="2:16" x14ac:dyDescent="0.25">
      <c r="B2024" s="90">
        <v>690</v>
      </c>
      <c r="C2024" s="91">
        <v>0.1961707455745394</v>
      </c>
      <c r="D2024" s="92">
        <v>359</v>
      </c>
      <c r="G2024" s="5"/>
      <c r="H2024" s="5"/>
      <c r="L2024" s="7"/>
      <c r="M2024" s="7"/>
      <c r="O2024" s="5"/>
      <c r="P2024" s="5"/>
    </row>
    <row r="2025" spans="2:16" x14ac:dyDescent="0.25">
      <c r="B2025" s="90">
        <v>635</v>
      </c>
      <c r="C2025" s="91">
        <v>0.19696915313492558</v>
      </c>
      <c r="D2025" s="92">
        <v>359</v>
      </c>
      <c r="G2025" s="5"/>
      <c r="H2025" s="5"/>
      <c r="L2025" s="7"/>
      <c r="M2025" s="7"/>
      <c r="O2025" s="5"/>
      <c r="P2025" s="5"/>
    </row>
    <row r="2026" spans="2:16" x14ac:dyDescent="0.25">
      <c r="B2026" s="90">
        <v>579</v>
      </c>
      <c r="C2026" s="91">
        <v>0.19944388335724406</v>
      </c>
      <c r="D2026" s="92">
        <v>359</v>
      </c>
      <c r="G2026" s="5"/>
      <c r="H2026" s="5"/>
      <c r="L2026" s="7"/>
      <c r="M2026" s="7"/>
      <c r="O2026" s="5"/>
      <c r="P2026" s="5"/>
    </row>
    <row r="2027" spans="2:16" x14ac:dyDescent="0.25">
      <c r="B2027" s="90">
        <v>218</v>
      </c>
      <c r="C2027" s="91">
        <v>0.20479664714961521</v>
      </c>
      <c r="D2027" s="92">
        <v>359</v>
      </c>
      <c r="G2027" s="5"/>
      <c r="H2027" s="5"/>
      <c r="L2027" s="7"/>
      <c r="M2027" s="7"/>
      <c r="O2027" s="5"/>
      <c r="P2027" s="5"/>
    </row>
    <row r="2028" spans="2:16" x14ac:dyDescent="0.25">
      <c r="B2028" s="90">
        <v>48</v>
      </c>
      <c r="C2028" s="91">
        <v>0.34387628611137688</v>
      </c>
      <c r="D2028" s="92">
        <v>359</v>
      </c>
      <c r="G2028" s="5"/>
      <c r="H2028" s="5"/>
      <c r="L2028" s="7"/>
      <c r="M2028" s="7"/>
      <c r="O2028" s="5"/>
      <c r="P2028" s="5"/>
    </row>
    <row r="2029" spans="2:16" x14ac:dyDescent="0.25">
      <c r="B2029" s="90">
        <v>1018</v>
      </c>
      <c r="C2029" s="91">
        <v>0.34387628611137688</v>
      </c>
      <c r="D2029" s="92">
        <v>359</v>
      </c>
      <c r="G2029" s="5"/>
      <c r="H2029" s="5"/>
      <c r="L2029" s="7"/>
      <c r="M2029" s="7"/>
      <c r="O2029" s="5"/>
      <c r="P2029" s="5"/>
    </row>
    <row r="2030" spans="2:16" x14ac:dyDescent="0.25">
      <c r="B2030" s="90">
        <v>999</v>
      </c>
      <c r="C2030" s="91">
        <v>0.22501671021451775</v>
      </c>
      <c r="D2030" s="92">
        <v>360</v>
      </c>
      <c r="G2030" s="5"/>
      <c r="H2030" s="5"/>
      <c r="L2030" s="7"/>
      <c r="M2030" s="7"/>
      <c r="O2030" s="5"/>
      <c r="P2030" s="5"/>
    </row>
    <row r="2031" spans="2:16" x14ac:dyDescent="0.25">
      <c r="B2031" s="90">
        <v>927</v>
      </c>
      <c r="C2031" s="91">
        <v>0.50923633167038296</v>
      </c>
      <c r="D2031" s="92">
        <v>360</v>
      </c>
      <c r="G2031" s="5"/>
      <c r="H2031" s="5"/>
      <c r="L2031" s="7"/>
      <c r="M2031" s="7"/>
      <c r="O2031" s="5"/>
      <c r="P2031" s="5"/>
    </row>
    <row r="2032" spans="2:16" x14ac:dyDescent="0.25">
      <c r="B2032" s="90">
        <v>612</v>
      </c>
      <c r="C2032" s="91">
        <v>0.50930277713720673</v>
      </c>
      <c r="D2032" s="92">
        <v>360</v>
      </c>
      <c r="G2032" s="5"/>
      <c r="H2032" s="5"/>
      <c r="L2032" s="7"/>
      <c r="M2032" s="7"/>
      <c r="O2032" s="5"/>
      <c r="P2032" s="5"/>
    </row>
    <row r="2033" spans="2:16" x14ac:dyDescent="0.25">
      <c r="B2033" s="90">
        <v>667</v>
      </c>
      <c r="C2033" s="91">
        <v>0.51016502486726867</v>
      </c>
      <c r="D2033" s="92">
        <v>360</v>
      </c>
      <c r="G2033" s="5"/>
      <c r="H2033" s="5"/>
      <c r="L2033" s="7"/>
      <c r="M2033" s="7"/>
      <c r="O2033" s="5"/>
      <c r="P2033" s="5"/>
    </row>
    <row r="2034" spans="2:16" x14ac:dyDescent="0.25">
      <c r="B2034" s="90">
        <v>556</v>
      </c>
      <c r="C2034" s="91">
        <v>0.5127820443032578</v>
      </c>
      <c r="D2034" s="92">
        <v>360</v>
      </c>
      <c r="G2034" s="5"/>
      <c r="H2034" s="5"/>
      <c r="L2034" s="7"/>
      <c r="M2034" s="7"/>
      <c r="O2034" s="5"/>
      <c r="P2034" s="5"/>
    </row>
    <row r="2035" spans="2:16" x14ac:dyDescent="0.25">
      <c r="B2035" s="90">
        <v>774</v>
      </c>
      <c r="C2035" s="91">
        <v>0.52086121394226992</v>
      </c>
      <c r="D2035" s="92">
        <v>360</v>
      </c>
      <c r="G2035" s="5"/>
      <c r="H2035" s="5"/>
      <c r="L2035" s="7"/>
      <c r="M2035" s="7"/>
      <c r="O2035" s="5"/>
      <c r="P2035" s="5"/>
    </row>
    <row r="2036" spans="2:16" x14ac:dyDescent="0.25">
      <c r="B2036" s="90">
        <v>976</v>
      </c>
      <c r="C2036" s="91">
        <v>0.52143457446309727</v>
      </c>
      <c r="D2036" s="92">
        <v>360</v>
      </c>
      <c r="G2036" s="5"/>
      <c r="H2036" s="5"/>
      <c r="L2036" s="7"/>
      <c r="M2036" s="7"/>
      <c r="O2036" s="5"/>
      <c r="P2036" s="5"/>
    </row>
    <row r="2037" spans="2:16" x14ac:dyDescent="0.25">
      <c r="B2037" s="90">
        <v>721</v>
      </c>
      <c r="C2037" s="91">
        <v>0.52435221225032014</v>
      </c>
      <c r="D2037" s="92">
        <v>360</v>
      </c>
      <c r="G2037" s="5"/>
      <c r="H2037" s="5"/>
      <c r="L2037" s="7"/>
      <c r="M2037" s="7"/>
      <c r="O2037" s="5"/>
      <c r="P2037" s="5"/>
    </row>
    <row r="2038" spans="2:16" x14ac:dyDescent="0.25">
      <c r="B2038" s="90">
        <v>877</v>
      </c>
      <c r="C2038" s="91">
        <v>0.53463337137563394</v>
      </c>
      <c r="D2038" s="92">
        <v>360</v>
      </c>
      <c r="G2038" s="5"/>
      <c r="H2038" s="5"/>
      <c r="L2038" s="7"/>
      <c r="M2038" s="7"/>
      <c r="O2038" s="5"/>
      <c r="P2038" s="5"/>
    </row>
    <row r="2039" spans="2:16" x14ac:dyDescent="0.25">
      <c r="B2039" s="90">
        <v>826</v>
      </c>
      <c r="C2039" s="91">
        <v>0.53632136502125927</v>
      </c>
      <c r="D2039" s="92">
        <v>360</v>
      </c>
      <c r="G2039" s="5"/>
      <c r="H2039" s="5"/>
      <c r="L2039" s="7"/>
      <c r="M2039" s="7"/>
      <c r="O2039" s="5"/>
      <c r="P2039" s="5"/>
    </row>
    <row r="2040" spans="2:16" x14ac:dyDescent="0.25">
      <c r="B2040" s="90">
        <v>261</v>
      </c>
      <c r="C2040" s="91">
        <v>0.55245706886869317</v>
      </c>
      <c r="D2040" s="92">
        <v>360</v>
      </c>
      <c r="G2040" s="5"/>
      <c r="H2040" s="5"/>
      <c r="L2040" s="7"/>
      <c r="M2040" s="7"/>
      <c r="O2040" s="5"/>
      <c r="P2040" s="5"/>
    </row>
    <row r="2041" spans="2:16" x14ac:dyDescent="0.25">
      <c r="B2041" s="90">
        <v>105</v>
      </c>
      <c r="C2041" s="91">
        <v>0.12242566096109098</v>
      </c>
      <c r="D2041" s="92">
        <v>361</v>
      </c>
      <c r="G2041" s="5"/>
      <c r="H2041" s="5"/>
      <c r="L2041" s="7"/>
      <c r="M2041" s="7"/>
      <c r="O2041" s="5"/>
      <c r="P2041" s="5"/>
    </row>
    <row r="2042" spans="2:16" x14ac:dyDescent="0.25">
      <c r="B2042" s="90">
        <v>23</v>
      </c>
      <c r="C2042" s="91">
        <v>0.12824454609128022</v>
      </c>
      <c r="D2042" s="92">
        <v>361</v>
      </c>
      <c r="G2042" s="5"/>
      <c r="H2042" s="5"/>
      <c r="L2042" s="7"/>
      <c r="M2042" s="7"/>
      <c r="O2042" s="5"/>
      <c r="P2042" s="5"/>
    </row>
    <row r="2043" spans="2:16" x14ac:dyDescent="0.25">
      <c r="B2043" s="90">
        <v>1893</v>
      </c>
      <c r="C2043" s="91">
        <v>0.12824454609128022</v>
      </c>
      <c r="D2043" s="92">
        <v>361</v>
      </c>
      <c r="G2043" s="5"/>
      <c r="H2043" s="5"/>
      <c r="L2043" s="7"/>
      <c r="M2043" s="7"/>
      <c r="O2043" s="5"/>
      <c r="P2043" s="5"/>
    </row>
    <row r="2044" spans="2:16" x14ac:dyDescent="0.25">
      <c r="B2044" s="90">
        <v>29</v>
      </c>
      <c r="C2044" s="91">
        <v>0.1334965509646111</v>
      </c>
      <c r="D2044" s="92">
        <v>361</v>
      </c>
      <c r="G2044" s="5"/>
      <c r="H2044" s="5"/>
      <c r="L2044" s="7"/>
      <c r="M2044" s="7"/>
      <c r="O2044" s="5"/>
      <c r="P2044" s="5"/>
    </row>
    <row r="2045" spans="2:16" x14ac:dyDescent="0.25">
      <c r="B2045" s="90">
        <v>1740</v>
      </c>
      <c r="C2045" s="91">
        <v>0.1334965509646111</v>
      </c>
      <c r="D2045" s="92">
        <v>361</v>
      </c>
      <c r="G2045" s="5"/>
      <c r="H2045" s="5"/>
      <c r="L2045" s="7"/>
      <c r="M2045" s="7"/>
      <c r="O2045" s="5"/>
      <c r="P2045" s="5"/>
    </row>
    <row r="2046" spans="2:16" x14ac:dyDescent="0.25">
      <c r="B2046" s="90">
        <v>337</v>
      </c>
      <c r="C2046" s="91">
        <v>0.36681254344495184</v>
      </c>
      <c r="D2046" s="92">
        <v>361</v>
      </c>
      <c r="G2046" s="5"/>
      <c r="H2046" s="5"/>
      <c r="L2046" s="7"/>
      <c r="M2046" s="7"/>
      <c r="O2046" s="5"/>
      <c r="P2046" s="5"/>
    </row>
    <row r="2047" spans="2:16" x14ac:dyDescent="0.25">
      <c r="B2047" s="90">
        <v>499</v>
      </c>
      <c r="C2047" s="91">
        <v>0.52468523604501494</v>
      </c>
      <c r="D2047" s="92">
        <v>362</v>
      </c>
      <c r="G2047" s="5"/>
      <c r="H2047" s="5"/>
      <c r="L2047" s="7"/>
      <c r="M2047" s="7"/>
      <c r="O2047" s="5"/>
      <c r="P2047" s="5"/>
    </row>
    <row r="2048" spans="2:16" x14ac:dyDescent="0.25">
      <c r="B2048" s="90">
        <v>441</v>
      </c>
      <c r="C2048" s="91">
        <v>0.5320784252174513</v>
      </c>
      <c r="D2048" s="92">
        <v>362</v>
      </c>
      <c r="G2048" s="5"/>
      <c r="H2048" s="5"/>
      <c r="L2048" s="7"/>
      <c r="M2048" s="7"/>
      <c r="O2048" s="5"/>
      <c r="P2048" s="5"/>
    </row>
    <row r="2049" spans="2:16" x14ac:dyDescent="0.25">
      <c r="B2049" s="90">
        <v>382</v>
      </c>
      <c r="C2049" s="91">
        <v>0.53865059619614364</v>
      </c>
      <c r="D2049" s="92">
        <v>362</v>
      </c>
      <c r="G2049" s="5"/>
      <c r="H2049" s="5"/>
      <c r="L2049" s="7"/>
      <c r="M2049" s="7"/>
      <c r="O2049" s="5"/>
      <c r="P2049" s="5"/>
    </row>
    <row r="2050" spans="2:16" x14ac:dyDescent="0.25">
      <c r="B2050" s="90">
        <v>322</v>
      </c>
      <c r="C2050" s="91">
        <v>0.56442139108511213</v>
      </c>
      <c r="D2050" s="92">
        <v>362</v>
      </c>
      <c r="G2050" s="5"/>
      <c r="H2050" s="5"/>
      <c r="L2050" s="7"/>
      <c r="M2050" s="7"/>
      <c r="O2050" s="5"/>
      <c r="P2050" s="5"/>
    </row>
    <row r="2051" spans="2:16" x14ac:dyDescent="0.25">
      <c r="B2051" s="90">
        <v>107</v>
      </c>
      <c r="C2051" s="91">
        <v>0.14023818356056061</v>
      </c>
      <c r="D2051" s="92">
        <v>363</v>
      </c>
      <c r="G2051" s="5"/>
      <c r="H2051" s="5"/>
      <c r="L2051" s="7"/>
      <c r="M2051" s="7"/>
      <c r="O2051" s="5"/>
      <c r="P2051" s="5"/>
    </row>
    <row r="2052" spans="2:16" x14ac:dyDescent="0.25">
      <c r="B2052" s="90">
        <v>111</v>
      </c>
      <c r="C2052" s="91">
        <v>0.28528099818797281</v>
      </c>
      <c r="D2052" s="92">
        <v>363</v>
      </c>
      <c r="G2052" s="5"/>
      <c r="H2052" s="5"/>
      <c r="L2052" s="7"/>
      <c r="M2052" s="7"/>
      <c r="O2052" s="5"/>
      <c r="P2052" s="5"/>
    </row>
    <row r="2053" spans="2:16" x14ac:dyDescent="0.25">
      <c r="B2053" s="90">
        <v>47</v>
      </c>
      <c r="C2053" s="91">
        <v>0.29836086393589667</v>
      </c>
      <c r="D2053" s="92">
        <v>363</v>
      </c>
      <c r="G2053" s="5"/>
      <c r="H2053" s="5"/>
      <c r="L2053" s="7"/>
      <c r="M2053" s="7"/>
      <c r="O2053" s="5"/>
      <c r="P2053" s="5"/>
    </row>
    <row r="2054" spans="2:16" x14ac:dyDescent="0.25">
      <c r="B2054" s="90">
        <v>1065</v>
      </c>
      <c r="C2054" s="91">
        <v>0.29836086393589667</v>
      </c>
      <c r="D2054" s="92">
        <v>363</v>
      </c>
      <c r="G2054" s="5"/>
      <c r="H2054" s="5"/>
      <c r="L2054" s="7"/>
      <c r="M2054" s="7"/>
      <c r="O2054" s="5"/>
      <c r="P2054" s="5"/>
    </row>
    <row r="2055" spans="2:16" x14ac:dyDescent="0.25">
      <c r="B2055" s="90">
        <v>171</v>
      </c>
      <c r="C2055" s="91">
        <v>0.13854308749454303</v>
      </c>
      <c r="D2055" s="92">
        <v>364</v>
      </c>
      <c r="G2055" s="5"/>
      <c r="H2055" s="5"/>
      <c r="L2055" s="7"/>
      <c r="M2055" s="7"/>
      <c r="O2055" s="5"/>
      <c r="P2055" s="5"/>
    </row>
    <row r="2056" spans="2:16" x14ac:dyDescent="0.25">
      <c r="B2056" s="90">
        <v>175</v>
      </c>
      <c r="C2056" s="91">
        <v>0.28109866841166253</v>
      </c>
      <c r="D2056" s="92">
        <v>364</v>
      </c>
      <c r="G2056" s="5"/>
      <c r="H2056" s="5"/>
      <c r="L2056" s="7"/>
      <c r="M2056" s="7"/>
      <c r="O2056" s="5"/>
      <c r="P2056" s="5"/>
    </row>
    <row r="2057" spans="2:16" x14ac:dyDescent="0.25">
      <c r="B2057" s="90">
        <v>1153</v>
      </c>
      <c r="C2057" s="91">
        <v>9.0170501956954974E-2</v>
      </c>
      <c r="D2057" s="92">
        <v>365</v>
      </c>
      <c r="G2057" s="5"/>
      <c r="H2057" s="5"/>
      <c r="L2057" s="7"/>
      <c r="M2057" s="7"/>
      <c r="O2057" s="5"/>
      <c r="P2057" s="5"/>
    </row>
    <row r="2058" spans="2:16" x14ac:dyDescent="0.25">
      <c r="B2058" s="90">
        <v>25</v>
      </c>
      <c r="C2058" s="91">
        <v>0.1221707984635686</v>
      </c>
      <c r="D2058" s="92">
        <v>366</v>
      </c>
      <c r="G2058" s="5"/>
      <c r="H2058" s="5"/>
      <c r="L2058" s="7"/>
      <c r="M2058" s="7"/>
      <c r="O2058" s="5"/>
      <c r="P2058" s="5"/>
    </row>
    <row r="2059" spans="2:16" x14ac:dyDescent="0.25">
      <c r="B2059" s="90">
        <v>1846</v>
      </c>
      <c r="C2059" s="91">
        <v>0.1221707984635686</v>
      </c>
      <c r="D2059" s="92">
        <v>366</v>
      </c>
      <c r="G2059" s="5"/>
      <c r="H2059" s="5"/>
      <c r="L2059" s="7"/>
      <c r="M2059" s="7"/>
      <c r="O2059" s="5"/>
      <c r="P2059" s="5"/>
    </row>
    <row r="2060" spans="2:16" x14ac:dyDescent="0.25">
      <c r="B2060" s="90">
        <v>24</v>
      </c>
      <c r="C2060" s="91">
        <v>0.19607804403386608</v>
      </c>
      <c r="D2060" s="92">
        <v>366</v>
      </c>
      <c r="G2060" s="5"/>
      <c r="H2060" s="5"/>
      <c r="L2060" s="7"/>
      <c r="M2060" s="7"/>
      <c r="O2060" s="5"/>
      <c r="P2060" s="5"/>
    </row>
    <row r="2061" spans="2:16" x14ac:dyDescent="0.25">
      <c r="B2061" s="90">
        <v>1870</v>
      </c>
      <c r="C2061" s="91">
        <v>0.19607804403386608</v>
      </c>
      <c r="D2061" s="92">
        <v>366</v>
      </c>
      <c r="G2061" s="5"/>
      <c r="H2061" s="5"/>
      <c r="L2061" s="7"/>
      <c r="M2061" s="7"/>
      <c r="O2061" s="5"/>
      <c r="P2061" s="5"/>
    </row>
    <row r="2062" spans="2:16" x14ac:dyDescent="0.25">
      <c r="B2062" s="90">
        <v>949</v>
      </c>
      <c r="C2062" s="91">
        <v>0.24687220772549456</v>
      </c>
      <c r="D2062" s="92">
        <v>367</v>
      </c>
      <c r="G2062" s="5"/>
      <c r="H2062" s="5"/>
      <c r="L2062" s="7"/>
      <c r="M2062" s="7"/>
      <c r="O2062" s="5"/>
      <c r="P2062" s="5"/>
    </row>
    <row r="2063" spans="2:16" x14ac:dyDescent="0.25">
      <c r="B2063" s="90">
        <v>948</v>
      </c>
      <c r="C2063" s="91">
        <v>0.25096146606748659</v>
      </c>
      <c r="D2063" s="92">
        <v>367</v>
      </c>
      <c r="G2063" s="5"/>
      <c r="H2063" s="5"/>
      <c r="L2063" s="7"/>
      <c r="M2063" s="7"/>
      <c r="O2063" s="5"/>
      <c r="P2063" s="5"/>
    </row>
    <row r="2064" spans="2:16" x14ac:dyDescent="0.25">
      <c r="B2064" s="90">
        <v>41</v>
      </c>
      <c r="C2064" s="91">
        <v>0.17420100660299209</v>
      </c>
      <c r="D2064" s="92">
        <v>368</v>
      </c>
      <c r="G2064" s="5"/>
      <c r="H2064" s="5"/>
      <c r="L2064" s="7"/>
      <c r="M2064" s="7"/>
      <c r="O2064" s="5"/>
      <c r="P2064" s="5"/>
    </row>
    <row r="2065" spans="2:16" x14ac:dyDescent="0.25">
      <c r="B2065" s="90">
        <v>1326</v>
      </c>
      <c r="C2065" s="91">
        <v>0.17420100660299209</v>
      </c>
      <c r="D2065" s="92">
        <v>368</v>
      </c>
      <c r="G2065" s="5"/>
      <c r="H2065" s="5"/>
      <c r="L2065" s="7"/>
      <c r="M2065" s="7"/>
      <c r="O2065" s="5"/>
      <c r="P2065" s="5"/>
    </row>
    <row r="2066" spans="2:16" x14ac:dyDescent="0.25">
      <c r="B2066" s="90">
        <v>998</v>
      </c>
      <c r="C2066" s="91">
        <v>0.27586218365932269</v>
      </c>
      <c r="D2066" s="92">
        <v>368</v>
      </c>
      <c r="G2066" s="5"/>
      <c r="H2066" s="5"/>
      <c r="L2066" s="7"/>
      <c r="M2066" s="7"/>
      <c r="O2066" s="5"/>
      <c r="P2066" s="5"/>
    </row>
    <row r="2067" spans="2:16" x14ac:dyDescent="0.25">
      <c r="B2067" s="90">
        <v>898</v>
      </c>
      <c r="C2067" s="91">
        <v>0.27711669900607383</v>
      </c>
      <c r="D2067" s="92">
        <v>368</v>
      </c>
      <c r="G2067" s="5"/>
      <c r="H2067" s="5"/>
      <c r="L2067" s="7"/>
      <c r="M2067" s="7"/>
      <c r="O2067" s="5"/>
      <c r="P2067" s="5"/>
    </row>
    <row r="2068" spans="2:16" x14ac:dyDescent="0.25">
      <c r="B2068" s="90">
        <v>39</v>
      </c>
      <c r="C2068" s="91">
        <v>0.13533005702407797</v>
      </c>
      <c r="D2068" s="92">
        <v>370</v>
      </c>
      <c r="G2068" s="5"/>
      <c r="H2068" s="5"/>
      <c r="L2068" s="7"/>
      <c r="M2068" s="7"/>
      <c r="O2068" s="5"/>
      <c r="P2068" s="5"/>
    </row>
    <row r="2069" spans="2:16" x14ac:dyDescent="0.25">
      <c r="B2069" s="90">
        <v>1405</v>
      </c>
      <c r="C2069" s="91">
        <v>0.13533005702407797</v>
      </c>
      <c r="D2069" s="92">
        <v>370</v>
      </c>
      <c r="G2069" s="5"/>
      <c r="H2069" s="5"/>
      <c r="L2069" s="7"/>
      <c r="M2069" s="7"/>
      <c r="O2069" s="5"/>
      <c r="P2069" s="5"/>
    </row>
    <row r="2070" spans="2:16" x14ac:dyDescent="0.25">
      <c r="B2070" s="90">
        <v>40</v>
      </c>
      <c r="C2070" s="91">
        <v>0.13540772292629266</v>
      </c>
      <c r="D2070" s="92">
        <v>370</v>
      </c>
      <c r="G2070" s="5"/>
      <c r="H2070" s="5"/>
      <c r="L2070" s="7"/>
      <c r="M2070" s="7"/>
      <c r="O2070" s="5"/>
      <c r="P2070" s="5"/>
    </row>
    <row r="2071" spans="2:16" x14ac:dyDescent="0.25">
      <c r="B2071" s="90">
        <v>1366</v>
      </c>
      <c r="C2071" s="91">
        <v>0.13540772292629266</v>
      </c>
      <c r="D2071" s="92">
        <v>370</v>
      </c>
      <c r="G2071" s="5"/>
      <c r="H2071" s="5"/>
      <c r="L2071" s="7"/>
      <c r="M2071" s="7"/>
      <c r="O2071" s="5"/>
      <c r="P2071" s="5"/>
    </row>
    <row r="2072" spans="2:16" x14ac:dyDescent="0.25">
      <c r="B2072" s="90">
        <v>217</v>
      </c>
      <c r="C2072" s="91">
        <v>0.22065365960853733</v>
      </c>
      <c r="D2072" s="92">
        <v>371</v>
      </c>
      <c r="G2072" s="5"/>
      <c r="H2072" s="5"/>
      <c r="L2072" s="7"/>
      <c r="M2072" s="7"/>
      <c r="O2072" s="5"/>
      <c r="P2072" s="5"/>
    </row>
    <row r="2073" spans="2:16" x14ac:dyDescent="0.25">
      <c r="B2073" s="90">
        <v>20</v>
      </c>
      <c r="C2073" s="91">
        <v>0.16540585678394337</v>
      </c>
      <c r="D2073" s="92">
        <v>372</v>
      </c>
      <c r="G2073" s="5"/>
      <c r="H2073" s="5"/>
      <c r="L2073" s="7"/>
      <c r="M2073" s="7"/>
      <c r="O2073" s="5"/>
      <c r="P2073" s="5"/>
    </row>
    <row r="2074" spans="2:16" x14ac:dyDescent="0.25">
      <c r="B2074" s="90">
        <v>1956</v>
      </c>
      <c r="C2074" s="91">
        <v>0.16540585678394337</v>
      </c>
      <c r="D2074" s="92">
        <v>372</v>
      </c>
      <c r="G2074" s="5"/>
      <c r="H2074" s="5"/>
      <c r="L2074" s="7"/>
      <c r="M2074" s="7"/>
      <c r="O2074" s="5"/>
      <c r="P2074" s="5"/>
    </row>
    <row r="2075" spans="2:16" x14ac:dyDescent="0.25">
      <c r="B2075" s="90">
        <v>169</v>
      </c>
      <c r="C2075" s="91">
        <v>0.11934614894108486</v>
      </c>
      <c r="D2075" s="92">
        <v>375</v>
      </c>
      <c r="G2075" s="5"/>
      <c r="H2075" s="5"/>
      <c r="L2075" s="7"/>
      <c r="M2075" s="7"/>
      <c r="O2075" s="5"/>
      <c r="P2075" s="5"/>
    </row>
    <row r="2076" spans="2:16" x14ac:dyDescent="0.25">
      <c r="B2076" s="90">
        <v>1047</v>
      </c>
      <c r="C2076" s="91">
        <v>0.29932003067874779</v>
      </c>
      <c r="D2076" s="92">
        <v>375</v>
      </c>
      <c r="G2076" s="5"/>
      <c r="H2076" s="5"/>
      <c r="L2076" s="7"/>
      <c r="M2076" s="7"/>
      <c r="O2076" s="5"/>
      <c r="P2076" s="5"/>
    </row>
    <row r="2077" spans="2:16" x14ac:dyDescent="0.25">
      <c r="B2077" s="90">
        <v>1094</v>
      </c>
      <c r="C2077" s="91">
        <v>0.3073768882581609</v>
      </c>
      <c r="D2077" s="92">
        <v>375</v>
      </c>
      <c r="G2077" s="5"/>
      <c r="H2077" s="5"/>
      <c r="L2077" s="7"/>
      <c r="M2077" s="7"/>
      <c r="O2077" s="5"/>
      <c r="P2077" s="5"/>
    </row>
    <row r="2078" spans="2:16" x14ac:dyDescent="0.25">
      <c r="B2078" s="90">
        <v>1140</v>
      </c>
      <c r="C2078" s="91">
        <v>0.3092777631681245</v>
      </c>
      <c r="D2078" s="92">
        <v>375</v>
      </c>
      <c r="G2078" s="5"/>
      <c r="H2078" s="5"/>
      <c r="L2078" s="7"/>
      <c r="M2078" s="7"/>
      <c r="O2078" s="5"/>
      <c r="P2078" s="5"/>
    </row>
    <row r="2079" spans="2:16" x14ac:dyDescent="0.25">
      <c r="B2079" s="90">
        <v>22</v>
      </c>
      <c r="C2079" s="91">
        <v>0.28049755372938856</v>
      </c>
      <c r="D2079" s="92">
        <v>376</v>
      </c>
      <c r="G2079" s="5"/>
      <c r="H2079" s="5"/>
      <c r="L2079" s="7"/>
      <c r="M2079" s="7"/>
      <c r="O2079" s="5"/>
      <c r="P2079" s="5"/>
    </row>
    <row r="2080" spans="2:16" x14ac:dyDescent="0.25">
      <c r="B2080" s="90">
        <v>1915</v>
      </c>
      <c r="C2080" s="91">
        <v>0.28049755372938856</v>
      </c>
      <c r="D2080" s="92">
        <v>376</v>
      </c>
      <c r="G2080" s="5"/>
      <c r="H2080" s="5"/>
      <c r="L2080" s="7"/>
      <c r="M2080" s="7"/>
      <c r="O2080" s="5"/>
      <c r="P2080" s="5"/>
    </row>
    <row r="2081" spans="2:16" x14ac:dyDescent="0.25">
      <c r="B2081" s="90">
        <v>797</v>
      </c>
      <c r="C2081" s="91">
        <v>0.20888653102229382</v>
      </c>
      <c r="D2081" s="92">
        <v>377</v>
      </c>
      <c r="G2081" s="5"/>
      <c r="H2081" s="5"/>
      <c r="L2081" s="7"/>
      <c r="M2081" s="7"/>
      <c r="O2081" s="5"/>
      <c r="P2081" s="5"/>
    </row>
    <row r="2082" spans="2:16" x14ac:dyDescent="0.25">
      <c r="B2082" s="90">
        <v>744</v>
      </c>
      <c r="C2082" s="91">
        <v>0.21097273014528573</v>
      </c>
      <c r="D2082" s="92">
        <v>377</v>
      </c>
      <c r="G2082" s="5"/>
      <c r="H2082" s="5"/>
      <c r="L2082" s="7"/>
      <c r="M2082" s="7"/>
      <c r="O2082" s="5"/>
      <c r="P2082" s="5"/>
    </row>
    <row r="2083" spans="2:16" x14ac:dyDescent="0.25">
      <c r="B2083" s="90">
        <v>900</v>
      </c>
      <c r="C2083" s="91">
        <v>0.21871101451747754</v>
      </c>
      <c r="D2083" s="92">
        <v>377</v>
      </c>
      <c r="G2083" s="5"/>
      <c r="H2083" s="5"/>
      <c r="L2083" s="7"/>
      <c r="M2083" s="7"/>
      <c r="O2083" s="5"/>
      <c r="P2083" s="5"/>
    </row>
    <row r="2084" spans="2:16" x14ac:dyDescent="0.25">
      <c r="B2084" s="90">
        <v>205</v>
      </c>
      <c r="C2084" s="91">
        <v>0.37323713437959105</v>
      </c>
      <c r="D2084" s="92">
        <v>377</v>
      </c>
      <c r="G2084" s="5"/>
      <c r="H2084" s="5"/>
      <c r="L2084" s="7"/>
      <c r="M2084" s="7"/>
      <c r="O2084" s="5"/>
      <c r="P2084" s="5"/>
    </row>
    <row r="2085" spans="2:16" x14ac:dyDescent="0.25">
      <c r="B2085" s="90">
        <v>1314</v>
      </c>
      <c r="C2085" s="91">
        <v>0.4259129365044938</v>
      </c>
      <c r="D2085" s="92">
        <v>377</v>
      </c>
      <c r="G2085" s="5"/>
      <c r="H2085" s="5"/>
      <c r="L2085" s="7"/>
      <c r="M2085" s="7"/>
      <c r="O2085" s="5"/>
      <c r="P2085" s="5"/>
    </row>
    <row r="2086" spans="2:16" x14ac:dyDescent="0.25">
      <c r="B2086" s="90">
        <v>1249</v>
      </c>
      <c r="C2086" s="91">
        <v>0.49851684537805907</v>
      </c>
      <c r="D2086" s="92">
        <v>379</v>
      </c>
      <c r="G2086" s="5"/>
      <c r="H2086" s="5"/>
      <c r="L2086" s="7"/>
      <c r="M2086" s="7"/>
      <c r="O2086" s="5"/>
      <c r="P2086" s="5"/>
    </row>
    <row r="2087" spans="2:16" x14ac:dyDescent="0.25">
      <c r="B2087" s="90">
        <v>21</v>
      </c>
      <c r="C2087" s="91">
        <v>0.19804608318432826</v>
      </c>
      <c r="D2087" s="92">
        <v>382</v>
      </c>
      <c r="G2087" s="5"/>
      <c r="H2087" s="5"/>
      <c r="L2087" s="7"/>
      <c r="M2087" s="7"/>
      <c r="O2087" s="5"/>
      <c r="P2087" s="5"/>
    </row>
    <row r="2088" spans="2:16" x14ac:dyDescent="0.25">
      <c r="B2088" s="90">
        <v>1936</v>
      </c>
      <c r="C2088" s="91">
        <v>0.19804608318432826</v>
      </c>
      <c r="D2088" s="92">
        <v>382</v>
      </c>
      <c r="G2088" s="5"/>
      <c r="H2088" s="5"/>
      <c r="L2088" s="7"/>
      <c r="M2088" s="7"/>
      <c r="O2088" s="5"/>
      <c r="P2088" s="5"/>
    </row>
    <row r="2089" spans="2:16" x14ac:dyDescent="0.25">
      <c r="B2089" s="90">
        <v>46</v>
      </c>
      <c r="C2089" s="91">
        <v>0.28684341516040335</v>
      </c>
      <c r="D2089" s="92">
        <v>382</v>
      </c>
      <c r="G2089" s="5"/>
      <c r="H2089" s="5"/>
      <c r="L2089" s="7"/>
      <c r="M2089" s="7"/>
      <c r="O2089" s="5"/>
      <c r="P2089" s="5"/>
    </row>
    <row r="2090" spans="2:16" x14ac:dyDescent="0.25">
      <c r="B2090" s="90">
        <v>1111</v>
      </c>
      <c r="C2090" s="91">
        <v>0.28684341516040335</v>
      </c>
      <c r="D2090" s="92">
        <v>382</v>
      </c>
      <c r="G2090" s="5"/>
      <c r="H2090" s="5"/>
      <c r="L2090" s="7"/>
      <c r="M2090" s="7"/>
      <c r="O2090" s="5"/>
      <c r="P2090" s="5"/>
    </row>
    <row r="2091" spans="2:16" x14ac:dyDescent="0.25">
      <c r="B2091" s="90">
        <v>18</v>
      </c>
      <c r="C2091" s="91">
        <v>0.17797660513371083</v>
      </c>
      <c r="D2091" s="92">
        <v>384</v>
      </c>
      <c r="G2091" s="5"/>
      <c r="H2091" s="5"/>
      <c r="L2091" s="7"/>
      <c r="M2091" s="7"/>
      <c r="O2091" s="5"/>
      <c r="P2091" s="5"/>
    </row>
    <row r="2092" spans="2:16" x14ac:dyDescent="0.25">
      <c r="B2092" s="90">
        <v>1993</v>
      </c>
      <c r="C2092" s="91">
        <v>0.17797660513371083</v>
      </c>
      <c r="D2092" s="92">
        <v>384</v>
      </c>
      <c r="G2092" s="5"/>
      <c r="H2092" s="5"/>
      <c r="L2092" s="7"/>
      <c r="M2092" s="7"/>
      <c r="O2092" s="5"/>
      <c r="P2092" s="5"/>
    </row>
    <row r="2093" spans="2:16" x14ac:dyDescent="0.25">
      <c r="B2093" s="90">
        <v>689</v>
      </c>
      <c r="C2093" s="91">
        <v>0.25300707304428882</v>
      </c>
      <c r="D2093" s="92">
        <v>385</v>
      </c>
      <c r="G2093" s="5"/>
      <c r="H2093" s="5"/>
      <c r="L2093" s="7"/>
      <c r="M2093" s="7"/>
      <c r="O2093" s="5"/>
      <c r="P2093" s="5"/>
    </row>
    <row r="2094" spans="2:16" x14ac:dyDescent="0.25">
      <c r="B2094" s="90">
        <v>634</v>
      </c>
      <c r="C2094" s="91">
        <v>0.25422344027499877</v>
      </c>
      <c r="D2094" s="92">
        <v>385</v>
      </c>
      <c r="G2094" s="5"/>
      <c r="H2094" s="5"/>
      <c r="L2094" s="7"/>
      <c r="M2094" s="7"/>
      <c r="O2094" s="5"/>
      <c r="P2094" s="5"/>
    </row>
    <row r="2095" spans="2:16" x14ac:dyDescent="0.25">
      <c r="B2095" s="90">
        <v>688</v>
      </c>
      <c r="C2095" s="91">
        <v>0.25687661010127472</v>
      </c>
      <c r="D2095" s="92">
        <v>385</v>
      </c>
      <c r="G2095" s="5"/>
      <c r="H2095" s="5"/>
      <c r="L2095" s="7"/>
      <c r="M2095" s="7"/>
      <c r="O2095" s="5"/>
      <c r="P2095" s="5"/>
    </row>
    <row r="2096" spans="2:16" x14ac:dyDescent="0.25">
      <c r="B2096" s="90">
        <v>633</v>
      </c>
      <c r="C2096" s="91">
        <v>0.25802770689875354</v>
      </c>
      <c r="D2096" s="92">
        <v>385</v>
      </c>
      <c r="G2096" s="5"/>
      <c r="H2096" s="5"/>
      <c r="L2096" s="7"/>
      <c r="M2096" s="7"/>
      <c r="O2096" s="5"/>
      <c r="P2096" s="5"/>
    </row>
    <row r="2097" spans="2:16" x14ac:dyDescent="0.25">
      <c r="B2097" s="90">
        <v>577</v>
      </c>
      <c r="C2097" s="91">
        <v>0.26093935356210163</v>
      </c>
      <c r="D2097" s="92">
        <v>385</v>
      </c>
      <c r="G2097" s="5"/>
      <c r="H2097" s="5"/>
      <c r="L2097" s="7"/>
      <c r="M2097" s="7"/>
      <c r="O2097" s="5"/>
      <c r="P2097" s="5"/>
    </row>
    <row r="2098" spans="2:16" x14ac:dyDescent="0.25">
      <c r="B2098" s="90">
        <v>899</v>
      </c>
      <c r="C2098" s="91">
        <v>0.2729589211445036</v>
      </c>
      <c r="D2098" s="92">
        <v>385</v>
      </c>
      <c r="G2098" s="5"/>
      <c r="H2098" s="5"/>
      <c r="L2098" s="7"/>
      <c r="M2098" s="7"/>
      <c r="O2098" s="5"/>
      <c r="P2098" s="5"/>
    </row>
    <row r="2099" spans="2:16" x14ac:dyDescent="0.25">
      <c r="B2099" s="90">
        <v>1508</v>
      </c>
      <c r="C2099" s="91">
        <v>0.48816366388690713</v>
      </c>
      <c r="D2099" s="92">
        <v>387</v>
      </c>
      <c r="G2099" s="5"/>
      <c r="H2099" s="5"/>
      <c r="L2099" s="7"/>
      <c r="M2099" s="7"/>
      <c r="O2099" s="5"/>
      <c r="P2099" s="5"/>
    </row>
    <row r="2100" spans="2:16" x14ac:dyDescent="0.25">
      <c r="B2100" s="90">
        <v>1272</v>
      </c>
      <c r="C2100" s="91">
        <v>0.46369457925234925</v>
      </c>
      <c r="D2100" s="92">
        <v>389</v>
      </c>
      <c r="G2100" s="5"/>
      <c r="H2100" s="5"/>
      <c r="L2100" s="7"/>
      <c r="M2100" s="7"/>
      <c r="O2100" s="5"/>
      <c r="P2100" s="5"/>
    </row>
    <row r="2101" spans="2:16" x14ac:dyDescent="0.25">
      <c r="B2101" s="90">
        <v>88</v>
      </c>
      <c r="C2101" s="91">
        <v>0.29629909834986412</v>
      </c>
      <c r="D2101" s="92">
        <v>392</v>
      </c>
      <c r="G2101" s="5"/>
      <c r="H2101" s="5"/>
      <c r="L2101" s="7"/>
      <c r="M2101" s="7"/>
      <c r="O2101" s="5"/>
      <c r="P2101" s="5"/>
    </row>
    <row r="2102" spans="2:16" x14ac:dyDescent="0.25">
      <c r="B2102" s="90">
        <v>42</v>
      </c>
      <c r="C2102" s="91">
        <v>0.13743679514522722</v>
      </c>
      <c r="D2102" s="92">
        <v>393</v>
      </c>
      <c r="G2102" s="5"/>
      <c r="H2102" s="5"/>
      <c r="L2102" s="7"/>
      <c r="M2102" s="7"/>
      <c r="O2102" s="5"/>
      <c r="P2102" s="5"/>
    </row>
    <row r="2103" spans="2:16" x14ac:dyDescent="0.25">
      <c r="B2103" s="90">
        <v>1285</v>
      </c>
      <c r="C2103" s="91">
        <v>0.13743679514522722</v>
      </c>
      <c r="D2103" s="92">
        <v>393</v>
      </c>
      <c r="G2103" s="5"/>
      <c r="H2103" s="5"/>
      <c r="L2103" s="7"/>
      <c r="M2103" s="7"/>
      <c r="O2103" s="5"/>
      <c r="P2103" s="5"/>
    </row>
    <row r="2104" spans="2:16" x14ac:dyDescent="0.25">
      <c r="B2104" s="90">
        <v>152</v>
      </c>
      <c r="C2104" s="91">
        <v>0.29905040762884583</v>
      </c>
      <c r="D2104" s="92">
        <v>393</v>
      </c>
      <c r="G2104" s="5"/>
      <c r="H2104" s="5"/>
      <c r="L2104" s="7"/>
      <c r="M2104" s="7"/>
      <c r="O2104" s="5"/>
      <c r="P2104" s="5"/>
    </row>
    <row r="2105" spans="2:16" x14ac:dyDescent="0.25">
      <c r="B2105" s="90">
        <v>849</v>
      </c>
      <c r="C2105" s="91">
        <v>0.22265070773679518</v>
      </c>
      <c r="D2105" s="92">
        <v>395</v>
      </c>
      <c r="G2105" s="5"/>
      <c r="H2105" s="5"/>
      <c r="L2105" s="7"/>
      <c r="M2105" s="7"/>
      <c r="O2105" s="5"/>
      <c r="P2105" s="5"/>
    </row>
    <row r="2106" spans="2:16" x14ac:dyDescent="0.25">
      <c r="B2106" s="90">
        <v>216</v>
      </c>
      <c r="C2106" s="91">
        <v>0.32929382937141161</v>
      </c>
      <c r="D2106" s="92">
        <v>395</v>
      </c>
      <c r="G2106" s="5"/>
      <c r="H2106" s="5"/>
      <c r="L2106" s="7"/>
      <c r="M2106" s="7"/>
      <c r="O2106" s="5"/>
      <c r="P2106" s="5"/>
    </row>
    <row r="2107" spans="2:16" x14ac:dyDescent="0.25">
      <c r="B2107" s="90">
        <v>148</v>
      </c>
      <c r="C2107" s="91">
        <v>0.33190383201569129</v>
      </c>
      <c r="D2107" s="92">
        <v>395</v>
      </c>
      <c r="G2107" s="5"/>
      <c r="H2107" s="5"/>
      <c r="L2107" s="7"/>
      <c r="M2107" s="7"/>
      <c r="O2107" s="5"/>
      <c r="P2107" s="5"/>
    </row>
    <row r="2108" spans="2:16" x14ac:dyDescent="0.25">
      <c r="B2108" s="90">
        <v>1395</v>
      </c>
      <c r="C2108" s="91">
        <v>0.53759207495645822</v>
      </c>
      <c r="D2108" s="92">
        <v>397</v>
      </c>
      <c r="G2108" s="5"/>
      <c r="H2108" s="5"/>
      <c r="L2108" s="7"/>
      <c r="M2108" s="7"/>
      <c r="O2108" s="5"/>
      <c r="P2108" s="5"/>
    </row>
    <row r="2109" spans="2:16" x14ac:dyDescent="0.25">
      <c r="B2109" s="90">
        <v>1024</v>
      </c>
      <c r="C2109" s="91">
        <v>0.57663834314463358</v>
      </c>
      <c r="D2109" s="92">
        <v>397</v>
      </c>
      <c r="G2109" s="5"/>
      <c r="H2109" s="5"/>
      <c r="L2109" s="7"/>
      <c r="M2109" s="7"/>
      <c r="O2109" s="5"/>
      <c r="P2109" s="5"/>
    </row>
    <row r="2110" spans="2:16" x14ac:dyDescent="0.25">
      <c r="B2110" s="90">
        <v>213</v>
      </c>
      <c r="C2110" s="91">
        <v>0.33298300116752144</v>
      </c>
      <c r="D2110" s="92">
        <v>399</v>
      </c>
      <c r="G2110" s="5"/>
      <c r="H2110" s="5"/>
      <c r="L2110" s="7"/>
      <c r="M2110" s="7"/>
      <c r="O2110" s="5"/>
      <c r="P2110" s="5"/>
    </row>
    <row r="2111" spans="2:16" x14ac:dyDescent="0.25">
      <c r="B2111" s="90">
        <v>108</v>
      </c>
      <c r="C2111" s="91">
        <v>0.13584960361430443</v>
      </c>
      <c r="D2111" s="92">
        <v>401</v>
      </c>
      <c r="G2111" s="5"/>
      <c r="H2111" s="5"/>
      <c r="L2111" s="7"/>
      <c r="M2111" s="7"/>
      <c r="O2111" s="5"/>
      <c r="P2111" s="5"/>
    </row>
    <row r="2112" spans="2:16" x14ac:dyDescent="0.25">
      <c r="B2112" s="90">
        <v>1434</v>
      </c>
      <c r="C2112" s="91">
        <v>1.2009671240437556</v>
      </c>
      <c r="D2112" s="92">
        <v>401</v>
      </c>
      <c r="G2112" s="5"/>
      <c r="H2112" s="5"/>
      <c r="L2112" s="7"/>
      <c r="M2112" s="7"/>
      <c r="O2112" s="5"/>
      <c r="P2112" s="5"/>
    </row>
    <row r="2113" spans="2:16" x14ac:dyDescent="0.25">
      <c r="B2113" s="90">
        <v>1092</v>
      </c>
      <c r="C2113" s="91">
        <v>0.36103219350062377</v>
      </c>
      <c r="D2113" s="92">
        <v>402</v>
      </c>
      <c r="G2113" s="5"/>
      <c r="H2113" s="5"/>
      <c r="L2113" s="7"/>
      <c r="M2113" s="7"/>
      <c r="O2113" s="5"/>
      <c r="P2113" s="5"/>
    </row>
    <row r="2114" spans="2:16" x14ac:dyDescent="0.25">
      <c r="B2114" s="90">
        <v>1472</v>
      </c>
      <c r="C2114" s="91">
        <v>0.71657419277064394</v>
      </c>
      <c r="D2114" s="92">
        <v>402</v>
      </c>
      <c r="G2114" s="5"/>
      <c r="H2114" s="5"/>
      <c r="L2114" s="7"/>
      <c r="M2114" s="7"/>
      <c r="O2114" s="5"/>
      <c r="P2114" s="5"/>
    </row>
    <row r="2115" spans="2:16" x14ac:dyDescent="0.25">
      <c r="B2115" s="90">
        <v>578</v>
      </c>
      <c r="C2115" s="91">
        <v>0.25713373815415919</v>
      </c>
      <c r="D2115" s="92">
        <v>403</v>
      </c>
      <c r="G2115" s="5"/>
      <c r="H2115" s="5"/>
      <c r="L2115" s="7"/>
      <c r="M2115" s="7"/>
      <c r="O2115" s="5"/>
      <c r="P2115" s="5"/>
    </row>
    <row r="2116" spans="2:16" x14ac:dyDescent="0.25">
      <c r="B2116" s="90">
        <v>796</v>
      </c>
      <c r="C2116" s="91">
        <v>0.26505939977412529</v>
      </c>
      <c r="D2116" s="92">
        <v>403</v>
      </c>
      <c r="G2116" s="5"/>
      <c r="H2116" s="5"/>
      <c r="L2116" s="7"/>
      <c r="M2116" s="7"/>
      <c r="O2116" s="5"/>
      <c r="P2116" s="5"/>
    </row>
    <row r="2117" spans="2:16" x14ac:dyDescent="0.25">
      <c r="B2117" s="90">
        <v>743</v>
      </c>
      <c r="C2117" s="91">
        <v>0.2676262829921523</v>
      </c>
      <c r="D2117" s="92">
        <v>403</v>
      </c>
      <c r="G2117" s="5"/>
      <c r="H2117" s="5"/>
      <c r="L2117" s="7"/>
      <c r="M2117" s="7"/>
      <c r="O2117" s="5"/>
      <c r="P2117" s="5"/>
    </row>
    <row r="2118" spans="2:16" x14ac:dyDescent="0.25">
      <c r="B2118" s="90">
        <v>795</v>
      </c>
      <c r="C2118" s="91">
        <v>0.26898102027327142</v>
      </c>
      <c r="D2118" s="92">
        <v>403</v>
      </c>
      <c r="G2118" s="5"/>
      <c r="H2118" s="5"/>
      <c r="L2118" s="7"/>
      <c r="M2118" s="7"/>
      <c r="O2118" s="5"/>
      <c r="P2118" s="5"/>
    </row>
    <row r="2119" spans="2:16" x14ac:dyDescent="0.25">
      <c r="B2119" s="90">
        <v>742</v>
      </c>
      <c r="C2119" s="91">
        <v>0.27155759996982431</v>
      </c>
      <c r="D2119" s="92">
        <v>403</v>
      </c>
      <c r="G2119" s="5"/>
      <c r="H2119" s="5"/>
      <c r="L2119" s="7"/>
      <c r="M2119" s="7"/>
      <c r="O2119" s="5"/>
      <c r="P2119" s="5"/>
    </row>
    <row r="2120" spans="2:16" x14ac:dyDescent="0.25">
      <c r="B2120" s="90">
        <v>521</v>
      </c>
      <c r="C2120" s="91">
        <v>0.27287515363532266</v>
      </c>
      <c r="D2120" s="92">
        <v>403</v>
      </c>
      <c r="G2120" s="5"/>
      <c r="H2120" s="5"/>
      <c r="L2120" s="7"/>
      <c r="M2120" s="7"/>
      <c r="O2120" s="5"/>
      <c r="P2120" s="5"/>
    </row>
    <row r="2121" spans="2:16" x14ac:dyDescent="0.25">
      <c r="B2121" s="90">
        <v>520</v>
      </c>
      <c r="C2121" s="91">
        <v>0.27659533040867168</v>
      </c>
      <c r="D2121" s="92">
        <v>403</v>
      </c>
      <c r="G2121" s="5"/>
      <c r="H2121" s="5"/>
      <c r="L2121" s="7"/>
      <c r="M2121" s="7"/>
      <c r="O2121" s="5"/>
      <c r="P2121" s="5"/>
    </row>
    <row r="2122" spans="2:16" x14ac:dyDescent="0.25">
      <c r="B2122" s="90">
        <v>1312</v>
      </c>
      <c r="C2122" s="91">
        <v>0.44882958503242198</v>
      </c>
      <c r="D2122" s="92">
        <v>405</v>
      </c>
      <c r="G2122" s="5"/>
      <c r="H2122" s="5"/>
      <c r="L2122" s="7"/>
      <c r="M2122" s="7"/>
      <c r="O2122" s="5"/>
      <c r="P2122" s="5"/>
    </row>
    <row r="2123" spans="2:16" x14ac:dyDescent="0.25">
      <c r="B2123" s="90">
        <v>1313</v>
      </c>
      <c r="C2123" s="91">
        <v>0.45422612020733699</v>
      </c>
      <c r="D2123" s="92">
        <v>407</v>
      </c>
      <c r="G2123" s="5"/>
      <c r="H2123" s="5"/>
      <c r="L2123" s="7"/>
      <c r="M2123" s="7"/>
      <c r="O2123" s="5"/>
      <c r="P2123" s="5"/>
    </row>
    <row r="2124" spans="2:16" x14ac:dyDescent="0.25">
      <c r="B2124" s="90">
        <v>1393</v>
      </c>
      <c r="C2124" s="91">
        <v>0.54991578243595618</v>
      </c>
      <c r="D2124" s="92">
        <v>407</v>
      </c>
      <c r="G2124" s="5"/>
      <c r="H2124" s="5"/>
      <c r="L2124" s="7"/>
      <c r="M2124" s="7"/>
      <c r="O2124" s="5"/>
      <c r="P2124" s="5"/>
    </row>
    <row r="2125" spans="2:16" x14ac:dyDescent="0.25">
      <c r="B2125" s="90">
        <v>214</v>
      </c>
      <c r="C2125" s="91">
        <v>0.4036970378652216</v>
      </c>
      <c r="D2125" s="92">
        <v>408</v>
      </c>
      <c r="G2125" s="5"/>
      <c r="H2125" s="5"/>
      <c r="L2125" s="7"/>
      <c r="M2125" s="7"/>
      <c r="O2125" s="5"/>
      <c r="P2125" s="5"/>
    </row>
    <row r="2126" spans="2:16" x14ac:dyDescent="0.25">
      <c r="B2126" s="90">
        <v>1470</v>
      </c>
      <c r="C2126" s="91">
        <v>0.62661896067989464</v>
      </c>
      <c r="D2126" s="92">
        <v>408</v>
      </c>
      <c r="G2126" s="5"/>
      <c r="H2126" s="5"/>
      <c r="L2126" s="7"/>
      <c r="M2126" s="7"/>
      <c r="O2126" s="5"/>
      <c r="P2126" s="5"/>
    </row>
    <row r="2127" spans="2:16" x14ac:dyDescent="0.25">
      <c r="B2127" s="90">
        <v>522</v>
      </c>
      <c r="C2127" s="91">
        <v>0.21418963758795861</v>
      </c>
      <c r="D2127" s="92">
        <v>410</v>
      </c>
      <c r="G2127" s="5"/>
      <c r="H2127" s="5"/>
      <c r="L2127" s="7"/>
      <c r="M2127" s="7"/>
      <c r="O2127" s="5"/>
      <c r="P2127" s="5"/>
    </row>
    <row r="2128" spans="2:16" x14ac:dyDescent="0.25">
      <c r="B2128" s="90">
        <v>464</v>
      </c>
      <c r="C2128" s="91">
        <v>0.21863849738495444</v>
      </c>
      <c r="D2128" s="92">
        <v>410</v>
      </c>
      <c r="G2128" s="5"/>
      <c r="H2128" s="5"/>
      <c r="L2128" s="7"/>
      <c r="M2128" s="7"/>
      <c r="O2128" s="5"/>
      <c r="P2128" s="5"/>
    </row>
    <row r="2129" spans="2:16" x14ac:dyDescent="0.25">
      <c r="B2129" s="90">
        <v>85</v>
      </c>
      <c r="C2129" s="91">
        <v>0.3537851540358834</v>
      </c>
      <c r="D2129" s="92">
        <v>410</v>
      </c>
      <c r="G2129" s="5"/>
      <c r="H2129" s="5"/>
      <c r="L2129" s="7"/>
      <c r="M2129" s="7"/>
      <c r="O2129" s="5"/>
      <c r="P2129" s="5"/>
    </row>
    <row r="2130" spans="2:16" x14ac:dyDescent="0.25">
      <c r="B2130" s="90">
        <v>1117</v>
      </c>
      <c r="C2130" s="91">
        <v>0.58525983757743472</v>
      </c>
      <c r="D2130" s="92">
        <v>410</v>
      </c>
      <c r="G2130" s="5"/>
      <c r="H2130" s="5"/>
      <c r="L2130" s="7"/>
      <c r="M2130" s="7"/>
      <c r="O2130" s="5"/>
      <c r="P2130" s="5"/>
    </row>
    <row r="2131" spans="2:16" x14ac:dyDescent="0.25">
      <c r="B2131" s="90">
        <v>1071</v>
      </c>
      <c r="C2131" s="91">
        <v>0.58942419739456975</v>
      </c>
      <c r="D2131" s="92">
        <v>410</v>
      </c>
      <c r="G2131" s="5"/>
      <c r="H2131" s="5"/>
      <c r="L2131" s="7"/>
      <c r="M2131" s="7"/>
      <c r="O2131" s="5"/>
      <c r="P2131" s="5"/>
    </row>
    <row r="2132" spans="2:16" x14ac:dyDescent="0.25">
      <c r="B2132" s="90">
        <v>149</v>
      </c>
      <c r="C2132" s="91">
        <v>0.35631794129967487</v>
      </c>
      <c r="D2132" s="92">
        <v>411</v>
      </c>
      <c r="G2132" s="5"/>
      <c r="H2132" s="5"/>
      <c r="L2132" s="7"/>
      <c r="M2132" s="7"/>
      <c r="O2132" s="5"/>
      <c r="P2132" s="5"/>
    </row>
    <row r="2133" spans="2:16" x14ac:dyDescent="0.25">
      <c r="B2133" s="90">
        <v>345</v>
      </c>
      <c r="C2133" s="91">
        <v>0.24313588229944605</v>
      </c>
      <c r="D2133" s="92">
        <v>413</v>
      </c>
      <c r="G2133" s="5"/>
      <c r="H2133" s="5"/>
      <c r="L2133" s="7"/>
      <c r="M2133" s="7"/>
      <c r="O2133" s="5"/>
      <c r="P2133" s="5"/>
    </row>
    <row r="2134" spans="2:16" x14ac:dyDescent="0.25">
      <c r="B2134" s="90">
        <v>172</v>
      </c>
      <c r="C2134" s="91">
        <v>0.13486733995699374</v>
      </c>
      <c r="D2134" s="92">
        <v>416</v>
      </c>
      <c r="G2134" s="5"/>
      <c r="H2134" s="5"/>
      <c r="L2134" s="7"/>
      <c r="M2134" s="7"/>
      <c r="O2134" s="5"/>
      <c r="P2134" s="5"/>
    </row>
    <row r="2135" spans="2:16" x14ac:dyDescent="0.25">
      <c r="B2135" s="90">
        <v>78</v>
      </c>
      <c r="C2135" s="91">
        <v>0.41316656617768954</v>
      </c>
      <c r="D2135" s="92">
        <v>416</v>
      </c>
      <c r="G2135" s="5"/>
      <c r="H2135" s="5"/>
      <c r="L2135" s="7"/>
      <c r="M2135" s="7"/>
      <c r="O2135" s="5"/>
      <c r="P2135" s="5"/>
    </row>
    <row r="2136" spans="2:16" x14ac:dyDescent="0.25">
      <c r="B2136" s="90">
        <v>84</v>
      </c>
      <c r="C2136" s="91">
        <v>0.32902003347347453</v>
      </c>
      <c r="D2136" s="92">
        <v>419</v>
      </c>
      <c r="G2136" s="5"/>
      <c r="H2136" s="5"/>
      <c r="L2136" s="7"/>
      <c r="M2136" s="7"/>
      <c r="O2136" s="5"/>
      <c r="P2136" s="5"/>
    </row>
    <row r="2137" spans="2:16" x14ac:dyDescent="0.25">
      <c r="B2137" s="90">
        <v>1046</v>
      </c>
      <c r="C2137" s="91">
        <v>0.34944795602510981</v>
      </c>
      <c r="D2137" s="92">
        <v>419</v>
      </c>
      <c r="G2137" s="5"/>
      <c r="H2137" s="5"/>
      <c r="L2137" s="7"/>
      <c r="M2137" s="7"/>
      <c r="O2137" s="5"/>
      <c r="P2137" s="5"/>
    </row>
    <row r="2138" spans="2:16" x14ac:dyDescent="0.25">
      <c r="B2138" s="90">
        <v>1045</v>
      </c>
      <c r="C2138" s="91">
        <v>0.35299682050792303</v>
      </c>
      <c r="D2138" s="92">
        <v>419</v>
      </c>
      <c r="G2138" s="5"/>
      <c r="H2138" s="5"/>
      <c r="L2138" s="7"/>
      <c r="M2138" s="7"/>
      <c r="O2138" s="5"/>
      <c r="P2138" s="5"/>
    </row>
    <row r="2139" spans="2:16" x14ac:dyDescent="0.25">
      <c r="B2139" s="90">
        <v>1093</v>
      </c>
      <c r="C2139" s="91">
        <v>0.35700872406256612</v>
      </c>
      <c r="D2139" s="92">
        <v>419</v>
      </c>
      <c r="G2139" s="5"/>
      <c r="H2139" s="5"/>
      <c r="L2139" s="7"/>
      <c r="M2139" s="7"/>
      <c r="O2139" s="5"/>
      <c r="P2139" s="5"/>
    </row>
    <row r="2140" spans="2:16" x14ac:dyDescent="0.25">
      <c r="B2140" s="90">
        <v>1139</v>
      </c>
      <c r="C2140" s="91">
        <v>0.35813006662494296</v>
      </c>
      <c r="D2140" s="92">
        <v>419</v>
      </c>
      <c r="G2140" s="5"/>
      <c r="H2140" s="5"/>
      <c r="L2140" s="7"/>
      <c r="M2140" s="7"/>
      <c r="O2140" s="5"/>
      <c r="P2140" s="5"/>
    </row>
    <row r="2141" spans="2:16" x14ac:dyDescent="0.25">
      <c r="B2141" s="90">
        <v>1138</v>
      </c>
      <c r="C2141" s="91">
        <v>0.36203461588381125</v>
      </c>
      <c r="D2141" s="92">
        <v>419</v>
      </c>
      <c r="G2141" s="5"/>
      <c r="H2141" s="5"/>
      <c r="L2141" s="7"/>
      <c r="M2141" s="7"/>
      <c r="O2141" s="5"/>
      <c r="P2141" s="5"/>
    </row>
    <row r="2142" spans="2:16" x14ac:dyDescent="0.25">
      <c r="B2142" s="90">
        <v>142</v>
      </c>
      <c r="C2142" s="91">
        <v>0.41784504405621425</v>
      </c>
      <c r="D2142" s="92">
        <v>419</v>
      </c>
      <c r="G2142" s="5"/>
      <c r="H2142" s="5"/>
      <c r="L2142" s="7"/>
      <c r="M2142" s="7"/>
      <c r="O2142" s="5"/>
      <c r="P2142" s="5"/>
    </row>
    <row r="2143" spans="2:16" x14ac:dyDescent="0.25">
      <c r="B2143" s="90">
        <v>847</v>
      </c>
      <c r="C2143" s="91">
        <v>0.28209595651660857</v>
      </c>
      <c r="D2143" s="92">
        <v>421</v>
      </c>
      <c r="G2143" s="5"/>
      <c r="H2143" s="5"/>
      <c r="L2143" s="7"/>
      <c r="M2143" s="7"/>
      <c r="O2143" s="5"/>
      <c r="P2143" s="5"/>
    </row>
    <row r="2144" spans="2:16" x14ac:dyDescent="0.25">
      <c r="B2144" s="90">
        <v>1270</v>
      </c>
      <c r="C2144" s="91">
        <v>0.48952779637563837</v>
      </c>
      <c r="D2144" s="92">
        <v>421</v>
      </c>
      <c r="G2144" s="5"/>
      <c r="H2144" s="5"/>
      <c r="L2144" s="7"/>
      <c r="M2144" s="7"/>
      <c r="O2144" s="5"/>
      <c r="P2144" s="5"/>
    </row>
    <row r="2145" spans="2:16" x14ac:dyDescent="0.25">
      <c r="B2145" s="90">
        <v>1271</v>
      </c>
      <c r="C2145" s="91">
        <v>0.49408105911358269</v>
      </c>
      <c r="D2145" s="92">
        <v>421</v>
      </c>
      <c r="G2145" s="5"/>
      <c r="H2145" s="5"/>
      <c r="L2145" s="7"/>
      <c r="M2145" s="7"/>
      <c r="O2145" s="5"/>
      <c r="P2145" s="5"/>
    </row>
    <row r="2146" spans="2:16" x14ac:dyDescent="0.25">
      <c r="B2146" s="90">
        <v>1394</v>
      </c>
      <c r="C2146" s="91">
        <v>0.56110919128944792</v>
      </c>
      <c r="D2146" s="92">
        <v>427</v>
      </c>
      <c r="G2146" s="5"/>
      <c r="H2146" s="5"/>
      <c r="L2146" s="7"/>
      <c r="M2146" s="7"/>
      <c r="O2146" s="5"/>
      <c r="P2146" s="5"/>
    </row>
    <row r="2147" spans="2:16" x14ac:dyDescent="0.25">
      <c r="B2147" s="90">
        <v>1432</v>
      </c>
      <c r="C2147" s="91">
        <v>1.1032285167224307</v>
      </c>
      <c r="D2147" s="92">
        <v>427</v>
      </c>
      <c r="G2147" s="5"/>
      <c r="H2147" s="5"/>
      <c r="L2147" s="7"/>
      <c r="M2147" s="7"/>
      <c r="O2147" s="5"/>
      <c r="P2147" s="5"/>
    </row>
    <row r="2148" spans="2:16" x14ac:dyDescent="0.25">
      <c r="B2148" s="90">
        <v>405</v>
      </c>
      <c r="C2148" s="91">
        <v>0.22352903088086107</v>
      </c>
      <c r="D2148" s="92">
        <v>428</v>
      </c>
      <c r="G2148" s="5"/>
      <c r="H2148" s="5"/>
      <c r="L2148" s="7"/>
      <c r="M2148" s="7"/>
      <c r="O2148" s="5"/>
      <c r="P2148" s="5"/>
    </row>
    <row r="2149" spans="2:16" x14ac:dyDescent="0.25">
      <c r="B2149" s="90">
        <v>1471</v>
      </c>
      <c r="C2149" s="91">
        <v>0.68888716095873104</v>
      </c>
      <c r="D2149" s="92">
        <v>428</v>
      </c>
      <c r="G2149" s="5"/>
      <c r="H2149" s="5"/>
      <c r="L2149" s="7"/>
      <c r="M2149" s="7"/>
      <c r="O2149" s="5"/>
      <c r="P2149" s="5"/>
    </row>
    <row r="2150" spans="2:16" x14ac:dyDescent="0.25">
      <c r="B2150" s="90">
        <v>284</v>
      </c>
      <c r="C2150" s="91">
        <v>0.23352834777295284</v>
      </c>
      <c r="D2150" s="92">
        <v>431</v>
      </c>
      <c r="G2150" s="5"/>
      <c r="H2150" s="5"/>
      <c r="L2150" s="7"/>
      <c r="M2150" s="7"/>
      <c r="O2150" s="5"/>
      <c r="P2150" s="5"/>
    </row>
    <row r="2151" spans="2:16" x14ac:dyDescent="0.25">
      <c r="B2151" s="90">
        <v>83</v>
      </c>
      <c r="C2151" s="91">
        <v>0.36662956718225037</v>
      </c>
      <c r="D2151" s="92">
        <v>433</v>
      </c>
      <c r="G2151" s="5"/>
      <c r="H2151" s="5"/>
      <c r="L2151" s="7"/>
      <c r="M2151" s="7"/>
      <c r="O2151" s="5"/>
      <c r="P2151" s="5"/>
    </row>
    <row r="2152" spans="2:16" x14ac:dyDescent="0.25">
      <c r="B2152" s="90">
        <v>43</v>
      </c>
      <c r="C2152" s="91">
        <v>0.14130490431746467</v>
      </c>
      <c r="D2152" s="92">
        <v>434</v>
      </c>
      <c r="G2152" s="5"/>
      <c r="H2152" s="5"/>
      <c r="L2152" s="7"/>
      <c r="M2152" s="7"/>
      <c r="O2152" s="5"/>
      <c r="P2152" s="5"/>
    </row>
    <row r="2153" spans="2:16" x14ac:dyDescent="0.25">
      <c r="B2153" s="90">
        <v>1243</v>
      </c>
      <c r="C2153" s="91">
        <v>0.14130490431746467</v>
      </c>
      <c r="D2153" s="92">
        <v>434</v>
      </c>
      <c r="G2153" s="5"/>
      <c r="H2153" s="5"/>
      <c r="L2153" s="7"/>
      <c r="M2153" s="7"/>
      <c r="O2153" s="5"/>
      <c r="P2153" s="5"/>
    </row>
    <row r="2154" spans="2:16" x14ac:dyDescent="0.25">
      <c r="B2154" s="90">
        <v>147</v>
      </c>
      <c r="C2154" s="91">
        <v>0.36901237051177072</v>
      </c>
      <c r="D2154" s="92">
        <v>434</v>
      </c>
      <c r="G2154" s="5"/>
      <c r="H2154" s="5"/>
      <c r="L2154" s="7"/>
      <c r="M2154" s="7"/>
      <c r="O2154" s="5"/>
      <c r="P2154" s="5"/>
    </row>
    <row r="2155" spans="2:16" x14ac:dyDescent="0.25">
      <c r="B2155" s="90">
        <v>462</v>
      </c>
      <c r="C2155" s="91">
        <v>0.28248940392850819</v>
      </c>
      <c r="D2155" s="92">
        <v>436</v>
      </c>
      <c r="G2155" s="5"/>
      <c r="H2155" s="5"/>
      <c r="L2155" s="7"/>
      <c r="M2155" s="7"/>
      <c r="O2155" s="5"/>
      <c r="P2155" s="5"/>
    </row>
    <row r="2156" spans="2:16" x14ac:dyDescent="0.25">
      <c r="B2156" s="90">
        <v>403</v>
      </c>
      <c r="C2156" s="91">
        <v>0.28789898041568485</v>
      </c>
      <c r="D2156" s="92">
        <v>436</v>
      </c>
      <c r="G2156" s="5"/>
      <c r="H2156" s="5"/>
      <c r="L2156" s="7"/>
      <c r="M2156" s="7"/>
      <c r="O2156" s="5"/>
      <c r="P2156" s="5"/>
    </row>
    <row r="2157" spans="2:16" x14ac:dyDescent="0.25">
      <c r="B2157" s="90">
        <v>848</v>
      </c>
      <c r="C2157" s="91">
        <v>0.27800692605611976</v>
      </c>
      <c r="D2157" s="92">
        <v>439</v>
      </c>
      <c r="G2157" s="5"/>
      <c r="H2157" s="5"/>
      <c r="L2157" s="7"/>
      <c r="M2157" s="7"/>
      <c r="O2157" s="5"/>
      <c r="P2157" s="5"/>
    </row>
    <row r="2158" spans="2:16" x14ac:dyDescent="0.25">
      <c r="B2158" s="90">
        <v>282</v>
      </c>
      <c r="C2158" s="91">
        <v>0.30013843980332044</v>
      </c>
      <c r="D2158" s="92">
        <v>443</v>
      </c>
      <c r="G2158" s="5"/>
      <c r="H2158" s="5"/>
      <c r="L2158" s="7"/>
      <c r="M2158" s="7"/>
      <c r="O2158" s="5"/>
      <c r="P2158" s="5"/>
    </row>
    <row r="2159" spans="2:16" x14ac:dyDescent="0.25">
      <c r="B2159" s="90">
        <v>222</v>
      </c>
      <c r="C2159" s="91">
        <v>0.30701194943971033</v>
      </c>
      <c r="D2159" s="92">
        <v>443</v>
      </c>
      <c r="G2159" s="5"/>
      <c r="H2159" s="5"/>
      <c r="L2159" s="7"/>
      <c r="M2159" s="7"/>
      <c r="O2159" s="5"/>
      <c r="P2159" s="5"/>
    </row>
    <row r="2160" spans="2:16" x14ac:dyDescent="0.25">
      <c r="B2160" s="90">
        <v>1433</v>
      </c>
      <c r="C2160" s="91">
        <v>1.1650048380749272</v>
      </c>
      <c r="D2160" s="92">
        <v>445</v>
      </c>
      <c r="G2160" s="5"/>
      <c r="H2160" s="5"/>
      <c r="L2160" s="7"/>
      <c r="M2160" s="7"/>
      <c r="O2160" s="5"/>
      <c r="P2160" s="5"/>
    </row>
    <row r="2161" spans="2:16" x14ac:dyDescent="0.25">
      <c r="B2161" s="90">
        <v>199</v>
      </c>
      <c r="C2161" s="91">
        <v>0.60875817247133424</v>
      </c>
      <c r="D2161" s="92">
        <v>448</v>
      </c>
      <c r="G2161" s="5"/>
      <c r="H2161" s="5"/>
      <c r="L2161" s="7"/>
      <c r="M2161" s="7"/>
      <c r="O2161" s="5"/>
      <c r="P2161" s="5"/>
    </row>
    <row r="2162" spans="2:16" x14ac:dyDescent="0.25">
      <c r="B2162" s="90">
        <v>283</v>
      </c>
      <c r="C2162" s="91">
        <v>0.29648241410620368</v>
      </c>
      <c r="D2162" s="92">
        <v>450</v>
      </c>
      <c r="G2162" s="5"/>
      <c r="H2162" s="5"/>
      <c r="L2162" s="7"/>
      <c r="M2162" s="7"/>
      <c r="O2162" s="5"/>
      <c r="P2162" s="5"/>
    </row>
    <row r="2163" spans="2:16" x14ac:dyDescent="0.25">
      <c r="B2163" s="90">
        <v>90</v>
      </c>
      <c r="C2163" s="91">
        <v>0.2664313863868899</v>
      </c>
      <c r="D2163" s="92">
        <v>452</v>
      </c>
      <c r="G2163" s="5"/>
      <c r="H2163" s="5"/>
      <c r="L2163" s="7"/>
      <c r="M2163" s="7"/>
      <c r="O2163" s="5"/>
      <c r="P2163" s="5"/>
    </row>
    <row r="2164" spans="2:16" x14ac:dyDescent="0.25">
      <c r="B2164" s="90">
        <v>463</v>
      </c>
      <c r="C2164" s="91">
        <v>0.27879553715518846</v>
      </c>
      <c r="D2164" s="92">
        <v>454</v>
      </c>
      <c r="G2164" s="5"/>
      <c r="H2164" s="5"/>
      <c r="L2164" s="7"/>
      <c r="M2164" s="7"/>
      <c r="O2164" s="5"/>
      <c r="P2164" s="5"/>
    </row>
    <row r="2165" spans="2:16" x14ac:dyDescent="0.25">
      <c r="B2165" s="90">
        <v>404</v>
      </c>
      <c r="C2165" s="91">
        <v>0.28418753352081771</v>
      </c>
      <c r="D2165" s="92">
        <v>454</v>
      </c>
      <c r="G2165" s="5"/>
      <c r="H2165" s="5"/>
      <c r="L2165" s="7"/>
      <c r="M2165" s="7"/>
      <c r="O2165" s="5"/>
      <c r="P2165" s="5"/>
    </row>
    <row r="2166" spans="2:16" x14ac:dyDescent="0.25">
      <c r="B2166" s="90">
        <v>344</v>
      </c>
      <c r="C2166" s="91">
        <v>0.30619360301761844</v>
      </c>
      <c r="D2166" s="92">
        <v>457</v>
      </c>
      <c r="G2166" s="5"/>
      <c r="H2166" s="5"/>
      <c r="L2166" s="7"/>
      <c r="M2166" s="7"/>
      <c r="O2166" s="5"/>
      <c r="P2166" s="5"/>
    </row>
    <row r="2167" spans="2:16" x14ac:dyDescent="0.25">
      <c r="B2167" s="90">
        <v>343</v>
      </c>
      <c r="C2167" s="91">
        <v>0.30993333921279365</v>
      </c>
      <c r="D2167" s="92">
        <v>457</v>
      </c>
      <c r="G2167" s="5"/>
      <c r="H2167" s="5"/>
      <c r="L2167" s="7"/>
      <c r="M2167" s="7"/>
      <c r="O2167" s="5"/>
      <c r="P2167" s="5"/>
    </row>
    <row r="2168" spans="2:16" x14ac:dyDescent="0.25">
      <c r="B2168" s="90">
        <v>95</v>
      </c>
      <c r="C2168" s="91">
        <v>0.35359943989123344</v>
      </c>
      <c r="D2168" s="92">
        <v>458</v>
      </c>
      <c r="G2168" s="5"/>
      <c r="H2168" s="5"/>
      <c r="L2168" s="7"/>
      <c r="M2168" s="7"/>
      <c r="O2168" s="5"/>
      <c r="P2168" s="5"/>
    </row>
    <row r="2169" spans="2:16" x14ac:dyDescent="0.25">
      <c r="B2169" s="90">
        <v>159</v>
      </c>
      <c r="C2169" s="91">
        <v>0.35948045187157662</v>
      </c>
      <c r="D2169" s="92">
        <v>459</v>
      </c>
      <c r="G2169" s="5"/>
      <c r="H2169" s="5"/>
      <c r="L2169" s="7"/>
      <c r="M2169" s="7"/>
      <c r="O2169" s="5"/>
      <c r="P2169" s="5"/>
    </row>
    <row r="2170" spans="2:16" x14ac:dyDescent="0.25">
      <c r="B2170" s="90">
        <v>154</v>
      </c>
      <c r="C2170" s="91">
        <v>0.26872357185001716</v>
      </c>
      <c r="D2170" s="92">
        <v>464</v>
      </c>
      <c r="G2170" s="5"/>
      <c r="H2170" s="5"/>
      <c r="L2170" s="7"/>
      <c r="M2170" s="7"/>
      <c r="O2170" s="5"/>
      <c r="P2170" s="5"/>
    </row>
    <row r="2171" spans="2:16" x14ac:dyDescent="0.25">
      <c r="B2171" s="90">
        <v>86</v>
      </c>
      <c r="C2171" s="91">
        <v>0.38503666632797651</v>
      </c>
      <c r="D2171" s="92">
        <v>464</v>
      </c>
      <c r="G2171" s="5"/>
      <c r="H2171" s="5"/>
      <c r="L2171" s="7"/>
      <c r="M2171" s="7"/>
      <c r="O2171" s="5"/>
      <c r="P2171" s="5"/>
    </row>
    <row r="2172" spans="2:16" x14ac:dyDescent="0.25">
      <c r="B2172" s="90">
        <v>150</v>
      </c>
      <c r="C2172" s="91">
        <v>0.38715927864700705</v>
      </c>
      <c r="D2172" s="92">
        <v>465</v>
      </c>
      <c r="G2172" s="5"/>
      <c r="H2172" s="5"/>
      <c r="L2172" s="7"/>
      <c r="M2172" s="7"/>
      <c r="O2172" s="5"/>
      <c r="P2172" s="5"/>
    </row>
    <row r="2173" spans="2:16" x14ac:dyDescent="0.25">
      <c r="B2173" s="90">
        <v>91</v>
      </c>
      <c r="C2173" s="91">
        <v>0.248330838032637</v>
      </c>
      <c r="D2173" s="92">
        <v>470</v>
      </c>
      <c r="G2173" s="5"/>
      <c r="H2173" s="5"/>
      <c r="L2173" s="7"/>
      <c r="M2173" s="7"/>
      <c r="O2173" s="5"/>
      <c r="P2173" s="5"/>
    </row>
    <row r="2174" spans="2:16" x14ac:dyDescent="0.25">
      <c r="B2174" s="90">
        <v>92</v>
      </c>
      <c r="C2174" s="91">
        <v>0.26722155902923705</v>
      </c>
      <c r="D2174" s="92">
        <v>470</v>
      </c>
      <c r="G2174" s="5"/>
      <c r="H2174" s="5"/>
      <c r="L2174" s="7"/>
      <c r="M2174" s="7"/>
      <c r="O2174" s="5"/>
      <c r="P2174" s="5"/>
    </row>
    <row r="2175" spans="2:16" x14ac:dyDescent="0.25">
      <c r="B2175" s="90">
        <v>155</v>
      </c>
      <c r="C2175" s="91">
        <v>0.25109956056468707</v>
      </c>
      <c r="D2175" s="92">
        <v>471</v>
      </c>
      <c r="G2175" s="5"/>
      <c r="H2175" s="5"/>
      <c r="L2175" s="7"/>
      <c r="M2175" s="7"/>
      <c r="O2175" s="5"/>
      <c r="P2175" s="5"/>
    </row>
    <row r="2176" spans="2:16" x14ac:dyDescent="0.25">
      <c r="B2176" s="90">
        <v>156</v>
      </c>
      <c r="C2176" s="91">
        <v>0.26991292876304684</v>
      </c>
      <c r="D2176" s="92">
        <v>471</v>
      </c>
      <c r="G2176" s="5"/>
      <c r="H2176" s="5"/>
      <c r="L2176" s="7"/>
      <c r="M2176" s="7"/>
      <c r="O2176" s="5"/>
      <c r="P2176" s="5"/>
    </row>
    <row r="2177" spans="2:16" x14ac:dyDescent="0.25">
      <c r="B2177" s="90">
        <v>87</v>
      </c>
      <c r="C2177" s="91">
        <v>0.46479726348826222</v>
      </c>
      <c r="D2177" s="92">
        <v>474</v>
      </c>
      <c r="G2177" s="5"/>
      <c r="H2177" s="5"/>
      <c r="L2177" s="7"/>
      <c r="M2177" s="7"/>
      <c r="O2177" s="5"/>
      <c r="P2177" s="5"/>
    </row>
    <row r="2178" spans="2:16" x14ac:dyDescent="0.25">
      <c r="B2178" s="90">
        <v>151</v>
      </c>
      <c r="C2178" s="91">
        <v>0.46610468444820308</v>
      </c>
      <c r="D2178" s="92">
        <v>475</v>
      </c>
      <c r="G2178" s="5"/>
      <c r="H2178" s="5"/>
      <c r="L2178" s="7"/>
      <c r="M2178" s="7"/>
      <c r="O2178" s="5"/>
      <c r="P2178" s="5"/>
    </row>
    <row r="2179" spans="2:16" x14ac:dyDescent="0.25">
      <c r="B2179" s="90">
        <v>93</v>
      </c>
      <c r="C2179" s="91">
        <v>0.43407813815102281</v>
      </c>
      <c r="D2179" s="92">
        <v>484</v>
      </c>
      <c r="G2179" s="5"/>
      <c r="H2179" s="5"/>
      <c r="L2179" s="7"/>
      <c r="M2179" s="7"/>
      <c r="O2179" s="5"/>
      <c r="P2179" s="5"/>
    </row>
    <row r="2180" spans="2:16" x14ac:dyDescent="0.25">
      <c r="B2180" s="90">
        <v>157</v>
      </c>
      <c r="C2180" s="91">
        <v>0.43919927085759314</v>
      </c>
      <c r="D2180" s="92">
        <v>485</v>
      </c>
      <c r="G2180" s="5"/>
      <c r="H2180" s="5"/>
      <c r="L2180" s="7"/>
      <c r="M2180" s="7"/>
      <c r="O2180" s="5"/>
      <c r="P2180" s="5"/>
    </row>
    <row r="2181" spans="2:16" x14ac:dyDescent="0.25">
      <c r="B2181" s="90">
        <v>221</v>
      </c>
      <c r="C2181" s="91">
        <v>0.375687431678984</v>
      </c>
      <c r="D2181" s="92">
        <v>487</v>
      </c>
      <c r="G2181" s="5"/>
      <c r="H2181" s="5"/>
      <c r="L2181" s="7"/>
      <c r="M2181" s="7"/>
      <c r="O2181" s="5"/>
      <c r="P2181" s="5"/>
    </row>
    <row r="2182" spans="2:16" x14ac:dyDescent="0.25">
      <c r="B2182" s="90">
        <v>220</v>
      </c>
      <c r="C2182" s="91">
        <v>0.37897743731419453</v>
      </c>
      <c r="D2182" s="92">
        <v>487</v>
      </c>
      <c r="G2182" s="5"/>
      <c r="H2182" s="5"/>
      <c r="L2182" s="7"/>
      <c r="M2182" s="7"/>
      <c r="O2182" s="5"/>
      <c r="P2182" s="5"/>
    </row>
    <row r="2183" spans="2:16" x14ac:dyDescent="0.25">
      <c r="B2183" s="90">
        <v>72</v>
      </c>
      <c r="C2183" s="91">
        <v>0.66561394293648934</v>
      </c>
      <c r="D2183" s="92">
        <v>497</v>
      </c>
      <c r="G2183" s="5"/>
      <c r="H2183" s="5"/>
      <c r="L2183" s="7"/>
      <c r="M2183" s="7"/>
      <c r="O2183" s="5"/>
      <c r="P2183" s="5"/>
    </row>
    <row r="2184" spans="2:16" x14ac:dyDescent="0.25">
      <c r="B2184" s="90">
        <v>89</v>
      </c>
      <c r="C2184" s="91">
        <v>0.38381629995046507</v>
      </c>
      <c r="D2184" s="92">
        <v>499</v>
      </c>
      <c r="G2184" s="5"/>
      <c r="H2184" s="5"/>
      <c r="L2184" s="7"/>
      <c r="M2184" s="7"/>
      <c r="O2184" s="5"/>
      <c r="P2184" s="5"/>
    </row>
    <row r="2185" spans="2:16" x14ac:dyDescent="0.25">
      <c r="B2185" s="90">
        <v>153</v>
      </c>
      <c r="C2185" s="91">
        <v>0.38587410319699256</v>
      </c>
      <c r="D2185" s="92">
        <v>500</v>
      </c>
      <c r="G2185" s="5"/>
      <c r="H2185" s="5"/>
      <c r="L2185" s="7"/>
      <c r="M2185" s="7"/>
      <c r="O2185" s="5"/>
      <c r="P2185" s="5"/>
    </row>
    <row r="2186" spans="2:16" x14ac:dyDescent="0.25">
      <c r="B2186" s="90">
        <v>94</v>
      </c>
      <c r="C2186" s="91">
        <v>0.43091056388286009</v>
      </c>
      <c r="D2186" s="92">
        <v>502</v>
      </c>
      <c r="G2186" s="5"/>
      <c r="H2186" s="5"/>
      <c r="L2186" s="7"/>
      <c r="M2186" s="7"/>
      <c r="O2186" s="5"/>
      <c r="P2186" s="5"/>
    </row>
    <row r="2187" spans="2:16" x14ac:dyDescent="0.25">
      <c r="B2187" s="90">
        <v>158</v>
      </c>
      <c r="C2187" s="91">
        <v>0.43599503194301281</v>
      </c>
      <c r="D2187" s="92">
        <v>503</v>
      </c>
      <c r="G2187" s="5"/>
      <c r="H2187" s="5"/>
      <c r="L2187" s="7"/>
      <c r="M2187" s="7"/>
      <c r="O2187" s="5"/>
      <c r="P2187" s="5"/>
    </row>
    <row r="2188" spans="2:16" x14ac:dyDescent="0.25">
      <c r="B2188" s="90">
        <v>136</v>
      </c>
      <c r="C2188" s="91">
        <v>0.66976745621606271</v>
      </c>
      <c r="D2188" s="92">
        <v>516</v>
      </c>
      <c r="G2188" s="5"/>
      <c r="H2188" s="5"/>
      <c r="L2188" s="7"/>
      <c r="M2188" s="7"/>
      <c r="O2188" s="5"/>
      <c r="P2188" s="5"/>
    </row>
  </sheetData>
  <autoFilter ref="B42:D2188" xr:uid="{00000000-0009-0000-0000-000005000000}"/>
  <sortState xmlns:xlrd2="http://schemas.microsoft.com/office/spreadsheetml/2017/richdata2" ref="B44:D5043">
    <sortCondition ref="D44:D5043"/>
    <sortCondition ref="C44:C5043"/>
  </sortState>
  <mergeCells count="28">
    <mergeCell ref="C34:D34"/>
    <mergeCell ref="C35:D35"/>
    <mergeCell ref="AC5:AE5"/>
    <mergeCell ref="B15:B18"/>
    <mergeCell ref="B19:B23"/>
    <mergeCell ref="W5:Y5"/>
    <mergeCell ref="Z5:AB5"/>
    <mergeCell ref="C6:D6"/>
    <mergeCell ref="C13:H13"/>
    <mergeCell ref="C14:E14"/>
    <mergeCell ref="C15:D15"/>
    <mergeCell ref="C16:D16"/>
    <mergeCell ref="C17:D17"/>
    <mergeCell ref="C18:D18"/>
    <mergeCell ref="C19:D19"/>
    <mergeCell ref="C20:D20"/>
    <mergeCell ref="E5:I5"/>
    <mergeCell ref="J5:N5"/>
    <mergeCell ref="O5:S5"/>
    <mergeCell ref="T5:V5"/>
    <mergeCell ref="C21:D21"/>
    <mergeCell ref="D31:E31"/>
    <mergeCell ref="B33:D33"/>
    <mergeCell ref="C22:D22"/>
    <mergeCell ref="C23:D23"/>
    <mergeCell ref="D26:H26"/>
    <mergeCell ref="D28:E28"/>
    <mergeCell ref="D29:E2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uplaQ3.GenerarDupla">
                <anchor moveWithCells="1" sizeWithCells="1">
                  <from>
                    <xdr:col>4</xdr:col>
                    <xdr:colOff>365760</xdr:colOff>
                    <xdr:row>38</xdr:row>
                    <xdr:rowOff>114300</xdr:rowOff>
                  </from>
                  <to>
                    <xdr:col>5</xdr:col>
                    <xdr:colOff>830580</xdr:colOff>
                    <xdr:row>40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scarYActualizar">
                <anchor moveWithCells="1" sizeWithCells="1">
                  <from>
                    <xdr:col>5</xdr:col>
                    <xdr:colOff>1104900</xdr:colOff>
                    <xdr:row>39</xdr:row>
                    <xdr:rowOff>99060</xdr:rowOff>
                  </from>
                  <to>
                    <xdr:col>6</xdr:col>
                    <xdr:colOff>708660</xdr:colOff>
                    <xdr:row>40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uscarYSustituirSuperior">
                <anchor moveWithCells="1" sizeWithCells="1">
                  <from>
                    <xdr:col>5</xdr:col>
                    <xdr:colOff>1089660</xdr:colOff>
                    <xdr:row>37</xdr:row>
                    <xdr:rowOff>106680</xdr:rowOff>
                  </from>
                  <to>
                    <xdr:col>6</xdr:col>
                    <xdr:colOff>670560</xdr:colOff>
                    <xdr:row>38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RegistrarEnColumnaH">
                <anchor moveWithCells="1" sizeWithCells="1">
                  <from>
                    <xdr:col>6</xdr:col>
                    <xdr:colOff>1203960</xdr:colOff>
                    <xdr:row>38</xdr:row>
                    <xdr:rowOff>76200</xdr:rowOff>
                  </from>
                  <to>
                    <xdr:col>7</xdr:col>
                    <xdr:colOff>990600</xdr:colOff>
                    <xdr:row>40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74083085F3E4741954568EF2FEF3C05" ma:contentTypeVersion="3" ma:contentTypeDescription="Crear nuevo documento." ma:contentTypeScope="" ma:versionID="cfbea24897c5d025d673dc922510abdf">
  <xsd:schema xmlns:xsd="http://www.w3.org/2001/XMLSchema" xmlns:xs="http://www.w3.org/2001/XMLSchema" xmlns:p="http://schemas.microsoft.com/office/2006/metadata/properties" xmlns:ns2="629f2d2f-b6b6-44db-ab00-3edb937bbcef" targetNamespace="http://schemas.microsoft.com/office/2006/metadata/properties" ma:root="true" ma:fieldsID="5a6fdb78d685c65998dae7f1c3d40807" ns2:_="">
    <xsd:import namespace="629f2d2f-b6b6-44db-ab00-3edb937bbc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9f2d2f-b6b6-44db-ab00-3edb937bb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9618B2-A6E9-4599-83B2-29E03A2629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9f2d2f-b6b6-44db-ab00-3edb937bbc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5077F74-5D03-42EC-82B2-BA175F9F63A4}">
  <ds:schemaRefs>
    <ds:schemaRef ds:uri="http://purl.org/dc/dcmitype/"/>
    <ds:schemaRef ds:uri="http://www.w3.org/XML/1998/namespace"/>
    <ds:schemaRef ds:uri="http://purl.org/dc/elements/1.1/"/>
    <ds:schemaRef ds:uri="http://purl.org/dc/terms/"/>
    <ds:schemaRef ds:uri="629f2d2f-b6b6-44db-ab00-3edb937bbcef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3304FB2-6ABE-4EBE-B286-CCA21B3D4C7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Duplas</vt:lpstr>
      <vt:lpstr>Datos</vt:lpstr>
      <vt:lpstr>Estadísticos</vt:lpstr>
      <vt:lpstr>Regresion Md</vt:lpstr>
      <vt:lpstr>Regresion Q1</vt:lpstr>
      <vt:lpstr>Regresion Q3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Royman SHR</dc:creator>
  <cp:keywords/>
  <dc:description/>
  <cp:lastModifiedBy>Andres Lopez</cp:lastModifiedBy>
  <cp:revision/>
  <dcterms:created xsi:type="dcterms:W3CDTF">2020-09-22T20:20:43Z</dcterms:created>
  <dcterms:modified xsi:type="dcterms:W3CDTF">2025-09-05T05:05:57Z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0x010100274083085F3E4741954568EF2FEF3C05</vt:lpwstr>
  </property>
  <property fmtid="{D5CDD505-2E9C-101B-9397-08002B2CF9AE}" pid="3" name="MediaServiceImageTags">
    <vt:lpwstr/>
  </property>
</Properties>
</file>